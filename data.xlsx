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nthwise" sheetId="1" r:id="rId5"/>
    <sheet state="visible" name="Weekly Dump" sheetId="2" r:id="rId6"/>
    <sheet state="visible" name="Daily Dump" sheetId="3" r:id="rId7"/>
    <sheet state="visible" name="Sheet9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tc={f1e3d011-08ea-4005-ad57-ba06c91627d0}</author>
  </authors>
  <commentList>
    <comment authorId="0" xr:uid="{f1e3d011-08ea-4005-ad57-ba06c91627d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https://ap-southeast-1.quicksight.aws.amazon.com/sn/account/pocketfm/dashboards/3542d13a-5320-4528-b89b-b6fb382f2de1/views/78e37541-7db5-4810-966d-ac2d8ee91c28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tc={c3d42c73-f835-4532-9b3a-1f33fbd72b45}</author>
  </authors>
  <commentList>
    <comment authorId="0" xr:uid="{c3d42c73-f835-4532-9b3a-1f33fbd72b4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https://ap-southeast-1.quicksight.aws.amazon.com/sn/account/pocketfm/dashboards/3542d13a-5320-4528-b89b-b6fb382f2de1/views/d4af9180-2e93-4a58-ba1c-4fe7249a7d40
</t>
      </text>
    </comment>
  </commentList>
</comments>
</file>

<file path=xl/sharedStrings.xml><?xml version="1.0" encoding="utf-8"?>
<sst xmlns="http://schemas.openxmlformats.org/spreadsheetml/2006/main" count="5371" uniqueCount="206">
  <si>
    <t>Scripting</t>
  </si>
  <si>
    <t>ER</t>
  </si>
  <si>
    <t>Production</t>
  </si>
  <si>
    <t>Week - Month</t>
  </si>
  <si>
    <t>PPV - Show_id</t>
  </si>
  <si>
    <t>Production Show_id</t>
  </si>
  <si>
    <t>Show_name</t>
  </si>
  <si>
    <t>Production status</t>
  </si>
  <si>
    <t>POD lead</t>
  </si>
  <si>
    <t>Writer</t>
  </si>
  <si>
    <t>Producer</t>
  </si>
  <si>
    <t>Scripts
(To be Recorded + All Ep.)</t>
  </si>
  <si>
    <t>Total Duration Live
(All Ep - Hrs.)</t>
  </si>
  <si>
    <t>TTD Scripts
Monthwise</t>
  </si>
  <si>
    <t>TTD ER
Monthwise</t>
  </si>
  <si>
    <t>TTD Release
Monthwise</t>
  </si>
  <si>
    <t>Week's Target</t>
  </si>
  <si>
    <t>Missed By</t>
  </si>
  <si>
    <t>Remarks</t>
  </si>
  <si>
    <t>ER Approved Scripts</t>
  </si>
  <si>
    <t>Approval Pending</t>
  </si>
  <si>
    <t>Live Episodes</t>
  </si>
  <si>
    <t>Show_id Added</t>
  </si>
  <si>
    <t>Week's Start Date</t>
  </si>
  <si>
    <t>W1 - May'26</t>
  </si>
  <si>
    <t>dbbc7f35e9eb33b7562f0fd82896e827101bf13c</t>
  </si>
  <si>
    <t>b9727274f880f47671ad54caad4904a491fad9c7</t>
  </si>
  <si>
    <t>Brahmand Ka Rakshak</t>
  </si>
  <si>
    <t>Running</t>
  </si>
  <si>
    <t>Trupti</t>
  </si>
  <si>
    <t>Vijay</t>
  </si>
  <si>
    <t>f43f4253dc3c596ff8f2e3cc9f3b677981a70310</t>
  </si>
  <si>
    <t>5baf4c80faf4b2d4eb9401a1d0081872e0158e89</t>
  </si>
  <si>
    <t>Brahmyodha the Destroyer</t>
  </si>
  <si>
    <t>Deepaa</t>
  </si>
  <si>
    <t>Shivani</t>
  </si>
  <si>
    <t>859785ba4869b28dddcfcb0e75295d1e1ad9b5a9</t>
  </si>
  <si>
    <t>96f1f89e4494e06fb7f9e3c4645563fa62ef9320</t>
  </si>
  <si>
    <t>King of Dragon</t>
  </si>
  <si>
    <t>Amit Rajak</t>
  </si>
  <si>
    <t>641b6f77fd211e92df35a3bcbab67e6879e19a66</t>
  </si>
  <si>
    <t>773d29931b435627d0ca406e1ea1425e9a1dbcb6</t>
  </si>
  <si>
    <t>Mahagatha</t>
  </si>
  <si>
    <t>Shivam</t>
  </si>
  <si>
    <t>NItesh</t>
  </si>
  <si>
    <t>e493cee863483a057af12de782cd20043a19ed05</t>
  </si>
  <si>
    <t>4c7fcc2bad9d3ae4744be2bd73cd8a625a0277d5</t>
  </si>
  <si>
    <t>Malang</t>
  </si>
  <si>
    <t>Paused</t>
  </si>
  <si>
    <t>Mauli</t>
  </si>
  <si>
    <t>81de0bc81be63a15ef7b7f2a301e23b4f3d49745</t>
  </si>
  <si>
    <t>Married to a Hard Hearted</t>
  </si>
  <si>
    <t>Monika UGC</t>
  </si>
  <si>
    <t>ca6c466ebfcd2658a9f1641045f468c15417a1e7</t>
  </si>
  <si>
    <t>My Mysterious Queen</t>
  </si>
  <si>
    <t>Mona</t>
  </si>
  <si>
    <t>aab7b2fa6301b585dcebf9ec60cf4371307ad469</t>
  </si>
  <si>
    <t>Tere Ishq Mein</t>
  </si>
  <si>
    <t>Pooja Sharma</t>
  </si>
  <si>
    <t>2549f1505a3739b3e90a0b63921ad55271440d40</t>
  </si>
  <si>
    <t>Reborn In martial World</t>
  </si>
  <si>
    <t>Prasenjeet</t>
  </si>
  <si>
    <t>bb6f447c782519839d8793fda0d35f90bad4421a</t>
  </si>
  <si>
    <t>Ruthless</t>
  </si>
  <si>
    <t>37e68193f879e91ec362f75f4b46511110658e2b</t>
  </si>
  <si>
    <t>7ea3277f02ef13c60cfa72336d009bf7ee6c17e8</t>
  </si>
  <si>
    <t>Saaya the Dark Love</t>
  </si>
  <si>
    <t>aa81f1feb820ed6f22bd7b22b55890db740929cb</t>
  </si>
  <si>
    <t>Shunya Samrat</t>
  </si>
  <si>
    <t>Harish (UGC)</t>
  </si>
  <si>
    <t>f8fbcb9a13d17d5888164fffc1bbb7cd5c6608b2</t>
  </si>
  <si>
    <t>394d109f7b50d9a46fb591dbaaba2d0aac90a696</t>
  </si>
  <si>
    <t>SRGJ / EHK</t>
  </si>
  <si>
    <t>Asma</t>
  </si>
  <si>
    <t>Avneet</t>
  </si>
  <si>
    <t>a3ba65aa427077188e1ad7dbcbcafae266683ca9</t>
  </si>
  <si>
    <t>5066c0736f9e9444f2b4da840d6860b1f7f47d11</t>
  </si>
  <si>
    <t>The Worrior - Ajith</t>
  </si>
  <si>
    <t>Dayaram (UGC) + Naznin</t>
  </si>
  <si>
    <t>017fddbaa7617afdd8289be5c433df09dcde1da2</t>
  </si>
  <si>
    <t>His Secret Fortune</t>
  </si>
  <si>
    <t>b236b697a3dda78049a484b58d63a75f4503ad66</t>
  </si>
  <si>
    <t>Rudra - Rise of the Supreme Yoddha</t>
  </si>
  <si>
    <t>Atrij</t>
  </si>
  <si>
    <t>b4277fe045604b0c31d4c58c59733d8d995662ff</t>
  </si>
  <si>
    <t>Divine Power</t>
  </si>
  <si>
    <t>ef9669389baf6711142a1ec22c3505fc714d91c0</t>
  </si>
  <si>
    <t>Abhimanyu Legend Yoddha</t>
  </si>
  <si>
    <t>To Be Picked</t>
  </si>
  <si>
    <t>c6ddafe0c1c28e76700ec68e65063945a05ee155</t>
  </si>
  <si>
    <t>Reborn to Rule</t>
  </si>
  <si>
    <t>b19f613216d474cd2927d5f4832a949dca2dc33e</t>
  </si>
  <si>
    <t>The Immortal</t>
  </si>
  <si>
    <t>6b246320a4c5853ce55127d5e00ee8805a97659a</t>
  </si>
  <si>
    <t>Mystic Fate System</t>
  </si>
  <si>
    <t>March W1</t>
  </si>
  <si>
    <t>120f01928bb6593698eaa96f46a52b5ddab649bd</t>
  </si>
  <si>
    <t>Beggar Husband - 2</t>
  </si>
  <si>
    <t>2f705add1a4571e3dcc4eb1426edfaa372c9cee8</t>
  </si>
  <si>
    <t>Beggar Husband - Pnakaj</t>
  </si>
  <si>
    <t>5a7d21f6ad9df12be70cd9439dd850c36627991d</t>
  </si>
  <si>
    <t>Ek stranger se Pyaar</t>
  </si>
  <si>
    <t>6867922e795be5da6320ef1d28567452800209ba</t>
  </si>
  <si>
    <t>The Dimension God</t>
  </si>
  <si>
    <t>54847eda0794e861da74c1034ace021b4643357b</t>
  </si>
  <si>
    <t>Billionaire King's love</t>
  </si>
  <si>
    <t>1b4ecb8a0d96b42675a2bbd2a9bd28ef4d28a0dd</t>
  </si>
  <si>
    <t>Doctor Mafia King</t>
  </si>
  <si>
    <t>9afaea00813dcb4fc57a46df70a2e3e1066af919</t>
  </si>
  <si>
    <t>My millionaire system</t>
  </si>
  <si>
    <t>661dba879cabc615ad2774813367b442a8ba7a6c</t>
  </si>
  <si>
    <t>My Devil Wife</t>
  </si>
  <si>
    <t>The Legend Gods</t>
  </si>
  <si>
    <t>Hidden King</t>
  </si>
  <si>
    <t>Devil's Revenge | डेविल्स रिवेंज | Author - Pawan Kumar</t>
  </si>
  <si>
    <t>Supreme Ansh: Protector or Destroyer | सुप्रीम अंश प्रोटेक्टर या डिस्ट्रॉयर | Author - Shubham</t>
  </si>
  <si>
    <t>c00911587071d365db77366d2e4d19bbb95ecb79</t>
  </si>
  <si>
    <t>Primordial God</t>
  </si>
  <si>
    <t>4d7612c81f45dcc918177976a5ef21c195b2462c</t>
  </si>
  <si>
    <t>Divine Flame Burst</t>
  </si>
  <si>
    <t>36a3aa11b04771a0c542744ba972f5f5bb94ab13</t>
  </si>
  <si>
    <t>Purple Thunder Sovereign</t>
  </si>
  <si>
    <t>ae85e47445b9066eb5b453d2f439ef523cd0d471</t>
  </si>
  <si>
    <t>My Catastrophic System</t>
  </si>
  <si>
    <t>76a593159857266ac3ab92121509c7d7c3dc41af</t>
  </si>
  <si>
    <t>Billionaire Royal System</t>
  </si>
  <si>
    <t>W2 - May'26</t>
  </si>
  <si>
    <t>W3 - May'26</t>
  </si>
  <si>
    <t>W4 - May'26</t>
  </si>
  <si>
    <t>??</t>
  </si>
  <si>
    <t>Period</t>
  </si>
  <si>
    <t>Show ID</t>
  </si>
  <si>
    <t>Show Title</t>
  </si>
  <si>
    <t>Under Review (scripts)</t>
  </si>
  <si>
    <t>Approved (scripts)</t>
  </si>
  <si>
    <t>Issues in Raw (eps)</t>
  </si>
  <si>
    <t>Issues resolved in Raw (eps)</t>
  </si>
  <si>
    <t>Production (eps)</t>
  </si>
  <si>
    <t>Ready for Master (eps)</t>
  </si>
  <si>
    <t>Master under review (eps)</t>
  </si>
  <si>
    <t>Issues in Master (eps)</t>
  </si>
  <si>
    <t>Issues resolved in Master (eps)</t>
  </si>
  <si>
    <t>Final Master (eps)</t>
  </si>
  <si>
    <t>Master Approved (eps)</t>
  </si>
  <si>
    <t>Scheduled (eps)</t>
  </si>
  <si>
    <t>Released (eps)</t>
  </si>
  <si>
    <t>__</t>
  </si>
  <si>
    <t>Under Review (word count)</t>
  </si>
  <si>
    <t>Approved (word count)</t>
  </si>
  <si>
    <t>Raw under review (hr)</t>
  </si>
  <si>
    <t>Issues in Raw (hr)</t>
  </si>
  <si>
    <t>Issues resolved in Raw (hr)</t>
  </si>
  <si>
    <t>Production (hr)</t>
  </si>
  <si>
    <t>Ready for Master (hr)</t>
  </si>
  <si>
    <t>Master under review (hr)</t>
  </si>
  <si>
    <t>Issues in Master (hr)</t>
  </si>
  <si>
    <t>Issues resolved in Master (hr)</t>
  </si>
  <si>
    <t>Final Master (hr)</t>
  </si>
  <si>
    <t>Master Approved (hr)</t>
  </si>
  <si>
    <t>Scheduled (hr)</t>
  </si>
  <si>
    <t>Released (hr)</t>
  </si>
  <si>
    <t>chapters_raw_qc</t>
  </si>
  <si>
    <t>His Secret Fortune - Production Show_id</t>
  </si>
  <si>
    <t>Empire of Hidden King (SRGJ) - Production Show_id</t>
  </si>
  <si>
    <t>Divine Flame Burst (Production Id)</t>
  </si>
  <si>
    <t>The Warrior | Author - Dayaram Prajapati - Replica (For Production Only)</t>
  </si>
  <si>
    <t>Billionaire King's Love (Production)</t>
  </si>
  <si>
    <t>Ek Stranger Se Pyar- Production Id</t>
  </si>
  <si>
    <t>Brahmyodha : The Destroyer - Production showId</t>
  </si>
  <si>
    <t>My Devil Wife -Production Id</t>
  </si>
  <si>
    <t>The Dimension God - Production Id</t>
  </si>
  <si>
    <t>Billionaire Royal System (Production Id)</t>
  </si>
  <si>
    <t>Mahagatha - Production</t>
  </si>
  <si>
    <t>Saaya the Dark Love - Production Show_id</t>
  </si>
  <si>
    <t>King of Dragon - Production Show_id</t>
  </si>
  <si>
    <t>My Millionaire System</t>
  </si>
  <si>
    <t>Tere Ishq Mein (OBH)  - Production Show_id</t>
  </si>
  <si>
    <t>My Catastrophic System (Production Id)</t>
  </si>
  <si>
    <t>Brahmand Ka Rakshak - Production Show</t>
  </si>
  <si>
    <t>Primordial God (Production Id)</t>
  </si>
  <si>
    <t>Reborn to Rule Production Show_id</t>
  </si>
  <si>
    <t>Purple Thunder Sovereign (Production Id)</t>
  </si>
  <si>
    <t>Mystic Fate System - Production Show_id</t>
  </si>
  <si>
    <t>Beggar Husband - Production Show_id</t>
  </si>
  <si>
    <t>The Immortal (Production)</t>
  </si>
  <si>
    <t>Malang - Production Id</t>
  </si>
  <si>
    <t>Divine Power - Production Show_id</t>
  </si>
  <si>
    <t>Rudra - Rise of Supreme Yoddha - Production Show_id</t>
  </si>
  <si>
    <t>https://ap-southeast-1.quicksight.aws.amazon.com/sn/account/pocketfm/dashboards/3542d13a-5320-4528-b89b-b6fb382f2de1/views/78e37541-7db5-4810-966d-ac2d8ee91c28</t>
  </si>
  <si>
    <t>PRoduction status automate</t>
  </si>
  <si>
    <t xml:space="preserve">ER Targets </t>
  </si>
  <si>
    <t>Scripting Dates</t>
  </si>
  <si>
    <t>Release Dates</t>
  </si>
  <si>
    <t>Final Ep (Tues)</t>
  </si>
  <si>
    <t>Ep Count</t>
  </si>
  <si>
    <t>P0</t>
  </si>
  <si>
    <t>Remarks in scripts er prod</t>
  </si>
  <si>
    <t>Deck view for monthly numbers</t>
  </si>
  <si>
    <t xml:space="preserve">toggle </t>
  </si>
  <si>
    <t xml:space="preserve">Scripts </t>
  </si>
  <si>
    <t>Prodcution</t>
  </si>
  <si>
    <t>Columns months</t>
  </si>
  <si>
    <t xml:space="preserve">Rows show </t>
  </si>
  <si>
    <t>Show launch date</t>
  </si>
  <si>
    <t>Weekly</t>
  </si>
  <si>
    <t>https://ap-southeast-1.quicksight.aws.amazon.com/sn/account/pocketfm/dashboards/3542d13a-5320-4528-b89b-b6fb382f2de1/views/26bfe208-56ee-4aeb-8018-4166cf00bb08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</si>
</sst>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-&quot;mmm&quot;-&quot;yy"/>
    <numFmt numFmtId="165" formatCode="d-mmmm-yy"/>
    <numFmt numFmtId="166" formatCode="yyyy-mm-dd h:mm:ss"/>
  </numFmts>
  <fonts count="12">
    <font>
      <sz val="10.0"/>
      <color rgb="FF000000"/>
      <name val="Arial"/>
      <scheme val="minor"/>
    </font>
    <font>
      <color theme="1"/>
      <name val="Montserrat"/>
    </font>
    <font>
      <b/>
      <sz val="12.0"/>
      <color theme="1"/>
      <name val="Montserrat"/>
    </font>
    <font/>
    <font>
      <color rgb="FF000000"/>
      <name val="Montserrat"/>
    </font>
    <font>
      <b/>
      <sz val="12.0"/>
      <color rgb="FF000000"/>
      <name val="Montserrat"/>
    </font>
    <font>
      <sz val="11.0"/>
      <color rgb="FF1F1F1F"/>
      <name val="Inconsolata"/>
    </font>
    <font>
      <color theme="1"/>
      <name val="Arial"/>
      <scheme val="minor"/>
    </font>
    <font>
      <color rgb="FF000000"/>
      <name val="Arial"/>
      <scheme val="minor"/>
    </font>
    <font>
      <b/>
      <color theme="1"/>
      <name val="Arial"/>
      <scheme val="minor"/>
    </font>
    <font>
      <u/>
      <color rgb="FF0000FF"/>
    </font>
    <font>
      <u/>
      <color rgb="FF0000FF"/>
    </font>
  </fonts>
  <fills count="9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EA9999"/>
        <bgColor rgb="FFEA9999"/>
      </patternFill>
    </fill>
    <fill>
      <patternFill patternType="solid">
        <fgColor rgb="FF000000"/>
        <bgColor rgb="FF000000"/>
      </patternFill>
    </fill>
  </fills>
  <borders count="10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vertical="center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1" numFmtId="2" xfId="0" applyAlignment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3" fontId="2" numFmtId="0" xfId="0" applyAlignment="1" applyFill="1" applyFont="1">
      <alignment horizontal="center" readingOrder="0" vertical="center"/>
    </xf>
    <xf borderId="4" fillId="0" fontId="3" numFmtId="0" xfId="0" applyBorder="1" applyFont="1"/>
    <xf borderId="0" fillId="4" fontId="2" numFmtId="0" xfId="0" applyAlignment="1" applyFill="1" applyFont="1">
      <alignment horizontal="center" readingOrder="0" vertical="center"/>
    </xf>
    <xf borderId="0" fillId="5" fontId="1" numFmtId="0" xfId="0" applyAlignment="1" applyFill="1" applyFont="1">
      <alignment horizontal="center" vertical="center"/>
    </xf>
    <xf borderId="0" fillId="5" fontId="4" numFmtId="0" xfId="0" applyAlignment="1" applyFont="1">
      <alignment vertical="center"/>
    </xf>
    <xf borderId="5" fillId="2" fontId="2" numFmtId="0" xfId="0" applyAlignment="1" applyBorder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5" fillId="3" fontId="2" numFmtId="0" xfId="0" applyAlignment="1" applyBorder="1" applyFont="1">
      <alignment horizontal="center" readingOrder="0" vertical="center"/>
    </xf>
    <xf borderId="5" fillId="4" fontId="2" numFmtId="0" xfId="0" applyAlignment="1" applyBorder="1" applyFont="1">
      <alignment horizontal="center" readingOrder="0" vertical="center"/>
    </xf>
    <xf borderId="0" fillId="5" fontId="2" numFmtId="0" xfId="0" applyAlignment="1" applyFont="1">
      <alignment horizontal="center" readingOrder="0" vertical="center"/>
    </xf>
    <xf borderId="0" fillId="5" fontId="5" numFmtId="0" xfId="0" applyAlignment="1" applyFont="1">
      <alignment horizontal="center" readingOrder="0" vertical="center"/>
    </xf>
    <xf borderId="0" fillId="6" fontId="1" numFmtId="0" xfId="0" applyAlignment="1" applyFill="1" applyFont="1">
      <alignment horizontal="center" shrinkToFit="0" vertical="center" wrapText="1"/>
    </xf>
    <xf borderId="0" fillId="6" fontId="1" numFmtId="0" xfId="0" applyAlignment="1" applyFont="1">
      <alignment horizontal="center" readingOrder="0" shrinkToFit="0" vertical="center" wrapText="0"/>
    </xf>
    <xf borderId="0" fillId="6" fontId="1" numFmtId="2" xfId="0" applyAlignment="1" applyFont="1" applyNumberFormat="1">
      <alignment horizontal="center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2" fontId="1" numFmtId="3" xfId="0" applyAlignment="1" applyFont="1" applyNumberForma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4" fillId="2" fontId="1" numFmtId="0" xfId="0" applyAlignment="1" applyBorder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4" fillId="3" fontId="1" numFmtId="0" xfId="0" applyAlignment="1" applyBorder="1" applyFont="1">
      <alignment horizontal="center" readingOrder="0" shrinkToFit="0" vertical="center" wrapText="1"/>
    </xf>
    <xf borderId="0" fillId="4" fontId="1" numFmtId="0" xfId="0" applyAlignment="1" applyFont="1">
      <alignment horizontal="center" readingOrder="0" shrinkToFit="0" vertical="center" wrapText="1"/>
    </xf>
    <xf borderId="4" fillId="4" fontId="1" numFmtId="0" xfId="0" applyAlignment="1" applyBorder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6" fontId="1" numFmtId="0" xfId="0" applyAlignment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readingOrder="0" shrinkToFit="0" vertical="center" wrapText="1"/>
    </xf>
    <xf borderId="9" fillId="4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center"/>
    </xf>
    <xf borderId="8" fillId="0" fontId="1" numFmtId="0" xfId="0" applyAlignment="1" applyBorder="1" applyFont="1">
      <alignment horizontal="center" vertical="center"/>
    </xf>
    <xf borderId="0" fillId="0" fontId="1" numFmtId="3" xfId="0" applyAlignment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vertical="center"/>
    </xf>
    <xf borderId="0" fillId="5" fontId="6" numFmtId="0" xfId="0" applyAlignment="1" applyFont="1">
      <alignment horizontal="center"/>
    </xf>
    <xf borderId="0" fillId="5" fontId="4" numFmtId="164" xfId="0" applyAlignment="1" applyFont="1" applyNumberFormat="1">
      <alignment horizontal="center" readingOrder="0" vertical="center"/>
    </xf>
    <xf borderId="0" fillId="7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8" fontId="1" numFmtId="0" xfId="0" applyAlignment="1" applyFill="1" applyFont="1">
      <alignment readingOrder="0" vertical="center"/>
    </xf>
    <xf borderId="0" fillId="8" fontId="1" numFmtId="0" xfId="0" applyAlignment="1" applyFont="1">
      <alignment shrinkToFit="0" vertical="center" wrapText="0"/>
    </xf>
    <xf borderId="0" fillId="8" fontId="1" numFmtId="0" xfId="0" applyAlignment="1" applyFont="1">
      <alignment vertical="center"/>
    </xf>
    <xf borderId="0" fillId="8" fontId="1" numFmtId="0" xfId="0" applyAlignment="1" applyFont="1">
      <alignment horizontal="center" vertical="center"/>
    </xf>
    <xf borderId="0" fillId="8" fontId="1" numFmtId="2" xfId="0" applyAlignment="1" applyFont="1" applyNumberFormat="1">
      <alignment horizontal="center" vertical="center"/>
    </xf>
    <xf borderId="8" fillId="8" fontId="1" numFmtId="0" xfId="0" applyAlignment="1" applyBorder="1" applyFont="1">
      <alignment horizontal="center" vertical="center"/>
    </xf>
    <xf borderId="0" fillId="8" fontId="1" numFmtId="3" xfId="0" applyAlignment="1" applyFont="1" applyNumberFormat="1">
      <alignment horizontal="center" vertical="center"/>
    </xf>
    <xf borderId="4" fillId="8" fontId="1" numFmtId="0" xfId="0" applyAlignment="1" applyBorder="1" applyFont="1">
      <alignment horizontal="center" vertical="center"/>
    </xf>
    <xf borderId="0" fillId="8" fontId="7" numFmtId="0" xfId="0" applyFont="1"/>
    <xf borderId="4" fillId="8" fontId="1" numFmtId="0" xfId="0" applyAlignment="1" applyBorder="1" applyFont="1">
      <alignment vertical="center"/>
    </xf>
    <xf borderId="0" fillId="8" fontId="1" numFmtId="0" xfId="0" applyAlignment="1" applyFont="1">
      <alignment horizontal="center" readingOrder="0" vertical="center"/>
    </xf>
    <xf borderId="4" fillId="8" fontId="1" numFmtId="0" xfId="0" applyAlignment="1" applyBorder="1" applyFont="1">
      <alignment horizontal="center" readingOrder="0" vertical="center"/>
    </xf>
    <xf borderId="0" fillId="8" fontId="4" numFmtId="165" xfId="0" applyAlignment="1" applyFont="1" applyNumberFormat="1">
      <alignment horizontal="center" readingOrder="0" vertical="center"/>
    </xf>
    <xf borderId="0" fillId="5" fontId="4" numFmtId="165" xfId="0" applyAlignment="1" applyFont="1" applyNumberForma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0" fillId="0" fontId="7" numFmtId="0" xfId="0" applyAlignment="1" applyFont="1">
      <alignment readingOrder="0"/>
    </xf>
    <xf borderId="0" fillId="0" fontId="7" numFmtId="0" xfId="0" applyAlignment="1" applyFont="1">
      <alignment shrinkToFit="0" wrapText="0"/>
    </xf>
    <xf borderId="0" fillId="0" fontId="7" numFmtId="0" xfId="0" applyAlignment="1" applyFont="1">
      <alignment readingOrder="0" shrinkToFit="0" wrapText="0"/>
    </xf>
    <xf borderId="0" fillId="0" fontId="1" numFmtId="3" xfId="0" applyAlignment="1" applyFont="1" applyNumberFormat="1">
      <alignment horizontal="center" readingOrder="0" vertical="center"/>
    </xf>
    <xf borderId="0" fillId="5" fontId="8" numFmtId="0" xfId="0" applyFont="1"/>
    <xf borderId="0" fillId="2" fontId="9" numFmtId="0" xfId="0" applyAlignment="1" applyFont="1">
      <alignment horizontal="center" shrinkToFit="0" vertical="center" wrapText="1"/>
    </xf>
    <xf borderId="0" fillId="0" fontId="7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895350</xdr:colOff>
      <xdr:row>5</xdr:row>
      <xdr:rowOff>152400</xdr:rowOff>
    </xdr:from>
    <xdr:ext cx="8829675" cy="5734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Anant Kumar" id="{eeb49b45-7ccf-4126-aacc-d2cffbe59ef0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5T06:22:23.00" personId="{eeb49b45-7ccf-4126-aacc-d2cffbe59ef0}" id="{f1e3d011-08ea-4005-ad57-ba06c91627d0}" done="0">
    <x18tc:text xml:space="preserve">https://ap-southeast-1.quicksight.aws.amazon.com/sn/account/pocketfm/dashboards/3542d13a-5320-4528-b89b-b6fb382f2de1/views/78e37541-7db5-4810-966d-ac2d8ee91c28</x18tc:text>
    <x18tc:extLst>
      <ext uri="{F7C98A9C-CBB3-438F-8F68-D28B6AF4A901}">
        <xltc2:checksum/>
        <xltc2:hyperlink startIndex="0" length="159" url="https://ap-southeast-1.quicksight.aws.amazon.com/sn/account/pocketfm/dashboards/3542d13a-5320-4528-b89b-b6fb382f2de1/views/78e37541-7db5-4810-966d-ac2d8ee91c28"/>
      </ext>
    </x18tc:extLs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9T17:09:37.00" personId="{eeb49b45-7ccf-4126-aacc-d2cffbe59ef0}" id="{c3d42c73-f835-4532-9b3a-1f33fbd72b45}" done="0">
    <x18tc:text xml:space="preserve">https://ap-southeast-1.quicksight.aws.amazon.com/sn/account/pocketfm/dashboards/3542d13a-5320-4528-b89b-b6fb382f2de1/views/d4af9180-2e93-4a58-ba1c-4fe7249a7d40</x18tc:text>
    <x18tc:extLst>
      <ext uri="{F7C98A9C-CBB3-438F-8F68-D28B6AF4A901}">
        <xltc2:checksum/>
        <xltc2:hyperlink startIndex="0" length="159" url="https://ap-southeast-1.quicksight.aws.amazon.com/sn/account/pocketfm/dashboards/3542d13a-5320-4528-b89b-b6fb382f2de1/views/d4af9180-2e93-4a58-ba1c-4fe7249a7d40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ap-southeast-1.quicksight.aws.amazon.com/sn/account/pocketfm/dashboards/3542d13a-5320-4528-b89b-b6fb382f2de1/views/78e37541-7db5-4810-966d-ac2d8ee91c28" TargetMode="External"/><Relationship Id="rId2" Type="http://schemas.openxmlformats.org/officeDocument/2006/relationships/hyperlink" Target="https://ap-southeast-1.quicksight.aws.amazon.com/sn/account/pocketfm/dashboards/3542d13a-5320-4528-b89b-b6fb382f2de1/views/26bfe208-56ee-4aeb-8018-4166cf00bb08" TargetMode="External"/><Relationship Id="rId3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4" max="4" width="26.0"/>
    <col customWidth="1" min="9" max="9" width="17.13"/>
    <col customWidth="1" min="15" max="16" width="16.13"/>
    <col customWidth="1" min="18" max="18" width="16.13"/>
    <col customWidth="1" min="22" max="22" width="17.88"/>
    <col customWidth="1" min="26" max="26" width="14.63"/>
  </cols>
  <sheetData>
    <row r="1">
      <c r="A1" s="1"/>
      <c r="B1" s="2"/>
      <c r="C1" s="2"/>
      <c r="D1" s="3"/>
      <c r="E1" s="3"/>
      <c r="F1" s="3"/>
      <c r="G1" s="3"/>
      <c r="H1" s="3"/>
      <c r="I1" s="4"/>
      <c r="J1" s="5"/>
      <c r="K1" s="4"/>
      <c r="L1" s="4"/>
      <c r="M1" s="4"/>
      <c r="N1" s="6"/>
      <c r="O1" s="7"/>
      <c r="P1" s="7"/>
      <c r="Q1" s="7"/>
      <c r="R1" s="8"/>
      <c r="S1" s="9"/>
      <c r="V1" s="10"/>
      <c r="W1" s="11"/>
      <c r="Z1" s="10"/>
      <c r="AA1" s="12"/>
      <c r="AB1" s="13"/>
    </row>
    <row r="2">
      <c r="A2" s="3"/>
      <c r="B2" s="2"/>
      <c r="C2" s="2"/>
      <c r="D2" s="3"/>
      <c r="E2" s="3"/>
      <c r="F2" s="3"/>
      <c r="G2" s="3"/>
      <c r="H2" s="3"/>
      <c r="I2" s="4"/>
      <c r="J2" s="5"/>
      <c r="K2" s="4"/>
      <c r="L2" s="4"/>
      <c r="M2" s="4"/>
      <c r="N2" s="14" t="s">
        <v>0</v>
      </c>
      <c r="O2" s="15"/>
      <c r="P2" s="15"/>
      <c r="Q2" s="15"/>
      <c r="R2" s="16"/>
      <c r="S2" s="17" t="s">
        <v>1</v>
      </c>
      <c r="T2" s="15"/>
      <c r="U2" s="15"/>
      <c r="V2" s="16"/>
      <c r="W2" s="18" t="s">
        <v>2</v>
      </c>
      <c r="X2" s="15"/>
      <c r="Y2" s="15"/>
      <c r="Z2" s="16"/>
      <c r="AA2" s="19"/>
      <c r="AB2" s="20"/>
    </row>
    <row r="3">
      <c r="A3" s="21"/>
      <c r="B3" s="22"/>
      <c r="C3" s="21"/>
      <c r="D3" s="21"/>
      <c r="E3" s="21"/>
      <c r="F3" s="21"/>
      <c r="G3" s="21"/>
      <c r="H3" s="21"/>
      <c r="I3" s="21"/>
      <c r="J3" s="23"/>
      <c r="K3" s="21"/>
      <c r="L3" s="21"/>
      <c r="M3" s="21"/>
      <c r="N3" s="24"/>
      <c r="O3" s="25"/>
      <c r="P3" s="26"/>
      <c r="Q3" s="27"/>
      <c r="R3" s="28"/>
      <c r="S3" s="29"/>
      <c r="T3" s="29"/>
      <c r="U3" s="29"/>
      <c r="V3" s="30"/>
      <c r="W3" s="31"/>
      <c r="X3" s="31"/>
      <c r="Y3" s="31"/>
      <c r="Z3" s="32"/>
      <c r="AA3" s="33"/>
      <c r="AB3" s="34"/>
    </row>
    <row r="4">
      <c r="A4" s="35" t="s">
        <v>3</v>
      </c>
      <c r="B4" s="22" t="s">
        <v>4</v>
      </c>
      <c r="C4" s="21" t="s">
        <v>5</v>
      </c>
      <c r="D4" s="21" t="s">
        <v>6</v>
      </c>
      <c r="E4" s="21" t="s">
        <v>7</v>
      </c>
      <c r="F4" s="21" t="s">
        <v>8</v>
      </c>
      <c r="G4" s="21" t="s">
        <v>9</v>
      </c>
      <c r="H4" s="21" t="s">
        <v>10</v>
      </c>
      <c r="I4" s="35" t="s">
        <v>11</v>
      </c>
      <c r="J4" s="36" t="s">
        <v>12</v>
      </c>
      <c r="K4" s="35" t="s">
        <v>13</v>
      </c>
      <c r="L4" s="35" t="s">
        <v>14</v>
      </c>
      <c r="M4" s="35" t="s">
        <v>15</v>
      </c>
      <c r="N4" s="24" t="s">
        <v>16</v>
      </c>
      <c r="O4" s="25" t="str">
        <f>CONCATENATE("Scripts Submitted as on ", TEXT(TODAY()-1,"dd-mmm-yyyy"))</f>
        <v>Scripts Submitted as on 25-May-2026</v>
      </c>
      <c r="P4" s="26" t="str">
        <f>CONCATENATE("Scripts Submitted WC as on ", TEXT(TODAY()-1,"dd-mmm-yyyy"))</f>
        <v>Scripts Submitted WC as on 25-May-2026</v>
      </c>
      <c r="Q4" s="27" t="s">
        <v>17</v>
      </c>
      <c r="R4" s="28" t="s">
        <v>18</v>
      </c>
      <c r="S4" s="29" t="s">
        <v>16</v>
      </c>
      <c r="T4" s="29" t="s">
        <v>19</v>
      </c>
      <c r="U4" s="29" t="s">
        <v>20</v>
      </c>
      <c r="V4" s="30" t="s">
        <v>18</v>
      </c>
      <c r="W4" s="31" t="s">
        <v>16</v>
      </c>
      <c r="X4" s="31" t="s">
        <v>21</v>
      </c>
      <c r="Y4" s="31" t="s">
        <v>17</v>
      </c>
      <c r="Z4" s="32" t="s">
        <v>18</v>
      </c>
      <c r="AA4" s="37" t="s">
        <v>22</v>
      </c>
      <c r="AB4" s="37" t="s">
        <v>23</v>
      </c>
    </row>
    <row r="5">
      <c r="A5" s="38" t="s">
        <v>24</v>
      </c>
      <c r="B5" s="3" t="s">
        <v>25</v>
      </c>
      <c r="C5" s="2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/>
      <c r="I5" s="4">
        <f>SUMIFS('Weekly Dump'!D:D,'Weekly Dump'!B:B,C5)</f>
        <v>1040</v>
      </c>
      <c r="J5" s="5">
        <f>SUMIFS('Weekly Dump'!AE:AE,'Weekly Dump'!B:B,C5)</f>
        <v>170.8347222</v>
      </c>
      <c r="K5" s="4">
        <f>SUMPRODUCT(
  (TEXT('Weekly Dump'!$A$2:$A1009,"mmm-yy")=TEXT($AB5,"mmm-yy"))*
  ('Weekly Dump'!$B$2:$B1009=$C5)*
  'Weekly Dump'!$D$2:$D1009)</f>
        <v>40</v>
      </c>
      <c r="L5" s="4">
        <f>SUMPRODUCT(
  (TEXT('Weekly Dump'!$A$2:$A1009,"mmm-yy")=TEXT($AB5,"mmm-yy"))*
  ('Weekly Dump'!$B$2:$B1009=$C5)*
  'Weekly Dump'!$E$2:$E1009
)</f>
        <v>123</v>
      </c>
      <c r="M5" s="4">
        <f>SUMPRODUCT(
  (TEXT('Weekly Dump'!$A$2:$A1009,"mmm-yy")=TEXT($AB5,"mmm-yy"))*
  ('Weekly Dump'!$B$2:$B1009=$C5)*
  'Weekly Dump'!$P$2:$P1009
)</f>
        <v>93</v>
      </c>
      <c r="N5" s="39">
        <v>18.0</v>
      </c>
      <c r="O5" s="40">
        <f>SUMIFS('Weekly Dump'!$D:$D,'Weekly Dump'!$B:$B,$C5,'Weekly Dump'!$A:$A,$AB5)</f>
        <v>18</v>
      </c>
      <c r="P5" s="40">
        <f>SUMIFS('Weekly Dump'!R:R,'Weekly Dump'!B:B,C5,'Weekly Dump'!A:A,AB5)</f>
        <v>41129</v>
      </c>
      <c r="Q5" s="40">
        <f t="shared" ref="Q5:Q42" si="1">O5-N5</f>
        <v>0</v>
      </c>
      <c r="R5" s="41"/>
      <c r="S5" s="3">
        <f>IFERROR(VLOOKUP(C5,Sheet9!$C$10:$E$25,3,0),"")</f>
        <v>42</v>
      </c>
      <c r="T5" s="4">
        <f>SUMIFS('Weekly Dump'!E:E,'Weekly Dump'!B:B,C5,'Weekly Dump'!A:A,AB5)</f>
        <v>28</v>
      </c>
      <c r="U5" s="3">
        <f t="shared" ref="U5:U42" si="2">S5-T5</f>
        <v>14</v>
      </c>
      <c r="V5" s="42"/>
      <c r="W5" s="43">
        <v>30.0</v>
      </c>
      <c r="X5" s="4">
        <f>SUMIFS('Weekly Dump'!P:P,'Weekly Dump'!B:B,C5,'Weekly Dump'!A:A,AB5)</f>
        <v>36</v>
      </c>
      <c r="Y5" s="4">
        <f t="shared" ref="Y5:Y42" si="3">W5-X5</f>
        <v>-6</v>
      </c>
      <c r="Z5" s="41"/>
      <c r="AA5" s="12" t="str">
        <f>iferror(IF(VLOOKUP(C5,'Weekly Dump'!B:B,1,0)=C5,"Yes","Missing"),"")</f>
        <v>Yes</v>
      </c>
      <c r="AB5" s="44">
        <v>46146.0</v>
      </c>
    </row>
    <row r="6">
      <c r="A6" s="38" t="s">
        <v>24</v>
      </c>
      <c r="B6" s="3" t="s">
        <v>31</v>
      </c>
      <c r="C6" s="2" t="s">
        <v>32</v>
      </c>
      <c r="D6" s="3" t="s">
        <v>33</v>
      </c>
      <c r="E6" s="3" t="s">
        <v>28</v>
      </c>
      <c r="F6" s="3" t="s">
        <v>34</v>
      </c>
      <c r="G6" s="3" t="s">
        <v>35</v>
      </c>
      <c r="I6" s="4">
        <f>SUMIFS('Weekly Dump'!D:D,'Weekly Dump'!B:B,C6)</f>
        <v>854</v>
      </c>
      <c r="J6" s="5">
        <f>SUMIFS('Weekly Dump'!AE:AE,'Weekly Dump'!B:B,C6)</f>
        <v>189.9819444</v>
      </c>
      <c r="K6" s="4">
        <f>SUMPRODUCT(
  (TEXT('Weekly Dump'!$A$2:$A1009,"mmm-yy")=TEXT($AB6,"mmm-yy"))*
  ('Weekly Dump'!$B$2:$B1009=$C6)*
  'Weekly Dump'!$D$2:$D1009)</f>
        <v>52</v>
      </c>
      <c r="L6" s="4">
        <f>SUMPRODUCT(
  (TEXT('Weekly Dump'!$A$2:$A1009,"mmm-yy")=TEXT($AB6,"mmm-yy"))*
  ('Weekly Dump'!$B$2:$B1009=$C6)*
  'Weekly Dump'!$E$2:$E1009
)</f>
        <v>60</v>
      </c>
      <c r="M6" s="4">
        <f>SUMPRODUCT(
  (TEXT('Weekly Dump'!$A$2:$A1009,"mmm-yy")=TEXT($AB6,"mmm-yy"))*
  ('Weekly Dump'!$B$2:$B1009=$C6)*
  'Weekly Dump'!$P$2:$P1009
)</f>
        <v>65</v>
      </c>
      <c r="N6" s="39">
        <v>15.0</v>
      </c>
      <c r="O6" s="40">
        <f>SUMIFS('Weekly Dump'!$D:$D,'Weekly Dump'!$B:$B,$C6,'Weekly Dump'!$A:$A,$AB6)</f>
        <v>15</v>
      </c>
      <c r="P6" s="40">
        <f>SUMIFS('Weekly Dump'!R:R,'Weekly Dump'!B:B,C6,'Weekly Dump'!A:A,AB6)</f>
        <v>35933</v>
      </c>
      <c r="Q6" s="40">
        <f t="shared" si="1"/>
        <v>0</v>
      </c>
      <c r="R6" s="41"/>
      <c r="S6" s="3">
        <f>IFERROR(VLOOKUP(C6,Sheet9!$C$10:$E$25,3,0),"")</f>
        <v>24</v>
      </c>
      <c r="T6" s="4">
        <f>SUMIFS('Weekly Dump'!E:E,'Weekly Dump'!B:B,C6,'Weekly Dump'!A:A,AB6)</f>
        <v>20</v>
      </c>
      <c r="U6" s="3">
        <f t="shared" si="2"/>
        <v>4</v>
      </c>
      <c r="V6" s="42"/>
      <c r="W6" s="43">
        <v>22.0</v>
      </c>
      <c r="X6" s="4">
        <f>SUMIFS('Weekly Dump'!P:P,'Weekly Dump'!B:B,C6,'Weekly Dump'!A:A,AB6)</f>
        <v>24</v>
      </c>
      <c r="Y6" s="4">
        <f t="shared" si="3"/>
        <v>-2</v>
      </c>
      <c r="Z6" s="41"/>
      <c r="AA6" s="12" t="str">
        <f>iferror(IF(VLOOKUP(C6,'Weekly Dump'!B:B,1,0)=C6,"Yes","Missing"),"")</f>
        <v>Yes</v>
      </c>
      <c r="AB6" s="44">
        <v>46146.0</v>
      </c>
    </row>
    <row r="7">
      <c r="A7" s="38" t="s">
        <v>24</v>
      </c>
      <c r="B7" s="3" t="s">
        <v>36</v>
      </c>
      <c r="C7" s="2" t="s">
        <v>37</v>
      </c>
      <c r="D7" s="3" t="s">
        <v>38</v>
      </c>
      <c r="E7" s="3" t="s">
        <v>28</v>
      </c>
      <c r="F7" s="3" t="s">
        <v>34</v>
      </c>
      <c r="G7" s="3" t="s">
        <v>39</v>
      </c>
      <c r="I7" s="4">
        <f>SUMIFS('Weekly Dump'!D:D,'Weekly Dump'!B:B,C7)</f>
        <v>268</v>
      </c>
      <c r="J7" s="5">
        <f>SUMIFS('Weekly Dump'!AE:AE,'Weekly Dump'!B:B,C7)</f>
        <v>61.42138889</v>
      </c>
      <c r="K7" s="4">
        <f>SUMPRODUCT(
  (TEXT('Weekly Dump'!$A$2:$A1009,"mmm-yy")=TEXT($AB7,"mmm-yy"))*
  ('Weekly Dump'!$B$2:$B1009=$C7)*
  'Weekly Dump'!$D$2:$D1009)</f>
        <v>57</v>
      </c>
      <c r="L7" s="4">
        <f>SUMPRODUCT(
  (TEXT('Weekly Dump'!$A$2:$A1009,"mmm-yy")=TEXT($AB7,"mmm-yy"))*
  ('Weekly Dump'!$B$2:$B1009=$C7)*
  'Weekly Dump'!$E$2:$E1009
)</f>
        <v>48</v>
      </c>
      <c r="M7" s="4">
        <f>SUMPRODUCT(
  (TEXT('Weekly Dump'!$A$2:$A1009,"mmm-yy")=TEXT($AB7,"mmm-yy"))*
  ('Weekly Dump'!$B$2:$B1009=$C7)*
  'Weekly Dump'!$P$2:$P1009
)</f>
        <v>45</v>
      </c>
      <c r="N7" s="39">
        <v>12.0</v>
      </c>
      <c r="O7" s="40">
        <f>SUMIFS('Weekly Dump'!$D:$D,'Weekly Dump'!$B:$B,$C7,'Weekly Dump'!$A:$A,$AB7)</f>
        <v>12</v>
      </c>
      <c r="P7" s="40">
        <f>SUMIFS('Weekly Dump'!R:R,'Weekly Dump'!B:B,C7,'Weekly Dump'!A:A,AB7)</f>
        <v>28878</v>
      </c>
      <c r="Q7" s="40">
        <f t="shared" si="1"/>
        <v>0</v>
      </c>
      <c r="R7" s="41"/>
      <c r="S7" s="3">
        <f>IFERROR(VLOOKUP(C7,Sheet9!$C$10:$E$25,3,0),"")</f>
        <v>16</v>
      </c>
      <c r="T7" s="4">
        <f>SUMIFS('Weekly Dump'!E:E,'Weekly Dump'!B:B,C7,'Weekly Dump'!A:A,AB7)</f>
        <v>13</v>
      </c>
      <c r="U7" s="3">
        <f t="shared" si="2"/>
        <v>3</v>
      </c>
      <c r="V7" s="42"/>
      <c r="W7" s="43">
        <v>15.0</v>
      </c>
      <c r="X7" s="4">
        <f>SUMIFS('Weekly Dump'!P:P,'Weekly Dump'!B:B,C7,'Weekly Dump'!A:A,AB7)</f>
        <v>17</v>
      </c>
      <c r="Y7" s="4">
        <f t="shared" si="3"/>
        <v>-2</v>
      </c>
      <c r="Z7" s="41"/>
      <c r="AA7" s="12" t="str">
        <f>iferror(IF(VLOOKUP(C7,'Weekly Dump'!B:B,1,0)=C7,"Yes","Missing"),"")</f>
        <v>Yes</v>
      </c>
      <c r="AB7" s="44">
        <v>46146.0</v>
      </c>
    </row>
    <row r="8">
      <c r="A8" s="38" t="s">
        <v>24</v>
      </c>
      <c r="B8" s="3" t="s">
        <v>40</v>
      </c>
      <c r="C8" s="2" t="s">
        <v>41</v>
      </c>
      <c r="D8" s="3" t="s">
        <v>42</v>
      </c>
      <c r="E8" s="3"/>
      <c r="F8" s="3" t="s">
        <v>43</v>
      </c>
      <c r="G8" s="3" t="s">
        <v>44</v>
      </c>
      <c r="I8" s="4">
        <f>SUMIFS('Weekly Dump'!D:D,'Weekly Dump'!B:B,C8)</f>
        <v>132</v>
      </c>
      <c r="J8" s="5">
        <f>SUMIFS('Weekly Dump'!AE:AE,'Weekly Dump'!B:B,C8)</f>
        <v>247.0944444</v>
      </c>
      <c r="K8" s="4">
        <f>SUMPRODUCT(
  (TEXT('Weekly Dump'!$A$2:$A1009,"mmm-yy")=TEXT($AB8,"mmm-yy"))*
  ('Weekly Dump'!$B$2:$B1009=$C8)*
  'Weekly Dump'!$D$2:$D1009)</f>
        <v>75</v>
      </c>
      <c r="L8" s="4">
        <f>SUMPRODUCT(
  (TEXT('Weekly Dump'!$A$2:$A1009,"mmm-yy")=TEXT($AB8,"mmm-yy"))*
  ('Weekly Dump'!$B$2:$B1009=$C8)*
  'Weekly Dump'!$E$2:$E1009
)</f>
        <v>74</v>
      </c>
      <c r="M8" s="4">
        <f>SUMPRODUCT(
  (TEXT('Weekly Dump'!$A$2:$A1009,"mmm-yy")=TEXT($AB8,"mmm-yy"))*
  ('Weekly Dump'!$B$2:$B1009=$C8)*
  'Weekly Dump'!$P$2:$P1009
)</f>
        <v>65</v>
      </c>
      <c r="N8" s="39">
        <v>20.0</v>
      </c>
      <c r="O8" s="40">
        <f>SUMIFS('Weekly Dump'!$D:$D,'Weekly Dump'!$B:$B,$C8,'Weekly Dump'!$A:$A,$AB8)</f>
        <v>18</v>
      </c>
      <c r="P8" s="40">
        <f>SUMIFS('Weekly Dump'!R:R,'Weekly Dump'!B:B,C8,'Weekly Dump'!A:A,AB8)</f>
        <v>45583</v>
      </c>
      <c r="Q8" s="40">
        <f t="shared" si="1"/>
        <v>-2</v>
      </c>
      <c r="R8" s="41"/>
      <c r="S8" s="3" t="str">
        <f>IFERROR(VLOOKUP(C8,Sheet9!$C$10:$E$25,3,0),"")</f>
        <v/>
      </c>
      <c r="T8" s="4">
        <f>SUMIFS('Weekly Dump'!E:E,'Weekly Dump'!B:B,C8,'Weekly Dump'!A:A,AB8)</f>
        <v>22</v>
      </c>
      <c r="U8" s="3">
        <f t="shared" si="2"/>
        <v>-22</v>
      </c>
      <c r="V8" s="42"/>
      <c r="W8" s="43">
        <v>15.0</v>
      </c>
      <c r="X8" s="4">
        <f>SUMIFS('Weekly Dump'!P:P,'Weekly Dump'!B:B,C8,'Weekly Dump'!A:A,AB8)</f>
        <v>15</v>
      </c>
      <c r="Y8" s="4">
        <f t="shared" si="3"/>
        <v>0</v>
      </c>
      <c r="Z8" s="41"/>
      <c r="AA8" s="12" t="str">
        <f>iferror(IF(VLOOKUP(C8,'Weekly Dump'!B:B,1,0)=C8,"Yes","Missing"),"")</f>
        <v>Yes</v>
      </c>
      <c r="AB8" s="44">
        <v>46146.0</v>
      </c>
    </row>
    <row r="9">
      <c r="A9" s="38" t="s">
        <v>24</v>
      </c>
      <c r="B9" s="3" t="s">
        <v>45</v>
      </c>
      <c r="C9" s="2" t="s">
        <v>46</v>
      </c>
      <c r="D9" s="3" t="s">
        <v>47</v>
      </c>
      <c r="E9" s="3" t="s">
        <v>48</v>
      </c>
      <c r="F9" s="3" t="s">
        <v>29</v>
      </c>
      <c r="G9" s="3" t="s">
        <v>49</v>
      </c>
      <c r="I9" s="4">
        <f>SUMIFS('Weekly Dump'!D:D,'Weekly Dump'!B:B,C9)</f>
        <v>12</v>
      </c>
      <c r="J9" s="5">
        <f>SUMIFS('Weekly Dump'!AE:AE,'Weekly Dump'!B:B,C9)</f>
        <v>91.65555556</v>
      </c>
      <c r="K9" s="4">
        <f>SUMPRODUCT(
  (TEXT('Weekly Dump'!$A$2:$A1009,"mmm-yy")=TEXT($AB9,"mmm-yy"))*
  ('Weekly Dump'!$B$2:$B1009=$C9)*
  'Weekly Dump'!$D$2:$D1009)</f>
        <v>0</v>
      </c>
      <c r="L9" s="4">
        <f>SUMPRODUCT(
  (TEXT('Weekly Dump'!$A$2:$A1009,"mmm-yy")=TEXT($AB9,"mmm-yy"))*
  ('Weekly Dump'!$B$2:$B1009=$C9)*
  'Weekly Dump'!$E$2:$E1009
)</f>
        <v>0</v>
      </c>
      <c r="M9" s="4">
        <f>SUMPRODUCT(
  (TEXT('Weekly Dump'!$A$2:$A1009,"mmm-yy")=TEXT($AB9,"mmm-yy"))*
  ('Weekly Dump'!$B$2:$B1009=$C9)*
  'Weekly Dump'!$P$2:$P1009
)</f>
        <v>0</v>
      </c>
      <c r="N9" s="39"/>
      <c r="O9" s="40">
        <f>SUMIFS('Weekly Dump'!$D:$D,'Weekly Dump'!$B:$B,$C9,'Weekly Dump'!$A:$A,$AB9)</f>
        <v>0</v>
      </c>
      <c r="P9" s="40">
        <f>SUMIFS('Weekly Dump'!R:R,'Weekly Dump'!B:B,C9,'Weekly Dump'!A:A,AB9)</f>
        <v>0</v>
      </c>
      <c r="Q9" s="40">
        <f t="shared" si="1"/>
        <v>0</v>
      </c>
      <c r="R9" s="41"/>
      <c r="S9" s="3" t="str">
        <f>IFERROR(VLOOKUP(C9,Sheet9!$C$10:$E$25,3,0),"")</f>
        <v/>
      </c>
      <c r="T9" s="4">
        <f>SUMIFS('Weekly Dump'!E:E,'Weekly Dump'!B:B,C9,'Weekly Dump'!A:A,AB9)</f>
        <v>0</v>
      </c>
      <c r="U9" s="3">
        <f t="shared" si="2"/>
        <v>0</v>
      </c>
      <c r="V9" s="42"/>
      <c r="W9" s="43"/>
      <c r="X9" s="4">
        <f>SUMIFS('Weekly Dump'!P:P,'Weekly Dump'!B:B,C9,'Weekly Dump'!A:A,AB9)</f>
        <v>0</v>
      </c>
      <c r="Y9" s="4">
        <f t="shared" si="3"/>
        <v>0</v>
      </c>
      <c r="Z9" s="41"/>
      <c r="AA9" s="12" t="str">
        <f>iferror(IF(VLOOKUP(C9,'Weekly Dump'!B:B,1,0)=C9,"Yes","Missing"),"")</f>
        <v>Yes</v>
      </c>
      <c r="AB9" s="44">
        <v>46146.0</v>
      </c>
    </row>
    <row r="10">
      <c r="A10" s="38" t="s">
        <v>24</v>
      </c>
      <c r="B10" s="2" t="s">
        <v>50</v>
      </c>
      <c r="C10" s="2"/>
      <c r="D10" s="3" t="s">
        <v>51</v>
      </c>
      <c r="E10" s="38" t="s">
        <v>48</v>
      </c>
      <c r="F10" s="3" t="s">
        <v>29</v>
      </c>
      <c r="G10" s="3" t="s">
        <v>52</v>
      </c>
      <c r="I10" s="4">
        <f>SUMIFS('Weekly Dump'!D:D,'Weekly Dump'!B:B,C10)</f>
        <v>0</v>
      </c>
      <c r="J10" s="5">
        <f>SUMIFS('Weekly Dump'!AE:AE,'Weekly Dump'!B:B,C10)</f>
        <v>0</v>
      </c>
      <c r="K10" s="4">
        <f>SUMPRODUCT(
  (TEXT('Weekly Dump'!$A$2:$A1009,"mmm-yy")=TEXT($AB10,"mmm-yy"))*
  ('Weekly Dump'!$B$2:$B1009=$C10)*
  'Weekly Dump'!$D$2:$D1009)</f>
        <v>0</v>
      </c>
      <c r="L10" s="4">
        <f>SUMPRODUCT(
  (TEXT('Weekly Dump'!$A$2:$A1009,"mmm-yy")=TEXT($AB10,"mmm-yy"))*
  ('Weekly Dump'!$B$2:$B1009=$C10)*
  'Weekly Dump'!$E$2:$E1009
)</f>
        <v>0</v>
      </c>
      <c r="M10" s="4">
        <f>SUMPRODUCT(
  (TEXT('Weekly Dump'!$A$2:$A1009,"mmm-yy")=TEXT($AB10,"mmm-yy"))*
  ('Weekly Dump'!$B$2:$B1009=$C10)*
  'Weekly Dump'!$P$2:$P1009
)</f>
        <v>0</v>
      </c>
      <c r="N10" s="39"/>
      <c r="O10" s="40">
        <f>SUMIFS('Weekly Dump'!$D:$D,'Weekly Dump'!$B:$B,$C10,'Weekly Dump'!$A:$A,$AB10)</f>
        <v>0</v>
      </c>
      <c r="P10" s="40">
        <f>SUMIFS('Weekly Dump'!R:R,'Weekly Dump'!B:B,C10,'Weekly Dump'!A:A,AB10)</f>
        <v>0</v>
      </c>
      <c r="Q10" s="40">
        <f t="shared" si="1"/>
        <v>0</v>
      </c>
      <c r="R10" s="41"/>
      <c r="S10" s="3" t="str">
        <f>IFERROR(VLOOKUP(C10,Sheet9!$C$10:$E$25,3,0),"")</f>
        <v/>
      </c>
      <c r="T10" s="4">
        <f>SUMIFS('Weekly Dump'!E:E,'Weekly Dump'!B:B,C10,'Weekly Dump'!A:A,AB10)</f>
        <v>0</v>
      </c>
      <c r="U10" s="3">
        <f t="shared" si="2"/>
        <v>0</v>
      </c>
      <c r="V10" s="42"/>
      <c r="W10" s="43"/>
      <c r="X10" s="4">
        <f>SUMIFS('Weekly Dump'!P:P,'Weekly Dump'!B:B,C10,'Weekly Dump'!A:A,AB10)</f>
        <v>0</v>
      </c>
      <c r="Y10" s="4">
        <f t="shared" si="3"/>
        <v>0</v>
      </c>
      <c r="Z10" s="41"/>
      <c r="AA10" s="12" t="str">
        <f>iferror(IF(VLOOKUP(C10,'Weekly Dump'!B:B,1,0)=C10,"Yes","Missing"),"")</f>
        <v/>
      </c>
      <c r="AB10" s="44">
        <v>46146.0</v>
      </c>
    </row>
    <row r="11">
      <c r="A11" s="38" t="s">
        <v>24</v>
      </c>
      <c r="B11" s="2" t="s">
        <v>53</v>
      </c>
      <c r="C11" s="2"/>
      <c r="D11" s="3" t="s">
        <v>54</v>
      </c>
      <c r="E11" s="38" t="s">
        <v>48</v>
      </c>
      <c r="F11" s="3" t="s">
        <v>34</v>
      </c>
      <c r="G11" s="3" t="s">
        <v>55</v>
      </c>
      <c r="I11" s="4">
        <f>SUMIFS('Weekly Dump'!D:D,'Weekly Dump'!B:B,C11)</f>
        <v>0</v>
      </c>
      <c r="J11" s="5">
        <f>SUMIFS('Weekly Dump'!AE:AE,'Weekly Dump'!B:B,C11)</f>
        <v>0</v>
      </c>
      <c r="K11" s="4">
        <f>SUMPRODUCT(
  (TEXT('Weekly Dump'!$A$2:$A1009,"mmm-yy")=TEXT($AB11,"mmm-yy"))*
  ('Weekly Dump'!$B$2:$B1009=$C11)*
  'Weekly Dump'!$D$2:$D1009)</f>
        <v>0</v>
      </c>
      <c r="L11" s="4">
        <f>SUMPRODUCT(
  (TEXT('Weekly Dump'!$A$2:$A1009,"mmm-yy")=TEXT($AB11,"mmm-yy"))*
  ('Weekly Dump'!$B$2:$B1009=$C11)*
  'Weekly Dump'!$E$2:$E1009
)</f>
        <v>0</v>
      </c>
      <c r="M11" s="4">
        <f>SUMPRODUCT(
  (TEXT('Weekly Dump'!$A$2:$A1009,"mmm-yy")=TEXT($AB11,"mmm-yy"))*
  ('Weekly Dump'!$B$2:$B1009=$C11)*
  'Weekly Dump'!$P$2:$P1009
)</f>
        <v>0</v>
      </c>
      <c r="N11" s="39"/>
      <c r="O11" s="40">
        <f>SUMIFS('Weekly Dump'!$D:$D,'Weekly Dump'!$B:$B,$C11,'Weekly Dump'!$A:$A,$AB11)</f>
        <v>0</v>
      </c>
      <c r="P11" s="40">
        <f>SUMIFS('Weekly Dump'!R:R,'Weekly Dump'!B:B,C11,'Weekly Dump'!A:A,AB11)</f>
        <v>0</v>
      </c>
      <c r="Q11" s="40">
        <f t="shared" si="1"/>
        <v>0</v>
      </c>
      <c r="R11" s="41"/>
      <c r="S11" s="3" t="str">
        <f>IFERROR(VLOOKUP(C11,Sheet9!$C$10:$E$25,3,0),"")</f>
        <v/>
      </c>
      <c r="T11" s="4">
        <f>SUMIFS('Weekly Dump'!E:E,'Weekly Dump'!B:B,C11,'Weekly Dump'!A:A,AB11)</f>
        <v>0</v>
      </c>
      <c r="U11" s="3">
        <f t="shared" si="2"/>
        <v>0</v>
      </c>
      <c r="V11" s="42"/>
      <c r="W11" s="43"/>
      <c r="X11" s="4">
        <f>SUMIFS('Weekly Dump'!P:P,'Weekly Dump'!B:B,C11,'Weekly Dump'!A:A,AB11)</f>
        <v>0</v>
      </c>
      <c r="Y11" s="4">
        <f t="shared" si="3"/>
        <v>0</v>
      </c>
      <c r="Z11" s="41"/>
      <c r="AA11" s="12" t="str">
        <f>iferror(IF(VLOOKUP(C11,'Weekly Dump'!B:B,1,0)=C11,"Yes","Missing"),"")</f>
        <v/>
      </c>
      <c r="AB11" s="44">
        <v>46146.0</v>
      </c>
    </row>
    <row r="12">
      <c r="A12" s="38" t="s">
        <v>24</v>
      </c>
      <c r="B12" s="3"/>
      <c r="C12" s="2" t="s">
        <v>56</v>
      </c>
      <c r="D12" s="3" t="s">
        <v>57</v>
      </c>
      <c r="E12" s="3" t="s">
        <v>28</v>
      </c>
      <c r="F12" s="3" t="s">
        <v>29</v>
      </c>
      <c r="G12" s="3" t="s">
        <v>58</v>
      </c>
      <c r="I12" s="4">
        <f>SUMIFS('Weekly Dump'!D:D,'Weekly Dump'!B:B,C12)</f>
        <v>339</v>
      </c>
      <c r="J12" s="5">
        <f>SUMIFS('Weekly Dump'!AE:AE,'Weekly Dump'!B:B,C12)</f>
        <v>56.65111111</v>
      </c>
      <c r="K12" s="4">
        <f>SUMPRODUCT(
  (TEXT('Weekly Dump'!$A$2:$A1009,"mmm-yy")=TEXT($AB12,"mmm-yy"))*
  ('Weekly Dump'!$B$2:$B1009=$C12)*
  'Weekly Dump'!$D$2:$D1009)</f>
        <v>145</v>
      </c>
      <c r="L12" s="4">
        <f>SUMPRODUCT(
  (TEXT('Weekly Dump'!$A$2:$A1009,"mmm-yy")=TEXT($AB12,"mmm-yy"))*
  ('Weekly Dump'!$B$2:$B1009=$C12)*
  'Weekly Dump'!$E$2:$E1009
)</f>
        <v>139</v>
      </c>
      <c r="M12" s="4">
        <f>SUMPRODUCT(
  (TEXT('Weekly Dump'!$A$2:$A1009,"mmm-yy")=TEXT($AB12,"mmm-yy"))*
  ('Weekly Dump'!$B$2:$B1009=$C12)*
  'Weekly Dump'!$P$2:$P1009
)</f>
        <v>97</v>
      </c>
      <c r="N12" s="39">
        <v>40.0</v>
      </c>
      <c r="O12" s="40">
        <f>SUMIFS('Weekly Dump'!$D:$D,'Weekly Dump'!$B:$B,$C12,'Weekly Dump'!$A:$A,$AB12)</f>
        <v>30</v>
      </c>
      <c r="P12" s="40">
        <f>SUMIFS('Weekly Dump'!R:R,'Weekly Dump'!B:B,C12,'Weekly Dump'!A:A,AB12)</f>
        <v>65086</v>
      </c>
      <c r="Q12" s="40">
        <f t="shared" si="1"/>
        <v>-10</v>
      </c>
      <c r="R12" s="41"/>
      <c r="S12" s="3">
        <f>IFERROR(VLOOKUP(C12,Sheet9!$C$10:$E$25,3,0),"")</f>
        <v>29</v>
      </c>
      <c r="T12" s="4">
        <f>SUMIFS('Weekly Dump'!E:E,'Weekly Dump'!B:B,C12,'Weekly Dump'!A:A,AB12)</f>
        <v>34</v>
      </c>
      <c r="U12" s="3">
        <f t="shared" si="2"/>
        <v>-5</v>
      </c>
      <c r="V12" s="42"/>
      <c r="W12" s="43">
        <v>32.0</v>
      </c>
      <c r="X12" s="4">
        <f>SUMIFS('Weekly Dump'!P:P,'Weekly Dump'!B:B,C12,'Weekly Dump'!A:A,AB12)</f>
        <v>32</v>
      </c>
      <c r="Y12" s="4">
        <f t="shared" si="3"/>
        <v>0</v>
      </c>
      <c r="Z12" s="41"/>
      <c r="AA12" s="12" t="str">
        <f>iferror(IF(VLOOKUP(C12,'Weekly Dump'!B:B,1,0)=C12,"Yes","Missing"),"")</f>
        <v>Yes</v>
      </c>
      <c r="AB12" s="44">
        <v>46146.0</v>
      </c>
    </row>
    <row r="13">
      <c r="A13" s="38" t="s">
        <v>24</v>
      </c>
      <c r="B13" s="2" t="s">
        <v>59</v>
      </c>
      <c r="C13" s="2"/>
      <c r="D13" s="3" t="s">
        <v>60</v>
      </c>
      <c r="E13" s="38" t="s">
        <v>48</v>
      </c>
      <c r="F13" s="3" t="s">
        <v>29</v>
      </c>
      <c r="G13" s="3" t="s">
        <v>61</v>
      </c>
      <c r="I13" s="4">
        <f>SUMIFS('Weekly Dump'!D:D,'Weekly Dump'!B:B,C13)</f>
        <v>0</v>
      </c>
      <c r="J13" s="5">
        <f>SUMIFS('Weekly Dump'!AE:AE,'Weekly Dump'!B:B,C13)</f>
        <v>0</v>
      </c>
      <c r="K13" s="4">
        <f>SUMPRODUCT(
  (TEXT('Weekly Dump'!$A$2:$A1009,"mmm-yy")=TEXT($AB13,"mmm-yy"))*
  ('Weekly Dump'!$B$2:$B1009=$C13)*
  'Weekly Dump'!$D$2:$D1009)</f>
        <v>0</v>
      </c>
      <c r="L13" s="4">
        <f>SUMPRODUCT(
  (TEXT('Weekly Dump'!$A$2:$A1009,"mmm-yy")=TEXT($AB13,"mmm-yy"))*
  ('Weekly Dump'!$B$2:$B1009=$C13)*
  'Weekly Dump'!$E$2:$E1009
)</f>
        <v>0</v>
      </c>
      <c r="M13" s="4">
        <f>SUMPRODUCT(
  (TEXT('Weekly Dump'!$A$2:$A1009,"mmm-yy")=TEXT($AB13,"mmm-yy"))*
  ('Weekly Dump'!$B$2:$B1009=$C13)*
  'Weekly Dump'!$P$2:$P1009
)</f>
        <v>0</v>
      </c>
      <c r="N13" s="39"/>
      <c r="O13" s="40">
        <f>SUMIFS('Weekly Dump'!$D:$D,'Weekly Dump'!$B:$B,$C13,'Weekly Dump'!$A:$A,$AB13)</f>
        <v>0</v>
      </c>
      <c r="P13" s="40">
        <f>SUMIFS('Weekly Dump'!R:R,'Weekly Dump'!B:B,C13,'Weekly Dump'!A:A,AB13)</f>
        <v>0</v>
      </c>
      <c r="Q13" s="40">
        <f t="shared" si="1"/>
        <v>0</v>
      </c>
      <c r="R13" s="41"/>
      <c r="S13" s="3" t="str">
        <f>IFERROR(VLOOKUP(C13,Sheet9!$C$10:$E$25,3,0),"")</f>
        <v/>
      </c>
      <c r="T13" s="4">
        <f>SUMIFS('Weekly Dump'!E:E,'Weekly Dump'!B:B,C13,'Weekly Dump'!A:A,AB13)</f>
        <v>0</v>
      </c>
      <c r="U13" s="3">
        <f t="shared" si="2"/>
        <v>0</v>
      </c>
      <c r="V13" s="42"/>
      <c r="W13" s="43"/>
      <c r="X13" s="4">
        <f>SUMIFS('Weekly Dump'!P:P,'Weekly Dump'!B:B,C13,'Weekly Dump'!A:A,AB13)</f>
        <v>0</v>
      </c>
      <c r="Y13" s="4">
        <f t="shared" si="3"/>
        <v>0</v>
      </c>
      <c r="Z13" s="41"/>
      <c r="AA13" s="12" t="str">
        <f>iferror(IF(VLOOKUP(C13,'Weekly Dump'!B:B,1,0)=C13,"Yes","Missing"),"")</f>
        <v/>
      </c>
      <c r="AB13" s="44">
        <v>46146.0</v>
      </c>
    </row>
    <row r="14">
      <c r="A14" s="38" t="s">
        <v>24</v>
      </c>
      <c r="B14" s="3"/>
      <c r="C14" s="2" t="s">
        <v>62</v>
      </c>
      <c r="D14" s="3" t="s">
        <v>63</v>
      </c>
      <c r="E14" s="3" t="s">
        <v>28</v>
      </c>
      <c r="F14" s="3" t="s">
        <v>29</v>
      </c>
      <c r="G14" s="3" t="s">
        <v>61</v>
      </c>
      <c r="I14" s="4">
        <f>SUMIFS('Weekly Dump'!D:D,'Weekly Dump'!B:B,C14)</f>
        <v>219</v>
      </c>
      <c r="J14" s="5">
        <f>SUMIFS('Weekly Dump'!AE:AE,'Weekly Dump'!B:B,C14)</f>
        <v>40.93388889</v>
      </c>
      <c r="K14" s="4">
        <f>SUMPRODUCT(
  (TEXT('Weekly Dump'!$A$2:$A1009,"mmm-yy")=TEXT($AB14,"mmm-yy"))*
  ('Weekly Dump'!$B$2:$B1009=$C14)*
  'Weekly Dump'!$D$2:$D1009)</f>
        <v>0</v>
      </c>
      <c r="L14" s="4">
        <f>SUMPRODUCT(
  (TEXT('Weekly Dump'!$A$2:$A1009,"mmm-yy")=TEXT($AB14,"mmm-yy"))*
  ('Weekly Dump'!$B$2:$B1009=$C14)*
  'Weekly Dump'!$E$2:$E1009
)</f>
        <v>16</v>
      </c>
      <c r="M14" s="4">
        <f>SUMPRODUCT(
  (TEXT('Weekly Dump'!$A$2:$A1009,"mmm-yy")=TEXT($AB14,"mmm-yy"))*
  ('Weekly Dump'!$B$2:$B1009=$C14)*
  'Weekly Dump'!$P$2:$P1009
)</f>
        <v>23</v>
      </c>
      <c r="N14" s="39"/>
      <c r="O14" s="40">
        <f>SUMIFS('Weekly Dump'!$D:$D,'Weekly Dump'!$B:$B,$C14,'Weekly Dump'!$A:$A,$AB14)</f>
        <v>0</v>
      </c>
      <c r="P14" s="40">
        <f>SUMIFS('Weekly Dump'!R:R,'Weekly Dump'!B:B,C14,'Weekly Dump'!A:A,AB14)</f>
        <v>0</v>
      </c>
      <c r="Q14" s="40">
        <f t="shared" si="1"/>
        <v>0</v>
      </c>
      <c r="R14" s="41"/>
      <c r="S14" s="3">
        <f>IFERROR(VLOOKUP(C14,Sheet9!$C$10:$E$25,3,0),"")</f>
        <v>15</v>
      </c>
      <c r="T14" s="4">
        <f>SUMIFS('Weekly Dump'!E:E,'Weekly Dump'!B:B,C14,'Weekly Dump'!A:A,AB14)</f>
        <v>0</v>
      </c>
      <c r="U14" s="3">
        <f t="shared" si="2"/>
        <v>15</v>
      </c>
      <c r="V14" s="42"/>
      <c r="W14" s="43">
        <v>12.0</v>
      </c>
      <c r="X14" s="4">
        <f>SUMIFS('Weekly Dump'!P:P,'Weekly Dump'!B:B,C14,'Weekly Dump'!A:A,AB14)</f>
        <v>8</v>
      </c>
      <c r="Y14" s="4">
        <f t="shared" si="3"/>
        <v>4</v>
      </c>
      <c r="Z14" s="41"/>
      <c r="AA14" s="12" t="str">
        <f>iferror(IF(VLOOKUP(C14,'Weekly Dump'!B:B,1,0)=C14,"Yes","Missing"),"")</f>
        <v>Yes</v>
      </c>
      <c r="AB14" s="44">
        <v>46146.0</v>
      </c>
    </row>
    <row r="15">
      <c r="A15" s="38" t="s">
        <v>24</v>
      </c>
      <c r="B15" s="3" t="s">
        <v>64</v>
      </c>
      <c r="C15" s="2" t="s">
        <v>65</v>
      </c>
      <c r="D15" s="3" t="s">
        <v>66</v>
      </c>
      <c r="E15" s="3" t="s">
        <v>28</v>
      </c>
      <c r="F15" s="3" t="s">
        <v>34</v>
      </c>
      <c r="G15" s="3"/>
      <c r="I15" s="4">
        <f>SUMIFS('Weekly Dump'!D:D,'Weekly Dump'!B:B,C15)</f>
        <v>192</v>
      </c>
      <c r="J15" s="5">
        <f>SUMIFS('Weekly Dump'!AE:AE,'Weekly Dump'!B:B,C15)</f>
        <v>27.78333333</v>
      </c>
      <c r="K15" s="4">
        <f>SUMPRODUCT(
  (TEXT('Weekly Dump'!$A$2:$A1009,"mmm-yy")=TEXT($AB15,"mmm-yy"))*
  ('Weekly Dump'!$B$2:$B1009=$C15)*
  'Weekly Dump'!$D$2:$D1009)</f>
        <v>111</v>
      </c>
      <c r="L15" s="4">
        <f>SUMPRODUCT(
  (TEXT('Weekly Dump'!$A$2:$A1009,"mmm-yy")=TEXT($AB15,"mmm-yy"))*
  ('Weekly Dump'!$B$2:$B1009=$C15)*
  'Weekly Dump'!$E$2:$E1009
)</f>
        <v>69</v>
      </c>
      <c r="M15" s="4">
        <f>SUMPRODUCT(
  (TEXT('Weekly Dump'!$A$2:$A1009,"mmm-yy")=TEXT($AB15,"mmm-yy"))*
  ('Weekly Dump'!$B$2:$B1009=$C15)*
  'Weekly Dump'!$P$2:$P1009
)</f>
        <v>51</v>
      </c>
      <c r="N15" s="39">
        <v>10.0</v>
      </c>
      <c r="O15" s="40">
        <f>SUMIFS('Weekly Dump'!$D:$D,'Weekly Dump'!$B:$B,$C15,'Weekly Dump'!$A:$A,$AB15)</f>
        <v>12</v>
      </c>
      <c r="P15" s="40">
        <f>SUMIFS('Weekly Dump'!R:R,'Weekly Dump'!B:B,C15,'Weekly Dump'!A:A,AB15)</f>
        <v>24413</v>
      </c>
      <c r="Q15" s="40">
        <f t="shared" si="1"/>
        <v>2</v>
      </c>
      <c r="R15" s="41"/>
      <c r="S15" s="3">
        <f>IFERROR(VLOOKUP(C15,Sheet9!$C$10:$E$25,3,0),"")</f>
        <v>20</v>
      </c>
      <c r="T15" s="4">
        <f>SUMIFS('Weekly Dump'!E:E,'Weekly Dump'!B:B,C15,'Weekly Dump'!A:A,AB15)</f>
        <v>13</v>
      </c>
      <c r="U15" s="3">
        <f t="shared" si="2"/>
        <v>7</v>
      </c>
      <c r="V15" s="42"/>
      <c r="W15" s="43">
        <v>11.0</v>
      </c>
      <c r="X15" s="4">
        <f>SUMIFS('Weekly Dump'!P:P,'Weekly Dump'!B:B,C15,'Weekly Dump'!A:A,AB15)</f>
        <v>11</v>
      </c>
      <c r="Y15" s="4">
        <f t="shared" si="3"/>
        <v>0</v>
      </c>
      <c r="Z15" s="41"/>
      <c r="AA15" s="12" t="str">
        <f>iferror(IF(VLOOKUP(C15,'Weekly Dump'!B:B,1,0)=C15,"Yes","Missing"),"")</f>
        <v>Yes</v>
      </c>
      <c r="AB15" s="44">
        <v>46146.0</v>
      </c>
    </row>
    <row r="16">
      <c r="A16" s="38" t="s">
        <v>24</v>
      </c>
      <c r="B16" s="2" t="s">
        <v>67</v>
      </c>
      <c r="C16" s="2"/>
      <c r="D16" s="3" t="s">
        <v>68</v>
      </c>
      <c r="E16" s="38" t="s">
        <v>48</v>
      </c>
      <c r="F16" s="3" t="s">
        <v>29</v>
      </c>
      <c r="G16" s="3" t="s">
        <v>69</v>
      </c>
      <c r="I16" s="4">
        <f>SUMIFS('Weekly Dump'!D:D,'Weekly Dump'!B:B,C16)</f>
        <v>0</v>
      </c>
      <c r="J16" s="5">
        <f>SUMIFS('Weekly Dump'!AE:AE,'Weekly Dump'!B:B,C16)</f>
        <v>0</v>
      </c>
      <c r="K16" s="4">
        <f>SUMPRODUCT(
  (TEXT('Weekly Dump'!$A$2:$A1009,"mmm-yy")=TEXT($AB16,"mmm-yy"))*
  ('Weekly Dump'!$B$2:$B1009=$C16)*
  'Weekly Dump'!$D$2:$D1009)</f>
        <v>0</v>
      </c>
      <c r="L16" s="4">
        <f>SUMPRODUCT(
  (TEXT('Weekly Dump'!$A$2:$A1009,"mmm-yy")=TEXT($AB16,"mmm-yy"))*
  ('Weekly Dump'!$B$2:$B1009=$C16)*
  'Weekly Dump'!$E$2:$E1009
)</f>
        <v>0</v>
      </c>
      <c r="M16" s="4">
        <f>SUMPRODUCT(
  (TEXT('Weekly Dump'!$A$2:$A1009,"mmm-yy")=TEXT($AB16,"mmm-yy"))*
  ('Weekly Dump'!$B$2:$B1009=$C16)*
  'Weekly Dump'!$P$2:$P1009
)</f>
        <v>0</v>
      </c>
      <c r="N16" s="39"/>
      <c r="O16" s="40">
        <f>SUMIFS('Weekly Dump'!$D:$D,'Weekly Dump'!$B:$B,$C16,'Weekly Dump'!$A:$A,$AB16)</f>
        <v>0</v>
      </c>
      <c r="P16" s="40">
        <f>SUMIFS('Weekly Dump'!R:R,'Weekly Dump'!B:B,C16,'Weekly Dump'!A:A,AB16)</f>
        <v>0</v>
      </c>
      <c r="Q16" s="40">
        <f t="shared" si="1"/>
        <v>0</v>
      </c>
      <c r="R16" s="41"/>
      <c r="S16" s="3" t="str">
        <f>IFERROR(VLOOKUP(C16,Sheet9!$C$10:$E$25,3,0),"")</f>
        <v/>
      </c>
      <c r="T16" s="4">
        <f>SUMIFS('Weekly Dump'!E:E,'Weekly Dump'!B:B,C16,'Weekly Dump'!A:A,AB16)</f>
        <v>0</v>
      </c>
      <c r="U16" s="3">
        <f t="shared" si="2"/>
        <v>0</v>
      </c>
      <c r="V16" s="42"/>
      <c r="W16" s="43"/>
      <c r="X16" s="4">
        <f>SUMIFS('Weekly Dump'!P:P,'Weekly Dump'!B:B,C16,'Weekly Dump'!A:A,AB16)</f>
        <v>0</v>
      </c>
      <c r="Y16" s="4">
        <f t="shared" si="3"/>
        <v>0</v>
      </c>
      <c r="Z16" s="41"/>
      <c r="AA16" s="12" t="str">
        <f>iferror(IF(VLOOKUP(C16,'Weekly Dump'!B:B,1,0)=C16,"Yes","Missing"),"")</f>
        <v/>
      </c>
      <c r="AB16" s="44">
        <v>46146.0</v>
      </c>
    </row>
    <row r="17">
      <c r="A17" s="38" t="s">
        <v>24</v>
      </c>
      <c r="B17" s="3" t="s">
        <v>70</v>
      </c>
      <c r="C17" s="2" t="s">
        <v>71</v>
      </c>
      <c r="D17" s="3" t="s">
        <v>72</v>
      </c>
      <c r="E17" s="3" t="s">
        <v>28</v>
      </c>
      <c r="F17" s="3" t="s">
        <v>73</v>
      </c>
      <c r="G17" s="3" t="s">
        <v>74</v>
      </c>
      <c r="I17" s="4">
        <f>SUMIFS('Weekly Dump'!D:D,'Weekly Dump'!B:B,C17)</f>
        <v>250</v>
      </c>
      <c r="J17" s="5">
        <f>SUMIFS('Weekly Dump'!AE:AE,'Weekly Dump'!B:B,C17)</f>
        <v>64.17305556</v>
      </c>
      <c r="K17" s="4">
        <f>SUMPRODUCT(
  (TEXT('Weekly Dump'!$A$2:$A1009,"mmm-yy")=TEXT($AB17,"mmm-yy"))*
  ('Weekly Dump'!$B$2:$B1009=$C17)*
  'Weekly Dump'!$D$2:$D1009)</f>
        <v>7</v>
      </c>
      <c r="L17" s="4">
        <f>SUMPRODUCT(
  (TEXT('Weekly Dump'!$A$2:$A1009,"mmm-yy")=TEXT($AB17,"mmm-yy"))*
  ('Weekly Dump'!$B$2:$B1009=$C17)*
  'Weekly Dump'!$E$2:$E1009
)</f>
        <v>2</v>
      </c>
      <c r="M17" s="4">
        <f>SUMPRODUCT(
  (TEXT('Weekly Dump'!$A$2:$A1009,"mmm-yy")=TEXT($AB17,"mmm-yy"))*
  ('Weekly Dump'!$B$2:$B1009=$C17)*
  'Weekly Dump'!$P$2:$P1009
)</f>
        <v>4</v>
      </c>
      <c r="N17" s="39"/>
      <c r="O17" s="40">
        <f>SUMIFS('Weekly Dump'!$D:$D,'Weekly Dump'!$B:$B,$C17,'Weekly Dump'!$A:$A,$AB17)</f>
        <v>1</v>
      </c>
      <c r="P17" s="40">
        <f>SUMIFS('Weekly Dump'!R:R,'Weekly Dump'!B:B,C17,'Weekly Dump'!A:A,AB17)</f>
        <v>2732</v>
      </c>
      <c r="Q17" s="40">
        <f t="shared" si="1"/>
        <v>1</v>
      </c>
      <c r="R17" s="41"/>
      <c r="S17" s="3">
        <f>IFERROR(VLOOKUP(C17,Sheet9!$C$10:$E$25,3,0),"")</f>
        <v>1</v>
      </c>
      <c r="T17" s="4">
        <f>SUMIFS('Weekly Dump'!E:E,'Weekly Dump'!B:B,C17,'Weekly Dump'!A:A,AB17)</f>
        <v>1</v>
      </c>
      <c r="U17" s="3">
        <f t="shared" si="2"/>
        <v>0</v>
      </c>
      <c r="V17" s="42"/>
      <c r="W17" s="43">
        <v>4.0</v>
      </c>
      <c r="X17" s="4">
        <f>SUMIFS('Weekly Dump'!P:P,'Weekly Dump'!B:B,C17,'Weekly Dump'!A:A,AB17)</f>
        <v>3</v>
      </c>
      <c r="Y17" s="4">
        <f t="shared" si="3"/>
        <v>1</v>
      </c>
      <c r="Z17" s="41"/>
      <c r="AA17" s="12" t="str">
        <f>iferror(IF(VLOOKUP(C17,'Weekly Dump'!B:B,1,0)=C17,"Yes","Missing"),"")</f>
        <v>Yes</v>
      </c>
      <c r="AB17" s="44">
        <v>46146.0</v>
      </c>
    </row>
    <row r="18">
      <c r="A18" s="38" t="s">
        <v>24</v>
      </c>
      <c r="B18" s="3" t="s">
        <v>75</v>
      </c>
      <c r="C18" s="2" t="s">
        <v>76</v>
      </c>
      <c r="D18" s="3" t="s">
        <v>77</v>
      </c>
      <c r="E18" s="3" t="s">
        <v>28</v>
      </c>
      <c r="F18" s="3" t="s">
        <v>34</v>
      </c>
      <c r="G18" s="3" t="s">
        <v>78</v>
      </c>
      <c r="I18" s="4">
        <f>SUMIFS('Weekly Dump'!D:D,'Weekly Dump'!B:B,C18)</f>
        <v>1257</v>
      </c>
      <c r="J18" s="5">
        <f>SUMIFS('Weekly Dump'!AE:AE,'Weekly Dump'!B:B,C18)</f>
        <v>209.6044444</v>
      </c>
      <c r="K18" s="4">
        <f>SUMPRODUCT(
  (TEXT('Weekly Dump'!$A$2:$A1009,"mmm-yy")=TEXT($AB18,"mmm-yy"))*
  ('Weekly Dump'!$B$2:$B1009=$C18)*
  'Weekly Dump'!$D$2:$D1009)</f>
        <v>356</v>
      </c>
      <c r="L18" s="4">
        <f>SUMPRODUCT(
  (TEXT('Weekly Dump'!$A$2:$A1009,"mmm-yy")=TEXT($AB18,"mmm-yy"))*
  ('Weekly Dump'!$B$2:$B1009=$C18)*
  'Weekly Dump'!$E$2:$E1009
)</f>
        <v>95</v>
      </c>
      <c r="M18" s="4">
        <f>SUMPRODUCT(
  (TEXT('Weekly Dump'!$A$2:$A1009,"mmm-yy")=TEXT($AB18,"mmm-yy"))*
  ('Weekly Dump'!$B$2:$B1009=$C18)*
  'Weekly Dump'!$P$2:$P1009
)</f>
        <v>70</v>
      </c>
      <c r="N18" s="39">
        <v>18.0</v>
      </c>
      <c r="O18" s="40">
        <f>SUMIFS('Weekly Dump'!$D:$D,'Weekly Dump'!$B:$B,$C18,'Weekly Dump'!$A:$A,$AB18)</f>
        <v>354</v>
      </c>
      <c r="P18" s="40">
        <f>SUMIFS('Weekly Dump'!R:R,'Weekly Dump'!B:B,C18,'Weekly Dump'!A:A,AB18)</f>
        <v>882175</v>
      </c>
      <c r="Q18" s="40">
        <f t="shared" si="1"/>
        <v>336</v>
      </c>
      <c r="R18" s="41"/>
      <c r="S18" s="3">
        <f>IFERROR(VLOOKUP(C18,Sheet9!$C$10:$E$25,3,0),"")</f>
        <v>37</v>
      </c>
      <c r="T18" s="4">
        <f>SUMIFS('Weekly Dump'!E:E,'Weekly Dump'!B:B,C18,'Weekly Dump'!A:A,AB18)</f>
        <v>25</v>
      </c>
      <c r="U18" s="3">
        <f t="shared" si="2"/>
        <v>12</v>
      </c>
      <c r="V18" s="42"/>
      <c r="W18" s="43">
        <v>30.0</v>
      </c>
      <c r="X18" s="4">
        <f>SUMIFS('Weekly Dump'!P:P,'Weekly Dump'!B:B,C18,'Weekly Dump'!A:A,AB18)</f>
        <v>20</v>
      </c>
      <c r="Y18" s="4">
        <f t="shared" si="3"/>
        <v>10</v>
      </c>
      <c r="Z18" s="41"/>
      <c r="AA18" s="12" t="str">
        <f>iferror(IF(VLOOKUP(C18,'Weekly Dump'!B:B,1,0)=C18,"Yes","Missing"),"")</f>
        <v>Yes</v>
      </c>
      <c r="AB18" s="44">
        <v>46146.0</v>
      </c>
    </row>
    <row r="19">
      <c r="A19" s="38" t="s">
        <v>24</v>
      </c>
      <c r="B19" s="3"/>
      <c r="C19" s="2" t="s">
        <v>79</v>
      </c>
      <c r="D19" s="3" t="s">
        <v>80</v>
      </c>
      <c r="E19" s="3" t="s">
        <v>28</v>
      </c>
      <c r="F19" s="3" t="s">
        <v>29</v>
      </c>
      <c r="G19" s="3" t="s">
        <v>58</v>
      </c>
      <c r="I19" s="4">
        <f>SUMIFS('Weekly Dump'!D:D,'Weekly Dump'!B:B,C19)</f>
        <v>230</v>
      </c>
      <c r="J19" s="5">
        <f>SUMIFS('Weekly Dump'!AE:AE,'Weekly Dump'!B:B,C19)</f>
        <v>31.03111111</v>
      </c>
      <c r="K19" s="4">
        <f>SUMPRODUCT(
  (TEXT('Weekly Dump'!$A$2:$A1009,"mmm-yy")=TEXT($AB19,"mmm-yy"))*
  ('Weekly Dump'!$B$2:$B1009=$C19)*
  'Weekly Dump'!$D$2:$D1009)</f>
        <v>115</v>
      </c>
      <c r="L19" s="4">
        <f>SUMPRODUCT(
  (TEXT('Weekly Dump'!$A$2:$A1009,"mmm-yy")=TEXT($AB19,"mmm-yy"))*
  ('Weekly Dump'!$B$2:$B1009=$C19)*
  'Weekly Dump'!$E$2:$E1009
)</f>
        <v>100</v>
      </c>
      <c r="M19" s="4">
        <f>SUMPRODUCT(
  (TEXT('Weekly Dump'!$A$2:$A1009,"mmm-yy")=TEXT($AB19,"mmm-yy"))*
  ('Weekly Dump'!$B$2:$B1009=$C19)*
  'Weekly Dump'!$P$2:$P1009
)</f>
        <v>75</v>
      </c>
      <c r="N19" s="39"/>
      <c r="O19" s="40">
        <f>SUMIFS('Weekly Dump'!$D:$D,'Weekly Dump'!$B:$B,$C19,'Weekly Dump'!$A:$A,$AB19)</f>
        <v>23</v>
      </c>
      <c r="P19" s="40">
        <f>SUMIFS('Weekly Dump'!R:R,'Weekly Dump'!B:B,C19,'Weekly Dump'!A:A,AB19)</f>
        <v>56248</v>
      </c>
      <c r="Q19" s="40">
        <f t="shared" si="1"/>
        <v>23</v>
      </c>
      <c r="R19" s="41"/>
      <c r="S19" s="3">
        <f>IFERROR(VLOOKUP(C19,Sheet9!$C$10:$E$25,3,0),"")</f>
        <v>23</v>
      </c>
      <c r="T19" s="4">
        <f>SUMIFS('Weekly Dump'!E:E,'Weekly Dump'!B:B,C19,'Weekly Dump'!A:A,AB19)</f>
        <v>14</v>
      </c>
      <c r="U19" s="3">
        <f t="shared" si="2"/>
        <v>9</v>
      </c>
      <c r="V19" s="42"/>
      <c r="W19" s="43"/>
      <c r="X19" s="4">
        <f>SUMIFS('Weekly Dump'!P:P,'Weekly Dump'!B:B,C19,'Weekly Dump'!A:A,AB19)</f>
        <v>24</v>
      </c>
      <c r="Y19" s="4">
        <f t="shared" si="3"/>
        <v>-24</v>
      </c>
      <c r="Z19" s="41"/>
      <c r="AA19" s="12" t="str">
        <f>iferror(IF(VLOOKUP(C19,'Weekly Dump'!B:B,1,0)=C19,"Yes","Missing"),"")</f>
        <v>Yes</v>
      </c>
      <c r="AB19" s="44">
        <v>46146.0</v>
      </c>
    </row>
    <row r="20">
      <c r="A20" s="38" t="s">
        <v>24</v>
      </c>
      <c r="B20" s="3"/>
      <c r="C20" s="2" t="s">
        <v>81</v>
      </c>
      <c r="D20" s="3" t="s">
        <v>82</v>
      </c>
      <c r="E20" s="3" t="s">
        <v>48</v>
      </c>
      <c r="F20" s="3" t="s">
        <v>34</v>
      </c>
      <c r="G20" s="3" t="s">
        <v>83</v>
      </c>
      <c r="I20" s="4">
        <f>SUMIFS('Weekly Dump'!D:D,'Weekly Dump'!B:B,C20)</f>
        <v>57</v>
      </c>
      <c r="J20" s="5">
        <f>SUMIFS('Weekly Dump'!AE:AE,'Weekly Dump'!B:B,C20)</f>
        <v>11.64361111</v>
      </c>
      <c r="K20" s="4">
        <f>SUMPRODUCT(
  (TEXT('Weekly Dump'!$A$2:$A1009,"mmm-yy")=TEXT($AB20,"mmm-yy"))*
  ('Weekly Dump'!$B$2:$B1009=$C20)*
  'Weekly Dump'!$D$2:$D1009)</f>
        <v>0</v>
      </c>
      <c r="L20" s="4">
        <f>SUMPRODUCT(
  (TEXT('Weekly Dump'!$A$2:$A1009,"mmm-yy")=TEXT($AB20,"mmm-yy"))*
  ('Weekly Dump'!$B$2:$B1009=$C20)*
  'Weekly Dump'!$E$2:$E1009
)</f>
        <v>0</v>
      </c>
      <c r="M20" s="4">
        <f>SUMPRODUCT(
  (TEXT('Weekly Dump'!$A$2:$A1009,"mmm-yy")=TEXT($AB20,"mmm-yy"))*
  ('Weekly Dump'!$B$2:$B1009=$C20)*
  'Weekly Dump'!$P$2:$P1009
)</f>
        <v>0</v>
      </c>
      <c r="N20" s="39"/>
      <c r="O20" s="40">
        <f>SUMIFS('Weekly Dump'!$D:$D,'Weekly Dump'!$B:$B,$C20,'Weekly Dump'!$A:$A,$AB20)</f>
        <v>0</v>
      </c>
      <c r="P20" s="40">
        <f>SUMIFS('Weekly Dump'!R:R,'Weekly Dump'!B:B,C20,'Weekly Dump'!A:A,AB20)</f>
        <v>0</v>
      </c>
      <c r="Q20" s="40">
        <f t="shared" si="1"/>
        <v>0</v>
      </c>
      <c r="R20" s="41"/>
      <c r="S20" s="3" t="str">
        <f>IFERROR(VLOOKUP(C20,Sheet9!$C$10:$E$25,3,0),"")</f>
        <v/>
      </c>
      <c r="T20" s="4">
        <f>SUMIFS('Weekly Dump'!E:E,'Weekly Dump'!B:B,C20,'Weekly Dump'!A:A,AB20)</f>
        <v>0</v>
      </c>
      <c r="U20" s="3">
        <f t="shared" si="2"/>
        <v>0</v>
      </c>
      <c r="V20" s="42"/>
      <c r="W20" s="43"/>
      <c r="X20" s="4">
        <f>SUMIFS('Weekly Dump'!P:P,'Weekly Dump'!B:B,C20,'Weekly Dump'!A:A,AB20)</f>
        <v>0</v>
      </c>
      <c r="Y20" s="4">
        <f t="shared" si="3"/>
        <v>0</v>
      </c>
      <c r="Z20" s="41"/>
      <c r="AA20" s="12" t="str">
        <f>iferror(IF(VLOOKUP(C20,'Weekly Dump'!B:B,1,0)=C20,"Yes","Missing"),"")</f>
        <v>Yes</v>
      </c>
      <c r="AB20" s="44">
        <v>46146.0</v>
      </c>
    </row>
    <row r="21">
      <c r="A21" s="38" t="s">
        <v>24</v>
      </c>
      <c r="B21" s="3"/>
      <c r="C21" s="2" t="s">
        <v>84</v>
      </c>
      <c r="D21" s="3" t="s">
        <v>85</v>
      </c>
      <c r="E21" s="3" t="s">
        <v>48</v>
      </c>
      <c r="F21" s="3" t="s">
        <v>43</v>
      </c>
      <c r="G21" s="3"/>
      <c r="I21" s="4">
        <f>SUMIFS('Weekly Dump'!D:D,'Weekly Dump'!B:B,C21)</f>
        <v>52</v>
      </c>
      <c r="J21" s="5">
        <f>SUMIFS('Weekly Dump'!AE:AE,'Weekly Dump'!B:B,C21)</f>
        <v>10.99111111</v>
      </c>
      <c r="K21" s="4">
        <f>SUMPRODUCT(
  (TEXT('Weekly Dump'!$A$2:$A1009,"mmm-yy")=TEXT($AB21,"mmm-yy"))*
  ('Weekly Dump'!$B$2:$B1009=$C21)*
  'Weekly Dump'!$D$2:$D1009)</f>
        <v>0</v>
      </c>
      <c r="L21" s="4">
        <f>SUMPRODUCT(
  (TEXT('Weekly Dump'!$A$2:$A1009,"mmm-yy")=TEXT($AB21,"mmm-yy"))*
  ('Weekly Dump'!$B$2:$B1009=$C21)*
  'Weekly Dump'!$E$2:$E1009
)</f>
        <v>0</v>
      </c>
      <c r="M21" s="4">
        <f>SUMPRODUCT(
  (TEXT('Weekly Dump'!$A$2:$A1009,"mmm-yy")=TEXT($AB21,"mmm-yy"))*
  ('Weekly Dump'!$B$2:$B1009=$C21)*
  'Weekly Dump'!$P$2:$P1009
)</f>
        <v>0</v>
      </c>
      <c r="N21" s="39"/>
      <c r="O21" s="40">
        <f>SUMIFS('Weekly Dump'!$D:$D,'Weekly Dump'!$B:$B,$C21,'Weekly Dump'!$A:$A,$AB21)</f>
        <v>0</v>
      </c>
      <c r="P21" s="40">
        <f>SUMIFS('Weekly Dump'!R:R,'Weekly Dump'!B:B,C21,'Weekly Dump'!A:A,AB21)</f>
        <v>0</v>
      </c>
      <c r="Q21" s="40">
        <f t="shared" si="1"/>
        <v>0</v>
      </c>
      <c r="R21" s="41"/>
      <c r="S21" s="3" t="str">
        <f>IFERROR(VLOOKUP(C21,Sheet9!$C$10:$E$25,3,0),"")</f>
        <v/>
      </c>
      <c r="T21" s="4">
        <f>SUMIFS('Weekly Dump'!E:E,'Weekly Dump'!B:B,C21,'Weekly Dump'!A:A,AB21)</f>
        <v>0</v>
      </c>
      <c r="U21" s="3">
        <f t="shared" si="2"/>
        <v>0</v>
      </c>
      <c r="V21" s="42"/>
      <c r="W21" s="43"/>
      <c r="X21" s="4">
        <f>SUMIFS('Weekly Dump'!P:P,'Weekly Dump'!B:B,C21,'Weekly Dump'!A:A,AB21)</f>
        <v>0</v>
      </c>
      <c r="Y21" s="4">
        <f t="shared" si="3"/>
        <v>0</v>
      </c>
      <c r="Z21" s="41"/>
      <c r="AA21" s="12" t="str">
        <f>iferror(IF(VLOOKUP(C21,'Weekly Dump'!B:B,1,0)=C21,"Yes","Missing"),"")</f>
        <v>Yes</v>
      </c>
      <c r="AB21" s="44">
        <v>46146.0</v>
      </c>
    </row>
    <row r="22">
      <c r="A22" s="38" t="s">
        <v>24</v>
      </c>
      <c r="B22" s="2"/>
      <c r="C22" s="45" t="s">
        <v>86</v>
      </c>
      <c r="D22" s="3" t="s">
        <v>87</v>
      </c>
      <c r="E22" s="38" t="s">
        <v>88</v>
      </c>
      <c r="F22" s="3"/>
      <c r="G22" s="3"/>
      <c r="I22" s="4">
        <f>SUMIFS('Weekly Dump'!D:D,'Weekly Dump'!B:B,C22)</f>
        <v>0</v>
      </c>
      <c r="J22" s="5">
        <f>SUMIFS('Weekly Dump'!AE:AE,'Weekly Dump'!B:B,C22)</f>
        <v>0</v>
      </c>
      <c r="K22" s="4">
        <f>SUMPRODUCT(
  (TEXT('Weekly Dump'!$A$2:$A1009,"mmm-yy")=TEXT($AB22,"mmm-yy"))*
  ('Weekly Dump'!$B$2:$B1009=$C22)*
  'Weekly Dump'!$D$2:$D1009)</f>
        <v>0</v>
      </c>
      <c r="L22" s="4">
        <f>SUMPRODUCT(
  (TEXT('Weekly Dump'!$A$2:$A1009,"mmm-yy")=TEXT($AB22,"mmm-yy"))*
  ('Weekly Dump'!$B$2:$B1009=$C22)*
  'Weekly Dump'!$E$2:$E1009
)</f>
        <v>0</v>
      </c>
      <c r="M22" s="4">
        <f>SUMPRODUCT(
  (TEXT('Weekly Dump'!$A$2:$A1009,"mmm-yy")=TEXT($AB22,"mmm-yy"))*
  ('Weekly Dump'!$B$2:$B1009=$C22)*
  'Weekly Dump'!$P$2:$P1009
)</f>
        <v>0</v>
      </c>
      <c r="N22" s="39"/>
      <c r="O22" s="40">
        <f>SUMIFS('Weekly Dump'!$D:$D,'Weekly Dump'!$B:$B,$C22,'Weekly Dump'!$A:$A,$AB22)</f>
        <v>0</v>
      </c>
      <c r="P22" s="40">
        <f>SUMIFS('Weekly Dump'!R:R,'Weekly Dump'!B:B,C22,'Weekly Dump'!A:A,AB22)</f>
        <v>0</v>
      </c>
      <c r="Q22" s="40">
        <f t="shared" si="1"/>
        <v>0</v>
      </c>
      <c r="R22" s="41"/>
      <c r="S22" s="3" t="str">
        <f>IFERROR(VLOOKUP(C22,Sheet9!$C$10:$E$25,3,0),"")</f>
        <v/>
      </c>
      <c r="T22" s="4">
        <f>SUMIFS('Weekly Dump'!E:E,'Weekly Dump'!B:B,C22,'Weekly Dump'!A:A,AB22)</f>
        <v>0</v>
      </c>
      <c r="U22" s="3">
        <f t="shared" si="2"/>
        <v>0</v>
      </c>
      <c r="V22" s="42"/>
      <c r="W22" s="43"/>
      <c r="X22" s="4">
        <f>SUMIFS('Weekly Dump'!P:P,'Weekly Dump'!B:B,C22,'Weekly Dump'!A:A,AB22)</f>
        <v>0</v>
      </c>
      <c r="Y22" s="4">
        <f t="shared" si="3"/>
        <v>0</v>
      </c>
      <c r="Z22" s="41"/>
      <c r="AA22" s="12" t="str">
        <f>iferror(IF(VLOOKUP(C22,'Weekly Dump'!B:B,1,0)=C22,"Yes","Missing"),"")</f>
        <v/>
      </c>
      <c r="AB22" s="44">
        <v>46146.0</v>
      </c>
    </row>
    <row r="23">
      <c r="A23" s="38" t="s">
        <v>24</v>
      </c>
      <c r="B23" s="3"/>
      <c r="C23" s="2" t="s">
        <v>89</v>
      </c>
      <c r="D23" s="3" t="s">
        <v>90</v>
      </c>
      <c r="E23" s="3" t="s">
        <v>28</v>
      </c>
      <c r="F23" s="3"/>
      <c r="G23" s="3"/>
      <c r="I23" s="4">
        <f>SUMIFS('Weekly Dump'!D:D,'Weekly Dump'!B:B,C23)</f>
        <v>90</v>
      </c>
      <c r="J23" s="5">
        <f>SUMIFS('Weekly Dump'!AE:AE,'Weekly Dump'!B:B,C23)</f>
        <v>14.57388889</v>
      </c>
      <c r="K23" s="4">
        <f>SUMPRODUCT(
  (TEXT('Weekly Dump'!$A$2:$A1009,"mmm-yy")=TEXT($AB23,"mmm-yy"))*
  ('Weekly Dump'!$B$2:$B1009=$C23)*
  'Weekly Dump'!$D$2:$D1009)</f>
        <v>43</v>
      </c>
      <c r="L23" s="4">
        <f>SUMPRODUCT(
  (TEXT('Weekly Dump'!$A$2:$A1009,"mmm-yy")=TEXT($AB23,"mmm-yy"))*
  ('Weekly Dump'!$B$2:$B1009=$C23)*
  'Weekly Dump'!$E$2:$E1009
)</f>
        <v>20</v>
      </c>
      <c r="M23" s="4">
        <f>SUMPRODUCT(
  (TEXT('Weekly Dump'!$A$2:$A1009,"mmm-yy")=TEXT($AB23,"mmm-yy"))*
  ('Weekly Dump'!$B$2:$B1009=$C23)*
  'Weekly Dump'!$P$2:$P1009
)</f>
        <v>19</v>
      </c>
      <c r="N23" s="39">
        <v>20.0</v>
      </c>
      <c r="O23" s="40">
        <f>SUMIFS('Weekly Dump'!$D:$D,'Weekly Dump'!$B:$B,$C23,'Weekly Dump'!$A:$A,$AB23)</f>
        <v>19</v>
      </c>
      <c r="P23" s="40">
        <f>SUMIFS('Weekly Dump'!R:R,'Weekly Dump'!B:B,C23,'Weekly Dump'!A:A,AB23)</f>
        <v>41348</v>
      </c>
      <c r="Q23" s="40">
        <f t="shared" si="1"/>
        <v>-1</v>
      </c>
      <c r="R23" s="41"/>
      <c r="S23" s="3" t="str">
        <f>IFERROR(VLOOKUP(C23,Sheet9!$C$10:$E$25,3,0),"")</f>
        <v/>
      </c>
      <c r="T23" s="4">
        <f>SUMIFS('Weekly Dump'!E:E,'Weekly Dump'!B:B,C23,'Weekly Dump'!A:A,AB23)</f>
        <v>0</v>
      </c>
      <c r="U23" s="3">
        <f t="shared" si="2"/>
        <v>0</v>
      </c>
      <c r="V23" s="42"/>
      <c r="W23" s="43"/>
      <c r="X23" s="4">
        <f>SUMIFS('Weekly Dump'!P:P,'Weekly Dump'!B:B,C23,'Weekly Dump'!A:A,AB23)</f>
        <v>0</v>
      </c>
      <c r="Y23" s="4">
        <f t="shared" si="3"/>
        <v>0</v>
      </c>
      <c r="Z23" s="41"/>
      <c r="AA23" s="12" t="str">
        <f>iferror(IF(VLOOKUP(C23,'Weekly Dump'!B:B,1,0)=C23,"Yes","Missing"),"")</f>
        <v>Yes</v>
      </c>
      <c r="AB23" s="44">
        <v>46146.0</v>
      </c>
    </row>
    <row r="24">
      <c r="A24" s="38" t="s">
        <v>24</v>
      </c>
      <c r="B24" s="3"/>
      <c r="C24" s="2" t="s">
        <v>91</v>
      </c>
      <c r="D24" s="3" t="s">
        <v>92</v>
      </c>
      <c r="E24" s="3" t="s">
        <v>48</v>
      </c>
      <c r="F24" s="3" t="s">
        <v>29</v>
      </c>
      <c r="G24" s="3" t="s">
        <v>49</v>
      </c>
      <c r="I24" s="4">
        <f>SUMIFS('Weekly Dump'!D:D,'Weekly Dump'!B:B,C24)</f>
        <v>56</v>
      </c>
      <c r="J24" s="5">
        <f>SUMIFS('Weekly Dump'!AE:AE,'Weekly Dump'!B:B,C24)</f>
        <v>10.39083333</v>
      </c>
      <c r="K24" s="4">
        <f>SUMPRODUCT(
  (TEXT('Weekly Dump'!$A$2:$A1009,"mmm-yy")=TEXT($AB24,"mmm-yy"))*
  ('Weekly Dump'!$B$2:$B1009=$C24)*
  'Weekly Dump'!$D$2:$D1009)</f>
        <v>0</v>
      </c>
      <c r="L24" s="4">
        <f>SUMPRODUCT(
  (TEXT('Weekly Dump'!$A$2:$A1009,"mmm-yy")=TEXT($AB24,"mmm-yy"))*
  ('Weekly Dump'!$B$2:$B1009=$C24)*
  'Weekly Dump'!$E$2:$E1009
)</f>
        <v>0</v>
      </c>
      <c r="M24" s="4">
        <f>SUMPRODUCT(
  (TEXT('Weekly Dump'!$A$2:$A1009,"mmm-yy")=TEXT($AB24,"mmm-yy"))*
  ('Weekly Dump'!$B$2:$B1009=$C24)*
  'Weekly Dump'!$P$2:$P1009
)</f>
        <v>0</v>
      </c>
      <c r="N24" s="39"/>
      <c r="O24" s="40">
        <f>SUMIFS('Weekly Dump'!$D:$D,'Weekly Dump'!$B:$B,$C24,'Weekly Dump'!$A:$A,$AB24)</f>
        <v>0</v>
      </c>
      <c r="P24" s="40">
        <f>SUMIFS('Weekly Dump'!R:R,'Weekly Dump'!B:B,C24,'Weekly Dump'!A:A,AB24)</f>
        <v>0</v>
      </c>
      <c r="Q24" s="40">
        <f t="shared" si="1"/>
        <v>0</v>
      </c>
      <c r="R24" s="41"/>
      <c r="S24" s="3" t="str">
        <f>IFERROR(VLOOKUP(C24,Sheet9!$C$10:$E$25,3,0),"")</f>
        <v/>
      </c>
      <c r="T24" s="4">
        <f>SUMIFS('Weekly Dump'!E:E,'Weekly Dump'!B:B,C24,'Weekly Dump'!A:A,AB24)</f>
        <v>0</v>
      </c>
      <c r="U24" s="3">
        <f t="shared" si="2"/>
        <v>0</v>
      </c>
      <c r="V24" s="42"/>
      <c r="W24" s="43"/>
      <c r="X24" s="4">
        <f>SUMIFS('Weekly Dump'!P:P,'Weekly Dump'!B:B,C24,'Weekly Dump'!A:A,AB24)</f>
        <v>0</v>
      </c>
      <c r="Y24" s="4">
        <f t="shared" si="3"/>
        <v>0</v>
      </c>
      <c r="Z24" s="41"/>
      <c r="AA24" s="12" t="str">
        <f>iferror(IF(VLOOKUP(C24,'Weekly Dump'!B:B,1,0)=C24,"Yes","Missing"),"")</f>
        <v>Yes</v>
      </c>
      <c r="AB24" s="44">
        <v>46146.0</v>
      </c>
    </row>
    <row r="25">
      <c r="A25" s="38" t="s">
        <v>24</v>
      </c>
      <c r="B25" s="3"/>
      <c r="C25" s="2" t="s">
        <v>93</v>
      </c>
      <c r="D25" s="3" t="s">
        <v>94</v>
      </c>
      <c r="E25" s="3" t="s">
        <v>48</v>
      </c>
      <c r="F25" s="3" t="s">
        <v>34</v>
      </c>
      <c r="G25" s="3" t="s">
        <v>95</v>
      </c>
      <c r="I25" s="4">
        <f>SUMIFS('Weekly Dump'!D:D,'Weekly Dump'!B:B,C25)</f>
        <v>50</v>
      </c>
      <c r="J25" s="5">
        <f>SUMIFS('Weekly Dump'!AE:AE,'Weekly Dump'!B:B,C25)</f>
        <v>10.19194444</v>
      </c>
      <c r="K25" s="4">
        <f>SUMPRODUCT(
  (TEXT('Weekly Dump'!$A$2:$A1009,"mmm-yy")=TEXT($AB25,"mmm-yy"))*
  ('Weekly Dump'!$B$2:$B1009=$C25)*
  'Weekly Dump'!$D$2:$D1009)</f>
        <v>0</v>
      </c>
      <c r="L25" s="4">
        <f>SUMPRODUCT(
  (TEXT('Weekly Dump'!$A$2:$A1009,"mmm-yy")=TEXT($AB25,"mmm-yy"))*
  ('Weekly Dump'!$B$2:$B1009=$C25)*
  'Weekly Dump'!$E$2:$E1009
)</f>
        <v>0</v>
      </c>
      <c r="M25" s="4">
        <f>SUMPRODUCT(
  (TEXT('Weekly Dump'!$A$2:$A1009,"mmm-yy")=TEXT($AB25,"mmm-yy"))*
  ('Weekly Dump'!$B$2:$B1009=$C25)*
  'Weekly Dump'!$P$2:$P1009
)</f>
        <v>1</v>
      </c>
      <c r="N25" s="39"/>
      <c r="O25" s="40">
        <f>SUMIFS('Weekly Dump'!$D:$D,'Weekly Dump'!$B:$B,$C25,'Weekly Dump'!$A:$A,$AB25)</f>
        <v>0</v>
      </c>
      <c r="P25" s="40">
        <f>SUMIFS('Weekly Dump'!R:R,'Weekly Dump'!B:B,C25,'Weekly Dump'!A:A,AB25)</f>
        <v>0</v>
      </c>
      <c r="Q25" s="40">
        <f t="shared" si="1"/>
        <v>0</v>
      </c>
      <c r="R25" s="41"/>
      <c r="S25" s="3" t="str">
        <f>IFERROR(VLOOKUP(C25,Sheet9!$C$10:$E$25,3,0),"")</f>
        <v/>
      </c>
      <c r="T25" s="4">
        <f>SUMIFS('Weekly Dump'!E:E,'Weekly Dump'!B:B,C25,'Weekly Dump'!A:A,AB25)</f>
        <v>0</v>
      </c>
      <c r="U25" s="3">
        <f t="shared" si="2"/>
        <v>0</v>
      </c>
      <c r="V25" s="42"/>
      <c r="W25" s="43"/>
      <c r="X25" s="4">
        <f>SUMIFS('Weekly Dump'!P:P,'Weekly Dump'!B:B,C25,'Weekly Dump'!A:A,AB25)</f>
        <v>1</v>
      </c>
      <c r="Y25" s="4">
        <f t="shared" si="3"/>
        <v>-1</v>
      </c>
      <c r="Z25" s="41"/>
      <c r="AA25" s="12" t="str">
        <f>iferror(IF(VLOOKUP(C25,'Weekly Dump'!B:B,1,0)=C25,"Yes","Missing"),"")</f>
        <v>Yes</v>
      </c>
      <c r="AB25" s="44">
        <v>46146.0</v>
      </c>
    </row>
    <row r="26">
      <c r="A26" s="38" t="s">
        <v>24</v>
      </c>
      <c r="B26" s="3"/>
      <c r="C26" s="2" t="s">
        <v>96</v>
      </c>
      <c r="D26" s="3" t="s">
        <v>97</v>
      </c>
      <c r="E26" s="3" t="s">
        <v>28</v>
      </c>
      <c r="F26" s="3"/>
      <c r="G26" s="3"/>
      <c r="I26" s="4">
        <f>SUMIFS('Weekly Dump'!D:D,'Weekly Dump'!B:B,C26)</f>
        <v>94</v>
      </c>
      <c r="J26" s="5">
        <f>SUMIFS('Weekly Dump'!AE:AE,'Weekly Dump'!B:B,C26)</f>
        <v>24.01333333</v>
      </c>
      <c r="K26" s="4">
        <f>SUMPRODUCT(
  (TEXT('Weekly Dump'!$A$2:$A1009,"mmm-yy")=TEXT($AB26,"mmm-yy"))*
  ('Weekly Dump'!$B$2:$B1009=$C26)*
  'Weekly Dump'!$D$2:$D1009)</f>
        <v>45</v>
      </c>
      <c r="L26" s="4">
        <f>SUMPRODUCT(
  (TEXT('Weekly Dump'!$A$2:$A1009,"mmm-yy")=TEXT($AB26,"mmm-yy"))*
  ('Weekly Dump'!$B$2:$B1009=$C26)*
  'Weekly Dump'!$E$2:$E1009
)</f>
        <v>48</v>
      </c>
      <c r="M26" s="4">
        <f>SUMPRODUCT(
  (TEXT('Weekly Dump'!$A$2:$A1009,"mmm-yy")=TEXT($AB26,"mmm-yy"))*
  ('Weekly Dump'!$B$2:$B1009=$C26)*
  'Weekly Dump'!$P$2:$P1009
)</f>
        <v>59</v>
      </c>
      <c r="N26" s="39">
        <v>12.0</v>
      </c>
      <c r="O26" s="40">
        <f>SUMIFS('Weekly Dump'!$D:$D,'Weekly Dump'!$B:$B,$C26,'Weekly Dump'!$A:$A,$AB26)</f>
        <v>15</v>
      </c>
      <c r="P26" s="40">
        <f>SUMIFS('Weekly Dump'!R:R,'Weekly Dump'!B:B,C26,'Weekly Dump'!A:A,AB26)</f>
        <v>33622</v>
      </c>
      <c r="Q26" s="40">
        <f t="shared" si="1"/>
        <v>3</v>
      </c>
      <c r="R26" s="41"/>
      <c r="S26" s="3" t="str">
        <f>IFERROR(VLOOKUP(C26,Sheet9!$C$10:$E$25,3,0),"")</f>
        <v/>
      </c>
      <c r="T26" s="4">
        <f>SUMIFS('Weekly Dump'!E:E,'Weekly Dump'!B:B,C26,'Weekly Dump'!A:A,AB26)</f>
        <v>19</v>
      </c>
      <c r="U26" s="3">
        <f t="shared" si="2"/>
        <v>-19</v>
      </c>
      <c r="V26" s="42"/>
      <c r="W26" s="43"/>
      <c r="X26" s="4">
        <f>SUMIFS('Weekly Dump'!P:P,'Weekly Dump'!B:B,C26,'Weekly Dump'!A:A,AB26)</f>
        <v>21</v>
      </c>
      <c r="Y26" s="4">
        <f t="shared" si="3"/>
        <v>-21</v>
      </c>
      <c r="Z26" s="41"/>
      <c r="AA26" s="12" t="str">
        <f>iferror(IF(VLOOKUP(C26,'Weekly Dump'!B:B,1,0)=C26,"Yes","Missing"),"")</f>
        <v>Yes</v>
      </c>
      <c r="AB26" s="44">
        <v>46146.0</v>
      </c>
    </row>
    <row r="27">
      <c r="A27" s="38" t="s">
        <v>24</v>
      </c>
      <c r="B27" s="3"/>
      <c r="C27" s="2" t="s">
        <v>98</v>
      </c>
      <c r="D27" s="3" t="s">
        <v>99</v>
      </c>
      <c r="E27" s="3" t="s">
        <v>48</v>
      </c>
      <c r="F27" s="3" t="s">
        <v>43</v>
      </c>
      <c r="G27" s="3" t="s">
        <v>95</v>
      </c>
      <c r="I27" s="4">
        <f>SUMIFS('Weekly Dump'!D:D,'Weekly Dump'!B:B,C27)</f>
        <v>50</v>
      </c>
      <c r="J27" s="5">
        <f>SUMIFS('Weekly Dump'!AE:AE,'Weekly Dump'!B:B,C27)</f>
        <v>10.06555556</v>
      </c>
      <c r="K27" s="4">
        <f>SUMPRODUCT(
  (TEXT('Weekly Dump'!$A$2:$A1009,"mmm-yy")=TEXT($AB27,"mmm-yy"))*
  ('Weekly Dump'!$B$2:$B1009=$C27)*
  'Weekly Dump'!$D$2:$D1009)</f>
        <v>0</v>
      </c>
      <c r="L27" s="4">
        <f>SUMPRODUCT(
  (TEXT('Weekly Dump'!$A$2:$A1009,"mmm-yy")=TEXT($AB27,"mmm-yy"))*
  ('Weekly Dump'!$B$2:$B1009=$C27)*
  'Weekly Dump'!$E$2:$E1009
)</f>
        <v>0</v>
      </c>
      <c r="M27" s="4">
        <f>SUMPRODUCT(
  (TEXT('Weekly Dump'!$A$2:$A1009,"mmm-yy")=TEXT($AB27,"mmm-yy"))*
  ('Weekly Dump'!$B$2:$B1009=$C27)*
  'Weekly Dump'!$P$2:$P1009
)</f>
        <v>0</v>
      </c>
      <c r="N27" s="39"/>
      <c r="O27" s="40">
        <f>SUMIFS('Weekly Dump'!$D:$D,'Weekly Dump'!$B:$B,$C27,'Weekly Dump'!$A:$A,$AB27)</f>
        <v>0</v>
      </c>
      <c r="P27" s="40">
        <f>SUMIFS('Weekly Dump'!R:R,'Weekly Dump'!B:B,C27,'Weekly Dump'!A:A,AB27)</f>
        <v>0</v>
      </c>
      <c r="Q27" s="40">
        <f t="shared" si="1"/>
        <v>0</v>
      </c>
      <c r="R27" s="41"/>
      <c r="S27" s="3" t="str">
        <f>IFERROR(VLOOKUP(C27,Sheet9!$C$10:$E$25,3,0),"")</f>
        <v/>
      </c>
      <c r="T27" s="4">
        <f>SUMIFS('Weekly Dump'!E:E,'Weekly Dump'!B:B,C27,'Weekly Dump'!A:A,AB27)</f>
        <v>0</v>
      </c>
      <c r="U27" s="3">
        <f t="shared" si="2"/>
        <v>0</v>
      </c>
      <c r="V27" s="42"/>
      <c r="W27" s="43"/>
      <c r="X27" s="4">
        <f>SUMIFS('Weekly Dump'!P:P,'Weekly Dump'!B:B,C27,'Weekly Dump'!A:A,AB27)</f>
        <v>0</v>
      </c>
      <c r="Y27" s="4">
        <f t="shared" si="3"/>
        <v>0</v>
      </c>
      <c r="Z27" s="41"/>
      <c r="AA27" s="12" t="str">
        <f>iferror(IF(VLOOKUP(C27,'Weekly Dump'!B:B,1,0)=C27,"Yes","Missing"),"")</f>
        <v>Yes</v>
      </c>
      <c r="AB27" s="44">
        <v>46146.0</v>
      </c>
    </row>
    <row r="28">
      <c r="A28" s="38" t="s">
        <v>24</v>
      </c>
      <c r="B28" s="3"/>
      <c r="C28" s="2" t="s">
        <v>100</v>
      </c>
      <c r="D28" s="3" t="s">
        <v>101</v>
      </c>
      <c r="E28" s="3" t="s">
        <v>28</v>
      </c>
      <c r="F28" s="3" t="s">
        <v>29</v>
      </c>
      <c r="G28" s="3" t="s">
        <v>83</v>
      </c>
      <c r="I28" s="4">
        <f>SUMIFS('Weekly Dump'!D:D,'Weekly Dump'!B:B,C28)</f>
        <v>125</v>
      </c>
      <c r="J28" s="5">
        <f>SUMIFS('Weekly Dump'!AE:AE,'Weekly Dump'!B:B,C28)</f>
        <v>17.74722222</v>
      </c>
      <c r="K28" s="4">
        <f>SUMPRODUCT(
  (TEXT('Weekly Dump'!$A$2:$A1009,"mmm-yy")=TEXT($AB28,"mmm-yy"))*
  ('Weekly Dump'!$B$2:$B1009=$C28)*
  'Weekly Dump'!$D$2:$D1009)</f>
        <v>75</v>
      </c>
      <c r="L28" s="4">
        <f>SUMPRODUCT(
  (TEXT('Weekly Dump'!$A$2:$A1009,"mmm-yy")=TEXT($AB28,"mmm-yy"))*
  ('Weekly Dump'!$B$2:$B1009=$C28)*
  'Weekly Dump'!$E$2:$E1009
)</f>
        <v>81</v>
      </c>
      <c r="M28" s="4">
        <f>SUMPRODUCT(
  (TEXT('Weekly Dump'!$A$2:$A1009,"mmm-yy")=TEXT($AB28,"mmm-yy"))*
  ('Weekly Dump'!$B$2:$B1009=$C28)*
  'Weekly Dump'!$P$2:$P1009
)</f>
        <v>52</v>
      </c>
      <c r="N28" s="39">
        <v>30.0</v>
      </c>
      <c r="O28" s="40">
        <f>SUMIFS('Weekly Dump'!$D:$D,'Weekly Dump'!$B:$B,$C28,'Weekly Dump'!$A:$A,$AB28)</f>
        <v>29</v>
      </c>
      <c r="P28" s="40">
        <f>SUMIFS('Weekly Dump'!R:R,'Weekly Dump'!B:B,C28,'Weekly Dump'!A:A,AB28)</f>
        <v>68961</v>
      </c>
      <c r="Q28" s="40">
        <f t="shared" si="1"/>
        <v>-1</v>
      </c>
      <c r="R28" s="41"/>
      <c r="S28" s="3">
        <f>IFERROR(VLOOKUP(C28,Sheet9!$C$10:$E$25,3,0),"")</f>
        <v>10</v>
      </c>
      <c r="T28" s="4">
        <f>SUMIFS('Weekly Dump'!E:E,'Weekly Dump'!B:B,C28,'Weekly Dump'!A:A,AB28)</f>
        <v>11</v>
      </c>
      <c r="U28" s="3">
        <f t="shared" si="2"/>
        <v>-1</v>
      </c>
      <c r="V28" s="42"/>
      <c r="W28" s="43">
        <v>20.0</v>
      </c>
      <c r="X28" s="4">
        <f>SUMIFS('Weekly Dump'!P:P,'Weekly Dump'!B:B,C28,'Weekly Dump'!A:A,AB28)</f>
        <v>19</v>
      </c>
      <c r="Y28" s="4">
        <f t="shared" si="3"/>
        <v>1</v>
      </c>
      <c r="Z28" s="41"/>
      <c r="AA28" s="12" t="str">
        <f>iferror(IF(VLOOKUP(C28,'Weekly Dump'!B:B,1,0)=C28,"Yes","Missing"),"")</f>
        <v>Yes</v>
      </c>
      <c r="AB28" s="44">
        <v>46146.0</v>
      </c>
    </row>
    <row r="29">
      <c r="A29" s="38" t="s">
        <v>24</v>
      </c>
      <c r="B29" s="3"/>
      <c r="C29" s="2" t="s">
        <v>102</v>
      </c>
      <c r="D29" s="3" t="s">
        <v>103</v>
      </c>
      <c r="E29" s="3" t="s">
        <v>28</v>
      </c>
      <c r="F29" s="3" t="s">
        <v>29</v>
      </c>
      <c r="G29" s="3"/>
      <c r="I29" s="4">
        <f>SUMIFS('Weekly Dump'!D:D,'Weekly Dump'!B:B,C29)</f>
        <v>85</v>
      </c>
      <c r="J29" s="5">
        <f>SUMIFS('Weekly Dump'!AE:AE,'Weekly Dump'!B:B,C29)</f>
        <v>6.948333333</v>
      </c>
      <c r="K29" s="4">
        <f>SUMPRODUCT(
  (TEXT('Weekly Dump'!$A$2:$A1009,"mmm-yy")=TEXT($AB29,"mmm-yy"))*
  ('Weekly Dump'!$B$2:$B1009=$C29)*
  'Weekly Dump'!$D$2:$D1009)</f>
        <v>60</v>
      </c>
      <c r="L29" s="4">
        <f>SUMPRODUCT(
  (TEXT('Weekly Dump'!$A$2:$A1009,"mmm-yy")=TEXT($AB29,"mmm-yy"))*
  ('Weekly Dump'!$B$2:$B1009=$C29)*
  'Weekly Dump'!$E$2:$E1009
)</f>
        <v>18</v>
      </c>
      <c r="M29" s="4">
        <f>SUMPRODUCT(
  (TEXT('Weekly Dump'!$A$2:$A1009,"mmm-yy")=TEXT($AB29,"mmm-yy"))*
  ('Weekly Dump'!$B$2:$B1009=$C29)*
  'Weekly Dump'!$P$2:$P1009
)</f>
        <v>14</v>
      </c>
      <c r="N29" s="39">
        <v>30.0</v>
      </c>
      <c r="O29" s="40">
        <f>SUMIFS('Weekly Dump'!$D:$D,'Weekly Dump'!$B:$B,$C29,'Weekly Dump'!$A:$A,$AB29)</f>
        <v>30</v>
      </c>
      <c r="P29" s="40">
        <f>SUMIFS('Weekly Dump'!R:R,'Weekly Dump'!B:B,C29,'Weekly Dump'!A:A,AB29)</f>
        <v>72191</v>
      </c>
      <c r="Q29" s="40">
        <f t="shared" si="1"/>
        <v>0</v>
      </c>
      <c r="R29" s="41"/>
      <c r="S29" s="3" t="str">
        <f>IFERROR(VLOOKUP(C29,Sheet9!$C$10:$E$25,3,0),"")</f>
        <v/>
      </c>
      <c r="T29" s="4">
        <f>SUMIFS('Weekly Dump'!E:E,'Weekly Dump'!B:B,C29,'Weekly Dump'!A:A,AB29)</f>
        <v>5</v>
      </c>
      <c r="U29" s="3">
        <f t="shared" si="2"/>
        <v>-5</v>
      </c>
      <c r="V29" s="42"/>
      <c r="W29" s="43"/>
      <c r="X29" s="4">
        <f>SUMIFS('Weekly Dump'!P:P,'Weekly Dump'!B:B,C29,'Weekly Dump'!A:A,AB29)</f>
        <v>5</v>
      </c>
      <c r="Y29" s="4">
        <f t="shared" si="3"/>
        <v>-5</v>
      </c>
      <c r="Z29" s="41"/>
      <c r="AA29" s="12" t="str">
        <f>iferror(IF(VLOOKUP(C29,'Weekly Dump'!B:B,1,0)=C29,"Yes","Missing"),"")</f>
        <v>Yes</v>
      </c>
      <c r="AB29" s="44">
        <v>46146.0</v>
      </c>
    </row>
    <row r="30">
      <c r="A30" s="38" t="s">
        <v>24</v>
      </c>
      <c r="B30" s="3"/>
      <c r="C30" s="2" t="s">
        <v>104</v>
      </c>
      <c r="D30" s="3" t="s">
        <v>105</v>
      </c>
      <c r="E30" s="3" t="s">
        <v>48</v>
      </c>
      <c r="F30" s="3" t="s">
        <v>29</v>
      </c>
      <c r="G30" s="3"/>
      <c r="I30" s="4">
        <f>SUMIFS('Weekly Dump'!D:D,'Weekly Dump'!B:B,C30)</f>
        <v>75</v>
      </c>
      <c r="J30" s="5">
        <f>SUMIFS('Weekly Dump'!AE:AE,'Weekly Dump'!B:B,C30)</f>
        <v>13.08944444</v>
      </c>
      <c r="K30" s="4">
        <f>SUMPRODUCT(
  (TEXT('Weekly Dump'!$A$2:$A1009,"mmm-yy")=TEXT($AB30,"mmm-yy"))*
  ('Weekly Dump'!$B$2:$B1009=$C30)*
  'Weekly Dump'!$D$2:$D1009)</f>
        <v>23</v>
      </c>
      <c r="L30" s="4">
        <f>SUMPRODUCT(
  (TEXT('Weekly Dump'!$A$2:$A1009,"mmm-yy")=TEXT($AB30,"mmm-yy"))*
  ('Weekly Dump'!$B$2:$B1009=$C30)*
  'Weekly Dump'!$E$2:$E1009
)</f>
        <v>23</v>
      </c>
      <c r="M30" s="4">
        <f>SUMPRODUCT(
  (TEXT('Weekly Dump'!$A$2:$A1009,"mmm-yy")=TEXT($AB30,"mmm-yy"))*
  ('Weekly Dump'!$B$2:$B1009=$C30)*
  'Weekly Dump'!$P$2:$P1009
)</f>
        <v>13</v>
      </c>
      <c r="N30" s="39"/>
      <c r="O30" s="40">
        <f>SUMIFS('Weekly Dump'!$D:$D,'Weekly Dump'!$B:$B,$C30,'Weekly Dump'!$A:$A,$AB30)</f>
        <v>0</v>
      </c>
      <c r="P30" s="40">
        <f>SUMIFS('Weekly Dump'!R:R,'Weekly Dump'!B:B,C30,'Weekly Dump'!A:A,AB30)</f>
        <v>0</v>
      </c>
      <c r="Q30" s="40">
        <f t="shared" si="1"/>
        <v>0</v>
      </c>
      <c r="R30" s="41"/>
      <c r="S30" s="3" t="str">
        <f>IFERROR(VLOOKUP(C30,Sheet9!$C$10:$E$25,3,0),"")</f>
        <v/>
      </c>
      <c r="T30" s="4">
        <f>SUMIFS('Weekly Dump'!E:E,'Weekly Dump'!B:B,C30,'Weekly Dump'!A:A,AB30)</f>
        <v>0</v>
      </c>
      <c r="U30" s="3">
        <f t="shared" si="2"/>
        <v>0</v>
      </c>
      <c r="V30" s="42"/>
      <c r="W30" s="43"/>
      <c r="X30" s="4">
        <f>SUMIFS('Weekly Dump'!P:P,'Weekly Dump'!B:B,C30,'Weekly Dump'!A:A,AB30)</f>
        <v>0</v>
      </c>
      <c r="Y30" s="4">
        <f t="shared" si="3"/>
        <v>0</v>
      </c>
      <c r="Z30" s="41"/>
      <c r="AA30" s="12" t="str">
        <f>iferror(IF(VLOOKUP(C30,'Weekly Dump'!B:B,1,0)=C30,"Yes","Missing"),"")</f>
        <v>Yes</v>
      </c>
      <c r="AB30" s="44">
        <v>46146.0</v>
      </c>
    </row>
    <row r="31">
      <c r="A31" s="38" t="s">
        <v>24</v>
      </c>
      <c r="B31" s="3"/>
      <c r="C31" s="2" t="s">
        <v>106</v>
      </c>
      <c r="D31" s="3" t="s">
        <v>107</v>
      </c>
      <c r="E31" s="38" t="s">
        <v>88</v>
      </c>
      <c r="F31" s="3"/>
      <c r="G31" s="3"/>
      <c r="I31" s="4">
        <f>SUMIFS('Weekly Dump'!D:D,'Weekly Dump'!B:B,C31)</f>
        <v>8</v>
      </c>
      <c r="J31" s="5">
        <f>SUMIFS('Weekly Dump'!AE:AE,'Weekly Dump'!B:B,C31)</f>
        <v>1.161388889</v>
      </c>
      <c r="K31" s="4">
        <f>SUMPRODUCT(
  (TEXT('Weekly Dump'!$A$2:$A1009,"mmm-yy")=TEXT($AB31,"mmm-yy"))*
  ('Weekly Dump'!$B$2:$B1009=$C31)*
  'Weekly Dump'!$D$2:$D1009)</f>
        <v>0</v>
      </c>
      <c r="L31" s="4">
        <f>SUMPRODUCT(
  (TEXT('Weekly Dump'!$A$2:$A1009,"mmm-yy")=TEXT($AB31,"mmm-yy"))*
  ('Weekly Dump'!$B$2:$B1009=$C31)*
  'Weekly Dump'!$E$2:$E1009
)</f>
        <v>0</v>
      </c>
      <c r="M31" s="4">
        <f>SUMPRODUCT(
  (TEXT('Weekly Dump'!$A$2:$A1009,"mmm-yy")=TEXT($AB31,"mmm-yy"))*
  ('Weekly Dump'!$B$2:$B1009=$C31)*
  'Weekly Dump'!$P$2:$P1009
)</f>
        <v>0</v>
      </c>
      <c r="N31" s="39"/>
      <c r="O31" s="40">
        <f>SUMIFS('Weekly Dump'!$D:$D,'Weekly Dump'!$B:$B,$C31,'Weekly Dump'!$A:$A,$AB31)</f>
        <v>0</v>
      </c>
      <c r="P31" s="40">
        <f>SUMIFS('Weekly Dump'!R:R,'Weekly Dump'!B:B,C31,'Weekly Dump'!A:A,AB31)</f>
        <v>0</v>
      </c>
      <c r="Q31" s="40">
        <f t="shared" si="1"/>
        <v>0</v>
      </c>
      <c r="R31" s="41"/>
      <c r="S31" s="3" t="str">
        <f>IFERROR(VLOOKUP(C31,Sheet9!$C$10:$E$25,3,0),"")</f>
        <v/>
      </c>
      <c r="T31" s="4">
        <f>SUMIFS('Weekly Dump'!E:E,'Weekly Dump'!B:B,C31,'Weekly Dump'!A:A,AB31)</f>
        <v>0</v>
      </c>
      <c r="U31" s="3">
        <f t="shared" si="2"/>
        <v>0</v>
      </c>
      <c r="V31" s="42"/>
      <c r="W31" s="43"/>
      <c r="X31" s="4">
        <f>SUMIFS('Weekly Dump'!P:P,'Weekly Dump'!B:B,C31,'Weekly Dump'!A:A,AB31)</f>
        <v>0</v>
      </c>
      <c r="Y31" s="4">
        <f t="shared" si="3"/>
        <v>0</v>
      </c>
      <c r="Z31" s="41"/>
      <c r="AA31" s="12" t="str">
        <f>iferror(IF(VLOOKUP(C31,'Weekly Dump'!B:B,1,0)=C31,"Yes","Missing"),"")</f>
        <v>Yes</v>
      </c>
      <c r="AB31" s="44">
        <v>46146.0</v>
      </c>
    </row>
    <row r="32">
      <c r="A32" s="38" t="s">
        <v>24</v>
      </c>
      <c r="B32" s="3"/>
      <c r="C32" s="2" t="s">
        <v>108</v>
      </c>
      <c r="D32" s="3" t="s">
        <v>109</v>
      </c>
      <c r="E32" s="3" t="s">
        <v>28</v>
      </c>
      <c r="F32" s="3"/>
      <c r="G32" s="3"/>
      <c r="I32" s="4">
        <f>SUMIFS('Weekly Dump'!D:D,'Weekly Dump'!B:B,C32)</f>
        <v>58</v>
      </c>
      <c r="J32" s="5">
        <f>SUMIFS('Weekly Dump'!AE:AE,'Weekly Dump'!B:B,C32)</f>
        <v>9.653333333</v>
      </c>
      <c r="K32" s="4">
        <f>SUMPRODUCT(
  (TEXT('Weekly Dump'!$A$2:$A1009,"mmm-yy")=TEXT($AB32,"mmm-yy"))*
  ('Weekly Dump'!$B$2:$B1009=$C32)*
  'Weekly Dump'!$D$2:$D1009)</f>
        <v>43</v>
      </c>
      <c r="L32" s="4">
        <f>SUMPRODUCT(
  (TEXT('Weekly Dump'!$A$2:$A1009,"mmm-yy")=TEXT($AB32,"mmm-yy"))*
  ('Weekly Dump'!$B$2:$B1009=$C32)*
  'Weekly Dump'!$E$2:$E1009
)</f>
        <v>37</v>
      </c>
      <c r="M32" s="4">
        <f>SUMPRODUCT(
  (TEXT('Weekly Dump'!$A$2:$A1009,"mmm-yy")=TEXT($AB32,"mmm-yy"))*
  ('Weekly Dump'!$B$2:$B1009=$C32)*
  'Weekly Dump'!$P$2:$P1009
)</f>
        <v>46</v>
      </c>
      <c r="N32" s="39">
        <v>10.0</v>
      </c>
      <c r="O32" s="40">
        <f>SUMIFS('Weekly Dump'!$D:$D,'Weekly Dump'!$B:$B,$C32,'Weekly Dump'!$A:$A,$AB32)</f>
        <v>20</v>
      </c>
      <c r="P32" s="40">
        <f>SUMIFS('Weekly Dump'!R:R,'Weekly Dump'!B:B,C32,'Weekly Dump'!A:A,AB32)</f>
        <v>43065</v>
      </c>
      <c r="Q32" s="40">
        <f t="shared" si="1"/>
        <v>10</v>
      </c>
      <c r="R32" s="41"/>
      <c r="S32" s="3">
        <f>IFERROR(VLOOKUP(C32,Sheet9!$C$10:$E$25,3,0),"")</f>
        <v>20</v>
      </c>
      <c r="T32" s="4">
        <f>SUMIFS('Weekly Dump'!E:E,'Weekly Dump'!B:B,C32,'Weekly Dump'!A:A,AB32)</f>
        <v>12</v>
      </c>
      <c r="U32" s="3">
        <f t="shared" si="2"/>
        <v>8</v>
      </c>
      <c r="V32" s="42"/>
      <c r="W32" s="43">
        <v>17.0</v>
      </c>
      <c r="X32" s="4">
        <f>SUMIFS('Weekly Dump'!P:P,'Weekly Dump'!B:B,C32,'Weekly Dump'!A:A,AB32)</f>
        <v>14</v>
      </c>
      <c r="Y32" s="4">
        <f t="shared" si="3"/>
        <v>3</v>
      </c>
      <c r="Z32" s="41"/>
      <c r="AA32" s="12" t="str">
        <f>iferror(IF(VLOOKUP(C32,'Weekly Dump'!B:B,1,0)=C32,"Yes","Missing"),"")</f>
        <v>Yes</v>
      </c>
      <c r="AB32" s="44">
        <v>46146.0</v>
      </c>
    </row>
    <row r="33">
      <c r="A33" s="38" t="s">
        <v>24</v>
      </c>
      <c r="B33" s="3"/>
      <c r="C33" s="2" t="s">
        <v>110</v>
      </c>
      <c r="D33" s="3" t="s">
        <v>111</v>
      </c>
      <c r="E33" s="38" t="s">
        <v>88</v>
      </c>
      <c r="F33" s="3"/>
      <c r="G33" s="3"/>
      <c r="I33" s="4">
        <f>SUMIFS('Weekly Dump'!D:D,'Weekly Dump'!B:B,C33)</f>
        <v>44</v>
      </c>
      <c r="J33" s="5">
        <f>SUMIFS('Weekly Dump'!AE:AE,'Weekly Dump'!B:B,C33)</f>
        <v>2.713333333</v>
      </c>
      <c r="K33" s="4">
        <f>SUMPRODUCT(
  (TEXT('Weekly Dump'!$A$2:$A1009,"mmm-yy")=TEXT($AB33,"mmm-yy"))*
  ('Weekly Dump'!$B$2:$B1009=$C33)*
  'Weekly Dump'!$D$2:$D1009)</f>
        <v>21</v>
      </c>
      <c r="L33" s="4">
        <f>SUMPRODUCT(
  (TEXT('Weekly Dump'!$A$2:$A1009,"mmm-yy")=TEXT($AB33,"mmm-yy"))*
  ('Weekly Dump'!$B$2:$B1009=$C33)*
  'Weekly Dump'!$E$2:$E1009
)</f>
        <v>27</v>
      </c>
      <c r="M33" s="4">
        <f>SUMPRODUCT(
  (TEXT('Weekly Dump'!$A$2:$A1009,"mmm-yy")=TEXT($AB33,"mmm-yy"))*
  ('Weekly Dump'!$B$2:$B1009=$C33)*
  'Weekly Dump'!$P$2:$P1009
)</f>
        <v>12</v>
      </c>
      <c r="N33" s="39"/>
      <c r="O33" s="40">
        <f>SUMIFS('Weekly Dump'!$D:$D,'Weekly Dump'!$B:$B,$C33,'Weekly Dump'!$A:$A,$AB33)</f>
        <v>13</v>
      </c>
      <c r="P33" s="40">
        <f>SUMIFS('Weekly Dump'!R:R,'Weekly Dump'!B:B,C33,'Weekly Dump'!A:A,AB33)</f>
        <v>30970</v>
      </c>
      <c r="Q33" s="40">
        <f t="shared" si="1"/>
        <v>13</v>
      </c>
      <c r="R33" s="41"/>
      <c r="S33" s="3" t="str">
        <f>IFERROR(VLOOKUP(C33,Sheet9!$C$10:$E$25,3,0),"")</f>
        <v/>
      </c>
      <c r="T33" s="4">
        <f>SUMIFS('Weekly Dump'!E:E,'Weekly Dump'!B:B,C33,'Weekly Dump'!A:A,AB33)</f>
        <v>0</v>
      </c>
      <c r="U33" s="3">
        <f t="shared" si="2"/>
        <v>0</v>
      </c>
      <c r="V33" s="42"/>
      <c r="W33" s="43"/>
      <c r="X33" s="4">
        <f>SUMIFS('Weekly Dump'!P:P,'Weekly Dump'!B:B,C33,'Weekly Dump'!A:A,AB33)</f>
        <v>0</v>
      </c>
      <c r="Y33" s="4">
        <f t="shared" si="3"/>
        <v>0</v>
      </c>
      <c r="Z33" s="41"/>
      <c r="AA33" s="12" t="str">
        <f>iferror(IF(VLOOKUP(C33,'Weekly Dump'!B:B,1,0)=C33,"Yes","Missing"),"")</f>
        <v>Yes</v>
      </c>
      <c r="AB33" s="44">
        <v>46146.0</v>
      </c>
    </row>
    <row r="34">
      <c r="A34" s="38" t="s">
        <v>24</v>
      </c>
      <c r="B34" s="2"/>
      <c r="C34" s="2" t="str">
        <f t="shared" ref="C34:C37" si="4">IFERROR(VLOOKUP(D34,Sheet3!L:M,2,0),"")</f>
        <v/>
      </c>
      <c r="D34" s="3" t="s">
        <v>112</v>
      </c>
      <c r="E34" s="38" t="s">
        <v>88</v>
      </c>
      <c r="F34" s="3"/>
      <c r="G34" s="3"/>
      <c r="I34" s="4">
        <f>SUMIFS('Weekly Dump'!D:D,'Weekly Dump'!B:B,C34)</f>
        <v>0</v>
      </c>
      <c r="J34" s="5">
        <f>SUMIFS('Weekly Dump'!AE:AE,'Weekly Dump'!B:B,C34)</f>
        <v>0</v>
      </c>
      <c r="K34" s="4">
        <f>SUMPRODUCT(
  (TEXT('Weekly Dump'!$A$2:$A1009,"mmm-yy")=TEXT($AB34,"mmm-yy"))*
  ('Weekly Dump'!$B$2:$B1009=$C34)*
  'Weekly Dump'!$D$2:$D1009)</f>
        <v>0</v>
      </c>
      <c r="L34" s="4">
        <f>SUMPRODUCT(
  (TEXT('Weekly Dump'!$A$2:$A1009,"mmm-yy")=TEXT($AB34,"mmm-yy"))*
  ('Weekly Dump'!$B$2:$B1009=$C34)*
  'Weekly Dump'!$E$2:$E1009
)</f>
        <v>0</v>
      </c>
      <c r="M34" s="4">
        <f>SUMPRODUCT(
  (TEXT('Weekly Dump'!$A$2:$A1009,"mmm-yy")=TEXT($AB34,"mmm-yy"))*
  ('Weekly Dump'!$B$2:$B1009=$C34)*
  'Weekly Dump'!$P$2:$P1009
)</f>
        <v>0</v>
      </c>
      <c r="N34" s="39"/>
      <c r="O34" s="40">
        <f>SUMIFS('Weekly Dump'!$D:$D,'Weekly Dump'!$B:$B,$C34,'Weekly Dump'!$A:$A,$AB34)</f>
        <v>0</v>
      </c>
      <c r="P34" s="40">
        <f>SUMIFS('Weekly Dump'!R:R,'Weekly Dump'!B:B,C34,'Weekly Dump'!A:A,AB34)</f>
        <v>0</v>
      </c>
      <c r="Q34" s="40">
        <f t="shared" si="1"/>
        <v>0</v>
      </c>
      <c r="R34" s="41"/>
      <c r="S34" s="3" t="str">
        <f>IFERROR(VLOOKUP(C34,Sheet9!$C$10:$E$25,3,0),"")</f>
        <v/>
      </c>
      <c r="T34" s="4">
        <f>SUMIFS('Weekly Dump'!E:E,'Weekly Dump'!B:B,C34,'Weekly Dump'!A:A,AB34)</f>
        <v>0</v>
      </c>
      <c r="U34" s="3">
        <f t="shared" si="2"/>
        <v>0</v>
      </c>
      <c r="V34" s="42"/>
      <c r="W34" s="43"/>
      <c r="X34" s="4">
        <f>SUMIFS('Weekly Dump'!P:P,'Weekly Dump'!B:B,C34,'Weekly Dump'!A:A,AB34)</f>
        <v>0</v>
      </c>
      <c r="Y34" s="4">
        <f t="shared" si="3"/>
        <v>0</v>
      </c>
      <c r="Z34" s="41"/>
      <c r="AA34" s="12" t="str">
        <f>iferror(IF(VLOOKUP(C34,'Weekly Dump'!B:B,1,0)=C34,"Yes","Missing"),"")</f>
        <v/>
      </c>
      <c r="AB34" s="44">
        <v>46146.0</v>
      </c>
    </row>
    <row r="35">
      <c r="A35" s="38" t="s">
        <v>24</v>
      </c>
      <c r="B35" s="2"/>
      <c r="C35" s="2" t="str">
        <f t="shared" si="4"/>
        <v/>
      </c>
      <c r="D35" s="3" t="s">
        <v>113</v>
      </c>
      <c r="E35" s="38" t="s">
        <v>88</v>
      </c>
      <c r="F35" s="3"/>
      <c r="G35" s="3"/>
      <c r="I35" s="4">
        <f>SUMIFS('Weekly Dump'!D:D,'Weekly Dump'!B:B,C35)</f>
        <v>0</v>
      </c>
      <c r="J35" s="5">
        <f>SUMIFS('Weekly Dump'!AE:AE,'Weekly Dump'!B:B,C35)</f>
        <v>0</v>
      </c>
      <c r="K35" s="4">
        <f>SUMPRODUCT(
  (TEXT('Weekly Dump'!$A$2:$A1009,"mmm-yy")=TEXT($AB35,"mmm-yy"))*
  ('Weekly Dump'!$B$2:$B1009=$C35)*
  'Weekly Dump'!$D$2:$D1009)</f>
        <v>0</v>
      </c>
      <c r="L35" s="4">
        <f>SUMPRODUCT(
  (TEXT('Weekly Dump'!$A$2:$A1009,"mmm-yy")=TEXT($AB35,"mmm-yy"))*
  ('Weekly Dump'!$B$2:$B1009=$C35)*
  'Weekly Dump'!$E$2:$E1009
)</f>
        <v>0</v>
      </c>
      <c r="M35" s="4">
        <f>SUMPRODUCT(
  (TEXT('Weekly Dump'!$A$2:$A1009,"mmm-yy")=TEXT($AB35,"mmm-yy"))*
  ('Weekly Dump'!$B$2:$B1009=$C35)*
  'Weekly Dump'!$P$2:$P1009
)</f>
        <v>0</v>
      </c>
      <c r="N35" s="39"/>
      <c r="O35" s="40">
        <f>SUMIFS('Weekly Dump'!$D:$D,'Weekly Dump'!$B:$B,$C35,'Weekly Dump'!$A:$A,$AB35)</f>
        <v>0</v>
      </c>
      <c r="P35" s="40">
        <f>SUMIFS('Weekly Dump'!R:R,'Weekly Dump'!B:B,C35,'Weekly Dump'!A:A,AB35)</f>
        <v>0</v>
      </c>
      <c r="Q35" s="40">
        <f t="shared" si="1"/>
        <v>0</v>
      </c>
      <c r="R35" s="41"/>
      <c r="S35" s="3" t="str">
        <f>IFERROR(VLOOKUP(C35,Sheet9!$C$10:$E$25,3,0),"")</f>
        <v/>
      </c>
      <c r="T35" s="4">
        <f>SUMIFS('Weekly Dump'!E:E,'Weekly Dump'!B:B,C35,'Weekly Dump'!A:A,AB35)</f>
        <v>0</v>
      </c>
      <c r="U35" s="3">
        <f t="shared" si="2"/>
        <v>0</v>
      </c>
      <c r="V35" s="42"/>
      <c r="W35" s="43"/>
      <c r="X35" s="4">
        <f>SUMIFS('Weekly Dump'!P:P,'Weekly Dump'!B:B,C35,'Weekly Dump'!A:A,AB35)</f>
        <v>0</v>
      </c>
      <c r="Y35" s="4">
        <f t="shared" si="3"/>
        <v>0</v>
      </c>
      <c r="Z35" s="41"/>
      <c r="AA35" s="12" t="str">
        <f>iferror(IF(VLOOKUP(C35,'Weekly Dump'!B:B,1,0)=C35,"Yes","Missing"),"")</f>
        <v/>
      </c>
      <c r="AB35" s="44">
        <v>46146.0</v>
      </c>
    </row>
    <row r="36">
      <c r="A36" s="38" t="s">
        <v>24</v>
      </c>
      <c r="B36" s="2"/>
      <c r="C36" s="2" t="str">
        <f t="shared" si="4"/>
        <v/>
      </c>
      <c r="D36" s="3" t="s">
        <v>114</v>
      </c>
      <c r="E36" s="38" t="s">
        <v>88</v>
      </c>
      <c r="F36" s="3" t="str">
        <f t="shared" ref="F36:F37" si="5">IFERROR(VLOOKUP($D36,Sheet3!$N:$Q,3,0),"")</f>
        <v/>
      </c>
      <c r="G36" s="3" t="str">
        <f t="shared" ref="G36:G37" si="6">IFERROR(VLOOKUP($D36,Sheet3!$N:$Q,4,0),"")</f>
        <v/>
      </c>
      <c r="I36" s="4">
        <f>SUMIFS('Weekly Dump'!D:D,'Weekly Dump'!B:B,C36)</f>
        <v>0</v>
      </c>
      <c r="J36" s="5">
        <f>SUMIFS('Weekly Dump'!AE:AE,'Weekly Dump'!B:B,C36)</f>
        <v>0</v>
      </c>
      <c r="K36" s="4">
        <f>SUMPRODUCT(
  (TEXT('Weekly Dump'!$A$2:$A1009,"mmm-yy")=TEXT($AB36,"mmm-yy"))*
  ('Weekly Dump'!$B$2:$B1009=$C36)*
  'Weekly Dump'!$D$2:$D1009)</f>
        <v>0</v>
      </c>
      <c r="L36" s="4">
        <f>SUMPRODUCT(
  (TEXT('Weekly Dump'!$A$2:$A1009,"mmm-yy")=TEXT($AB36,"mmm-yy"))*
  ('Weekly Dump'!$B$2:$B1009=$C36)*
  'Weekly Dump'!$E$2:$E1009
)</f>
        <v>0</v>
      </c>
      <c r="M36" s="4">
        <f>SUMPRODUCT(
  (TEXT('Weekly Dump'!$A$2:$A1009,"mmm-yy")=TEXT($AB36,"mmm-yy"))*
  ('Weekly Dump'!$B$2:$B1009=$C36)*
  'Weekly Dump'!$P$2:$P1009
)</f>
        <v>0</v>
      </c>
      <c r="N36" s="39"/>
      <c r="O36" s="40">
        <f>SUMIFS('Weekly Dump'!$D:$D,'Weekly Dump'!$B:$B,$C36,'Weekly Dump'!$A:$A,$AB36)</f>
        <v>0</v>
      </c>
      <c r="P36" s="40">
        <f>SUMIFS('Weekly Dump'!R:R,'Weekly Dump'!B:B,C36,'Weekly Dump'!A:A,AB36)</f>
        <v>0</v>
      </c>
      <c r="Q36" s="40">
        <f t="shared" si="1"/>
        <v>0</v>
      </c>
      <c r="R36" s="41"/>
      <c r="S36" s="3" t="str">
        <f>IFERROR(VLOOKUP(C36,Sheet9!$C$10:$E$25,3,0),"")</f>
        <v/>
      </c>
      <c r="T36" s="4">
        <f>SUMIFS('Weekly Dump'!E:E,'Weekly Dump'!B:B,C36,'Weekly Dump'!A:A,AB36)</f>
        <v>0</v>
      </c>
      <c r="U36" s="3">
        <f t="shared" si="2"/>
        <v>0</v>
      </c>
      <c r="V36" s="42"/>
      <c r="W36" s="43"/>
      <c r="X36" s="4">
        <f>SUMIFS('Weekly Dump'!P:P,'Weekly Dump'!B:B,C36,'Weekly Dump'!A:A,AB36)</f>
        <v>0</v>
      </c>
      <c r="Y36" s="4">
        <f t="shared" si="3"/>
        <v>0</v>
      </c>
      <c r="Z36" s="41"/>
      <c r="AA36" s="12" t="str">
        <f>iferror(IF(VLOOKUP(C36,'Weekly Dump'!B:B,1,0)=C36,"Yes","Missing"),"")</f>
        <v/>
      </c>
      <c r="AB36" s="44">
        <v>46146.0</v>
      </c>
    </row>
    <row r="37">
      <c r="A37" s="38" t="s">
        <v>24</v>
      </c>
      <c r="B37" s="2"/>
      <c r="C37" s="2" t="str">
        <f t="shared" si="4"/>
        <v/>
      </c>
      <c r="D37" s="3" t="s">
        <v>115</v>
      </c>
      <c r="E37" s="38" t="s">
        <v>88</v>
      </c>
      <c r="F37" s="3" t="str">
        <f t="shared" si="5"/>
        <v/>
      </c>
      <c r="G37" s="3" t="str">
        <f t="shared" si="6"/>
        <v/>
      </c>
      <c r="I37" s="4">
        <f>SUMIFS('Weekly Dump'!D:D,'Weekly Dump'!B:B,C37)</f>
        <v>0</v>
      </c>
      <c r="J37" s="5">
        <f>SUMIFS('Weekly Dump'!AE:AE,'Weekly Dump'!B:B,C37)</f>
        <v>0</v>
      </c>
      <c r="K37" s="4">
        <f>SUMPRODUCT(
  (TEXT('Weekly Dump'!$A$2:$A1009,"mmm-yy")=TEXT($AB37,"mmm-yy"))*
  ('Weekly Dump'!$B$2:$B1009=$C37)*
  'Weekly Dump'!$D$2:$D1009)</f>
        <v>0</v>
      </c>
      <c r="L37" s="4">
        <f>SUMPRODUCT(
  (TEXT('Weekly Dump'!$A$2:$A1009,"mmm-yy")=TEXT($AB37,"mmm-yy"))*
  ('Weekly Dump'!$B$2:$B1009=$C37)*
  'Weekly Dump'!$E$2:$E1009
)</f>
        <v>0</v>
      </c>
      <c r="M37" s="4">
        <f>SUMPRODUCT(
  (TEXT('Weekly Dump'!$A$2:$A1009,"mmm-yy")=TEXT($AB37,"mmm-yy"))*
  ('Weekly Dump'!$B$2:$B1009=$C37)*
  'Weekly Dump'!$P$2:$P1009
)</f>
        <v>0</v>
      </c>
      <c r="N37" s="39"/>
      <c r="O37" s="40">
        <f>SUMIFS('Weekly Dump'!$D:$D,'Weekly Dump'!$B:$B,$C37,'Weekly Dump'!$A:$A,$AB37)</f>
        <v>0</v>
      </c>
      <c r="P37" s="40">
        <f>SUMIFS('Weekly Dump'!R:R,'Weekly Dump'!B:B,C37,'Weekly Dump'!A:A,AB37)</f>
        <v>0</v>
      </c>
      <c r="Q37" s="40">
        <f t="shared" si="1"/>
        <v>0</v>
      </c>
      <c r="R37" s="41"/>
      <c r="S37" s="3" t="str">
        <f>IFERROR(VLOOKUP(C37,Sheet9!$C$10:$E$25,3,0),"")</f>
        <v/>
      </c>
      <c r="T37" s="4">
        <f>SUMIFS('Weekly Dump'!E:E,'Weekly Dump'!B:B,C37,'Weekly Dump'!A:A,AB37)</f>
        <v>0</v>
      </c>
      <c r="U37" s="3">
        <f t="shared" si="2"/>
        <v>0</v>
      </c>
      <c r="V37" s="42"/>
      <c r="W37" s="43"/>
      <c r="X37" s="4">
        <f>SUMIFS('Weekly Dump'!P:P,'Weekly Dump'!B:B,C37,'Weekly Dump'!A:A,AB37)</f>
        <v>0</v>
      </c>
      <c r="Y37" s="4">
        <f t="shared" si="3"/>
        <v>0</v>
      </c>
      <c r="Z37" s="41"/>
      <c r="AA37" s="12" t="str">
        <f>iferror(IF(VLOOKUP(C37,'Weekly Dump'!B:B,1,0)=C37,"Yes","Missing"),"")</f>
        <v/>
      </c>
      <c r="AB37" s="44">
        <v>46146.0</v>
      </c>
    </row>
    <row r="38">
      <c r="A38" s="38" t="s">
        <v>24</v>
      </c>
      <c r="B38" s="2"/>
      <c r="C38" s="46" t="s">
        <v>116</v>
      </c>
      <c r="D38" s="38" t="s">
        <v>117</v>
      </c>
      <c r="E38" s="38" t="s">
        <v>88</v>
      </c>
      <c r="F38" s="3"/>
      <c r="G38" s="3"/>
      <c r="I38" s="4">
        <f>SUMIFS('Weekly Dump'!D:D,'Weekly Dump'!B:B,C38)</f>
        <v>31</v>
      </c>
      <c r="J38" s="5">
        <f>SUMIFS('Weekly Dump'!AE:AE,'Weekly Dump'!B:B,C38)</f>
        <v>0</v>
      </c>
      <c r="K38" s="4">
        <f>SUMPRODUCT(
  (TEXT('Weekly Dump'!$A$2:$A1009,"mmm-yy")=TEXT($AB38,"mmm-yy"))*
  ('Weekly Dump'!$B$2:$B1009=$C38)*
  'Weekly Dump'!$D$2:$D1009)</f>
        <v>31</v>
      </c>
      <c r="L38" s="4">
        <f>SUMPRODUCT(
  (TEXT('Weekly Dump'!$A$2:$A1009,"mmm-yy")=TEXT($AB38,"mmm-yy"))*
  ('Weekly Dump'!$B$2:$B1009=$C38)*
  'Weekly Dump'!$E$2:$E1009
)</f>
        <v>0</v>
      </c>
      <c r="M38" s="4">
        <f>SUMPRODUCT(
  (TEXT('Weekly Dump'!$A$2:$A1009,"mmm-yy")=TEXT($AB38,"mmm-yy"))*
  ('Weekly Dump'!$B$2:$B1009=$C38)*
  'Weekly Dump'!$P$2:$P1009
)</f>
        <v>0</v>
      </c>
      <c r="N38" s="39"/>
      <c r="O38" s="40">
        <f>SUMIFS('Weekly Dump'!$D:$D,'Weekly Dump'!$B:$B,$C38,'Weekly Dump'!$A:$A,$AB38)</f>
        <v>0</v>
      </c>
      <c r="P38" s="40">
        <f>SUMIFS('Weekly Dump'!R:R,'Weekly Dump'!B:B,C38,'Weekly Dump'!A:A,AB38)</f>
        <v>0</v>
      </c>
      <c r="Q38" s="40">
        <f t="shared" si="1"/>
        <v>0</v>
      </c>
      <c r="R38" s="41"/>
      <c r="S38" s="3" t="str">
        <f>IFERROR(VLOOKUP(C38,Sheet9!$C$10:$E$25,3,0),"")</f>
        <v/>
      </c>
      <c r="T38" s="4">
        <f>SUMIFS('Weekly Dump'!E:E,'Weekly Dump'!B:B,C38,'Weekly Dump'!A:A,AB38)</f>
        <v>0</v>
      </c>
      <c r="U38" s="3">
        <f t="shared" si="2"/>
        <v>0</v>
      </c>
      <c r="V38" s="42"/>
      <c r="W38" s="43"/>
      <c r="X38" s="4">
        <f>SUMIFS('Weekly Dump'!P:P,'Weekly Dump'!B:B,C38,'Weekly Dump'!A:A,AB38)</f>
        <v>0</v>
      </c>
      <c r="Y38" s="4">
        <f t="shared" si="3"/>
        <v>0</v>
      </c>
      <c r="Z38" s="41"/>
      <c r="AA38" s="12" t="str">
        <f>iferror(IF(VLOOKUP(C38,'Weekly Dump'!B:B,1,0)=C38,"Yes","Missing"),"")</f>
        <v>Yes</v>
      </c>
      <c r="AB38" s="44">
        <v>46146.0</v>
      </c>
    </row>
    <row r="39">
      <c r="A39" s="38" t="s">
        <v>24</v>
      </c>
      <c r="B39" s="2"/>
      <c r="C39" s="46" t="s">
        <v>118</v>
      </c>
      <c r="D39" s="38" t="s">
        <v>119</v>
      </c>
      <c r="E39" s="38" t="s">
        <v>88</v>
      </c>
      <c r="F39" s="3"/>
      <c r="G39" s="3"/>
      <c r="I39" s="4">
        <f>SUMIFS('Weekly Dump'!D:D,'Weekly Dump'!B:B,C39)</f>
        <v>25</v>
      </c>
      <c r="J39" s="5">
        <f>SUMIFS('Weekly Dump'!AE:AE,'Weekly Dump'!B:B,C39)</f>
        <v>0</v>
      </c>
      <c r="K39" s="4">
        <f>SUMPRODUCT(
  (TEXT('Weekly Dump'!$A$2:$A1009,"mmm-yy")=TEXT($AB39,"mmm-yy"))*
  ('Weekly Dump'!$B$2:$B1009=$C39)*
  'Weekly Dump'!$D$2:$D1009)</f>
        <v>25</v>
      </c>
      <c r="L39" s="4">
        <f>SUMPRODUCT(
  (TEXT('Weekly Dump'!$A$2:$A1009,"mmm-yy")=TEXT($AB39,"mmm-yy"))*
  ('Weekly Dump'!$B$2:$B1009=$C39)*
  'Weekly Dump'!$E$2:$E1009
)</f>
        <v>0</v>
      </c>
      <c r="M39" s="4">
        <f>SUMPRODUCT(
  (TEXT('Weekly Dump'!$A$2:$A1009,"mmm-yy")=TEXT($AB39,"mmm-yy"))*
  ('Weekly Dump'!$B$2:$B1009=$C39)*
  'Weekly Dump'!$P$2:$P1009
)</f>
        <v>0</v>
      </c>
      <c r="N39" s="39"/>
      <c r="O39" s="40">
        <f>SUMIFS('Weekly Dump'!$D:$D,'Weekly Dump'!$B:$B,$C39,'Weekly Dump'!$A:$A,$AB39)</f>
        <v>0</v>
      </c>
      <c r="P39" s="40">
        <f>SUMIFS('Weekly Dump'!R:R,'Weekly Dump'!B:B,C39,'Weekly Dump'!A:A,AB39)</f>
        <v>0</v>
      </c>
      <c r="Q39" s="40">
        <f t="shared" si="1"/>
        <v>0</v>
      </c>
      <c r="R39" s="41"/>
      <c r="S39" s="3" t="str">
        <f>IFERROR(VLOOKUP(C39,Sheet9!$C$10:$E$25,3,0),"")</f>
        <v/>
      </c>
      <c r="T39" s="4">
        <f>SUMIFS('Weekly Dump'!E:E,'Weekly Dump'!B:B,C39,'Weekly Dump'!A:A,AB39)</f>
        <v>0</v>
      </c>
      <c r="U39" s="3">
        <f t="shared" si="2"/>
        <v>0</v>
      </c>
      <c r="V39" s="42"/>
      <c r="W39" s="43"/>
      <c r="X39" s="4">
        <f>SUMIFS('Weekly Dump'!P:P,'Weekly Dump'!B:B,C39,'Weekly Dump'!A:A,AB39)</f>
        <v>0</v>
      </c>
      <c r="Y39" s="4">
        <f t="shared" si="3"/>
        <v>0</v>
      </c>
      <c r="Z39" s="41"/>
      <c r="AA39" s="12" t="str">
        <f>iferror(IF(VLOOKUP(C39,'Weekly Dump'!B:B,1,0)=C39,"Yes","Missing"),"")</f>
        <v>Yes</v>
      </c>
      <c r="AB39" s="44">
        <v>46146.0</v>
      </c>
    </row>
    <row r="40">
      <c r="A40" s="38" t="s">
        <v>24</v>
      </c>
      <c r="B40" s="2"/>
      <c r="C40" s="46" t="s">
        <v>120</v>
      </c>
      <c r="D40" s="38" t="s">
        <v>121</v>
      </c>
      <c r="E40" s="38" t="s">
        <v>88</v>
      </c>
      <c r="F40" s="3"/>
      <c r="G40" s="3"/>
      <c r="I40" s="4">
        <f>SUMIFS('Weekly Dump'!D:D,'Weekly Dump'!B:B,C40)</f>
        <v>5</v>
      </c>
      <c r="J40" s="5">
        <f>SUMIFS('Weekly Dump'!AE:AE,'Weekly Dump'!B:B,C40)</f>
        <v>0</v>
      </c>
      <c r="K40" s="4">
        <f>SUMPRODUCT(
  (TEXT('Weekly Dump'!$A$2:$A1009,"mmm-yy")=TEXT($AB40,"mmm-yy"))*
  ('Weekly Dump'!$B$2:$B1009=$C40)*
  'Weekly Dump'!$D$2:$D1009)</f>
        <v>5</v>
      </c>
      <c r="L40" s="4">
        <f>SUMPRODUCT(
  (TEXT('Weekly Dump'!$A$2:$A1009,"mmm-yy")=TEXT($AB40,"mmm-yy"))*
  ('Weekly Dump'!$B$2:$B1009=$C40)*
  'Weekly Dump'!$E$2:$E1009
)</f>
        <v>0</v>
      </c>
      <c r="M40" s="4">
        <f>SUMPRODUCT(
  (TEXT('Weekly Dump'!$A$2:$A1009,"mmm-yy")=TEXT($AB40,"mmm-yy"))*
  ('Weekly Dump'!$B$2:$B1009=$C40)*
  'Weekly Dump'!$P$2:$P1009
)</f>
        <v>0</v>
      </c>
      <c r="N40" s="39"/>
      <c r="O40" s="40">
        <f>SUMIFS('Weekly Dump'!$D:$D,'Weekly Dump'!$B:$B,$C40,'Weekly Dump'!$A:$A,$AB40)</f>
        <v>0</v>
      </c>
      <c r="P40" s="40">
        <f>SUMIFS('Weekly Dump'!R:R,'Weekly Dump'!B:B,C40,'Weekly Dump'!A:A,AB40)</f>
        <v>0</v>
      </c>
      <c r="Q40" s="40">
        <f t="shared" si="1"/>
        <v>0</v>
      </c>
      <c r="R40" s="41"/>
      <c r="S40" s="3" t="str">
        <f>IFERROR(VLOOKUP(C40,Sheet9!$C$10:$E$25,3,0),"")</f>
        <v/>
      </c>
      <c r="T40" s="4">
        <f>SUMIFS('Weekly Dump'!E:E,'Weekly Dump'!B:B,C40,'Weekly Dump'!A:A,AB40)</f>
        <v>0</v>
      </c>
      <c r="U40" s="3">
        <f t="shared" si="2"/>
        <v>0</v>
      </c>
      <c r="V40" s="42"/>
      <c r="W40" s="43"/>
      <c r="X40" s="4">
        <f>SUMIFS('Weekly Dump'!P:P,'Weekly Dump'!B:B,C40,'Weekly Dump'!A:A,AB40)</f>
        <v>0</v>
      </c>
      <c r="Y40" s="4">
        <f t="shared" si="3"/>
        <v>0</v>
      </c>
      <c r="Z40" s="41"/>
      <c r="AA40" s="12" t="str">
        <f>iferror(IF(VLOOKUP(C40,'Weekly Dump'!B:B,1,0)=C40,"Yes","Missing"),"")</f>
        <v>Yes</v>
      </c>
      <c r="AB40" s="44">
        <v>46146.0</v>
      </c>
    </row>
    <row r="41">
      <c r="A41" s="38" t="s">
        <v>24</v>
      </c>
      <c r="B41" s="2"/>
      <c r="C41" s="46" t="s">
        <v>122</v>
      </c>
      <c r="D41" s="38" t="s">
        <v>123</v>
      </c>
      <c r="E41" s="38" t="s">
        <v>88</v>
      </c>
      <c r="F41" s="3"/>
      <c r="G41" s="3"/>
      <c r="I41" s="4">
        <f>SUMIFS('Weekly Dump'!D:D,'Weekly Dump'!B:B,C41)</f>
        <v>24</v>
      </c>
      <c r="J41" s="5">
        <f>SUMIFS('Weekly Dump'!AE:AE,'Weekly Dump'!B:B,C41)</f>
        <v>0</v>
      </c>
      <c r="K41" s="4">
        <f>SUMPRODUCT(
  (TEXT('Weekly Dump'!$A$2:$A1009,"mmm-yy")=TEXT($AB41,"mmm-yy"))*
  ('Weekly Dump'!$B$2:$B1009=$C41)*
  'Weekly Dump'!$D$2:$D1009)</f>
        <v>24</v>
      </c>
      <c r="L41" s="4">
        <f>SUMPRODUCT(
  (TEXT('Weekly Dump'!$A$2:$A1009,"mmm-yy")=TEXT($AB41,"mmm-yy"))*
  ('Weekly Dump'!$B$2:$B1009=$C41)*
  'Weekly Dump'!$E$2:$E1009
)</f>
        <v>0</v>
      </c>
      <c r="M41" s="4">
        <f>SUMPRODUCT(
  (TEXT('Weekly Dump'!$A$2:$A1009,"mmm-yy")=TEXT($AB41,"mmm-yy"))*
  ('Weekly Dump'!$B$2:$B1009=$C41)*
  'Weekly Dump'!$P$2:$P1009
)</f>
        <v>0</v>
      </c>
      <c r="N41" s="39"/>
      <c r="O41" s="40">
        <f>SUMIFS('Weekly Dump'!$D:$D,'Weekly Dump'!$B:$B,$C41,'Weekly Dump'!$A:$A,$AB41)</f>
        <v>0</v>
      </c>
      <c r="P41" s="40">
        <f>SUMIFS('Weekly Dump'!R:R,'Weekly Dump'!B:B,C41,'Weekly Dump'!A:A,AB41)</f>
        <v>0</v>
      </c>
      <c r="Q41" s="40">
        <f t="shared" si="1"/>
        <v>0</v>
      </c>
      <c r="R41" s="41"/>
      <c r="S41" s="3" t="str">
        <f>IFERROR(VLOOKUP(C41,Sheet9!$C$10:$E$25,3,0),"")</f>
        <v/>
      </c>
      <c r="T41" s="4">
        <f>SUMIFS('Weekly Dump'!E:E,'Weekly Dump'!B:B,C41,'Weekly Dump'!A:A,AB41)</f>
        <v>0</v>
      </c>
      <c r="U41" s="3">
        <f t="shared" si="2"/>
        <v>0</v>
      </c>
      <c r="V41" s="42"/>
      <c r="W41" s="43"/>
      <c r="X41" s="4">
        <f>SUMIFS('Weekly Dump'!P:P,'Weekly Dump'!B:B,C41,'Weekly Dump'!A:A,AB41)</f>
        <v>0</v>
      </c>
      <c r="Y41" s="4">
        <f t="shared" si="3"/>
        <v>0</v>
      </c>
      <c r="Z41" s="41"/>
      <c r="AA41" s="12" t="str">
        <f>iferror(IF(VLOOKUP(C41,'Weekly Dump'!B:B,1,0)=C41,"Yes","Missing"),"")</f>
        <v>Yes</v>
      </c>
      <c r="AB41" s="44">
        <v>46146.0</v>
      </c>
    </row>
    <row r="42">
      <c r="A42" s="38" t="s">
        <v>24</v>
      </c>
      <c r="B42" s="2"/>
      <c r="C42" s="46" t="s">
        <v>124</v>
      </c>
      <c r="D42" s="38" t="s">
        <v>125</v>
      </c>
      <c r="E42" s="38" t="s">
        <v>88</v>
      </c>
      <c r="F42" s="3"/>
      <c r="G42" s="3"/>
      <c r="I42" s="4">
        <f>SUMIFS('Weekly Dump'!D:D,'Weekly Dump'!B:B,C42)</f>
        <v>12</v>
      </c>
      <c r="J42" s="5">
        <f>SUMIFS('Weekly Dump'!AE:AE,'Weekly Dump'!B:B,C42)</f>
        <v>0</v>
      </c>
      <c r="K42" s="4">
        <f>SUMPRODUCT(
  (TEXT('Weekly Dump'!$A$2:$A1009,"mmm-yy")=TEXT($AB42,"mmm-yy"))*
  ('Weekly Dump'!$B$2:$B1009=$C42)*
  'Weekly Dump'!$D$2:$D1009)</f>
        <v>12</v>
      </c>
      <c r="L42" s="4">
        <f>SUMPRODUCT(
  (TEXT('Weekly Dump'!$A$2:$A1009,"mmm-yy")=TEXT($AB42,"mmm-yy"))*
  ('Weekly Dump'!$B$2:$B1009=$C42)*
  'Weekly Dump'!$E$2:$E1009
)</f>
        <v>0</v>
      </c>
      <c r="M42" s="4">
        <f>SUMPRODUCT(
  (TEXT('Weekly Dump'!$A$2:$A1009,"mmm-yy")=TEXT($AB42,"mmm-yy"))*
  ('Weekly Dump'!$B$2:$B1009=$C42)*
  'Weekly Dump'!$P$2:$P1009
)</f>
        <v>0</v>
      </c>
      <c r="N42" s="39"/>
      <c r="O42" s="40">
        <f>SUMIFS('Weekly Dump'!$D:$D,'Weekly Dump'!$B:$B,$C42,'Weekly Dump'!$A:$A,$AB42)</f>
        <v>0</v>
      </c>
      <c r="P42" s="40">
        <f>SUMIFS('Weekly Dump'!R:R,'Weekly Dump'!B:B,C42,'Weekly Dump'!A:A,AB42)</f>
        <v>0</v>
      </c>
      <c r="Q42" s="40">
        <f t="shared" si="1"/>
        <v>0</v>
      </c>
      <c r="R42" s="41"/>
      <c r="S42" s="3" t="str">
        <f>IFERROR(VLOOKUP(C42,Sheet9!$C$10:$E$25,3,0),"")</f>
        <v/>
      </c>
      <c r="T42" s="4">
        <f>SUMIFS('Weekly Dump'!E:E,'Weekly Dump'!B:B,C42,'Weekly Dump'!A:A,AB42)</f>
        <v>0</v>
      </c>
      <c r="U42" s="3">
        <f t="shared" si="2"/>
        <v>0</v>
      </c>
      <c r="V42" s="42"/>
      <c r="W42" s="43"/>
      <c r="X42" s="4">
        <f>SUMIFS('Weekly Dump'!P:P,'Weekly Dump'!B:B,C42,'Weekly Dump'!A:A,AB42)</f>
        <v>0</v>
      </c>
      <c r="Y42" s="4">
        <f t="shared" si="3"/>
        <v>0</v>
      </c>
      <c r="Z42" s="41"/>
      <c r="AA42" s="12" t="str">
        <f>iferror(IF(VLOOKUP(C42,'Weekly Dump'!B:B,1,0)=C42,"Yes","Missing"),"")</f>
        <v>Yes</v>
      </c>
      <c r="AB42" s="44">
        <v>46146.0</v>
      </c>
    </row>
    <row r="43">
      <c r="A43" s="47"/>
      <c r="B43" s="48"/>
      <c r="C43" s="48"/>
      <c r="D43" s="49"/>
      <c r="E43" s="49"/>
      <c r="F43" s="49"/>
      <c r="G43" s="49"/>
      <c r="H43" s="49"/>
      <c r="I43" s="50"/>
      <c r="J43" s="51"/>
      <c r="K43" s="50">
        <f>SUMPRODUCT(
  (TEXT('Weekly Dump'!$A$2:$A1009,"mmm-yy")=TEXT($AB43,"mmm-yy"))*
  ('Weekly Dump'!$B$2:$B1009=$C43)*
  'Weekly Dump'!$D$2:$D1009)</f>
        <v>0</v>
      </c>
      <c r="L43" s="50">
        <f>SUMPRODUCT(
  (TEXT('Weekly Dump'!$A$2:$A1009,"mmm-yy")=TEXT($AB43,"mmm-yy"))*
  ('Weekly Dump'!$B$2:$B1009=$C43)*
  'Weekly Dump'!$E$2:$E1009
)</f>
        <v>0</v>
      </c>
      <c r="M43" s="50">
        <f>SUMPRODUCT(
  (TEXT('Weekly Dump'!$A$2:$A1009,"mmm-yy")=TEXT($AB43,"mmm-yy"))*
  ('Weekly Dump'!$B$2:$B1009=$C43)*
  'Weekly Dump'!$P$2:$P1009
)</f>
        <v>0</v>
      </c>
      <c r="N43" s="52"/>
      <c r="O43" s="53"/>
      <c r="P43" s="53"/>
      <c r="Q43" s="50"/>
      <c r="R43" s="54"/>
      <c r="S43" s="55"/>
      <c r="T43" s="50"/>
      <c r="U43" s="49"/>
      <c r="V43" s="56"/>
      <c r="W43" s="55"/>
      <c r="X43" s="50"/>
      <c r="Y43" s="57"/>
      <c r="Z43" s="58"/>
      <c r="AA43" s="58" t="str">
        <f>iferror(IF(VLOOKUP(C43,'Weekly Dump'!B:B,1,0)=C43,"Yes","Missing"),"")</f>
        <v/>
      </c>
      <c r="AB43" s="59"/>
    </row>
    <row r="44">
      <c r="A44" s="38" t="s">
        <v>126</v>
      </c>
      <c r="B44" s="3" t="s">
        <v>25</v>
      </c>
      <c r="C44" s="2" t="s">
        <v>26</v>
      </c>
      <c r="D44" s="3" t="s">
        <v>27</v>
      </c>
      <c r="E44" s="3" t="s">
        <v>28</v>
      </c>
      <c r="F44" s="3" t="s">
        <v>29</v>
      </c>
      <c r="G44" s="3" t="s">
        <v>30</v>
      </c>
      <c r="H44" s="3"/>
      <c r="I44" s="4">
        <f>SUMIFS('Weekly Dump'!D:D,'Weekly Dump'!B:B,C44)</f>
        <v>1040</v>
      </c>
      <c r="J44" s="5">
        <f>SUMIFS('Weekly Dump'!AE:AE,'Weekly Dump'!B:B,C44)</f>
        <v>170.8347222</v>
      </c>
      <c r="K44" s="4">
        <f>SUMPRODUCT(
  (TEXT('Weekly Dump'!$A$2:$A1009,"mmm-yy")=TEXT($AB44,"mmm-yy"))*
  ('Weekly Dump'!$B$2:$B1009=$C44)*
  'Weekly Dump'!$D$2:$D1009)</f>
        <v>40</v>
      </c>
      <c r="L44" s="4">
        <f>SUMPRODUCT(
  (TEXT('Weekly Dump'!$A$2:$A1009,"mmm-yy")=TEXT($AB44,"mmm-yy"))*
  ('Weekly Dump'!$B$2:$B1009=$C44)*
  'Weekly Dump'!$E$2:$E1009
)</f>
        <v>123</v>
      </c>
      <c r="M44" s="4">
        <f>SUMPRODUCT(
  (TEXT('Weekly Dump'!$A$2:$A1009,"mmm-yy")=TEXT($AB44,"mmm-yy"))*
  ('Weekly Dump'!$B$2:$B1009=$C44)*
  'Weekly Dump'!$P$2:$P1009
)</f>
        <v>93</v>
      </c>
      <c r="N44" s="39">
        <v>15.0</v>
      </c>
      <c r="O44" s="40">
        <f>SUMIFS('Weekly Dump'!$D:$D,'Weekly Dump'!$B:$B,$C44,'Weekly Dump'!$A:$A,$AB44)</f>
        <v>17</v>
      </c>
      <c r="P44" s="40">
        <f>SUMIFS('Weekly Dump'!R:R,'Weekly Dump'!B:B,C44,'Weekly Dump'!A:A,AB44)</f>
        <v>40968</v>
      </c>
      <c r="Q44" s="40">
        <f t="shared" ref="Q44:Q81" si="7">O44-N44</f>
        <v>2</v>
      </c>
      <c r="R44" s="41"/>
      <c r="S44" s="3">
        <f>IFERROR(VLOOKUP(C44,Sheet9!$C$10:$E$25,3,0),"")</f>
        <v>42</v>
      </c>
      <c r="T44" s="4">
        <f>SUMIFS('Weekly Dump'!E:E,'Weekly Dump'!B:B,C44,'Weekly Dump'!A:A,AB44)</f>
        <v>70</v>
      </c>
      <c r="U44" s="3">
        <f t="shared" ref="U44:U81" si="8">S44-T44</f>
        <v>-28</v>
      </c>
      <c r="V44" s="42"/>
      <c r="W44" s="4">
        <v>42.0</v>
      </c>
      <c r="X44" s="4">
        <f>SUMIFS('Weekly Dump'!P:P,'Weekly Dump'!B:B,C44,'Weekly Dump'!A:A,AB44)</f>
        <v>38</v>
      </c>
      <c r="Y44" s="4">
        <f t="shared" ref="Y44:Y81" si="9">X44-W44</f>
        <v>-4</v>
      </c>
      <c r="Z44" s="41"/>
      <c r="AA44" s="12" t="str">
        <f>iferror(IF(VLOOKUP(C44,'Weekly Dump'!B:B,1,0)=C44,"Yes","Missing"),"")</f>
        <v>Yes</v>
      </c>
      <c r="AB44" s="60">
        <v>46153.0</v>
      </c>
    </row>
    <row r="45">
      <c r="A45" s="38" t="s">
        <v>126</v>
      </c>
      <c r="B45" s="3" t="s">
        <v>31</v>
      </c>
      <c r="C45" s="2" t="s">
        <v>32</v>
      </c>
      <c r="D45" s="3" t="s">
        <v>33</v>
      </c>
      <c r="E45" s="3" t="s">
        <v>28</v>
      </c>
      <c r="F45" s="3" t="s">
        <v>34</v>
      </c>
      <c r="G45" s="3" t="s">
        <v>35</v>
      </c>
      <c r="I45" s="4">
        <f>SUMIFS('Weekly Dump'!D:D,'Weekly Dump'!B:B,C45)</f>
        <v>854</v>
      </c>
      <c r="J45" s="5">
        <f>SUMIFS('Weekly Dump'!AE:AE,'Weekly Dump'!B:B,C45)</f>
        <v>189.9819444</v>
      </c>
      <c r="K45" s="4">
        <f>SUMPRODUCT(
  (TEXT('Weekly Dump'!$A$2:$A1009,"mmm-yy")=TEXT($AB45,"mmm-yy"))*
  ('Weekly Dump'!$B$2:$B1009=$C45)*
  'Weekly Dump'!$D$2:$D1009)</f>
        <v>52</v>
      </c>
      <c r="L45" s="4">
        <f>SUMPRODUCT(
  (TEXT('Weekly Dump'!$A$2:$A1009,"mmm-yy")=TEXT($AB45,"mmm-yy"))*
  ('Weekly Dump'!$B$2:$B1009=$C45)*
  'Weekly Dump'!$E$2:$E1009
)</f>
        <v>60</v>
      </c>
      <c r="M45" s="4">
        <f>SUMPRODUCT(
  (TEXT('Weekly Dump'!$A$2:$A1009,"mmm-yy")=TEXT($AB45,"mmm-yy"))*
  ('Weekly Dump'!$B$2:$B1009=$C45)*
  'Weekly Dump'!$P$2:$P1009
)</f>
        <v>65</v>
      </c>
      <c r="N45" s="39">
        <v>15.0</v>
      </c>
      <c r="O45" s="40">
        <f>SUMIFS('Weekly Dump'!$D:$D,'Weekly Dump'!$B:$B,$C45,'Weekly Dump'!$A:$A,$AB45)</f>
        <v>14</v>
      </c>
      <c r="P45" s="40">
        <f>SUMIFS('Weekly Dump'!R:R,'Weekly Dump'!B:B,C45,'Weekly Dump'!A:A,AB45)</f>
        <v>33662</v>
      </c>
      <c r="Q45" s="40">
        <f t="shared" si="7"/>
        <v>-1</v>
      </c>
      <c r="R45" s="41"/>
      <c r="S45" s="3">
        <f>IFERROR(VLOOKUP(C45,Sheet9!$C$10:$E$25,3,0),"")</f>
        <v>24</v>
      </c>
      <c r="T45" s="4">
        <f>SUMIFS('Weekly Dump'!E:E,'Weekly Dump'!B:B,C45,'Weekly Dump'!A:A,AB45)</f>
        <v>24</v>
      </c>
      <c r="U45" s="3">
        <f t="shared" si="8"/>
        <v>0</v>
      </c>
      <c r="V45" s="42"/>
      <c r="W45" s="4">
        <v>24.0</v>
      </c>
      <c r="X45" s="4">
        <f>SUMIFS('Weekly Dump'!P:P,'Weekly Dump'!B:B,C45,'Weekly Dump'!A:A,AB45)</f>
        <v>24</v>
      </c>
      <c r="Y45" s="4">
        <f t="shared" si="9"/>
        <v>0</v>
      </c>
      <c r="Z45" s="41"/>
      <c r="AA45" s="12" t="str">
        <f>iferror(IF(VLOOKUP(C45,'Weekly Dump'!B:B,1,0)=C45,"Yes","Missing"),"")</f>
        <v>Yes</v>
      </c>
      <c r="AB45" s="60">
        <v>46153.0</v>
      </c>
    </row>
    <row r="46">
      <c r="A46" s="38" t="s">
        <v>126</v>
      </c>
      <c r="B46" s="3" t="s">
        <v>36</v>
      </c>
      <c r="C46" s="2" t="s">
        <v>37</v>
      </c>
      <c r="D46" s="3" t="s">
        <v>38</v>
      </c>
      <c r="E46" s="3" t="s">
        <v>28</v>
      </c>
      <c r="F46" s="3" t="s">
        <v>34</v>
      </c>
      <c r="G46" s="3" t="s">
        <v>39</v>
      </c>
      <c r="I46" s="4">
        <f>SUMIFS('Weekly Dump'!D:D,'Weekly Dump'!B:B,C46)</f>
        <v>268</v>
      </c>
      <c r="J46" s="5">
        <f>SUMIFS('Weekly Dump'!AE:AE,'Weekly Dump'!B:B,C46)</f>
        <v>61.42138889</v>
      </c>
      <c r="K46" s="4">
        <f>SUMPRODUCT(
  (TEXT('Weekly Dump'!$A$2:$A1009,"mmm-yy")=TEXT($AB46,"mmm-yy"))*
  ('Weekly Dump'!$B$2:$B1009=$C46)*
  'Weekly Dump'!$D$2:$D1009)</f>
        <v>57</v>
      </c>
      <c r="L46" s="4">
        <f>SUMPRODUCT(
  (TEXT('Weekly Dump'!$A$2:$A1009,"mmm-yy")=TEXT($AB46,"mmm-yy"))*
  ('Weekly Dump'!$B$2:$B1009=$C46)*
  'Weekly Dump'!$E$2:$E1009
)</f>
        <v>48</v>
      </c>
      <c r="M46" s="4">
        <f>SUMPRODUCT(
  (TEXT('Weekly Dump'!$A$2:$A1009,"mmm-yy")=TEXT($AB46,"mmm-yy"))*
  ('Weekly Dump'!$B$2:$B1009=$C46)*
  'Weekly Dump'!$P$2:$P1009
)</f>
        <v>45</v>
      </c>
      <c r="N46" s="39">
        <v>12.0</v>
      </c>
      <c r="O46" s="40">
        <f>SUMIFS('Weekly Dump'!$D:$D,'Weekly Dump'!$B:$B,$C46,'Weekly Dump'!$A:$A,$AB46)</f>
        <v>19</v>
      </c>
      <c r="P46" s="40">
        <f>SUMIFS('Weekly Dump'!R:R,'Weekly Dump'!B:B,C46,'Weekly Dump'!A:A,AB46)</f>
        <v>45860</v>
      </c>
      <c r="Q46" s="40">
        <f t="shared" si="7"/>
        <v>7</v>
      </c>
      <c r="R46" s="41"/>
      <c r="S46" s="3">
        <f>IFERROR(VLOOKUP(C46,Sheet9!$C$10:$E$25,3,0),"")</f>
        <v>16</v>
      </c>
      <c r="T46" s="4">
        <f>SUMIFS('Weekly Dump'!E:E,'Weekly Dump'!B:B,C46,'Weekly Dump'!A:A,AB46)</f>
        <v>17</v>
      </c>
      <c r="U46" s="3">
        <f t="shared" si="8"/>
        <v>-1</v>
      </c>
      <c r="V46" s="42"/>
      <c r="W46" s="4">
        <v>16.0</v>
      </c>
      <c r="X46" s="4">
        <f>SUMIFS('Weekly Dump'!P:P,'Weekly Dump'!B:B,C46,'Weekly Dump'!A:A,AB46)</f>
        <v>13</v>
      </c>
      <c r="Y46" s="4">
        <f t="shared" si="9"/>
        <v>-3</v>
      </c>
      <c r="Z46" s="41"/>
      <c r="AA46" s="12" t="str">
        <f>iferror(IF(VLOOKUP(C46,'Weekly Dump'!B:B,1,0)=C46,"Yes","Missing"),"")</f>
        <v>Yes</v>
      </c>
      <c r="AB46" s="60">
        <v>46153.0</v>
      </c>
    </row>
    <row r="47">
      <c r="A47" s="38" t="s">
        <v>126</v>
      </c>
      <c r="B47" s="3" t="s">
        <v>40</v>
      </c>
      <c r="C47" s="2" t="s">
        <v>41</v>
      </c>
      <c r="D47" s="3" t="s">
        <v>42</v>
      </c>
      <c r="E47" s="3" t="s">
        <v>28</v>
      </c>
      <c r="F47" s="3" t="s">
        <v>43</v>
      </c>
      <c r="G47" s="3" t="s">
        <v>44</v>
      </c>
      <c r="I47" s="4">
        <f>SUMIFS('Weekly Dump'!D:D,'Weekly Dump'!B:B,C47)</f>
        <v>132</v>
      </c>
      <c r="J47" s="5">
        <f>SUMIFS('Weekly Dump'!AE:AE,'Weekly Dump'!B:B,C47)</f>
        <v>247.0944444</v>
      </c>
      <c r="K47" s="4">
        <f>SUMPRODUCT(
  (TEXT('Weekly Dump'!$A$2:$A1009,"mmm-yy")=TEXT($AB47,"mmm-yy"))*
  ('Weekly Dump'!$B$2:$B1009=$C47)*
  'Weekly Dump'!$D$2:$D1009)</f>
        <v>75</v>
      </c>
      <c r="L47" s="4">
        <f>SUMPRODUCT(
  (TEXT('Weekly Dump'!$A$2:$A1009,"mmm-yy")=TEXT($AB47,"mmm-yy"))*
  ('Weekly Dump'!$B$2:$B1009=$C47)*
  'Weekly Dump'!$E$2:$E1009
)</f>
        <v>74</v>
      </c>
      <c r="M47" s="4">
        <f>SUMPRODUCT(
  (TEXT('Weekly Dump'!$A$2:$A1009,"mmm-yy")=TEXT($AB47,"mmm-yy"))*
  ('Weekly Dump'!$B$2:$B1009=$C47)*
  'Weekly Dump'!$P$2:$P1009
)</f>
        <v>65</v>
      </c>
      <c r="N47" s="39">
        <v>25.0</v>
      </c>
      <c r="O47" s="40">
        <f>SUMIFS('Weekly Dump'!$D:$D,'Weekly Dump'!$B:$B,$C47,'Weekly Dump'!$A:$A,$AB47)</f>
        <v>27</v>
      </c>
      <c r="P47" s="40">
        <f>SUMIFS('Weekly Dump'!R:R,'Weekly Dump'!B:B,C47,'Weekly Dump'!A:A,AB47)</f>
        <v>78423</v>
      </c>
      <c r="Q47" s="40">
        <f t="shared" si="7"/>
        <v>2</v>
      </c>
      <c r="R47" s="41"/>
      <c r="S47" s="3" t="str">
        <f>IFERROR(VLOOKUP(C47,Sheet9!$C$10:$E$25,3,0),"")</f>
        <v/>
      </c>
      <c r="T47" s="4">
        <f>SUMIFS('Weekly Dump'!E:E,'Weekly Dump'!B:B,C47,'Weekly Dump'!A:A,AB47)</f>
        <v>31</v>
      </c>
      <c r="U47" s="3">
        <f t="shared" si="8"/>
        <v>-31</v>
      </c>
      <c r="V47" s="42"/>
      <c r="W47" s="4"/>
      <c r="X47" s="4">
        <f>SUMIFS('Weekly Dump'!P:P,'Weekly Dump'!B:B,C47,'Weekly Dump'!A:A,AB47)</f>
        <v>23</v>
      </c>
      <c r="Y47" s="4">
        <f t="shared" si="9"/>
        <v>23</v>
      </c>
      <c r="Z47" s="41"/>
      <c r="AA47" s="12" t="str">
        <f>iferror(IF(VLOOKUP(C47,'Weekly Dump'!B:B,1,0)=C47,"Yes","Missing"),"")</f>
        <v>Yes</v>
      </c>
      <c r="AB47" s="60">
        <v>46153.0</v>
      </c>
    </row>
    <row r="48">
      <c r="A48" s="38" t="s">
        <v>126</v>
      </c>
      <c r="B48" s="3" t="s">
        <v>45</v>
      </c>
      <c r="C48" s="2" t="s">
        <v>46</v>
      </c>
      <c r="D48" s="3" t="s">
        <v>47</v>
      </c>
      <c r="E48" s="3" t="s">
        <v>48</v>
      </c>
      <c r="F48" s="3" t="s">
        <v>29</v>
      </c>
      <c r="G48" s="3" t="s">
        <v>49</v>
      </c>
      <c r="I48" s="4">
        <f>SUMIFS('Weekly Dump'!D:D,'Weekly Dump'!B:B,C48)</f>
        <v>12</v>
      </c>
      <c r="J48" s="5">
        <f>SUMIFS('Weekly Dump'!AE:AE,'Weekly Dump'!B:B,C48)</f>
        <v>91.65555556</v>
      </c>
      <c r="K48" s="4">
        <f>SUMPRODUCT(
  (TEXT('Weekly Dump'!$A$2:$A1009,"mmm-yy")=TEXT($AB48,"mmm-yy"))*
  ('Weekly Dump'!$B$2:$B1009=$C48)*
  'Weekly Dump'!$D$2:$D1009)</f>
        <v>0</v>
      </c>
      <c r="L48" s="4">
        <f>SUMPRODUCT(
  (TEXT('Weekly Dump'!$A$2:$A1009,"mmm-yy")=TEXT($AB48,"mmm-yy"))*
  ('Weekly Dump'!$B$2:$B1009=$C48)*
  'Weekly Dump'!$E$2:$E1009
)</f>
        <v>0</v>
      </c>
      <c r="M48" s="4">
        <f>SUMPRODUCT(
  (TEXT('Weekly Dump'!$A$2:$A1009,"mmm-yy")=TEXT($AB48,"mmm-yy"))*
  ('Weekly Dump'!$B$2:$B1009=$C48)*
  'Weekly Dump'!$P$2:$P1009
)</f>
        <v>0</v>
      </c>
      <c r="N48" s="39"/>
      <c r="O48" s="40">
        <f>SUMIFS('Weekly Dump'!$D:$D,'Weekly Dump'!$B:$B,$C48,'Weekly Dump'!$A:$A,$AB48)</f>
        <v>0</v>
      </c>
      <c r="P48" s="40">
        <f>SUMIFS('Weekly Dump'!R:R,'Weekly Dump'!B:B,C48,'Weekly Dump'!A:A,AB48)</f>
        <v>0</v>
      </c>
      <c r="Q48" s="40">
        <f t="shared" si="7"/>
        <v>0</v>
      </c>
      <c r="R48" s="41"/>
      <c r="S48" s="3" t="str">
        <f>IFERROR(VLOOKUP(C48,Sheet9!$C$10:$E$25,3,0),"")</f>
        <v/>
      </c>
      <c r="T48" s="4">
        <f>SUMIFS('Weekly Dump'!E:E,'Weekly Dump'!B:B,C48,'Weekly Dump'!A:A,AB48)</f>
        <v>0</v>
      </c>
      <c r="U48" s="3">
        <f t="shared" si="8"/>
        <v>0</v>
      </c>
      <c r="V48" s="42"/>
      <c r="W48" s="4"/>
      <c r="X48" s="4">
        <f>SUMIFS('Weekly Dump'!P:P,'Weekly Dump'!B:B,C48,'Weekly Dump'!A:A,AB48)</f>
        <v>0</v>
      </c>
      <c r="Y48" s="4">
        <f t="shared" si="9"/>
        <v>0</v>
      </c>
      <c r="Z48" s="41"/>
      <c r="AA48" s="12" t="str">
        <f>iferror(IF(VLOOKUP(C48,'Weekly Dump'!B:B,1,0)=C48,"Yes","Missing"),"")</f>
        <v>Yes</v>
      </c>
      <c r="AB48" s="60">
        <v>46153.0</v>
      </c>
    </row>
    <row r="49">
      <c r="A49" s="38" t="s">
        <v>126</v>
      </c>
      <c r="B49" s="2" t="s">
        <v>50</v>
      </c>
      <c r="C49" s="2"/>
      <c r="D49" s="3" t="s">
        <v>51</v>
      </c>
      <c r="E49" s="38" t="s">
        <v>48</v>
      </c>
      <c r="F49" s="3" t="s">
        <v>29</v>
      </c>
      <c r="G49" s="3" t="s">
        <v>52</v>
      </c>
      <c r="I49" s="4">
        <f>SUMIFS('Weekly Dump'!D:D,'Weekly Dump'!B:B,C49)</f>
        <v>0</v>
      </c>
      <c r="J49" s="5">
        <f>SUMIFS('Weekly Dump'!AE:AE,'Weekly Dump'!B:B,C49)</f>
        <v>0</v>
      </c>
      <c r="K49" s="4">
        <f>SUMPRODUCT(
  (TEXT('Weekly Dump'!$A$2:$A1009,"mmm-yy")=TEXT($AB49,"mmm-yy"))*
  ('Weekly Dump'!$B$2:$B1009=$C49)*
  'Weekly Dump'!$D$2:$D1009)</f>
        <v>0</v>
      </c>
      <c r="L49" s="4">
        <f>SUMPRODUCT(
  (TEXT('Weekly Dump'!$A$2:$A1009,"mmm-yy")=TEXT($AB49,"mmm-yy"))*
  ('Weekly Dump'!$B$2:$B1009=$C49)*
  'Weekly Dump'!$E$2:$E1009
)</f>
        <v>0</v>
      </c>
      <c r="M49" s="4">
        <f>SUMPRODUCT(
  (TEXT('Weekly Dump'!$A$2:$A1009,"mmm-yy")=TEXT($AB49,"mmm-yy"))*
  ('Weekly Dump'!$B$2:$B1009=$C49)*
  'Weekly Dump'!$P$2:$P1009
)</f>
        <v>0</v>
      </c>
      <c r="N49" s="39"/>
      <c r="O49" s="40">
        <f>SUMIFS('Weekly Dump'!$D:$D,'Weekly Dump'!$B:$B,$C49,'Weekly Dump'!$A:$A,$AB49)</f>
        <v>0</v>
      </c>
      <c r="P49" s="40">
        <f>SUMIFS('Weekly Dump'!R:R,'Weekly Dump'!B:B,C49,'Weekly Dump'!A:A,AB49)</f>
        <v>0</v>
      </c>
      <c r="Q49" s="40">
        <f t="shared" si="7"/>
        <v>0</v>
      </c>
      <c r="R49" s="41"/>
      <c r="S49" s="3" t="str">
        <f>IFERROR(VLOOKUP(C49,Sheet9!$C$10:$E$25,3,0),"")</f>
        <v/>
      </c>
      <c r="T49" s="4">
        <f>SUMIFS('Weekly Dump'!E:E,'Weekly Dump'!B:B,C49,'Weekly Dump'!A:A,AB49)</f>
        <v>0</v>
      </c>
      <c r="U49" s="3">
        <f t="shared" si="8"/>
        <v>0</v>
      </c>
      <c r="V49" s="42"/>
      <c r="W49" s="4"/>
      <c r="X49" s="4">
        <f>SUMIFS('Weekly Dump'!P:P,'Weekly Dump'!B:B,C49,'Weekly Dump'!A:A,AB49)</f>
        <v>0</v>
      </c>
      <c r="Y49" s="4">
        <f t="shared" si="9"/>
        <v>0</v>
      </c>
      <c r="Z49" s="41"/>
      <c r="AA49" s="12" t="str">
        <f>iferror(IF(VLOOKUP(C49,'Weekly Dump'!B:B,1,0)=C49,"Yes","Missing"),"")</f>
        <v/>
      </c>
      <c r="AB49" s="60">
        <v>46153.0</v>
      </c>
    </row>
    <row r="50">
      <c r="A50" s="38" t="s">
        <v>126</v>
      </c>
      <c r="B50" s="2" t="s">
        <v>53</v>
      </c>
      <c r="C50" s="2"/>
      <c r="D50" s="3" t="s">
        <v>54</v>
      </c>
      <c r="E50" s="38" t="s">
        <v>48</v>
      </c>
      <c r="F50" s="3" t="s">
        <v>34</v>
      </c>
      <c r="G50" s="3" t="s">
        <v>55</v>
      </c>
      <c r="I50" s="4">
        <f>SUMIFS('Weekly Dump'!D:D,'Weekly Dump'!B:B,C50)</f>
        <v>0</v>
      </c>
      <c r="J50" s="5">
        <f>SUMIFS('Weekly Dump'!AE:AE,'Weekly Dump'!B:B,C50)</f>
        <v>0</v>
      </c>
      <c r="K50" s="4">
        <f>SUMPRODUCT(
  (TEXT('Weekly Dump'!$A$2:$A1009,"mmm-yy")=TEXT($AB50,"mmm-yy"))*
  ('Weekly Dump'!$B$2:$B1009=$C50)*
  'Weekly Dump'!$D$2:$D1009)</f>
        <v>0</v>
      </c>
      <c r="L50" s="4">
        <f>SUMPRODUCT(
  (TEXT('Weekly Dump'!$A$2:$A1009,"mmm-yy")=TEXT($AB50,"mmm-yy"))*
  ('Weekly Dump'!$B$2:$B1009=$C50)*
  'Weekly Dump'!$E$2:$E1009
)</f>
        <v>0</v>
      </c>
      <c r="M50" s="4">
        <f>SUMPRODUCT(
  (TEXT('Weekly Dump'!$A$2:$A1009,"mmm-yy")=TEXT($AB50,"mmm-yy"))*
  ('Weekly Dump'!$B$2:$B1009=$C50)*
  'Weekly Dump'!$P$2:$P1009
)</f>
        <v>0</v>
      </c>
      <c r="N50" s="39"/>
      <c r="O50" s="40">
        <f>SUMIFS('Weekly Dump'!$D:$D,'Weekly Dump'!$B:$B,$C50,'Weekly Dump'!$A:$A,$AB50)</f>
        <v>0</v>
      </c>
      <c r="P50" s="40">
        <f>SUMIFS('Weekly Dump'!R:R,'Weekly Dump'!B:B,C50,'Weekly Dump'!A:A,AB50)</f>
        <v>0</v>
      </c>
      <c r="Q50" s="40">
        <f t="shared" si="7"/>
        <v>0</v>
      </c>
      <c r="R50" s="41"/>
      <c r="S50" s="3" t="str">
        <f>IFERROR(VLOOKUP(C50,Sheet9!$C$10:$E$25,3,0),"")</f>
        <v/>
      </c>
      <c r="T50" s="4">
        <f>SUMIFS('Weekly Dump'!E:E,'Weekly Dump'!B:B,C50,'Weekly Dump'!A:A,AB50)</f>
        <v>0</v>
      </c>
      <c r="U50" s="3">
        <f t="shared" si="8"/>
        <v>0</v>
      </c>
      <c r="V50" s="42"/>
      <c r="W50" s="4"/>
      <c r="X50" s="4">
        <f>SUMIFS('Weekly Dump'!P:P,'Weekly Dump'!B:B,C50,'Weekly Dump'!A:A,AB50)</f>
        <v>0</v>
      </c>
      <c r="Y50" s="4">
        <f t="shared" si="9"/>
        <v>0</v>
      </c>
      <c r="Z50" s="41"/>
      <c r="AA50" s="12" t="str">
        <f>iferror(IF(VLOOKUP(C50,'Weekly Dump'!B:B,1,0)=C50,"Yes","Missing"),"")</f>
        <v/>
      </c>
      <c r="AB50" s="60">
        <v>46153.0</v>
      </c>
    </row>
    <row r="51">
      <c r="A51" s="38" t="s">
        <v>126</v>
      </c>
      <c r="B51" s="3"/>
      <c r="C51" s="2" t="s">
        <v>56</v>
      </c>
      <c r="D51" s="3" t="s">
        <v>57</v>
      </c>
      <c r="E51" s="3" t="s">
        <v>28</v>
      </c>
      <c r="F51" s="3" t="s">
        <v>29</v>
      </c>
      <c r="G51" s="3" t="s">
        <v>58</v>
      </c>
      <c r="I51" s="4">
        <f>SUMIFS('Weekly Dump'!D:D,'Weekly Dump'!B:B,C51)</f>
        <v>339</v>
      </c>
      <c r="J51" s="5">
        <f>SUMIFS('Weekly Dump'!AE:AE,'Weekly Dump'!B:B,C51)</f>
        <v>56.65111111</v>
      </c>
      <c r="K51" s="4">
        <f>SUMPRODUCT(
  (TEXT('Weekly Dump'!$A$2:$A1009,"mmm-yy")=TEXT($AB51,"mmm-yy"))*
  ('Weekly Dump'!$B$2:$B1009=$C51)*
  'Weekly Dump'!$D$2:$D1009)</f>
        <v>145</v>
      </c>
      <c r="L51" s="4">
        <f>SUMPRODUCT(
  (TEXT('Weekly Dump'!$A$2:$A1009,"mmm-yy")=TEXT($AB51,"mmm-yy"))*
  ('Weekly Dump'!$B$2:$B1009=$C51)*
  'Weekly Dump'!$E$2:$E1009
)</f>
        <v>139</v>
      </c>
      <c r="M51" s="4">
        <f>SUMPRODUCT(
  (TEXT('Weekly Dump'!$A$2:$A1009,"mmm-yy")=TEXT($AB51,"mmm-yy"))*
  ('Weekly Dump'!$B$2:$B1009=$C51)*
  'Weekly Dump'!$P$2:$P1009
)</f>
        <v>97</v>
      </c>
      <c r="N51" s="39">
        <v>40.0</v>
      </c>
      <c r="O51" s="40">
        <f>SUMIFS('Weekly Dump'!$D:$D,'Weekly Dump'!$B:$B,$C51,'Weekly Dump'!$A:$A,$AB51)</f>
        <v>51</v>
      </c>
      <c r="P51" s="40">
        <f>SUMIFS('Weekly Dump'!R:R,'Weekly Dump'!B:B,C51,'Weekly Dump'!A:A,AB51)</f>
        <v>108419</v>
      </c>
      <c r="Q51" s="40">
        <f t="shared" si="7"/>
        <v>11</v>
      </c>
      <c r="R51" s="41"/>
      <c r="S51" s="3">
        <f>IFERROR(VLOOKUP(C51,Sheet9!$C$10:$E$25,3,0),"")</f>
        <v>29</v>
      </c>
      <c r="T51" s="4">
        <f>SUMIFS('Weekly Dump'!E:E,'Weekly Dump'!B:B,C51,'Weekly Dump'!A:A,AB51)</f>
        <v>46</v>
      </c>
      <c r="U51" s="3">
        <f t="shared" si="8"/>
        <v>-17</v>
      </c>
      <c r="V51" s="42"/>
      <c r="W51" s="4">
        <v>29.0</v>
      </c>
      <c r="X51" s="4">
        <f>SUMIFS('Weekly Dump'!P:P,'Weekly Dump'!B:B,C51,'Weekly Dump'!A:A,AB51)</f>
        <v>18</v>
      </c>
      <c r="Y51" s="4">
        <f t="shared" si="9"/>
        <v>-11</v>
      </c>
      <c r="Z51" s="41"/>
      <c r="AA51" s="12" t="str">
        <f>iferror(IF(VLOOKUP(C51,'Weekly Dump'!B:B,1,0)=C51,"Yes","Missing"),"")</f>
        <v>Yes</v>
      </c>
      <c r="AB51" s="60">
        <v>46153.0</v>
      </c>
    </row>
    <row r="52">
      <c r="A52" s="38" t="s">
        <v>126</v>
      </c>
      <c r="B52" s="2" t="s">
        <v>59</v>
      </c>
      <c r="C52" s="2"/>
      <c r="D52" s="3" t="s">
        <v>60</v>
      </c>
      <c r="E52" s="38" t="s">
        <v>48</v>
      </c>
      <c r="F52" s="3" t="s">
        <v>29</v>
      </c>
      <c r="G52" s="3" t="s">
        <v>61</v>
      </c>
      <c r="I52" s="4">
        <f>SUMIFS('Weekly Dump'!D:D,'Weekly Dump'!B:B,C52)</f>
        <v>0</v>
      </c>
      <c r="J52" s="5">
        <f>SUMIFS('Weekly Dump'!AE:AE,'Weekly Dump'!B:B,C52)</f>
        <v>0</v>
      </c>
      <c r="K52" s="4">
        <f>SUMPRODUCT(
  (TEXT('Weekly Dump'!$A$2:$A1009,"mmm-yy")=TEXT($AB52,"mmm-yy"))*
  ('Weekly Dump'!$B$2:$B1009=$C52)*
  'Weekly Dump'!$D$2:$D1009)</f>
        <v>0</v>
      </c>
      <c r="L52" s="4">
        <f>SUMPRODUCT(
  (TEXT('Weekly Dump'!$A$2:$A1009,"mmm-yy")=TEXT($AB52,"mmm-yy"))*
  ('Weekly Dump'!$B$2:$B1009=$C52)*
  'Weekly Dump'!$E$2:$E1009
)</f>
        <v>0</v>
      </c>
      <c r="M52" s="4">
        <f>SUMPRODUCT(
  (TEXT('Weekly Dump'!$A$2:$A1009,"mmm-yy")=TEXT($AB52,"mmm-yy"))*
  ('Weekly Dump'!$B$2:$B1009=$C52)*
  'Weekly Dump'!$P$2:$P1009
)</f>
        <v>0</v>
      </c>
      <c r="N52" s="39"/>
      <c r="O52" s="40">
        <f>SUMIFS('Weekly Dump'!$D:$D,'Weekly Dump'!$B:$B,$C52,'Weekly Dump'!$A:$A,$AB52)</f>
        <v>0</v>
      </c>
      <c r="P52" s="40">
        <f>SUMIFS('Weekly Dump'!R:R,'Weekly Dump'!B:B,C52,'Weekly Dump'!A:A,AB52)</f>
        <v>0</v>
      </c>
      <c r="Q52" s="40">
        <f t="shared" si="7"/>
        <v>0</v>
      </c>
      <c r="R52" s="41"/>
      <c r="S52" s="3" t="str">
        <f>IFERROR(VLOOKUP(C52,Sheet9!$C$10:$E$25,3,0),"")</f>
        <v/>
      </c>
      <c r="T52" s="4">
        <f>SUMIFS('Weekly Dump'!E:E,'Weekly Dump'!B:B,C52,'Weekly Dump'!A:A,AB52)</f>
        <v>0</v>
      </c>
      <c r="U52" s="3">
        <f t="shared" si="8"/>
        <v>0</v>
      </c>
      <c r="V52" s="42"/>
      <c r="W52" s="4"/>
      <c r="X52" s="4">
        <f>SUMIFS('Weekly Dump'!P:P,'Weekly Dump'!B:B,C52,'Weekly Dump'!A:A,AB52)</f>
        <v>0</v>
      </c>
      <c r="Y52" s="4">
        <f t="shared" si="9"/>
        <v>0</v>
      </c>
      <c r="Z52" s="41"/>
      <c r="AA52" s="12" t="str">
        <f>iferror(IF(VLOOKUP(C52,'Weekly Dump'!B:B,1,0)=C52,"Yes","Missing"),"")</f>
        <v/>
      </c>
      <c r="AB52" s="60">
        <v>46153.0</v>
      </c>
    </row>
    <row r="53">
      <c r="A53" s="38" t="s">
        <v>126</v>
      </c>
      <c r="B53" s="3"/>
      <c r="C53" s="2" t="s">
        <v>62</v>
      </c>
      <c r="D53" s="3" t="s">
        <v>63</v>
      </c>
      <c r="E53" s="3" t="s">
        <v>28</v>
      </c>
      <c r="F53" s="3" t="s">
        <v>29</v>
      </c>
      <c r="G53" s="3" t="s">
        <v>61</v>
      </c>
      <c r="I53" s="4">
        <f>SUMIFS('Weekly Dump'!D:D,'Weekly Dump'!B:B,C53)</f>
        <v>219</v>
      </c>
      <c r="J53" s="5">
        <f>SUMIFS('Weekly Dump'!AE:AE,'Weekly Dump'!B:B,C53)</f>
        <v>40.93388889</v>
      </c>
      <c r="K53" s="4">
        <f>SUMPRODUCT(
  (TEXT('Weekly Dump'!$A$2:$A1009,"mmm-yy")=TEXT($AB53,"mmm-yy"))*
  ('Weekly Dump'!$B$2:$B1009=$C53)*
  'Weekly Dump'!$D$2:$D1009)</f>
        <v>0</v>
      </c>
      <c r="L53" s="4">
        <f>SUMPRODUCT(
  (TEXT('Weekly Dump'!$A$2:$A1009,"mmm-yy")=TEXT($AB53,"mmm-yy"))*
  ('Weekly Dump'!$B$2:$B1009=$C53)*
  'Weekly Dump'!$E$2:$E1009
)</f>
        <v>16</v>
      </c>
      <c r="M53" s="4">
        <f>SUMPRODUCT(
  (TEXT('Weekly Dump'!$A$2:$A1009,"mmm-yy")=TEXT($AB53,"mmm-yy"))*
  ('Weekly Dump'!$B$2:$B1009=$C53)*
  'Weekly Dump'!$P$2:$P1009
)</f>
        <v>23</v>
      </c>
      <c r="N53" s="39"/>
      <c r="O53" s="40">
        <f>SUMIFS('Weekly Dump'!$D:$D,'Weekly Dump'!$B:$B,$C53,'Weekly Dump'!$A:$A,$AB53)</f>
        <v>0</v>
      </c>
      <c r="P53" s="40">
        <f>SUMIFS('Weekly Dump'!R:R,'Weekly Dump'!B:B,C53,'Weekly Dump'!A:A,AB53)</f>
        <v>0</v>
      </c>
      <c r="Q53" s="40">
        <f t="shared" si="7"/>
        <v>0</v>
      </c>
      <c r="R53" s="41"/>
      <c r="S53" s="3">
        <f>IFERROR(VLOOKUP(C53,Sheet9!$C$10:$E$25,3,0),"")</f>
        <v>15</v>
      </c>
      <c r="T53" s="4">
        <f>SUMIFS('Weekly Dump'!E:E,'Weekly Dump'!B:B,C53,'Weekly Dump'!A:A,AB53)</f>
        <v>13</v>
      </c>
      <c r="U53" s="3">
        <f t="shared" si="8"/>
        <v>2</v>
      </c>
      <c r="V53" s="42"/>
      <c r="W53" s="4">
        <v>15.0</v>
      </c>
      <c r="X53" s="4">
        <f>SUMIFS('Weekly Dump'!P:P,'Weekly Dump'!B:B,C53,'Weekly Dump'!A:A,AB53)</f>
        <v>3</v>
      </c>
      <c r="Y53" s="4">
        <f t="shared" si="9"/>
        <v>-12</v>
      </c>
      <c r="Z53" s="41"/>
      <c r="AA53" s="12" t="str">
        <f>iferror(IF(VLOOKUP(C53,'Weekly Dump'!B:B,1,0)=C53,"Yes","Missing"),"")</f>
        <v>Yes</v>
      </c>
      <c r="AB53" s="60">
        <v>46153.0</v>
      </c>
    </row>
    <row r="54">
      <c r="A54" s="38" t="s">
        <v>126</v>
      </c>
      <c r="B54" s="3" t="s">
        <v>64</v>
      </c>
      <c r="C54" s="2" t="s">
        <v>65</v>
      </c>
      <c r="D54" s="3" t="s">
        <v>66</v>
      </c>
      <c r="E54" s="3" t="s">
        <v>28</v>
      </c>
      <c r="F54" s="3" t="s">
        <v>34</v>
      </c>
      <c r="G54" s="3"/>
      <c r="I54" s="4">
        <f>SUMIFS('Weekly Dump'!D:D,'Weekly Dump'!B:B,C54)</f>
        <v>192</v>
      </c>
      <c r="J54" s="5">
        <f>SUMIFS('Weekly Dump'!AE:AE,'Weekly Dump'!B:B,C54)</f>
        <v>27.78333333</v>
      </c>
      <c r="K54" s="4">
        <f>SUMPRODUCT(
  (TEXT('Weekly Dump'!$A$2:$A1009,"mmm-yy")=TEXT($AB54,"mmm-yy"))*
  ('Weekly Dump'!$B$2:$B1009=$C54)*
  'Weekly Dump'!$D$2:$D1009)</f>
        <v>111</v>
      </c>
      <c r="L54" s="4">
        <f>SUMPRODUCT(
  (TEXT('Weekly Dump'!$A$2:$A1009,"mmm-yy")=TEXT($AB54,"mmm-yy"))*
  ('Weekly Dump'!$B$2:$B1009=$C54)*
  'Weekly Dump'!$E$2:$E1009
)</f>
        <v>69</v>
      </c>
      <c r="M54" s="4">
        <f>SUMPRODUCT(
  (TEXT('Weekly Dump'!$A$2:$A1009,"mmm-yy")=TEXT($AB54,"mmm-yy"))*
  ('Weekly Dump'!$B$2:$B1009=$C54)*
  'Weekly Dump'!$P$2:$P1009
)</f>
        <v>51</v>
      </c>
      <c r="N54" s="39">
        <v>15.0</v>
      </c>
      <c r="O54" s="40">
        <f>SUMIFS('Weekly Dump'!$D:$D,'Weekly Dump'!$B:$B,$C54,'Weekly Dump'!$A:$A,$AB54)</f>
        <v>50</v>
      </c>
      <c r="P54" s="40">
        <f>SUMIFS('Weekly Dump'!R:R,'Weekly Dump'!B:B,C54,'Weekly Dump'!A:A,AB54)</f>
        <v>99981</v>
      </c>
      <c r="Q54" s="40">
        <f t="shared" si="7"/>
        <v>35</v>
      </c>
      <c r="R54" s="41"/>
      <c r="S54" s="3">
        <f>IFERROR(VLOOKUP(C54,Sheet9!$C$10:$E$25,3,0),"")</f>
        <v>20</v>
      </c>
      <c r="T54" s="4">
        <f>SUMIFS('Weekly Dump'!E:E,'Weekly Dump'!B:B,C54,'Weekly Dump'!A:A,AB54)</f>
        <v>32</v>
      </c>
      <c r="U54" s="3">
        <f t="shared" si="8"/>
        <v>-12</v>
      </c>
      <c r="V54" s="42"/>
      <c r="W54" s="4">
        <v>20.0</v>
      </c>
      <c r="X54" s="4">
        <f>SUMIFS('Weekly Dump'!P:P,'Weekly Dump'!B:B,C54,'Weekly Dump'!A:A,AB54)</f>
        <v>20</v>
      </c>
      <c r="Y54" s="4">
        <f t="shared" si="9"/>
        <v>0</v>
      </c>
      <c r="Z54" s="41"/>
      <c r="AA54" s="12" t="str">
        <f>iferror(IF(VLOOKUP(C54,'Weekly Dump'!B:B,1,0)=C54,"Yes","Missing"),"")</f>
        <v>Yes</v>
      </c>
      <c r="AB54" s="60">
        <v>46153.0</v>
      </c>
    </row>
    <row r="55">
      <c r="A55" s="38" t="s">
        <v>126</v>
      </c>
      <c r="B55" s="2" t="s">
        <v>67</v>
      </c>
      <c r="C55" s="2"/>
      <c r="D55" s="3" t="s">
        <v>68</v>
      </c>
      <c r="E55" s="38" t="s">
        <v>48</v>
      </c>
      <c r="F55" s="3" t="s">
        <v>29</v>
      </c>
      <c r="G55" s="3" t="s">
        <v>69</v>
      </c>
      <c r="I55" s="4">
        <f>SUMIFS('Weekly Dump'!D:D,'Weekly Dump'!B:B,C55)</f>
        <v>0</v>
      </c>
      <c r="J55" s="5">
        <f>SUMIFS('Weekly Dump'!AE:AE,'Weekly Dump'!B:B,C55)</f>
        <v>0</v>
      </c>
      <c r="K55" s="4">
        <f>SUMPRODUCT(
  (TEXT('Weekly Dump'!$A$2:$A1009,"mmm-yy")=TEXT($AB55,"mmm-yy"))*
  ('Weekly Dump'!$B$2:$B1009=$C55)*
  'Weekly Dump'!$D$2:$D1009)</f>
        <v>0</v>
      </c>
      <c r="L55" s="4">
        <f>SUMPRODUCT(
  (TEXT('Weekly Dump'!$A$2:$A1009,"mmm-yy")=TEXT($AB55,"mmm-yy"))*
  ('Weekly Dump'!$B$2:$B1009=$C55)*
  'Weekly Dump'!$E$2:$E1009
)</f>
        <v>0</v>
      </c>
      <c r="M55" s="4">
        <f>SUMPRODUCT(
  (TEXT('Weekly Dump'!$A$2:$A1009,"mmm-yy")=TEXT($AB55,"mmm-yy"))*
  ('Weekly Dump'!$B$2:$B1009=$C55)*
  'Weekly Dump'!$P$2:$P1009
)</f>
        <v>0</v>
      </c>
      <c r="N55" s="39"/>
      <c r="O55" s="40">
        <f>SUMIFS('Weekly Dump'!$D:$D,'Weekly Dump'!$B:$B,$C55,'Weekly Dump'!$A:$A,$AB55)</f>
        <v>0</v>
      </c>
      <c r="P55" s="40">
        <f>SUMIFS('Weekly Dump'!R:R,'Weekly Dump'!B:B,C55,'Weekly Dump'!A:A,AB55)</f>
        <v>0</v>
      </c>
      <c r="Q55" s="40">
        <f t="shared" si="7"/>
        <v>0</v>
      </c>
      <c r="R55" s="41"/>
      <c r="S55" s="3" t="str">
        <f>IFERROR(VLOOKUP(C55,Sheet9!$C$10:$E$25,3,0),"")</f>
        <v/>
      </c>
      <c r="T55" s="4">
        <f>SUMIFS('Weekly Dump'!E:E,'Weekly Dump'!B:B,C55,'Weekly Dump'!A:A,AB55)</f>
        <v>0</v>
      </c>
      <c r="U55" s="3">
        <f t="shared" si="8"/>
        <v>0</v>
      </c>
      <c r="V55" s="42"/>
      <c r="W55" s="4"/>
      <c r="X55" s="4">
        <f>SUMIFS('Weekly Dump'!P:P,'Weekly Dump'!B:B,C55,'Weekly Dump'!A:A,AB55)</f>
        <v>0</v>
      </c>
      <c r="Y55" s="4">
        <f t="shared" si="9"/>
        <v>0</v>
      </c>
      <c r="Z55" s="41"/>
      <c r="AA55" s="12" t="str">
        <f>iferror(IF(VLOOKUP(C55,'Weekly Dump'!B:B,1,0)=C55,"Yes","Missing"),"")</f>
        <v/>
      </c>
      <c r="AB55" s="60">
        <v>46153.0</v>
      </c>
    </row>
    <row r="56">
      <c r="A56" s="38" t="s">
        <v>126</v>
      </c>
      <c r="B56" s="3" t="s">
        <v>70</v>
      </c>
      <c r="C56" s="2" t="s">
        <v>71</v>
      </c>
      <c r="D56" s="3" t="s">
        <v>72</v>
      </c>
      <c r="E56" s="3" t="s">
        <v>28</v>
      </c>
      <c r="F56" s="3" t="s">
        <v>73</v>
      </c>
      <c r="G56" s="3" t="s">
        <v>74</v>
      </c>
      <c r="I56" s="4">
        <f>SUMIFS('Weekly Dump'!D:D,'Weekly Dump'!B:B,C56)</f>
        <v>250</v>
      </c>
      <c r="J56" s="5">
        <f>SUMIFS('Weekly Dump'!AE:AE,'Weekly Dump'!B:B,C56)</f>
        <v>64.17305556</v>
      </c>
      <c r="K56" s="4">
        <f>SUMPRODUCT(
  (TEXT('Weekly Dump'!$A$2:$A1009,"mmm-yy")=TEXT($AB56,"mmm-yy"))*
  ('Weekly Dump'!$B$2:$B1009=$C56)*
  'Weekly Dump'!$D$2:$D1009)</f>
        <v>7</v>
      </c>
      <c r="L56" s="4">
        <f>SUMPRODUCT(
  (TEXT('Weekly Dump'!$A$2:$A1009,"mmm-yy")=TEXT($AB56,"mmm-yy"))*
  ('Weekly Dump'!$B$2:$B1009=$C56)*
  'Weekly Dump'!$E$2:$E1009
)</f>
        <v>2</v>
      </c>
      <c r="M56" s="4">
        <f>SUMPRODUCT(
  (TEXT('Weekly Dump'!$A$2:$A1009,"mmm-yy")=TEXT($AB56,"mmm-yy"))*
  ('Weekly Dump'!$B$2:$B1009=$C56)*
  'Weekly Dump'!$P$2:$P1009
)</f>
        <v>4</v>
      </c>
      <c r="N56" s="39">
        <v>13.0</v>
      </c>
      <c r="O56" s="40">
        <f>SUMIFS('Weekly Dump'!$D:$D,'Weekly Dump'!$B:$B,$C56,'Weekly Dump'!$A:$A,$AB56)</f>
        <v>0</v>
      </c>
      <c r="P56" s="40">
        <f>SUMIFS('Weekly Dump'!R:R,'Weekly Dump'!B:B,C56,'Weekly Dump'!A:A,AB56)</f>
        <v>0</v>
      </c>
      <c r="Q56" s="40">
        <f t="shared" si="7"/>
        <v>-13</v>
      </c>
      <c r="R56" s="41"/>
      <c r="S56" s="3">
        <f>IFERROR(VLOOKUP(C56,Sheet9!$C$10:$E$25,3,0),"")</f>
        <v>1</v>
      </c>
      <c r="T56" s="4">
        <f>SUMIFS('Weekly Dump'!E:E,'Weekly Dump'!B:B,C56,'Weekly Dump'!A:A,AB56)</f>
        <v>0</v>
      </c>
      <c r="U56" s="3">
        <f t="shared" si="8"/>
        <v>1</v>
      </c>
      <c r="V56" s="42"/>
      <c r="W56" s="4">
        <v>1.0</v>
      </c>
      <c r="X56" s="4">
        <f>SUMIFS('Weekly Dump'!P:P,'Weekly Dump'!B:B,C56,'Weekly Dump'!A:A,AB56)</f>
        <v>1</v>
      </c>
      <c r="Y56" s="4">
        <f t="shared" si="9"/>
        <v>0</v>
      </c>
      <c r="Z56" s="41"/>
      <c r="AA56" s="12" t="str">
        <f>iferror(IF(VLOOKUP(C56,'Weekly Dump'!B:B,1,0)=C56,"Yes","Missing"),"")</f>
        <v>Yes</v>
      </c>
      <c r="AB56" s="60">
        <v>46153.0</v>
      </c>
    </row>
    <row r="57">
      <c r="A57" s="38" t="s">
        <v>126</v>
      </c>
      <c r="B57" s="3" t="s">
        <v>75</v>
      </c>
      <c r="C57" s="2" t="s">
        <v>76</v>
      </c>
      <c r="D57" s="3" t="s">
        <v>77</v>
      </c>
      <c r="E57" s="3" t="s">
        <v>28</v>
      </c>
      <c r="F57" s="3" t="s">
        <v>34</v>
      </c>
      <c r="G57" s="3" t="s">
        <v>78</v>
      </c>
      <c r="I57" s="4">
        <f>SUMIFS('Weekly Dump'!D:D,'Weekly Dump'!B:B,C57)</f>
        <v>1257</v>
      </c>
      <c r="J57" s="5">
        <f>SUMIFS('Weekly Dump'!AE:AE,'Weekly Dump'!B:B,C57)</f>
        <v>209.6044444</v>
      </c>
      <c r="K57" s="4">
        <f>SUMPRODUCT(
  (TEXT('Weekly Dump'!$A$2:$A1009,"mmm-yy")=TEXT($AB57,"mmm-yy"))*
  ('Weekly Dump'!$B$2:$B1009=$C57)*
  'Weekly Dump'!$D$2:$D1009)</f>
        <v>356</v>
      </c>
      <c r="L57" s="4">
        <f>SUMPRODUCT(
  (TEXT('Weekly Dump'!$A$2:$A1009,"mmm-yy")=TEXT($AB57,"mmm-yy"))*
  ('Weekly Dump'!$B$2:$B1009=$C57)*
  'Weekly Dump'!$E$2:$E1009
)</f>
        <v>95</v>
      </c>
      <c r="M57" s="4">
        <f>SUMPRODUCT(
  (TEXT('Weekly Dump'!$A$2:$A1009,"mmm-yy")=TEXT($AB57,"mmm-yy"))*
  ('Weekly Dump'!$B$2:$B1009=$C57)*
  'Weekly Dump'!$P$2:$P1009
)</f>
        <v>70</v>
      </c>
      <c r="N57" s="39">
        <v>0.0</v>
      </c>
      <c r="O57" s="40">
        <f>SUMIFS('Weekly Dump'!$D:$D,'Weekly Dump'!$B:$B,$C57,'Weekly Dump'!$A:$A,$AB57)</f>
        <v>1</v>
      </c>
      <c r="P57" s="40">
        <f>SUMIFS('Weekly Dump'!R:R,'Weekly Dump'!B:B,C57,'Weekly Dump'!A:A,AB57)</f>
        <v>3118</v>
      </c>
      <c r="Q57" s="40">
        <f t="shared" si="7"/>
        <v>1</v>
      </c>
      <c r="R57" s="41"/>
      <c r="S57" s="3">
        <f>IFERROR(VLOOKUP(C57,Sheet9!$C$10:$E$25,3,0),"")</f>
        <v>37</v>
      </c>
      <c r="T57" s="4">
        <f>SUMIFS('Weekly Dump'!E:E,'Weekly Dump'!B:B,C57,'Weekly Dump'!A:A,AB57)</f>
        <v>20</v>
      </c>
      <c r="U57" s="3">
        <f t="shared" si="8"/>
        <v>17</v>
      </c>
      <c r="V57" s="42"/>
      <c r="W57" s="4">
        <v>37.0</v>
      </c>
      <c r="X57" s="4">
        <f>SUMIFS('Weekly Dump'!P:P,'Weekly Dump'!B:B,C57,'Weekly Dump'!A:A,AB57)</f>
        <v>22</v>
      </c>
      <c r="Y57" s="4">
        <f t="shared" si="9"/>
        <v>-15</v>
      </c>
      <c r="Z57" s="41"/>
      <c r="AA57" s="12" t="str">
        <f>iferror(IF(VLOOKUP(C57,'Weekly Dump'!B:B,1,0)=C57,"Yes","Missing"),"")</f>
        <v>Yes</v>
      </c>
      <c r="AB57" s="60">
        <v>46153.0</v>
      </c>
    </row>
    <row r="58">
      <c r="A58" s="38" t="s">
        <v>126</v>
      </c>
      <c r="B58" s="3"/>
      <c r="C58" s="2" t="s">
        <v>79</v>
      </c>
      <c r="D58" s="3" t="s">
        <v>80</v>
      </c>
      <c r="E58" s="3" t="s">
        <v>28</v>
      </c>
      <c r="F58" s="3" t="s">
        <v>29</v>
      </c>
      <c r="G58" s="3" t="s">
        <v>58</v>
      </c>
      <c r="I58" s="4">
        <f>SUMIFS('Weekly Dump'!D:D,'Weekly Dump'!B:B,C58)</f>
        <v>230</v>
      </c>
      <c r="J58" s="5">
        <f>SUMIFS('Weekly Dump'!AE:AE,'Weekly Dump'!B:B,C58)</f>
        <v>31.03111111</v>
      </c>
      <c r="K58" s="4">
        <f>SUMPRODUCT(
  (TEXT('Weekly Dump'!$A$2:$A1009,"mmm-yy")=TEXT($AB58,"mmm-yy"))*
  ('Weekly Dump'!$B$2:$B1009=$C58)*
  'Weekly Dump'!$D$2:$D1009)</f>
        <v>115</v>
      </c>
      <c r="L58" s="4">
        <f>SUMPRODUCT(
  (TEXT('Weekly Dump'!$A$2:$A1009,"mmm-yy")=TEXT($AB58,"mmm-yy"))*
  ('Weekly Dump'!$B$2:$B1009=$C58)*
  'Weekly Dump'!$E$2:$E1009
)</f>
        <v>100</v>
      </c>
      <c r="M58" s="4">
        <f>SUMPRODUCT(
  (TEXT('Weekly Dump'!$A$2:$A1009,"mmm-yy")=TEXT($AB58,"mmm-yy"))*
  ('Weekly Dump'!$B$2:$B1009=$C58)*
  'Weekly Dump'!$P$2:$P1009
)</f>
        <v>75</v>
      </c>
      <c r="N58" s="39">
        <v>35.0</v>
      </c>
      <c r="O58" s="40">
        <f>SUMIFS('Weekly Dump'!$D:$D,'Weekly Dump'!$B:$B,$C58,'Weekly Dump'!$A:$A,$AB58)</f>
        <v>35</v>
      </c>
      <c r="P58" s="40">
        <f>SUMIFS('Weekly Dump'!R:R,'Weekly Dump'!B:B,C58,'Weekly Dump'!A:A,AB58)</f>
        <v>83837</v>
      </c>
      <c r="Q58" s="40">
        <f t="shared" si="7"/>
        <v>0</v>
      </c>
      <c r="R58" s="41"/>
      <c r="S58" s="3">
        <f>IFERROR(VLOOKUP(C58,Sheet9!$C$10:$E$25,3,0),"")</f>
        <v>23</v>
      </c>
      <c r="T58" s="4">
        <f>SUMIFS('Weekly Dump'!E:E,'Weekly Dump'!B:B,C58,'Weekly Dump'!A:A,AB58)</f>
        <v>52</v>
      </c>
      <c r="U58" s="3">
        <f t="shared" si="8"/>
        <v>-29</v>
      </c>
      <c r="V58" s="42"/>
      <c r="W58" s="4">
        <v>23.0</v>
      </c>
      <c r="X58" s="4">
        <f>SUMIFS('Weekly Dump'!P:P,'Weekly Dump'!B:B,C58,'Weekly Dump'!A:A,AB58)</f>
        <v>24</v>
      </c>
      <c r="Y58" s="4">
        <f t="shared" si="9"/>
        <v>1</v>
      </c>
      <c r="Z58" s="41"/>
      <c r="AA58" s="12" t="str">
        <f>iferror(IF(VLOOKUP(C58,'Weekly Dump'!B:B,1,0)=C58,"Yes","Missing"),"")</f>
        <v>Yes</v>
      </c>
      <c r="AB58" s="60">
        <v>46153.0</v>
      </c>
    </row>
    <row r="59">
      <c r="A59" s="38" t="s">
        <v>126</v>
      </c>
      <c r="B59" s="3"/>
      <c r="C59" s="2" t="s">
        <v>81</v>
      </c>
      <c r="D59" s="3" t="s">
        <v>82</v>
      </c>
      <c r="E59" s="3" t="s">
        <v>48</v>
      </c>
      <c r="F59" s="3" t="s">
        <v>34</v>
      </c>
      <c r="G59" s="3" t="s">
        <v>83</v>
      </c>
      <c r="I59" s="4">
        <f>SUMIFS('Weekly Dump'!D:D,'Weekly Dump'!B:B,C59)</f>
        <v>57</v>
      </c>
      <c r="J59" s="5">
        <f>SUMIFS('Weekly Dump'!AE:AE,'Weekly Dump'!B:B,C59)</f>
        <v>11.64361111</v>
      </c>
      <c r="K59" s="4">
        <f>SUMPRODUCT(
  (TEXT('Weekly Dump'!$A$2:$A1009,"mmm-yy")=TEXT($AB59,"mmm-yy"))*
  ('Weekly Dump'!$B$2:$B1009=$C59)*
  'Weekly Dump'!$D$2:$D1009)</f>
        <v>0</v>
      </c>
      <c r="L59" s="4">
        <f>SUMPRODUCT(
  (TEXT('Weekly Dump'!$A$2:$A1009,"mmm-yy")=TEXT($AB59,"mmm-yy"))*
  ('Weekly Dump'!$B$2:$B1009=$C59)*
  'Weekly Dump'!$E$2:$E1009
)</f>
        <v>0</v>
      </c>
      <c r="M59" s="4">
        <f>SUMPRODUCT(
  (TEXT('Weekly Dump'!$A$2:$A1009,"mmm-yy")=TEXT($AB59,"mmm-yy"))*
  ('Weekly Dump'!$B$2:$B1009=$C59)*
  'Weekly Dump'!$P$2:$P1009
)</f>
        <v>0</v>
      </c>
      <c r="N59" s="39"/>
      <c r="O59" s="40">
        <f>SUMIFS('Weekly Dump'!$D:$D,'Weekly Dump'!$B:$B,$C59,'Weekly Dump'!$A:$A,$AB59)</f>
        <v>0</v>
      </c>
      <c r="P59" s="40">
        <f>SUMIFS('Weekly Dump'!R:R,'Weekly Dump'!B:B,C59,'Weekly Dump'!A:A,AB59)</f>
        <v>0</v>
      </c>
      <c r="Q59" s="40">
        <f t="shared" si="7"/>
        <v>0</v>
      </c>
      <c r="R59" s="41"/>
      <c r="S59" s="3" t="str">
        <f>IFERROR(VLOOKUP(C59,Sheet9!$C$10:$E$25,3,0),"")</f>
        <v/>
      </c>
      <c r="T59" s="4">
        <f>SUMIFS('Weekly Dump'!E:E,'Weekly Dump'!B:B,C59,'Weekly Dump'!A:A,AB59)</f>
        <v>0</v>
      </c>
      <c r="U59" s="3">
        <f t="shared" si="8"/>
        <v>0</v>
      </c>
      <c r="V59" s="42"/>
      <c r="W59" s="4"/>
      <c r="X59" s="4">
        <f>SUMIFS('Weekly Dump'!P:P,'Weekly Dump'!B:B,C59,'Weekly Dump'!A:A,AB59)</f>
        <v>0</v>
      </c>
      <c r="Y59" s="4">
        <f t="shared" si="9"/>
        <v>0</v>
      </c>
      <c r="Z59" s="41"/>
      <c r="AA59" s="12" t="str">
        <f>iferror(IF(VLOOKUP(C59,'Weekly Dump'!B:B,1,0)=C59,"Yes","Missing"),"")</f>
        <v>Yes</v>
      </c>
      <c r="AB59" s="60">
        <v>46153.0</v>
      </c>
    </row>
    <row r="60">
      <c r="A60" s="38" t="s">
        <v>126</v>
      </c>
      <c r="B60" s="3"/>
      <c r="C60" s="2" t="s">
        <v>84</v>
      </c>
      <c r="D60" s="3" t="s">
        <v>85</v>
      </c>
      <c r="E60" s="3" t="s">
        <v>48</v>
      </c>
      <c r="F60" s="3" t="s">
        <v>43</v>
      </c>
      <c r="G60" s="3"/>
      <c r="I60" s="4">
        <f>SUMIFS('Weekly Dump'!D:D,'Weekly Dump'!B:B,C60)</f>
        <v>52</v>
      </c>
      <c r="J60" s="5">
        <f>SUMIFS('Weekly Dump'!AE:AE,'Weekly Dump'!B:B,C60)</f>
        <v>10.99111111</v>
      </c>
      <c r="K60" s="4">
        <f>SUMPRODUCT(
  (TEXT('Weekly Dump'!$A$2:$A1009,"mmm-yy")=TEXT($AB60,"mmm-yy"))*
  ('Weekly Dump'!$B$2:$B1009=$C60)*
  'Weekly Dump'!$D$2:$D1009)</f>
        <v>0</v>
      </c>
      <c r="L60" s="4">
        <f>SUMPRODUCT(
  (TEXT('Weekly Dump'!$A$2:$A1009,"mmm-yy")=TEXT($AB60,"mmm-yy"))*
  ('Weekly Dump'!$B$2:$B1009=$C60)*
  'Weekly Dump'!$E$2:$E1009
)</f>
        <v>0</v>
      </c>
      <c r="M60" s="4">
        <f>SUMPRODUCT(
  (TEXT('Weekly Dump'!$A$2:$A1009,"mmm-yy")=TEXT($AB60,"mmm-yy"))*
  ('Weekly Dump'!$B$2:$B1009=$C60)*
  'Weekly Dump'!$P$2:$P1009
)</f>
        <v>0</v>
      </c>
      <c r="N60" s="39"/>
      <c r="O60" s="40">
        <f>SUMIFS('Weekly Dump'!$D:$D,'Weekly Dump'!$B:$B,$C60,'Weekly Dump'!$A:$A,$AB60)</f>
        <v>0</v>
      </c>
      <c r="P60" s="40">
        <f>SUMIFS('Weekly Dump'!R:R,'Weekly Dump'!B:B,C60,'Weekly Dump'!A:A,AB60)</f>
        <v>0</v>
      </c>
      <c r="Q60" s="40">
        <f t="shared" si="7"/>
        <v>0</v>
      </c>
      <c r="R60" s="41"/>
      <c r="S60" s="3" t="str">
        <f>IFERROR(VLOOKUP(C60,Sheet9!$C$10:$E$25,3,0),"")</f>
        <v/>
      </c>
      <c r="T60" s="4">
        <f>SUMIFS('Weekly Dump'!E:E,'Weekly Dump'!B:B,C60,'Weekly Dump'!A:A,AB60)</f>
        <v>0</v>
      </c>
      <c r="U60" s="3">
        <f t="shared" si="8"/>
        <v>0</v>
      </c>
      <c r="V60" s="42"/>
      <c r="W60" s="4"/>
      <c r="X60" s="4">
        <f>SUMIFS('Weekly Dump'!P:P,'Weekly Dump'!B:B,C60,'Weekly Dump'!A:A,AB60)</f>
        <v>0</v>
      </c>
      <c r="Y60" s="4">
        <f t="shared" si="9"/>
        <v>0</v>
      </c>
      <c r="Z60" s="41"/>
      <c r="AA60" s="12" t="str">
        <f>iferror(IF(VLOOKUP(C60,'Weekly Dump'!B:B,1,0)=C60,"Yes","Missing"),"")</f>
        <v>Yes</v>
      </c>
      <c r="AB60" s="60">
        <v>46153.0</v>
      </c>
    </row>
    <row r="61">
      <c r="A61" s="38" t="s">
        <v>126</v>
      </c>
      <c r="B61" s="2"/>
      <c r="C61" s="2" t="s">
        <v>86</v>
      </c>
      <c r="D61" s="3" t="s">
        <v>87</v>
      </c>
      <c r="E61" s="38" t="s">
        <v>88</v>
      </c>
      <c r="F61" s="3"/>
      <c r="G61" s="3"/>
      <c r="I61" s="4">
        <f>SUMIFS('Weekly Dump'!D:D,'Weekly Dump'!B:B,C61)</f>
        <v>0</v>
      </c>
      <c r="J61" s="5">
        <f>SUMIFS('Weekly Dump'!AE:AE,'Weekly Dump'!B:B,C61)</f>
        <v>0</v>
      </c>
      <c r="K61" s="4">
        <f>SUMPRODUCT(
  (TEXT('Weekly Dump'!$A$2:$A1009,"mmm-yy")=TEXT($AB61,"mmm-yy"))*
  ('Weekly Dump'!$B$2:$B1009=$C61)*
  'Weekly Dump'!$D$2:$D1009)</f>
        <v>0</v>
      </c>
      <c r="L61" s="4">
        <f>SUMPRODUCT(
  (TEXT('Weekly Dump'!$A$2:$A1009,"mmm-yy")=TEXT($AB61,"mmm-yy"))*
  ('Weekly Dump'!$B$2:$B1009=$C61)*
  'Weekly Dump'!$E$2:$E1009
)</f>
        <v>0</v>
      </c>
      <c r="M61" s="4">
        <f>SUMPRODUCT(
  (TEXT('Weekly Dump'!$A$2:$A1009,"mmm-yy")=TEXT($AB61,"mmm-yy"))*
  ('Weekly Dump'!$B$2:$B1009=$C61)*
  'Weekly Dump'!$P$2:$P1009
)</f>
        <v>0</v>
      </c>
      <c r="N61" s="39"/>
      <c r="O61" s="40">
        <f>SUMIFS('Weekly Dump'!$D:$D,'Weekly Dump'!$B:$B,$C61,'Weekly Dump'!$A:$A,$AB61)</f>
        <v>0</v>
      </c>
      <c r="P61" s="40">
        <f>SUMIFS('Weekly Dump'!R:R,'Weekly Dump'!B:B,C61,'Weekly Dump'!A:A,AB61)</f>
        <v>0</v>
      </c>
      <c r="Q61" s="40">
        <f t="shared" si="7"/>
        <v>0</v>
      </c>
      <c r="R61" s="41"/>
      <c r="S61" s="3" t="str">
        <f>IFERROR(VLOOKUP(C61,Sheet9!$C$10:$E$25,3,0),"")</f>
        <v/>
      </c>
      <c r="T61" s="4">
        <f>SUMIFS('Weekly Dump'!E:E,'Weekly Dump'!B:B,C61,'Weekly Dump'!A:A,AB61)</f>
        <v>0</v>
      </c>
      <c r="U61" s="3">
        <f t="shared" si="8"/>
        <v>0</v>
      </c>
      <c r="V61" s="42"/>
      <c r="W61" s="4"/>
      <c r="X61" s="4">
        <f>SUMIFS('Weekly Dump'!P:P,'Weekly Dump'!B:B,C61,'Weekly Dump'!A:A,AB61)</f>
        <v>0</v>
      </c>
      <c r="Y61" s="4">
        <f t="shared" si="9"/>
        <v>0</v>
      </c>
      <c r="Z61" s="41"/>
      <c r="AA61" s="12" t="str">
        <f>iferror(IF(VLOOKUP(C61,'Weekly Dump'!B:B,1,0)=C61,"Yes","Missing"),"")</f>
        <v/>
      </c>
      <c r="AB61" s="60">
        <v>46153.0</v>
      </c>
    </row>
    <row r="62">
      <c r="A62" s="38" t="s">
        <v>126</v>
      </c>
      <c r="B62" s="3"/>
      <c r="C62" s="2" t="s">
        <v>89</v>
      </c>
      <c r="D62" s="3" t="s">
        <v>90</v>
      </c>
      <c r="E62" s="3" t="s">
        <v>28</v>
      </c>
      <c r="F62" s="3"/>
      <c r="G62" s="3"/>
      <c r="I62" s="4">
        <f>SUMIFS('Weekly Dump'!D:D,'Weekly Dump'!B:B,C62)</f>
        <v>90</v>
      </c>
      <c r="J62" s="5">
        <f>SUMIFS('Weekly Dump'!AE:AE,'Weekly Dump'!B:B,C62)</f>
        <v>14.57388889</v>
      </c>
      <c r="K62" s="4">
        <f>SUMPRODUCT(
  (TEXT('Weekly Dump'!$A$2:$A1009,"mmm-yy")=TEXT($AB62,"mmm-yy"))*
  ('Weekly Dump'!$B$2:$B1009=$C62)*
  'Weekly Dump'!$D$2:$D1009)</f>
        <v>43</v>
      </c>
      <c r="L62" s="4">
        <f>SUMPRODUCT(
  (TEXT('Weekly Dump'!$A$2:$A1009,"mmm-yy")=TEXT($AB62,"mmm-yy"))*
  ('Weekly Dump'!$B$2:$B1009=$C62)*
  'Weekly Dump'!$E$2:$E1009
)</f>
        <v>20</v>
      </c>
      <c r="M62" s="4">
        <f>SUMPRODUCT(
  (TEXT('Weekly Dump'!$A$2:$A1009,"mmm-yy")=TEXT($AB62,"mmm-yy"))*
  ('Weekly Dump'!$B$2:$B1009=$C62)*
  'Weekly Dump'!$P$2:$P1009
)</f>
        <v>19</v>
      </c>
      <c r="N62" s="39">
        <v>50.0</v>
      </c>
      <c r="O62" s="40">
        <f>SUMIFS('Weekly Dump'!$D:$D,'Weekly Dump'!$B:$B,$C62,'Weekly Dump'!$A:$A,$AB62)</f>
        <v>15</v>
      </c>
      <c r="P62" s="40">
        <f>SUMIFS('Weekly Dump'!R:R,'Weekly Dump'!B:B,C62,'Weekly Dump'!A:A,AB62)</f>
        <v>32746</v>
      </c>
      <c r="Q62" s="40">
        <f t="shared" si="7"/>
        <v>-35</v>
      </c>
      <c r="R62" s="41"/>
      <c r="S62" s="3" t="str">
        <f>IFERROR(VLOOKUP(C62,Sheet9!$C$10:$E$25,3,0),"")</f>
        <v/>
      </c>
      <c r="T62" s="4">
        <f>SUMIFS('Weekly Dump'!E:E,'Weekly Dump'!B:B,C62,'Weekly Dump'!A:A,AB62)</f>
        <v>5</v>
      </c>
      <c r="U62" s="3">
        <f t="shared" si="8"/>
        <v>-5</v>
      </c>
      <c r="V62" s="42"/>
      <c r="W62" s="4"/>
      <c r="X62" s="4">
        <f>SUMIFS('Weekly Dump'!P:P,'Weekly Dump'!B:B,C62,'Weekly Dump'!A:A,AB62)</f>
        <v>0</v>
      </c>
      <c r="Y62" s="4">
        <f t="shared" si="9"/>
        <v>0</v>
      </c>
      <c r="Z62" s="41"/>
      <c r="AA62" s="12" t="str">
        <f>iferror(IF(VLOOKUP(C62,'Weekly Dump'!B:B,1,0)=C62,"Yes","Missing"),"")</f>
        <v>Yes</v>
      </c>
      <c r="AB62" s="60">
        <v>46153.0</v>
      </c>
    </row>
    <row r="63">
      <c r="A63" s="38" t="s">
        <v>126</v>
      </c>
      <c r="B63" s="3"/>
      <c r="C63" s="2" t="s">
        <v>91</v>
      </c>
      <c r="D63" s="3" t="s">
        <v>92</v>
      </c>
      <c r="E63" s="3" t="s">
        <v>48</v>
      </c>
      <c r="F63" s="3" t="s">
        <v>29</v>
      </c>
      <c r="G63" s="3" t="s">
        <v>49</v>
      </c>
      <c r="I63" s="4">
        <f>SUMIFS('Weekly Dump'!D:D,'Weekly Dump'!B:B,C63)</f>
        <v>56</v>
      </c>
      <c r="J63" s="5">
        <f>SUMIFS('Weekly Dump'!AE:AE,'Weekly Dump'!B:B,C63)</f>
        <v>10.39083333</v>
      </c>
      <c r="K63" s="4">
        <f>SUMPRODUCT(
  (TEXT('Weekly Dump'!$A$2:$A1009,"mmm-yy")=TEXT($AB63,"mmm-yy"))*
  ('Weekly Dump'!$B$2:$B1009=$C63)*
  'Weekly Dump'!$D$2:$D1009)</f>
        <v>0</v>
      </c>
      <c r="L63" s="4">
        <f>SUMPRODUCT(
  (TEXT('Weekly Dump'!$A$2:$A1009,"mmm-yy")=TEXT($AB63,"mmm-yy"))*
  ('Weekly Dump'!$B$2:$B1009=$C63)*
  'Weekly Dump'!$E$2:$E1009
)</f>
        <v>0</v>
      </c>
      <c r="M63" s="4">
        <f>SUMPRODUCT(
  (TEXT('Weekly Dump'!$A$2:$A1009,"mmm-yy")=TEXT($AB63,"mmm-yy"))*
  ('Weekly Dump'!$B$2:$B1009=$C63)*
  'Weekly Dump'!$P$2:$P1009
)</f>
        <v>0</v>
      </c>
      <c r="N63" s="39"/>
      <c r="O63" s="40">
        <f>SUMIFS('Weekly Dump'!$D:$D,'Weekly Dump'!$B:$B,$C63,'Weekly Dump'!$A:$A,$AB63)</f>
        <v>0</v>
      </c>
      <c r="P63" s="40">
        <f>SUMIFS('Weekly Dump'!R:R,'Weekly Dump'!B:B,C63,'Weekly Dump'!A:A,AB63)</f>
        <v>0</v>
      </c>
      <c r="Q63" s="40">
        <f t="shared" si="7"/>
        <v>0</v>
      </c>
      <c r="R63" s="41"/>
      <c r="S63" s="3" t="str">
        <f>IFERROR(VLOOKUP(C63,Sheet9!$C$10:$E$25,3,0),"")</f>
        <v/>
      </c>
      <c r="T63" s="4">
        <f>SUMIFS('Weekly Dump'!E:E,'Weekly Dump'!B:B,C63,'Weekly Dump'!A:A,AB63)</f>
        <v>0</v>
      </c>
      <c r="U63" s="3">
        <f t="shared" si="8"/>
        <v>0</v>
      </c>
      <c r="V63" s="42"/>
      <c r="W63" s="4"/>
      <c r="X63" s="4">
        <f>SUMIFS('Weekly Dump'!P:P,'Weekly Dump'!B:B,C63,'Weekly Dump'!A:A,AB63)</f>
        <v>0</v>
      </c>
      <c r="Y63" s="4">
        <f t="shared" si="9"/>
        <v>0</v>
      </c>
      <c r="Z63" s="41"/>
      <c r="AA63" s="12" t="str">
        <f>iferror(IF(VLOOKUP(C63,'Weekly Dump'!B:B,1,0)=C63,"Yes","Missing"),"")</f>
        <v>Yes</v>
      </c>
      <c r="AB63" s="60">
        <v>46153.0</v>
      </c>
    </row>
    <row r="64">
      <c r="A64" s="38" t="s">
        <v>126</v>
      </c>
      <c r="B64" s="3"/>
      <c r="C64" s="2" t="s">
        <v>93</v>
      </c>
      <c r="D64" s="3" t="s">
        <v>94</v>
      </c>
      <c r="E64" s="3" t="s">
        <v>48</v>
      </c>
      <c r="F64" s="3" t="s">
        <v>34</v>
      </c>
      <c r="G64" s="3" t="s">
        <v>95</v>
      </c>
      <c r="I64" s="4">
        <f>SUMIFS('Weekly Dump'!D:D,'Weekly Dump'!B:B,C64)</f>
        <v>50</v>
      </c>
      <c r="J64" s="5">
        <f>SUMIFS('Weekly Dump'!AE:AE,'Weekly Dump'!B:B,C64)</f>
        <v>10.19194444</v>
      </c>
      <c r="K64" s="4">
        <f>SUMPRODUCT(
  (TEXT('Weekly Dump'!$A$2:$A1009,"mmm-yy")=TEXT($AB64,"mmm-yy"))*
  ('Weekly Dump'!$B$2:$B1009=$C64)*
  'Weekly Dump'!$D$2:$D1009)</f>
        <v>0</v>
      </c>
      <c r="L64" s="4">
        <f>SUMPRODUCT(
  (TEXT('Weekly Dump'!$A$2:$A1009,"mmm-yy")=TEXT($AB64,"mmm-yy"))*
  ('Weekly Dump'!$B$2:$B1009=$C64)*
  'Weekly Dump'!$E$2:$E1009
)</f>
        <v>0</v>
      </c>
      <c r="M64" s="4">
        <f>SUMPRODUCT(
  (TEXT('Weekly Dump'!$A$2:$A1009,"mmm-yy")=TEXT($AB64,"mmm-yy"))*
  ('Weekly Dump'!$B$2:$B1009=$C64)*
  'Weekly Dump'!$P$2:$P1009
)</f>
        <v>1</v>
      </c>
      <c r="N64" s="39"/>
      <c r="O64" s="40">
        <f>SUMIFS('Weekly Dump'!$D:$D,'Weekly Dump'!$B:$B,$C64,'Weekly Dump'!$A:$A,$AB64)</f>
        <v>0</v>
      </c>
      <c r="P64" s="40">
        <f>SUMIFS('Weekly Dump'!R:R,'Weekly Dump'!B:B,C64,'Weekly Dump'!A:A,AB64)</f>
        <v>0</v>
      </c>
      <c r="Q64" s="40">
        <f t="shared" si="7"/>
        <v>0</v>
      </c>
      <c r="R64" s="41"/>
      <c r="S64" s="3" t="str">
        <f>IFERROR(VLOOKUP(C64,Sheet9!$C$10:$E$25,3,0),"")</f>
        <v/>
      </c>
      <c r="T64" s="4">
        <f>SUMIFS('Weekly Dump'!E:E,'Weekly Dump'!B:B,C64,'Weekly Dump'!A:A,AB64)</f>
        <v>0</v>
      </c>
      <c r="U64" s="3">
        <f t="shared" si="8"/>
        <v>0</v>
      </c>
      <c r="V64" s="42"/>
      <c r="W64" s="4"/>
      <c r="X64" s="4">
        <f>SUMIFS('Weekly Dump'!P:P,'Weekly Dump'!B:B,C64,'Weekly Dump'!A:A,AB64)</f>
        <v>0</v>
      </c>
      <c r="Y64" s="4">
        <f t="shared" si="9"/>
        <v>0</v>
      </c>
      <c r="Z64" s="41"/>
      <c r="AA64" s="12" t="str">
        <f>iferror(IF(VLOOKUP(C64,'Weekly Dump'!B:B,1,0)=C64,"Yes","Missing"),"")</f>
        <v>Yes</v>
      </c>
      <c r="AB64" s="60">
        <v>46153.0</v>
      </c>
    </row>
    <row r="65">
      <c r="A65" s="38" t="s">
        <v>126</v>
      </c>
      <c r="B65" s="3"/>
      <c r="C65" s="2" t="s">
        <v>96</v>
      </c>
      <c r="D65" s="3" t="s">
        <v>97</v>
      </c>
      <c r="E65" s="3" t="s">
        <v>28</v>
      </c>
      <c r="F65" s="3"/>
      <c r="G65" s="3"/>
      <c r="I65" s="4">
        <f>SUMIFS('Weekly Dump'!D:D,'Weekly Dump'!B:B,C65)</f>
        <v>94</v>
      </c>
      <c r="J65" s="5">
        <f>SUMIFS('Weekly Dump'!AE:AE,'Weekly Dump'!B:B,C65)</f>
        <v>24.01333333</v>
      </c>
      <c r="K65" s="4">
        <f>SUMPRODUCT(
  (TEXT('Weekly Dump'!$A$2:$A1009,"mmm-yy")=TEXT($AB65,"mmm-yy"))*
  ('Weekly Dump'!$B$2:$B1009=$C65)*
  'Weekly Dump'!$D$2:$D1009)</f>
        <v>45</v>
      </c>
      <c r="L65" s="4">
        <f>SUMPRODUCT(
  (TEXT('Weekly Dump'!$A$2:$A1009,"mmm-yy")=TEXT($AB65,"mmm-yy"))*
  ('Weekly Dump'!$B$2:$B1009=$C65)*
  'Weekly Dump'!$E$2:$E1009
)</f>
        <v>48</v>
      </c>
      <c r="M65" s="4">
        <f>SUMPRODUCT(
  (TEXT('Weekly Dump'!$A$2:$A1009,"mmm-yy")=TEXT($AB65,"mmm-yy"))*
  ('Weekly Dump'!$B$2:$B1009=$C65)*
  'Weekly Dump'!$P$2:$P1009
)</f>
        <v>59</v>
      </c>
      <c r="N65" s="39">
        <v>15.0</v>
      </c>
      <c r="O65" s="40">
        <f>SUMIFS('Weekly Dump'!$D:$D,'Weekly Dump'!$B:$B,$C65,'Weekly Dump'!$A:$A,$AB65)</f>
        <v>15</v>
      </c>
      <c r="P65" s="40">
        <f>SUMIFS('Weekly Dump'!R:R,'Weekly Dump'!B:B,C65,'Weekly Dump'!A:A,AB65)</f>
        <v>32933</v>
      </c>
      <c r="Q65" s="40">
        <f t="shared" si="7"/>
        <v>0</v>
      </c>
      <c r="R65" s="41"/>
      <c r="S65" s="3" t="str">
        <f>IFERROR(VLOOKUP(C65,Sheet9!$C$10:$E$25,3,0),"")</f>
        <v/>
      </c>
      <c r="T65" s="4">
        <f>SUMIFS('Weekly Dump'!E:E,'Weekly Dump'!B:B,C65,'Weekly Dump'!A:A,AB65)</f>
        <v>15</v>
      </c>
      <c r="U65" s="3">
        <f t="shared" si="8"/>
        <v>-15</v>
      </c>
      <c r="V65" s="42"/>
      <c r="W65" s="4"/>
      <c r="X65" s="4">
        <f>SUMIFS('Weekly Dump'!P:P,'Weekly Dump'!B:B,C65,'Weekly Dump'!A:A,AB65)</f>
        <v>19</v>
      </c>
      <c r="Y65" s="4">
        <f t="shared" si="9"/>
        <v>19</v>
      </c>
      <c r="Z65" s="41"/>
      <c r="AA65" s="12" t="str">
        <f>iferror(IF(VLOOKUP(C65,'Weekly Dump'!B:B,1,0)=C65,"Yes","Missing"),"")</f>
        <v>Yes</v>
      </c>
      <c r="AB65" s="60">
        <v>46153.0</v>
      </c>
    </row>
    <row r="66">
      <c r="A66" s="38" t="s">
        <v>126</v>
      </c>
      <c r="B66" s="3"/>
      <c r="C66" s="2" t="s">
        <v>98</v>
      </c>
      <c r="D66" s="3" t="s">
        <v>99</v>
      </c>
      <c r="E66" s="3" t="s">
        <v>48</v>
      </c>
      <c r="F66" s="3" t="s">
        <v>43</v>
      </c>
      <c r="G66" s="3" t="s">
        <v>95</v>
      </c>
      <c r="I66" s="4">
        <f>SUMIFS('Weekly Dump'!D:D,'Weekly Dump'!B:B,C66)</f>
        <v>50</v>
      </c>
      <c r="J66" s="5">
        <f>SUMIFS('Weekly Dump'!AE:AE,'Weekly Dump'!B:B,C66)</f>
        <v>10.06555556</v>
      </c>
      <c r="K66" s="4">
        <f>SUMPRODUCT(
  (TEXT('Weekly Dump'!$A$2:$A1009,"mmm-yy")=TEXT($AB66,"mmm-yy"))*
  ('Weekly Dump'!$B$2:$B1009=$C66)*
  'Weekly Dump'!$D$2:$D1009)</f>
        <v>0</v>
      </c>
      <c r="L66" s="4">
        <f>SUMPRODUCT(
  (TEXT('Weekly Dump'!$A$2:$A1009,"mmm-yy")=TEXT($AB66,"mmm-yy"))*
  ('Weekly Dump'!$B$2:$B1009=$C66)*
  'Weekly Dump'!$E$2:$E1009
)</f>
        <v>0</v>
      </c>
      <c r="M66" s="4">
        <f>SUMPRODUCT(
  (TEXT('Weekly Dump'!$A$2:$A1009,"mmm-yy")=TEXT($AB66,"mmm-yy"))*
  ('Weekly Dump'!$B$2:$B1009=$C66)*
  'Weekly Dump'!$P$2:$P1009
)</f>
        <v>0</v>
      </c>
      <c r="N66" s="39"/>
      <c r="O66" s="40">
        <f>SUMIFS('Weekly Dump'!$D:$D,'Weekly Dump'!$B:$B,$C66,'Weekly Dump'!$A:$A,$AB66)</f>
        <v>0</v>
      </c>
      <c r="P66" s="40">
        <f>SUMIFS('Weekly Dump'!R:R,'Weekly Dump'!B:B,C66,'Weekly Dump'!A:A,AB66)</f>
        <v>0</v>
      </c>
      <c r="Q66" s="40">
        <f t="shared" si="7"/>
        <v>0</v>
      </c>
      <c r="R66" s="41"/>
      <c r="S66" s="3" t="str">
        <f>IFERROR(VLOOKUP(C66,Sheet9!$C$10:$E$25,3,0),"")</f>
        <v/>
      </c>
      <c r="T66" s="4">
        <f>SUMIFS('Weekly Dump'!E:E,'Weekly Dump'!B:B,C66,'Weekly Dump'!A:A,AB66)</f>
        <v>0</v>
      </c>
      <c r="U66" s="3">
        <f t="shared" si="8"/>
        <v>0</v>
      </c>
      <c r="V66" s="42"/>
      <c r="W66" s="4"/>
      <c r="X66" s="4">
        <f>SUMIFS('Weekly Dump'!P:P,'Weekly Dump'!B:B,C66,'Weekly Dump'!A:A,AB66)</f>
        <v>0</v>
      </c>
      <c r="Y66" s="4">
        <f t="shared" si="9"/>
        <v>0</v>
      </c>
      <c r="Z66" s="41"/>
      <c r="AA66" s="12" t="str">
        <f>iferror(IF(VLOOKUP(C66,'Weekly Dump'!B:B,1,0)=C66,"Yes","Missing"),"")</f>
        <v>Yes</v>
      </c>
      <c r="AB66" s="60">
        <v>46153.0</v>
      </c>
    </row>
    <row r="67">
      <c r="A67" s="38" t="s">
        <v>126</v>
      </c>
      <c r="B67" s="3"/>
      <c r="C67" s="2" t="s">
        <v>100</v>
      </c>
      <c r="D67" s="3" t="s">
        <v>101</v>
      </c>
      <c r="E67" s="3" t="s">
        <v>28</v>
      </c>
      <c r="F67" s="3" t="s">
        <v>29</v>
      </c>
      <c r="G67" s="3" t="s">
        <v>83</v>
      </c>
      <c r="I67" s="4">
        <f>SUMIFS('Weekly Dump'!D:D,'Weekly Dump'!B:B,C67)</f>
        <v>125</v>
      </c>
      <c r="J67" s="5">
        <f>SUMIFS('Weekly Dump'!AE:AE,'Weekly Dump'!B:B,C67)</f>
        <v>17.74722222</v>
      </c>
      <c r="K67" s="4">
        <f>SUMPRODUCT(
  (TEXT('Weekly Dump'!$A$2:$A1009,"mmm-yy")=TEXT($AB67,"mmm-yy"))*
  ('Weekly Dump'!$B$2:$B1009=$C67)*
  'Weekly Dump'!$D$2:$D1009)</f>
        <v>75</v>
      </c>
      <c r="L67" s="4">
        <f>SUMPRODUCT(
  (TEXT('Weekly Dump'!$A$2:$A1009,"mmm-yy")=TEXT($AB67,"mmm-yy"))*
  ('Weekly Dump'!$B$2:$B1009=$C67)*
  'Weekly Dump'!$E$2:$E1009
)</f>
        <v>81</v>
      </c>
      <c r="M67" s="4">
        <f>SUMPRODUCT(
  (TEXT('Weekly Dump'!$A$2:$A1009,"mmm-yy")=TEXT($AB67,"mmm-yy"))*
  ('Weekly Dump'!$B$2:$B1009=$C67)*
  'Weekly Dump'!$P$2:$P1009
)</f>
        <v>52</v>
      </c>
      <c r="N67" s="39">
        <v>45.0</v>
      </c>
      <c r="O67" s="40">
        <f>SUMIFS('Weekly Dump'!$D:$D,'Weekly Dump'!$B:$B,$C67,'Weekly Dump'!$A:$A,$AB67)</f>
        <v>46</v>
      </c>
      <c r="P67" s="40">
        <f>SUMIFS('Weekly Dump'!R:R,'Weekly Dump'!B:B,C67,'Weekly Dump'!A:A,AB67)</f>
        <v>109358</v>
      </c>
      <c r="Q67" s="40">
        <f t="shared" si="7"/>
        <v>1</v>
      </c>
      <c r="R67" s="41"/>
      <c r="S67" s="3">
        <f>IFERROR(VLOOKUP(C67,Sheet9!$C$10:$E$25,3,0),"")</f>
        <v>10</v>
      </c>
      <c r="T67" s="4">
        <f>SUMIFS('Weekly Dump'!E:E,'Weekly Dump'!B:B,C67,'Weekly Dump'!A:A,AB67)</f>
        <v>31</v>
      </c>
      <c r="U67" s="3">
        <f t="shared" si="8"/>
        <v>-21</v>
      </c>
      <c r="V67" s="42"/>
      <c r="W67" s="4">
        <v>10.0</v>
      </c>
      <c r="X67" s="4">
        <f>SUMIFS('Weekly Dump'!P:P,'Weekly Dump'!B:B,C67,'Weekly Dump'!A:A,AB67)</f>
        <v>10</v>
      </c>
      <c r="Y67" s="4">
        <f t="shared" si="9"/>
        <v>0</v>
      </c>
      <c r="Z67" s="41"/>
      <c r="AA67" s="12" t="str">
        <f>iferror(IF(VLOOKUP(C67,'Weekly Dump'!B:B,1,0)=C67,"Yes","Missing"),"")</f>
        <v>Yes</v>
      </c>
      <c r="AB67" s="60">
        <v>46153.0</v>
      </c>
    </row>
    <row r="68">
      <c r="A68" s="38" t="s">
        <v>126</v>
      </c>
      <c r="B68" s="3"/>
      <c r="C68" s="2" t="s">
        <v>102</v>
      </c>
      <c r="D68" s="3" t="s">
        <v>103</v>
      </c>
      <c r="E68" s="3" t="s">
        <v>28</v>
      </c>
      <c r="F68" s="3" t="s">
        <v>29</v>
      </c>
      <c r="G68" s="3"/>
      <c r="I68" s="4">
        <f>SUMIFS('Weekly Dump'!D:D,'Weekly Dump'!B:B,C68)</f>
        <v>85</v>
      </c>
      <c r="J68" s="5">
        <f>SUMIFS('Weekly Dump'!AE:AE,'Weekly Dump'!B:B,C68)</f>
        <v>6.948333333</v>
      </c>
      <c r="K68" s="4">
        <f>SUMPRODUCT(
  (TEXT('Weekly Dump'!$A$2:$A1009,"mmm-yy")=TEXT($AB68,"mmm-yy"))*
  ('Weekly Dump'!$B$2:$B1009=$C68)*
  'Weekly Dump'!$D$2:$D1009)</f>
        <v>60</v>
      </c>
      <c r="L68" s="4">
        <f>SUMPRODUCT(
  (TEXT('Weekly Dump'!$A$2:$A1009,"mmm-yy")=TEXT($AB68,"mmm-yy"))*
  ('Weekly Dump'!$B$2:$B1009=$C68)*
  'Weekly Dump'!$E$2:$E1009
)</f>
        <v>18</v>
      </c>
      <c r="M68" s="4">
        <f>SUMPRODUCT(
  (TEXT('Weekly Dump'!$A$2:$A1009,"mmm-yy")=TEXT($AB68,"mmm-yy"))*
  ('Weekly Dump'!$B$2:$B1009=$C68)*
  'Weekly Dump'!$P$2:$P1009
)</f>
        <v>14</v>
      </c>
      <c r="N68" s="39">
        <v>30.0</v>
      </c>
      <c r="O68" s="40">
        <f>SUMIFS('Weekly Dump'!$D:$D,'Weekly Dump'!$B:$B,$C68,'Weekly Dump'!$A:$A,$AB68)</f>
        <v>30</v>
      </c>
      <c r="P68" s="40">
        <f>SUMIFS('Weekly Dump'!R:R,'Weekly Dump'!B:B,C68,'Weekly Dump'!A:A,AB68)</f>
        <v>69830</v>
      </c>
      <c r="Q68" s="40">
        <f t="shared" si="7"/>
        <v>0</v>
      </c>
      <c r="R68" s="41"/>
      <c r="S68" s="3" t="str">
        <f>IFERROR(VLOOKUP(C68,Sheet9!$C$10:$E$25,3,0),"")</f>
        <v/>
      </c>
      <c r="T68" s="4">
        <f>SUMIFS('Weekly Dump'!E:E,'Weekly Dump'!B:B,C68,'Weekly Dump'!A:A,AB68)</f>
        <v>4</v>
      </c>
      <c r="U68" s="3">
        <f t="shared" si="8"/>
        <v>-4</v>
      </c>
      <c r="V68" s="42"/>
      <c r="W68" s="4"/>
      <c r="X68" s="4">
        <f>SUMIFS('Weekly Dump'!P:P,'Weekly Dump'!B:B,C68,'Weekly Dump'!A:A,AB68)</f>
        <v>3</v>
      </c>
      <c r="Y68" s="4">
        <f t="shared" si="9"/>
        <v>3</v>
      </c>
      <c r="Z68" s="41"/>
      <c r="AA68" s="12" t="str">
        <f>iferror(IF(VLOOKUP(C68,'Weekly Dump'!B:B,1,0)=C68,"Yes","Missing"),"")</f>
        <v>Yes</v>
      </c>
      <c r="AB68" s="60">
        <v>46153.0</v>
      </c>
    </row>
    <row r="69">
      <c r="A69" s="38" t="s">
        <v>126</v>
      </c>
      <c r="B69" s="3"/>
      <c r="C69" s="2" t="s">
        <v>104</v>
      </c>
      <c r="D69" s="3" t="s">
        <v>105</v>
      </c>
      <c r="E69" s="3" t="s">
        <v>28</v>
      </c>
      <c r="F69" s="3" t="s">
        <v>29</v>
      </c>
      <c r="G69" s="3"/>
      <c r="I69" s="4">
        <f>SUMIFS('Weekly Dump'!D:D,'Weekly Dump'!B:B,C69)</f>
        <v>75</v>
      </c>
      <c r="J69" s="5">
        <f>SUMIFS('Weekly Dump'!AE:AE,'Weekly Dump'!B:B,C69)</f>
        <v>13.08944444</v>
      </c>
      <c r="K69" s="4">
        <f>SUMPRODUCT(
  (TEXT('Weekly Dump'!$A$2:$A1009,"mmm-yy")=TEXT($AB69,"mmm-yy"))*
  ('Weekly Dump'!$B$2:$B1009=$C69)*
  'Weekly Dump'!$D$2:$D1009)</f>
        <v>23</v>
      </c>
      <c r="L69" s="4">
        <f>SUMPRODUCT(
  (TEXT('Weekly Dump'!$A$2:$A1009,"mmm-yy")=TEXT($AB69,"mmm-yy"))*
  ('Weekly Dump'!$B$2:$B1009=$C69)*
  'Weekly Dump'!$E$2:$E1009
)</f>
        <v>23</v>
      </c>
      <c r="M69" s="4">
        <f>SUMPRODUCT(
  (TEXT('Weekly Dump'!$A$2:$A1009,"mmm-yy")=TEXT($AB69,"mmm-yy"))*
  ('Weekly Dump'!$B$2:$B1009=$C69)*
  'Weekly Dump'!$P$2:$P1009
)</f>
        <v>13</v>
      </c>
      <c r="N69" s="39">
        <v>15.0</v>
      </c>
      <c r="O69" s="40">
        <f>SUMIFS('Weekly Dump'!$D:$D,'Weekly Dump'!$B:$B,$C69,'Weekly Dump'!$A:$A,$AB69)</f>
        <v>23</v>
      </c>
      <c r="P69" s="40">
        <f>SUMIFS('Weekly Dump'!R:R,'Weekly Dump'!B:B,C69,'Weekly Dump'!A:A,AB69)</f>
        <v>54232</v>
      </c>
      <c r="Q69" s="40">
        <f t="shared" si="7"/>
        <v>8</v>
      </c>
      <c r="R69" s="41"/>
      <c r="S69" s="3" t="str">
        <f>IFERROR(VLOOKUP(C69,Sheet9!$C$10:$E$25,3,0),"")</f>
        <v/>
      </c>
      <c r="T69" s="4">
        <f>SUMIFS('Weekly Dump'!E:E,'Weekly Dump'!B:B,C69,'Weekly Dump'!A:A,AB69)</f>
        <v>11</v>
      </c>
      <c r="U69" s="3">
        <f t="shared" si="8"/>
        <v>-11</v>
      </c>
      <c r="V69" s="42"/>
      <c r="W69" s="4"/>
      <c r="X69" s="4">
        <f>SUMIFS('Weekly Dump'!P:P,'Weekly Dump'!B:B,C69,'Weekly Dump'!A:A,AB69)</f>
        <v>0</v>
      </c>
      <c r="Y69" s="4">
        <f t="shared" si="9"/>
        <v>0</v>
      </c>
      <c r="Z69" s="41"/>
      <c r="AA69" s="12" t="str">
        <f>iferror(IF(VLOOKUP(C69,'Weekly Dump'!B:B,1,0)=C69,"Yes","Missing"),"")</f>
        <v>Yes</v>
      </c>
      <c r="AB69" s="60">
        <v>46153.0</v>
      </c>
    </row>
    <row r="70">
      <c r="A70" s="38" t="s">
        <v>126</v>
      </c>
      <c r="B70" s="3"/>
      <c r="C70" s="2" t="s">
        <v>106</v>
      </c>
      <c r="D70" s="3" t="s">
        <v>107</v>
      </c>
      <c r="E70" s="38" t="s">
        <v>88</v>
      </c>
      <c r="F70" s="3"/>
      <c r="G70" s="3"/>
      <c r="I70" s="4">
        <f>SUMIFS('Weekly Dump'!D:D,'Weekly Dump'!B:B,C70)</f>
        <v>8</v>
      </c>
      <c r="J70" s="5">
        <f>SUMIFS('Weekly Dump'!AE:AE,'Weekly Dump'!B:B,C70)</f>
        <v>1.161388889</v>
      </c>
      <c r="K70" s="4">
        <f>SUMPRODUCT(
  (TEXT('Weekly Dump'!$A$2:$A1009,"mmm-yy")=TEXT($AB70,"mmm-yy"))*
  ('Weekly Dump'!$B$2:$B1009=$C70)*
  'Weekly Dump'!$D$2:$D1009)</f>
        <v>0</v>
      </c>
      <c r="L70" s="4">
        <f>SUMPRODUCT(
  (TEXT('Weekly Dump'!$A$2:$A1009,"mmm-yy")=TEXT($AB70,"mmm-yy"))*
  ('Weekly Dump'!$B$2:$B1009=$C70)*
  'Weekly Dump'!$E$2:$E1009
)</f>
        <v>0</v>
      </c>
      <c r="M70" s="4">
        <f>SUMPRODUCT(
  (TEXT('Weekly Dump'!$A$2:$A1009,"mmm-yy")=TEXT($AB70,"mmm-yy"))*
  ('Weekly Dump'!$B$2:$B1009=$C70)*
  'Weekly Dump'!$P$2:$P1009
)</f>
        <v>0</v>
      </c>
      <c r="N70" s="39"/>
      <c r="O70" s="40">
        <f>SUMIFS('Weekly Dump'!$D:$D,'Weekly Dump'!$B:$B,$C70,'Weekly Dump'!$A:$A,$AB70)</f>
        <v>0</v>
      </c>
      <c r="P70" s="40">
        <f>SUMIFS('Weekly Dump'!R:R,'Weekly Dump'!B:B,C70,'Weekly Dump'!A:A,AB70)</f>
        <v>0</v>
      </c>
      <c r="Q70" s="40">
        <f t="shared" si="7"/>
        <v>0</v>
      </c>
      <c r="R70" s="41"/>
      <c r="S70" s="3" t="str">
        <f>IFERROR(VLOOKUP(C70,Sheet9!$C$10:$E$25,3,0),"")</f>
        <v/>
      </c>
      <c r="T70" s="4">
        <f>SUMIFS('Weekly Dump'!E:E,'Weekly Dump'!B:B,C70,'Weekly Dump'!A:A,AB70)</f>
        <v>0</v>
      </c>
      <c r="U70" s="3">
        <f t="shared" si="8"/>
        <v>0</v>
      </c>
      <c r="V70" s="42"/>
      <c r="W70" s="4"/>
      <c r="X70" s="4">
        <f>SUMIFS('Weekly Dump'!P:P,'Weekly Dump'!B:B,C70,'Weekly Dump'!A:A,AB70)</f>
        <v>0</v>
      </c>
      <c r="Y70" s="4">
        <f t="shared" si="9"/>
        <v>0</v>
      </c>
      <c r="Z70" s="41"/>
      <c r="AA70" s="12" t="str">
        <f>iferror(IF(VLOOKUP(C70,'Weekly Dump'!B:B,1,0)=C70,"Yes","Missing"),"")</f>
        <v>Yes</v>
      </c>
      <c r="AB70" s="60">
        <v>46153.0</v>
      </c>
    </row>
    <row r="71">
      <c r="A71" s="38" t="s">
        <v>126</v>
      </c>
      <c r="B71" s="3"/>
      <c r="C71" s="2" t="s">
        <v>108</v>
      </c>
      <c r="D71" s="3" t="s">
        <v>109</v>
      </c>
      <c r="E71" s="3" t="s">
        <v>28</v>
      </c>
      <c r="F71" s="3"/>
      <c r="G71" s="3"/>
      <c r="I71" s="4">
        <f>SUMIFS('Weekly Dump'!D:D,'Weekly Dump'!B:B,C71)</f>
        <v>58</v>
      </c>
      <c r="J71" s="5">
        <f>SUMIFS('Weekly Dump'!AE:AE,'Weekly Dump'!B:B,C71)</f>
        <v>9.653333333</v>
      </c>
      <c r="K71" s="4">
        <f>SUMPRODUCT(
  (TEXT('Weekly Dump'!$A$2:$A1009,"mmm-yy")=TEXT($AB71,"mmm-yy"))*
  ('Weekly Dump'!$B$2:$B1009=$C71)*
  'Weekly Dump'!$D$2:$D1009)</f>
        <v>43</v>
      </c>
      <c r="L71" s="4">
        <f>SUMPRODUCT(
  (TEXT('Weekly Dump'!$A$2:$A1009,"mmm-yy")=TEXT($AB71,"mmm-yy"))*
  ('Weekly Dump'!$B$2:$B1009=$C71)*
  'Weekly Dump'!$E$2:$E1009
)</f>
        <v>37</v>
      </c>
      <c r="M71" s="4">
        <f>SUMPRODUCT(
  (TEXT('Weekly Dump'!$A$2:$A1009,"mmm-yy")=TEXT($AB71,"mmm-yy"))*
  ('Weekly Dump'!$B$2:$B1009=$C71)*
  'Weekly Dump'!$P$2:$P1009
)</f>
        <v>46</v>
      </c>
      <c r="N71" s="39">
        <v>15.0</v>
      </c>
      <c r="O71" s="40">
        <f>SUMIFS('Weekly Dump'!$D:$D,'Weekly Dump'!$B:$B,$C71,'Weekly Dump'!$A:$A,$AB71)</f>
        <v>8</v>
      </c>
      <c r="P71" s="40">
        <f>SUMIFS('Weekly Dump'!R:R,'Weekly Dump'!B:B,C71,'Weekly Dump'!A:A,AB71)</f>
        <v>15847</v>
      </c>
      <c r="Q71" s="40">
        <f t="shared" si="7"/>
        <v>-7</v>
      </c>
      <c r="R71" s="41"/>
      <c r="S71" s="3">
        <f>IFERROR(VLOOKUP(C71,Sheet9!$C$10:$E$25,3,0),"")</f>
        <v>20</v>
      </c>
      <c r="T71" s="4">
        <f>SUMIFS('Weekly Dump'!E:E,'Weekly Dump'!B:B,C71,'Weekly Dump'!A:A,AB71)</f>
        <v>17</v>
      </c>
      <c r="U71" s="3">
        <f t="shared" si="8"/>
        <v>3</v>
      </c>
      <c r="V71" s="42"/>
      <c r="W71" s="4">
        <v>20.0</v>
      </c>
      <c r="X71" s="4">
        <f>SUMIFS('Weekly Dump'!P:P,'Weekly Dump'!B:B,C71,'Weekly Dump'!A:A,AB71)</f>
        <v>20</v>
      </c>
      <c r="Y71" s="4">
        <f t="shared" si="9"/>
        <v>0</v>
      </c>
      <c r="Z71" s="41"/>
      <c r="AA71" s="12" t="str">
        <f>iferror(IF(VLOOKUP(C71,'Weekly Dump'!B:B,1,0)=C71,"Yes","Missing"),"")</f>
        <v>Yes</v>
      </c>
      <c r="AB71" s="60">
        <v>46153.0</v>
      </c>
    </row>
    <row r="72">
      <c r="A72" s="38" t="s">
        <v>126</v>
      </c>
      <c r="B72" s="3"/>
      <c r="C72" s="2" t="s">
        <v>110</v>
      </c>
      <c r="D72" s="3" t="s">
        <v>111</v>
      </c>
      <c r="E72" s="38" t="s">
        <v>88</v>
      </c>
      <c r="F72" s="3"/>
      <c r="G72" s="3"/>
      <c r="I72" s="4">
        <f>SUMIFS('Weekly Dump'!D:D,'Weekly Dump'!B:B,C72)</f>
        <v>44</v>
      </c>
      <c r="J72" s="5">
        <f>SUMIFS('Weekly Dump'!AE:AE,'Weekly Dump'!B:B,C72)</f>
        <v>2.713333333</v>
      </c>
      <c r="K72" s="4">
        <f>SUMPRODUCT(
  (TEXT('Weekly Dump'!$A$2:$A1009,"mmm-yy")=TEXT($AB72,"mmm-yy"))*
  ('Weekly Dump'!$B$2:$B1009=$C72)*
  'Weekly Dump'!$D$2:$D1009)</f>
        <v>21</v>
      </c>
      <c r="L72" s="4">
        <f>SUMPRODUCT(
  (TEXT('Weekly Dump'!$A$2:$A1009,"mmm-yy")=TEXT($AB72,"mmm-yy"))*
  ('Weekly Dump'!$B$2:$B1009=$C72)*
  'Weekly Dump'!$E$2:$E1009
)</f>
        <v>27</v>
      </c>
      <c r="M72" s="4">
        <f>SUMPRODUCT(
  (TEXT('Weekly Dump'!$A$2:$A1009,"mmm-yy")=TEXT($AB72,"mmm-yy"))*
  ('Weekly Dump'!$B$2:$B1009=$C72)*
  'Weekly Dump'!$P$2:$P1009
)</f>
        <v>12</v>
      </c>
      <c r="N72" s="39"/>
      <c r="O72" s="40">
        <f>SUMIFS('Weekly Dump'!$D:$D,'Weekly Dump'!$B:$B,$C72,'Weekly Dump'!$A:$A,$AB72)</f>
        <v>8</v>
      </c>
      <c r="P72" s="40">
        <f>SUMIFS('Weekly Dump'!R:R,'Weekly Dump'!B:B,C72,'Weekly Dump'!A:A,AB72)</f>
        <v>19570</v>
      </c>
      <c r="Q72" s="40">
        <f t="shared" si="7"/>
        <v>8</v>
      </c>
      <c r="R72" s="41"/>
      <c r="S72" s="3" t="str">
        <f>IFERROR(VLOOKUP(C72,Sheet9!$C$10:$E$25,3,0),"")</f>
        <v/>
      </c>
      <c r="T72" s="4">
        <f>SUMIFS('Weekly Dump'!E:E,'Weekly Dump'!B:B,C72,'Weekly Dump'!A:A,AB72)</f>
        <v>15</v>
      </c>
      <c r="U72" s="3">
        <f t="shared" si="8"/>
        <v>-15</v>
      </c>
      <c r="V72" s="42"/>
      <c r="W72" s="4"/>
      <c r="X72" s="4">
        <f>SUMIFS('Weekly Dump'!P:P,'Weekly Dump'!B:B,C72,'Weekly Dump'!A:A,AB72)</f>
        <v>0</v>
      </c>
      <c r="Y72" s="4">
        <f t="shared" si="9"/>
        <v>0</v>
      </c>
      <c r="Z72" s="41"/>
      <c r="AA72" s="12" t="str">
        <f>iferror(IF(VLOOKUP(C72,'Weekly Dump'!B:B,1,0)=C72,"Yes","Missing"),"")</f>
        <v>Yes</v>
      </c>
      <c r="AB72" s="60">
        <v>46153.0</v>
      </c>
    </row>
    <row r="73">
      <c r="A73" s="38" t="s">
        <v>126</v>
      </c>
      <c r="B73" s="2"/>
      <c r="C73" s="2" t="str">
        <f t="shared" ref="C73:C76" si="10">IFERROR(VLOOKUP(D73,Sheet3!L:M,2,0),"")</f>
        <v/>
      </c>
      <c r="D73" s="3" t="s">
        <v>112</v>
      </c>
      <c r="E73" s="38" t="s">
        <v>88</v>
      </c>
      <c r="F73" s="3"/>
      <c r="G73" s="3"/>
      <c r="I73" s="4">
        <f>SUMIFS('Weekly Dump'!D:D,'Weekly Dump'!B:B,C73)</f>
        <v>0</v>
      </c>
      <c r="J73" s="5">
        <f>SUMIFS('Weekly Dump'!AE:AE,'Weekly Dump'!B:B,C73)</f>
        <v>0</v>
      </c>
      <c r="K73" s="4">
        <f>SUMPRODUCT(
  (TEXT('Weekly Dump'!$A$2:$A1009,"mmm-yy")=TEXT($AB73,"mmm-yy"))*
  ('Weekly Dump'!$B$2:$B1009=$C73)*
  'Weekly Dump'!$D$2:$D1009)</f>
        <v>0</v>
      </c>
      <c r="L73" s="4">
        <f>SUMPRODUCT(
  (TEXT('Weekly Dump'!$A$2:$A1009,"mmm-yy")=TEXT($AB73,"mmm-yy"))*
  ('Weekly Dump'!$B$2:$B1009=$C73)*
  'Weekly Dump'!$E$2:$E1009
)</f>
        <v>0</v>
      </c>
      <c r="M73" s="4">
        <f>SUMPRODUCT(
  (TEXT('Weekly Dump'!$A$2:$A1009,"mmm-yy")=TEXT($AB73,"mmm-yy"))*
  ('Weekly Dump'!$B$2:$B1009=$C73)*
  'Weekly Dump'!$P$2:$P1009
)</f>
        <v>0</v>
      </c>
      <c r="N73" s="39"/>
      <c r="O73" s="40">
        <f>SUMIFS('Weekly Dump'!$D:$D,'Weekly Dump'!$B:$B,$C73,'Weekly Dump'!$A:$A,$AB73)</f>
        <v>0</v>
      </c>
      <c r="P73" s="40">
        <f>SUMIFS('Weekly Dump'!R:R,'Weekly Dump'!B:B,C73,'Weekly Dump'!A:A,AB73)</f>
        <v>0</v>
      </c>
      <c r="Q73" s="40">
        <f t="shared" si="7"/>
        <v>0</v>
      </c>
      <c r="R73" s="41"/>
      <c r="S73" s="3" t="str">
        <f>IFERROR(VLOOKUP(C73,Sheet9!$C$10:$E$25,3,0),"")</f>
        <v/>
      </c>
      <c r="T73" s="4">
        <f>SUMIFS('Weekly Dump'!E:E,'Weekly Dump'!B:B,C73,'Weekly Dump'!A:A,AB73)</f>
        <v>0</v>
      </c>
      <c r="U73" s="3">
        <f t="shared" si="8"/>
        <v>0</v>
      </c>
      <c r="V73" s="42"/>
      <c r="W73" s="4"/>
      <c r="X73" s="4">
        <f>SUMIFS('Weekly Dump'!P:P,'Weekly Dump'!B:B,C73,'Weekly Dump'!A:A,AB73)</f>
        <v>0</v>
      </c>
      <c r="Y73" s="4">
        <f t="shared" si="9"/>
        <v>0</v>
      </c>
      <c r="Z73" s="41"/>
      <c r="AA73" s="12" t="str">
        <f>iferror(IF(VLOOKUP(C73,'Weekly Dump'!B:B,1,0)=C73,"Yes","Missing"),"")</f>
        <v/>
      </c>
      <c r="AB73" s="60">
        <v>46153.0</v>
      </c>
    </row>
    <row r="74">
      <c r="A74" s="38" t="s">
        <v>126</v>
      </c>
      <c r="B74" s="2"/>
      <c r="C74" s="2" t="str">
        <f t="shared" si="10"/>
        <v/>
      </c>
      <c r="D74" s="3" t="s">
        <v>113</v>
      </c>
      <c r="E74" s="38" t="s">
        <v>88</v>
      </c>
      <c r="F74" s="3"/>
      <c r="G74" s="3"/>
      <c r="I74" s="4">
        <f>SUMIFS('Weekly Dump'!D:D,'Weekly Dump'!B:B,C74)</f>
        <v>0</v>
      </c>
      <c r="J74" s="5">
        <f>SUMIFS('Weekly Dump'!AE:AE,'Weekly Dump'!B:B,C74)</f>
        <v>0</v>
      </c>
      <c r="K74" s="4">
        <f>SUMPRODUCT(
  (TEXT('Weekly Dump'!$A$2:$A1009,"mmm-yy")=TEXT($AB74,"mmm-yy"))*
  ('Weekly Dump'!$B$2:$B1009=$C74)*
  'Weekly Dump'!$D$2:$D1009)</f>
        <v>0</v>
      </c>
      <c r="L74" s="4">
        <f>SUMPRODUCT(
  (TEXT('Weekly Dump'!$A$2:$A1009,"mmm-yy")=TEXT($AB74,"mmm-yy"))*
  ('Weekly Dump'!$B$2:$B1009=$C74)*
  'Weekly Dump'!$E$2:$E1009
)</f>
        <v>0</v>
      </c>
      <c r="M74" s="4">
        <f>SUMPRODUCT(
  (TEXT('Weekly Dump'!$A$2:$A1009,"mmm-yy")=TEXT($AB74,"mmm-yy"))*
  ('Weekly Dump'!$B$2:$B1009=$C74)*
  'Weekly Dump'!$P$2:$P1009
)</f>
        <v>0</v>
      </c>
      <c r="N74" s="39"/>
      <c r="O74" s="40">
        <f>SUMIFS('Weekly Dump'!$D:$D,'Weekly Dump'!$B:$B,$C74,'Weekly Dump'!$A:$A,$AB74)</f>
        <v>0</v>
      </c>
      <c r="P74" s="40">
        <f>SUMIFS('Weekly Dump'!R:R,'Weekly Dump'!B:B,C74,'Weekly Dump'!A:A,AB74)</f>
        <v>0</v>
      </c>
      <c r="Q74" s="40">
        <f t="shared" si="7"/>
        <v>0</v>
      </c>
      <c r="R74" s="41"/>
      <c r="S74" s="3" t="str">
        <f>IFERROR(VLOOKUP(C74,Sheet9!$C$10:$E$25,3,0),"")</f>
        <v/>
      </c>
      <c r="T74" s="4">
        <f>SUMIFS('Weekly Dump'!E:E,'Weekly Dump'!B:B,C74,'Weekly Dump'!A:A,AB74)</f>
        <v>0</v>
      </c>
      <c r="U74" s="3">
        <f t="shared" si="8"/>
        <v>0</v>
      </c>
      <c r="V74" s="42"/>
      <c r="W74" s="4"/>
      <c r="X74" s="4">
        <f>SUMIFS('Weekly Dump'!P:P,'Weekly Dump'!B:B,C74,'Weekly Dump'!A:A,AB74)</f>
        <v>0</v>
      </c>
      <c r="Y74" s="4">
        <f t="shared" si="9"/>
        <v>0</v>
      </c>
      <c r="Z74" s="41"/>
      <c r="AA74" s="12" t="str">
        <f>iferror(IF(VLOOKUP(C74,'Weekly Dump'!B:B,1,0)=C74,"Yes","Missing"),"")</f>
        <v/>
      </c>
      <c r="AB74" s="60">
        <v>46153.0</v>
      </c>
    </row>
    <row r="75">
      <c r="A75" s="38" t="s">
        <v>126</v>
      </c>
      <c r="B75" s="2"/>
      <c r="C75" s="2" t="str">
        <f t="shared" si="10"/>
        <v/>
      </c>
      <c r="D75" s="3" t="s">
        <v>114</v>
      </c>
      <c r="E75" s="38" t="s">
        <v>88</v>
      </c>
      <c r="F75" s="3" t="str">
        <f t="shared" ref="F75:F76" si="11">IFERROR(VLOOKUP($D75,Sheet3!$N:$Q,3,0),"")</f>
        <v/>
      </c>
      <c r="G75" s="3" t="str">
        <f t="shared" ref="G75:G76" si="12">IFERROR(VLOOKUP($D75,Sheet3!$N:$Q,4,0),"")</f>
        <v/>
      </c>
      <c r="I75" s="4">
        <f>SUMIFS('Weekly Dump'!D:D,'Weekly Dump'!B:B,C75)</f>
        <v>0</v>
      </c>
      <c r="J75" s="5">
        <f>SUMIFS('Weekly Dump'!AE:AE,'Weekly Dump'!B:B,C75)</f>
        <v>0</v>
      </c>
      <c r="K75" s="4">
        <f>SUMPRODUCT(
  (TEXT('Weekly Dump'!$A$2:$A1009,"mmm-yy")=TEXT($AB75,"mmm-yy"))*
  ('Weekly Dump'!$B$2:$B1009=$C75)*
  'Weekly Dump'!$D$2:$D1009)</f>
        <v>0</v>
      </c>
      <c r="L75" s="4">
        <f>SUMPRODUCT(
  (TEXT('Weekly Dump'!$A$2:$A1009,"mmm-yy")=TEXT($AB75,"mmm-yy"))*
  ('Weekly Dump'!$B$2:$B1009=$C75)*
  'Weekly Dump'!$E$2:$E1009
)</f>
        <v>0</v>
      </c>
      <c r="M75" s="4">
        <f>SUMPRODUCT(
  (TEXT('Weekly Dump'!$A$2:$A1009,"mmm-yy")=TEXT($AB75,"mmm-yy"))*
  ('Weekly Dump'!$B$2:$B1009=$C75)*
  'Weekly Dump'!$P$2:$P1009
)</f>
        <v>0</v>
      </c>
      <c r="N75" s="39"/>
      <c r="O75" s="40">
        <f>SUMIFS('Weekly Dump'!$D:$D,'Weekly Dump'!$B:$B,$C75,'Weekly Dump'!$A:$A,$AB75)</f>
        <v>0</v>
      </c>
      <c r="P75" s="40">
        <f>SUMIFS('Weekly Dump'!R:R,'Weekly Dump'!B:B,C75,'Weekly Dump'!A:A,AB75)</f>
        <v>0</v>
      </c>
      <c r="Q75" s="40">
        <f t="shared" si="7"/>
        <v>0</v>
      </c>
      <c r="R75" s="41"/>
      <c r="S75" s="3" t="str">
        <f>IFERROR(VLOOKUP(C75,Sheet9!$C$10:$E$25,3,0),"")</f>
        <v/>
      </c>
      <c r="T75" s="4">
        <f>SUMIFS('Weekly Dump'!E:E,'Weekly Dump'!B:B,C75,'Weekly Dump'!A:A,AB75)</f>
        <v>0</v>
      </c>
      <c r="U75" s="3">
        <f t="shared" si="8"/>
        <v>0</v>
      </c>
      <c r="V75" s="42"/>
      <c r="W75" s="4"/>
      <c r="X75" s="4">
        <f>SUMIFS('Weekly Dump'!P:P,'Weekly Dump'!B:B,C75,'Weekly Dump'!A:A,AB75)</f>
        <v>0</v>
      </c>
      <c r="Y75" s="4">
        <f t="shared" si="9"/>
        <v>0</v>
      </c>
      <c r="Z75" s="41"/>
      <c r="AA75" s="12" t="str">
        <f>iferror(IF(VLOOKUP(C75,'Weekly Dump'!B:B,1,0)=C75,"Yes","Missing"),"")</f>
        <v/>
      </c>
      <c r="AB75" s="60">
        <v>46153.0</v>
      </c>
    </row>
    <row r="76">
      <c r="A76" s="38" t="s">
        <v>126</v>
      </c>
      <c r="B76" s="2"/>
      <c r="C76" s="2" t="str">
        <f t="shared" si="10"/>
        <v/>
      </c>
      <c r="D76" s="3" t="s">
        <v>115</v>
      </c>
      <c r="E76" s="38" t="s">
        <v>88</v>
      </c>
      <c r="F76" s="3" t="str">
        <f t="shared" si="11"/>
        <v/>
      </c>
      <c r="G76" s="3" t="str">
        <f t="shared" si="12"/>
        <v/>
      </c>
      <c r="I76" s="4">
        <f>SUMIFS('Weekly Dump'!D:D,'Weekly Dump'!B:B,C76)</f>
        <v>0</v>
      </c>
      <c r="J76" s="5">
        <f>SUMIFS('Weekly Dump'!AE:AE,'Weekly Dump'!B:B,C76)</f>
        <v>0</v>
      </c>
      <c r="K76" s="4">
        <f>SUMPRODUCT(
  (TEXT('Weekly Dump'!$A$2:$A1009,"mmm-yy")=TEXT($AB76,"mmm-yy"))*
  ('Weekly Dump'!$B$2:$B1009=$C76)*
  'Weekly Dump'!$D$2:$D1009)</f>
        <v>0</v>
      </c>
      <c r="L76" s="4">
        <f>SUMPRODUCT(
  (TEXT('Weekly Dump'!$A$2:$A1009,"mmm-yy")=TEXT($AB76,"mmm-yy"))*
  ('Weekly Dump'!$B$2:$B1009=$C76)*
  'Weekly Dump'!$E$2:$E1009
)</f>
        <v>0</v>
      </c>
      <c r="M76" s="4">
        <f>SUMPRODUCT(
  (TEXT('Weekly Dump'!$A$2:$A1009,"mmm-yy")=TEXT($AB76,"mmm-yy"))*
  ('Weekly Dump'!$B$2:$B1009=$C76)*
  'Weekly Dump'!$P$2:$P1009
)</f>
        <v>0</v>
      </c>
      <c r="N76" s="39"/>
      <c r="O76" s="40">
        <f>SUMIFS('Weekly Dump'!$D:$D,'Weekly Dump'!$B:$B,$C76,'Weekly Dump'!$A:$A,$AB76)</f>
        <v>0</v>
      </c>
      <c r="P76" s="40">
        <f>SUMIFS('Weekly Dump'!R:R,'Weekly Dump'!B:B,C76,'Weekly Dump'!A:A,AB76)</f>
        <v>0</v>
      </c>
      <c r="Q76" s="40">
        <f t="shared" si="7"/>
        <v>0</v>
      </c>
      <c r="R76" s="41"/>
      <c r="S76" s="3" t="str">
        <f>IFERROR(VLOOKUP(C76,Sheet9!$C$10:$E$25,3,0),"")</f>
        <v/>
      </c>
      <c r="T76" s="4">
        <f>SUMIFS('Weekly Dump'!E:E,'Weekly Dump'!B:B,C76,'Weekly Dump'!A:A,AB76)</f>
        <v>0</v>
      </c>
      <c r="U76" s="3">
        <f t="shared" si="8"/>
        <v>0</v>
      </c>
      <c r="V76" s="42"/>
      <c r="W76" s="4"/>
      <c r="X76" s="4">
        <f>SUMIFS('Weekly Dump'!P:P,'Weekly Dump'!B:B,C76,'Weekly Dump'!A:A,AB76)</f>
        <v>0</v>
      </c>
      <c r="Y76" s="4">
        <f t="shared" si="9"/>
        <v>0</v>
      </c>
      <c r="Z76" s="41"/>
      <c r="AA76" s="12" t="str">
        <f>iferror(IF(VLOOKUP(C76,'Weekly Dump'!B:B,1,0)=C76,"Yes","Missing"),"")</f>
        <v/>
      </c>
      <c r="AB76" s="60">
        <v>46153.0</v>
      </c>
    </row>
    <row r="77">
      <c r="A77" s="38" t="s">
        <v>126</v>
      </c>
      <c r="B77" s="2"/>
      <c r="C77" s="46" t="s">
        <v>116</v>
      </c>
      <c r="D77" s="38" t="s">
        <v>117</v>
      </c>
      <c r="E77" s="3" t="s">
        <v>28</v>
      </c>
      <c r="F77" s="3"/>
      <c r="G77" s="3"/>
      <c r="I77" s="4">
        <f>SUMIFS('Weekly Dump'!D:D,'Weekly Dump'!B:B,C77)</f>
        <v>31</v>
      </c>
      <c r="J77" s="5">
        <f>SUMIFS('Weekly Dump'!AE:AE,'Weekly Dump'!B:B,C77)</f>
        <v>0</v>
      </c>
      <c r="K77" s="4">
        <f>SUMPRODUCT(
  (TEXT('Weekly Dump'!$A$2:$A1009,"mmm-yy")=TEXT($AB77,"mmm-yy"))*
  ('Weekly Dump'!$B$2:$B1009=$C77)*
  'Weekly Dump'!$D$2:$D1009)</f>
        <v>31</v>
      </c>
      <c r="L77" s="4">
        <f>SUMPRODUCT(
  (TEXT('Weekly Dump'!$A$2:$A1009,"mmm-yy")=TEXT($AB77,"mmm-yy"))*
  ('Weekly Dump'!$B$2:$B1009=$C77)*
  'Weekly Dump'!$E$2:$E1009
)</f>
        <v>0</v>
      </c>
      <c r="M77" s="4">
        <f>SUMPRODUCT(
  (TEXT('Weekly Dump'!$A$2:$A1009,"mmm-yy")=TEXT($AB77,"mmm-yy"))*
  ('Weekly Dump'!$B$2:$B1009=$C77)*
  'Weekly Dump'!$P$2:$P1009
)</f>
        <v>0</v>
      </c>
      <c r="N77" s="61">
        <v>5.0</v>
      </c>
      <c r="O77" s="40">
        <f>SUMIFS('Weekly Dump'!$D:$D,'Weekly Dump'!$B:$B,$C77,'Weekly Dump'!$A:$A,$AB77)</f>
        <v>11</v>
      </c>
      <c r="P77" s="40">
        <f>SUMIFS('Weekly Dump'!R:R,'Weekly Dump'!B:B,C77,'Weekly Dump'!A:A,AB77)</f>
        <v>25253</v>
      </c>
      <c r="Q77" s="40">
        <f t="shared" si="7"/>
        <v>6</v>
      </c>
      <c r="R77" s="41"/>
      <c r="S77" s="3" t="str">
        <f>IFERROR(VLOOKUP(C77,Sheet9!$C$10:$E$25,3,0),"")</f>
        <v/>
      </c>
      <c r="T77" s="4">
        <f>SUMIFS('Weekly Dump'!E:E,'Weekly Dump'!B:B,C77,'Weekly Dump'!A:A,AB77)</f>
        <v>0</v>
      </c>
      <c r="U77" s="3">
        <f t="shared" si="8"/>
        <v>0</v>
      </c>
      <c r="V77" s="42"/>
      <c r="W77" s="4"/>
      <c r="X77" s="4">
        <f>SUMIFS('Weekly Dump'!P:P,'Weekly Dump'!B:B,C77,'Weekly Dump'!A:A,AB77)</f>
        <v>0</v>
      </c>
      <c r="Y77" s="4">
        <f t="shared" si="9"/>
        <v>0</v>
      </c>
      <c r="Z77" s="41"/>
      <c r="AA77" s="12" t="str">
        <f>iferror(IF(VLOOKUP(C77,'Weekly Dump'!B:B,1,0)=C77,"Yes","Missing"),"")</f>
        <v>Yes</v>
      </c>
      <c r="AB77" s="60">
        <v>46153.0</v>
      </c>
    </row>
    <row r="78">
      <c r="A78" s="38" t="s">
        <v>126</v>
      </c>
      <c r="B78" s="2"/>
      <c r="C78" s="46" t="s">
        <v>118</v>
      </c>
      <c r="D78" s="38" t="s">
        <v>119</v>
      </c>
      <c r="E78" s="3" t="s">
        <v>28</v>
      </c>
      <c r="F78" s="3"/>
      <c r="G78" s="3"/>
      <c r="I78" s="4">
        <f>SUMIFS('Weekly Dump'!D:D,'Weekly Dump'!B:B,C78)</f>
        <v>25</v>
      </c>
      <c r="J78" s="5">
        <f>SUMIFS('Weekly Dump'!AE:AE,'Weekly Dump'!B:B,C78)</f>
        <v>0</v>
      </c>
      <c r="K78" s="4">
        <f>SUMPRODUCT(
  (TEXT('Weekly Dump'!$A$2:$A1009,"mmm-yy")=TEXT($AB78,"mmm-yy"))*
  ('Weekly Dump'!$B$2:$B1009=$C78)*
  'Weekly Dump'!$D$2:$D1009)</f>
        <v>25</v>
      </c>
      <c r="L78" s="4">
        <f>SUMPRODUCT(
  (TEXT('Weekly Dump'!$A$2:$A1009,"mmm-yy")=TEXT($AB78,"mmm-yy"))*
  ('Weekly Dump'!$B$2:$B1009=$C78)*
  'Weekly Dump'!$E$2:$E1009
)</f>
        <v>0</v>
      </c>
      <c r="M78" s="4">
        <f>SUMPRODUCT(
  (TEXT('Weekly Dump'!$A$2:$A1009,"mmm-yy")=TEXT($AB78,"mmm-yy"))*
  ('Weekly Dump'!$B$2:$B1009=$C78)*
  'Weekly Dump'!$P$2:$P1009
)</f>
        <v>0</v>
      </c>
      <c r="N78" s="61">
        <v>5.0</v>
      </c>
      <c r="O78" s="40">
        <f>SUMIFS('Weekly Dump'!$D:$D,'Weekly Dump'!$B:$B,$C78,'Weekly Dump'!$A:$A,$AB78)</f>
        <v>5</v>
      </c>
      <c r="P78" s="40">
        <f>SUMIFS('Weekly Dump'!R:R,'Weekly Dump'!B:B,C78,'Weekly Dump'!A:A,AB78)</f>
        <v>12372</v>
      </c>
      <c r="Q78" s="40">
        <f t="shared" si="7"/>
        <v>0</v>
      </c>
      <c r="R78" s="41"/>
      <c r="S78" s="3" t="str">
        <f>IFERROR(VLOOKUP(C78,Sheet9!$C$10:$E$25,3,0),"")</f>
        <v/>
      </c>
      <c r="T78" s="4">
        <f>SUMIFS('Weekly Dump'!E:E,'Weekly Dump'!B:B,C78,'Weekly Dump'!A:A,AB78)</f>
        <v>0</v>
      </c>
      <c r="U78" s="3">
        <f t="shared" si="8"/>
        <v>0</v>
      </c>
      <c r="V78" s="42"/>
      <c r="W78" s="4"/>
      <c r="X78" s="4">
        <f>SUMIFS('Weekly Dump'!P:P,'Weekly Dump'!B:B,C78,'Weekly Dump'!A:A,AB78)</f>
        <v>0</v>
      </c>
      <c r="Y78" s="4">
        <f t="shared" si="9"/>
        <v>0</v>
      </c>
      <c r="Z78" s="41"/>
      <c r="AA78" s="12" t="str">
        <f>iferror(IF(VLOOKUP(C78,'Weekly Dump'!B:B,1,0)=C78,"Yes","Missing"),"")</f>
        <v>Yes</v>
      </c>
      <c r="AB78" s="60">
        <v>46153.0</v>
      </c>
    </row>
    <row r="79">
      <c r="A79" s="38" t="s">
        <v>126</v>
      </c>
      <c r="B79" s="2"/>
      <c r="C79" s="46" t="s">
        <v>120</v>
      </c>
      <c r="D79" s="38" t="s">
        <v>121</v>
      </c>
      <c r="E79" s="3" t="s">
        <v>28</v>
      </c>
      <c r="F79" s="3"/>
      <c r="G79" s="3"/>
      <c r="I79" s="4">
        <f>SUMIFS('Weekly Dump'!D:D,'Weekly Dump'!B:B,C79)</f>
        <v>5</v>
      </c>
      <c r="J79" s="5">
        <f>SUMIFS('Weekly Dump'!AE:AE,'Weekly Dump'!B:B,C79)</f>
        <v>0</v>
      </c>
      <c r="K79" s="4">
        <f>SUMPRODUCT(
  (TEXT('Weekly Dump'!$A$2:$A1009,"mmm-yy")=TEXT($AB79,"mmm-yy"))*
  ('Weekly Dump'!$B$2:$B1009=$C79)*
  'Weekly Dump'!$D$2:$D1009)</f>
        <v>5</v>
      </c>
      <c r="L79" s="4">
        <f>SUMPRODUCT(
  (TEXT('Weekly Dump'!$A$2:$A1009,"mmm-yy")=TEXT($AB79,"mmm-yy"))*
  ('Weekly Dump'!$B$2:$B1009=$C79)*
  'Weekly Dump'!$E$2:$E1009
)</f>
        <v>0</v>
      </c>
      <c r="M79" s="4">
        <f>SUMPRODUCT(
  (TEXT('Weekly Dump'!$A$2:$A1009,"mmm-yy")=TEXT($AB79,"mmm-yy"))*
  ('Weekly Dump'!$B$2:$B1009=$C79)*
  'Weekly Dump'!$P$2:$P1009
)</f>
        <v>0</v>
      </c>
      <c r="N79" s="61">
        <v>5.0</v>
      </c>
      <c r="O79" s="40">
        <f>SUMIFS('Weekly Dump'!$D:$D,'Weekly Dump'!$B:$B,$C79,'Weekly Dump'!$A:$A,$AB79)</f>
        <v>5</v>
      </c>
      <c r="P79" s="40">
        <f>SUMIFS('Weekly Dump'!R:R,'Weekly Dump'!B:B,C79,'Weekly Dump'!A:A,AB79)</f>
        <v>12424</v>
      </c>
      <c r="Q79" s="40">
        <f t="shared" si="7"/>
        <v>0</v>
      </c>
      <c r="R79" s="41"/>
      <c r="S79" s="3" t="str">
        <f>IFERROR(VLOOKUP(C79,Sheet9!$C$10:$E$25,3,0),"")</f>
        <v/>
      </c>
      <c r="T79" s="4">
        <f>SUMIFS('Weekly Dump'!E:E,'Weekly Dump'!B:B,C79,'Weekly Dump'!A:A,AB79)</f>
        <v>0</v>
      </c>
      <c r="U79" s="3">
        <f t="shared" si="8"/>
        <v>0</v>
      </c>
      <c r="V79" s="42"/>
      <c r="W79" s="4"/>
      <c r="X79" s="4">
        <f>SUMIFS('Weekly Dump'!P:P,'Weekly Dump'!B:B,C79,'Weekly Dump'!A:A,AB79)</f>
        <v>0</v>
      </c>
      <c r="Y79" s="4">
        <f t="shared" si="9"/>
        <v>0</v>
      </c>
      <c r="Z79" s="41"/>
      <c r="AA79" s="12" t="str">
        <f>iferror(IF(VLOOKUP(C79,'Weekly Dump'!B:B,1,0)=C79,"Yes","Missing"),"")</f>
        <v>Yes</v>
      </c>
      <c r="AB79" s="60">
        <v>46153.0</v>
      </c>
    </row>
    <row r="80">
      <c r="A80" s="38" t="s">
        <v>126</v>
      </c>
      <c r="B80" s="2"/>
      <c r="C80" s="46" t="s">
        <v>122</v>
      </c>
      <c r="D80" s="38" t="s">
        <v>123</v>
      </c>
      <c r="E80" s="3" t="s">
        <v>28</v>
      </c>
      <c r="F80" s="3"/>
      <c r="G80" s="3"/>
      <c r="I80" s="4">
        <f>SUMIFS('Weekly Dump'!D:D,'Weekly Dump'!B:B,C80)</f>
        <v>24</v>
      </c>
      <c r="J80" s="5">
        <f>SUMIFS('Weekly Dump'!AE:AE,'Weekly Dump'!B:B,C80)</f>
        <v>0</v>
      </c>
      <c r="K80" s="4">
        <f>SUMPRODUCT(
  (TEXT('Weekly Dump'!$A$2:$A1009,"mmm-yy")=TEXT($AB80,"mmm-yy"))*
  ('Weekly Dump'!$B$2:$B1009=$C80)*
  'Weekly Dump'!$D$2:$D1009)</f>
        <v>24</v>
      </c>
      <c r="L80" s="4">
        <f>SUMPRODUCT(
  (TEXT('Weekly Dump'!$A$2:$A1009,"mmm-yy")=TEXT($AB80,"mmm-yy"))*
  ('Weekly Dump'!$B$2:$B1009=$C80)*
  'Weekly Dump'!$E$2:$E1009
)</f>
        <v>0</v>
      </c>
      <c r="M80" s="4">
        <f>SUMPRODUCT(
  (TEXT('Weekly Dump'!$A$2:$A1009,"mmm-yy")=TEXT($AB80,"mmm-yy"))*
  ('Weekly Dump'!$B$2:$B1009=$C80)*
  'Weekly Dump'!$P$2:$P1009
)</f>
        <v>0</v>
      </c>
      <c r="N80" s="61">
        <v>5.0</v>
      </c>
      <c r="O80" s="40">
        <f>SUMIFS('Weekly Dump'!$D:$D,'Weekly Dump'!$B:$B,$C80,'Weekly Dump'!$A:$A,$AB80)</f>
        <v>5</v>
      </c>
      <c r="P80" s="40">
        <f>SUMIFS('Weekly Dump'!R:R,'Weekly Dump'!B:B,C80,'Weekly Dump'!A:A,AB80)</f>
        <v>11898</v>
      </c>
      <c r="Q80" s="40">
        <f t="shared" si="7"/>
        <v>0</v>
      </c>
      <c r="R80" s="41"/>
      <c r="S80" s="3" t="str">
        <f>IFERROR(VLOOKUP(C80,Sheet9!$C$10:$E$25,3,0),"")</f>
        <v/>
      </c>
      <c r="T80" s="4">
        <f>SUMIFS('Weekly Dump'!E:E,'Weekly Dump'!B:B,C80,'Weekly Dump'!A:A,AB80)</f>
        <v>0</v>
      </c>
      <c r="U80" s="3">
        <f t="shared" si="8"/>
        <v>0</v>
      </c>
      <c r="V80" s="42"/>
      <c r="W80" s="4"/>
      <c r="X80" s="4">
        <f>SUMIFS('Weekly Dump'!P:P,'Weekly Dump'!B:B,C80,'Weekly Dump'!A:A,AB80)</f>
        <v>0</v>
      </c>
      <c r="Y80" s="4">
        <f t="shared" si="9"/>
        <v>0</v>
      </c>
      <c r="Z80" s="41"/>
      <c r="AA80" s="12" t="str">
        <f>iferror(IF(VLOOKUP(C80,'Weekly Dump'!B:B,1,0)=C80,"Yes","Missing"),"")</f>
        <v>Yes</v>
      </c>
      <c r="AB80" s="60">
        <v>46153.0</v>
      </c>
    </row>
    <row r="81">
      <c r="A81" s="38" t="s">
        <v>126</v>
      </c>
      <c r="B81" s="2"/>
      <c r="C81" s="46" t="s">
        <v>124</v>
      </c>
      <c r="D81" s="38" t="s">
        <v>125</v>
      </c>
      <c r="E81" s="3" t="s">
        <v>28</v>
      </c>
      <c r="F81" s="3"/>
      <c r="G81" s="3"/>
      <c r="I81" s="4">
        <f>SUMIFS('Weekly Dump'!D:D,'Weekly Dump'!B:B,C81)</f>
        <v>12</v>
      </c>
      <c r="J81" s="5">
        <f>SUMIFS('Weekly Dump'!AE:AE,'Weekly Dump'!B:B,C81)</f>
        <v>0</v>
      </c>
      <c r="K81" s="4">
        <f>SUMPRODUCT(
  (TEXT('Weekly Dump'!$A$2:$A1009,"mmm-yy")=TEXT($AB81,"mmm-yy"))*
  ('Weekly Dump'!$B$2:$B1009=$C81)*
  'Weekly Dump'!$D$2:$D1009)</f>
        <v>12</v>
      </c>
      <c r="L81" s="4">
        <f>SUMPRODUCT(
  (TEXT('Weekly Dump'!$A$2:$A1009,"mmm-yy")=TEXT($AB81,"mmm-yy"))*
  ('Weekly Dump'!$B$2:$B1009=$C81)*
  'Weekly Dump'!$E$2:$E1009
)</f>
        <v>0</v>
      </c>
      <c r="M81" s="4">
        <f>SUMPRODUCT(
  (TEXT('Weekly Dump'!$A$2:$A1009,"mmm-yy")=TEXT($AB81,"mmm-yy"))*
  ('Weekly Dump'!$B$2:$B1009=$C81)*
  'Weekly Dump'!$P$2:$P1009
)</f>
        <v>0</v>
      </c>
      <c r="N81" s="61">
        <v>5.0</v>
      </c>
      <c r="O81" s="40">
        <f>SUMIFS('Weekly Dump'!$D:$D,'Weekly Dump'!$B:$B,$C81,'Weekly Dump'!$A:$A,$AB81)</f>
        <v>5</v>
      </c>
      <c r="P81" s="40">
        <f>SUMIFS('Weekly Dump'!R:R,'Weekly Dump'!B:B,C81,'Weekly Dump'!A:A,AB81)</f>
        <v>12540</v>
      </c>
      <c r="Q81" s="40">
        <f t="shared" si="7"/>
        <v>0</v>
      </c>
      <c r="R81" s="41"/>
      <c r="S81" s="3" t="str">
        <f>IFERROR(VLOOKUP(C81,Sheet9!$C$10:$E$25,3,0),"")</f>
        <v/>
      </c>
      <c r="T81" s="4">
        <f>SUMIFS('Weekly Dump'!E:E,'Weekly Dump'!B:B,C81,'Weekly Dump'!A:A,AB81)</f>
        <v>0</v>
      </c>
      <c r="U81" s="3">
        <f t="shared" si="8"/>
        <v>0</v>
      </c>
      <c r="V81" s="42"/>
      <c r="W81" s="4"/>
      <c r="X81" s="4">
        <f>SUMIFS('Weekly Dump'!P:P,'Weekly Dump'!B:B,C81,'Weekly Dump'!A:A,AB81)</f>
        <v>0</v>
      </c>
      <c r="Y81" s="4">
        <f t="shared" si="9"/>
        <v>0</v>
      </c>
      <c r="Z81" s="41"/>
      <c r="AA81" s="12" t="str">
        <f>iferror(IF(VLOOKUP(C81,'Weekly Dump'!B:B,1,0)=C81,"Yes","Missing"),"")</f>
        <v>Yes</v>
      </c>
      <c r="AB81" s="60">
        <v>46153.0</v>
      </c>
    </row>
    <row r="82">
      <c r="A82" s="47"/>
      <c r="B82" s="48"/>
      <c r="C82" s="48"/>
      <c r="D82" s="49"/>
      <c r="E82" s="49"/>
      <c r="F82" s="49"/>
      <c r="G82" s="49"/>
      <c r="H82" s="49"/>
      <c r="I82" s="50"/>
      <c r="J82" s="51"/>
      <c r="K82" s="50">
        <f>SUMPRODUCT(
  (TEXT('Weekly Dump'!$A$2:$A1009,"mmm-yy")=TEXT($AB82,"mmm-yy"))*
  ('Weekly Dump'!$B$2:$B1009=$C82)*
  'Weekly Dump'!$D$2:$D1009)</f>
        <v>0</v>
      </c>
      <c r="L82" s="50">
        <f>SUMPRODUCT(
  (TEXT('Weekly Dump'!$A$2:$A1009,"mmm-yy")=TEXT($AB82,"mmm-yy"))*
  ('Weekly Dump'!$B$2:$B1009=$C82)*
  'Weekly Dump'!$E$2:$E1009
)</f>
        <v>0</v>
      </c>
      <c r="M82" s="50">
        <f>SUMPRODUCT(
  (TEXT('Weekly Dump'!$A$2:$A1009,"mmm-yy")=TEXT($AB82,"mmm-yy"))*
  ('Weekly Dump'!$B$2:$B1009=$C82)*
  'Weekly Dump'!$P$2:$P1009
)</f>
        <v>0</v>
      </c>
      <c r="N82" s="52"/>
      <c r="O82" s="53"/>
      <c r="P82" s="53"/>
      <c r="Q82" s="50"/>
      <c r="R82" s="54"/>
      <c r="S82" s="55"/>
      <c r="T82" s="50"/>
      <c r="U82" s="49"/>
      <c r="V82" s="56"/>
      <c r="W82" s="55"/>
      <c r="X82" s="50"/>
      <c r="Y82" s="50"/>
      <c r="Z82" s="54"/>
      <c r="AA82" s="54" t="str">
        <f>iferror(IF(VLOOKUP(C82,'Weekly Dump'!B:B,1,0)=C82,"Yes","Missing"),"")</f>
        <v/>
      </c>
      <c r="AB82" s="59"/>
    </row>
    <row r="83">
      <c r="A83" s="38" t="s">
        <v>127</v>
      </c>
      <c r="B83" s="3" t="s">
        <v>25</v>
      </c>
      <c r="C83" s="2" t="s">
        <v>26</v>
      </c>
      <c r="D83" s="3" t="s">
        <v>27</v>
      </c>
      <c r="E83" s="3" t="s">
        <v>28</v>
      </c>
      <c r="F83" s="3" t="s">
        <v>29</v>
      </c>
      <c r="G83" s="3" t="s">
        <v>30</v>
      </c>
      <c r="H83" s="3"/>
      <c r="I83" s="4">
        <f>SUMIFS('Weekly Dump'!D:D,'Weekly Dump'!B:B,C83)</f>
        <v>1040</v>
      </c>
      <c r="J83" s="5">
        <f>SUMIFS('Weekly Dump'!AE:AE,'Weekly Dump'!B:B,C83)</f>
        <v>170.8347222</v>
      </c>
      <c r="K83" s="4">
        <f>SUMPRODUCT(
  (TEXT('Weekly Dump'!$A$2:$A1009,"mmm-yy")=TEXT($AB83,"mmm-yy"))*
  ('Weekly Dump'!$B$2:$B1009=$C83)*
  'Weekly Dump'!$D$2:$D1009)</f>
        <v>40</v>
      </c>
      <c r="L83" s="4">
        <f>SUMPRODUCT(
  (TEXT('Weekly Dump'!$A$2:$A1009,"mmm-yy")=TEXT($AB83,"mmm-yy"))*
  ('Weekly Dump'!$B$2:$B1009=$C83)*
  'Weekly Dump'!$E$2:$E1009
)</f>
        <v>123</v>
      </c>
      <c r="M83" s="4">
        <f>SUMPRODUCT(
  (TEXT('Weekly Dump'!$A$2:$A1009,"mmm-yy")=TEXT($AB83,"mmm-yy"))*
  ('Weekly Dump'!$B$2:$B1009=$C83)*
  'Weekly Dump'!$P$2:$P1009
)</f>
        <v>93</v>
      </c>
      <c r="N83" s="39">
        <v>0.0</v>
      </c>
      <c r="O83" s="40">
        <f>SUMIFS('Weekly Dump'!$D:$D,'Weekly Dump'!$B:$B,$C83,'Weekly Dump'!$A:$A,$AB83)</f>
        <v>5</v>
      </c>
      <c r="P83" s="40">
        <f>SUMIFS('Weekly Dump'!R:R,'Weekly Dump'!B:B,C83,'Weekly Dump'!A:A,AB83)</f>
        <v>10898</v>
      </c>
      <c r="Q83" s="40">
        <f t="shared" ref="Q83:Q120" si="13">O83-N83</f>
        <v>5</v>
      </c>
      <c r="R83" s="41"/>
      <c r="T83" s="4">
        <f>SUMIFS('Weekly Dump'!E:E,'Weekly Dump'!B:B,C83,'Weekly Dump'!A:A,AB83)</f>
        <v>25</v>
      </c>
      <c r="U83" s="3">
        <f t="shared" ref="U83:U120" si="14">S83-T83</f>
        <v>-25</v>
      </c>
      <c r="V83" s="42"/>
      <c r="X83" s="4">
        <f>SUMIFS('Weekly Dump'!P:P,'Weekly Dump'!B:B,C83,'Weekly Dump'!A:A,AB83)</f>
        <v>19</v>
      </c>
      <c r="Y83" s="4">
        <f t="shared" ref="Y83:Y115" si="15">W83-X83</f>
        <v>-19</v>
      </c>
      <c r="Z83" s="41"/>
      <c r="AA83" s="12" t="str">
        <f>iferror(IF(VLOOKUP(C83,'Weekly Dump'!B:B,1,0)=C83,"Yes","Missing"),"")</f>
        <v>Yes</v>
      </c>
      <c r="AB83" s="60">
        <v>46160.0</v>
      </c>
    </row>
    <row r="84">
      <c r="A84" s="38" t="s">
        <v>127</v>
      </c>
      <c r="B84" s="3" t="s">
        <v>31</v>
      </c>
      <c r="C84" s="2" t="s">
        <v>32</v>
      </c>
      <c r="D84" s="3" t="s">
        <v>33</v>
      </c>
      <c r="E84" s="3" t="s">
        <v>28</v>
      </c>
      <c r="F84" s="3" t="s">
        <v>34</v>
      </c>
      <c r="G84" s="3" t="s">
        <v>35</v>
      </c>
      <c r="I84" s="4">
        <f>SUMIFS('Weekly Dump'!D:D,'Weekly Dump'!B:B,C84)</f>
        <v>854</v>
      </c>
      <c r="J84" s="5">
        <f>SUMIFS('Weekly Dump'!AE:AE,'Weekly Dump'!B:B,C84)</f>
        <v>189.9819444</v>
      </c>
      <c r="K84" s="4">
        <f>SUMPRODUCT(
  (TEXT('Weekly Dump'!$A$2:$A1009,"mmm-yy")=TEXT($AB84,"mmm-yy"))*
  ('Weekly Dump'!$B$2:$B1009=$C84)*
  'Weekly Dump'!$D$2:$D1009)</f>
        <v>52</v>
      </c>
      <c r="L84" s="4">
        <f>SUMPRODUCT(
  (TEXT('Weekly Dump'!$A$2:$A1009,"mmm-yy")=TEXT($AB84,"mmm-yy"))*
  ('Weekly Dump'!$B$2:$B1009=$C84)*
  'Weekly Dump'!$E$2:$E1009
)</f>
        <v>60</v>
      </c>
      <c r="M84" s="4">
        <f>SUMPRODUCT(
  (TEXT('Weekly Dump'!$A$2:$A1009,"mmm-yy")=TEXT($AB84,"mmm-yy"))*
  ('Weekly Dump'!$B$2:$B1009=$C84)*
  'Weekly Dump'!$P$2:$P1009
)</f>
        <v>65</v>
      </c>
      <c r="N84" s="39">
        <v>20.0</v>
      </c>
      <c r="O84" s="40">
        <f>SUMIFS('Weekly Dump'!$D:$D,'Weekly Dump'!$B:$B,$C84,'Weekly Dump'!$A:$A,$AB84)</f>
        <v>23</v>
      </c>
      <c r="P84" s="40">
        <f>SUMIFS('Weekly Dump'!R:R,'Weekly Dump'!B:B,C84,'Weekly Dump'!A:A,AB84)</f>
        <v>49644</v>
      </c>
      <c r="Q84" s="40">
        <f t="shared" si="13"/>
        <v>3</v>
      </c>
      <c r="R84" s="41"/>
      <c r="T84" s="4">
        <f>SUMIFS('Weekly Dump'!E:E,'Weekly Dump'!B:B,C84,'Weekly Dump'!A:A,AB84)</f>
        <v>16</v>
      </c>
      <c r="U84" s="3">
        <f t="shared" si="14"/>
        <v>-16</v>
      </c>
      <c r="V84" s="42"/>
      <c r="X84" s="4">
        <f>SUMIFS('Weekly Dump'!P:P,'Weekly Dump'!B:B,C84,'Weekly Dump'!A:A,AB84)</f>
        <v>17</v>
      </c>
      <c r="Y84" s="4">
        <f t="shared" si="15"/>
        <v>-17</v>
      </c>
      <c r="Z84" s="41"/>
      <c r="AA84" s="12" t="str">
        <f>iferror(IF(VLOOKUP(C84,'Weekly Dump'!B:B,1,0)=C84,"Yes","Missing"),"")</f>
        <v>Yes</v>
      </c>
      <c r="AB84" s="60">
        <v>46160.0</v>
      </c>
    </row>
    <row r="85">
      <c r="A85" s="38" t="s">
        <v>127</v>
      </c>
      <c r="B85" s="3" t="s">
        <v>36</v>
      </c>
      <c r="C85" s="2" t="s">
        <v>37</v>
      </c>
      <c r="D85" s="3" t="s">
        <v>38</v>
      </c>
      <c r="E85" s="3" t="s">
        <v>28</v>
      </c>
      <c r="F85" s="3" t="s">
        <v>34</v>
      </c>
      <c r="G85" s="3" t="s">
        <v>39</v>
      </c>
      <c r="I85" s="4">
        <f>SUMIFS('Weekly Dump'!D:D,'Weekly Dump'!B:B,C85)</f>
        <v>268</v>
      </c>
      <c r="J85" s="5">
        <f>SUMIFS('Weekly Dump'!AE:AE,'Weekly Dump'!B:B,C85)</f>
        <v>61.42138889</v>
      </c>
      <c r="K85" s="4">
        <f>SUMPRODUCT(
  (TEXT('Weekly Dump'!$A$2:$A1009,"mmm-yy")=TEXT($AB85,"mmm-yy"))*
  ('Weekly Dump'!$B$2:$B1009=$C85)*
  'Weekly Dump'!$D$2:$D1009)</f>
        <v>57</v>
      </c>
      <c r="L85" s="4">
        <f>SUMPRODUCT(
  (TEXT('Weekly Dump'!$A$2:$A1009,"mmm-yy")=TEXT($AB85,"mmm-yy"))*
  ('Weekly Dump'!$B$2:$B1009=$C85)*
  'Weekly Dump'!$E$2:$E1009
)</f>
        <v>48</v>
      </c>
      <c r="M85" s="4">
        <f>SUMPRODUCT(
  (TEXT('Weekly Dump'!$A$2:$A1009,"mmm-yy")=TEXT($AB85,"mmm-yy"))*
  ('Weekly Dump'!$B$2:$B1009=$C85)*
  'Weekly Dump'!$P$2:$P1009
)</f>
        <v>45</v>
      </c>
      <c r="N85" s="39">
        <v>25.0</v>
      </c>
      <c r="O85" s="40">
        <f>SUMIFS('Weekly Dump'!$D:$D,'Weekly Dump'!$B:$B,$C85,'Weekly Dump'!$A:$A,$AB85)</f>
        <v>26</v>
      </c>
      <c r="P85" s="40">
        <f>SUMIFS('Weekly Dump'!R:R,'Weekly Dump'!B:B,C85,'Weekly Dump'!A:A,AB85)</f>
        <v>61815</v>
      </c>
      <c r="Q85" s="40">
        <f t="shared" si="13"/>
        <v>1</v>
      </c>
      <c r="R85" s="41"/>
      <c r="T85" s="4">
        <f>SUMIFS('Weekly Dump'!E:E,'Weekly Dump'!B:B,C85,'Weekly Dump'!A:A,AB85)</f>
        <v>18</v>
      </c>
      <c r="U85" s="3">
        <f t="shared" si="14"/>
        <v>-18</v>
      </c>
      <c r="V85" s="42"/>
      <c r="X85" s="4">
        <f>SUMIFS('Weekly Dump'!P:P,'Weekly Dump'!B:B,C85,'Weekly Dump'!A:A,AB85)</f>
        <v>15</v>
      </c>
      <c r="Y85" s="4">
        <f t="shared" si="15"/>
        <v>-15</v>
      </c>
      <c r="Z85" s="41"/>
      <c r="AA85" s="12" t="str">
        <f>iferror(IF(VLOOKUP(C85,'Weekly Dump'!B:B,1,0)=C85,"Yes","Missing"),"")</f>
        <v>Yes</v>
      </c>
      <c r="AB85" s="60">
        <v>46160.0</v>
      </c>
    </row>
    <row r="86">
      <c r="A86" s="38" t="s">
        <v>127</v>
      </c>
      <c r="B86" s="3" t="s">
        <v>40</v>
      </c>
      <c r="C86" s="2" t="s">
        <v>41</v>
      </c>
      <c r="D86" s="3" t="s">
        <v>42</v>
      </c>
      <c r="E86" s="38" t="s">
        <v>28</v>
      </c>
      <c r="F86" s="3" t="s">
        <v>43</v>
      </c>
      <c r="G86" s="3" t="s">
        <v>44</v>
      </c>
      <c r="I86" s="4">
        <f>SUMIFS('Weekly Dump'!D:D,'Weekly Dump'!B:B,C86)</f>
        <v>132</v>
      </c>
      <c r="J86" s="5">
        <f>SUMIFS('Weekly Dump'!AE:AE,'Weekly Dump'!B:B,C86)</f>
        <v>247.0944444</v>
      </c>
      <c r="K86" s="4">
        <f>SUMPRODUCT(
  (TEXT('Weekly Dump'!$A$2:$A1009,"mmm-yy")=TEXT($AB86,"mmm-yy"))*
  ('Weekly Dump'!$B$2:$B1009=$C86)*
  'Weekly Dump'!$D$2:$D1009)</f>
        <v>75</v>
      </c>
      <c r="L86" s="4">
        <f>SUMPRODUCT(
  (TEXT('Weekly Dump'!$A$2:$A1009,"mmm-yy")=TEXT($AB86,"mmm-yy"))*
  ('Weekly Dump'!$B$2:$B1009=$C86)*
  'Weekly Dump'!$E$2:$E1009
)</f>
        <v>74</v>
      </c>
      <c r="M86" s="4">
        <f>SUMPRODUCT(
  (TEXT('Weekly Dump'!$A$2:$A1009,"mmm-yy")=TEXT($AB86,"mmm-yy"))*
  ('Weekly Dump'!$B$2:$B1009=$C86)*
  'Weekly Dump'!$P$2:$P1009
)</f>
        <v>65</v>
      </c>
      <c r="N86" s="39">
        <v>30.0</v>
      </c>
      <c r="O86" s="40">
        <f>SUMIFS('Weekly Dump'!$D:$D,'Weekly Dump'!$B:$B,$C86,'Weekly Dump'!$A:$A,$AB86)</f>
        <v>30</v>
      </c>
      <c r="P86" s="40">
        <f>SUMIFS('Weekly Dump'!R:R,'Weekly Dump'!B:B,C86,'Weekly Dump'!A:A,AB86)</f>
        <v>86144</v>
      </c>
      <c r="Q86" s="40">
        <f t="shared" si="13"/>
        <v>0</v>
      </c>
      <c r="R86" s="41"/>
      <c r="T86" s="4">
        <f>SUMIFS('Weekly Dump'!E:E,'Weekly Dump'!B:B,C86,'Weekly Dump'!A:A,AB86)</f>
        <v>21</v>
      </c>
      <c r="U86" s="3">
        <f t="shared" si="14"/>
        <v>-21</v>
      </c>
      <c r="V86" s="42"/>
      <c r="X86" s="4">
        <f>SUMIFS('Weekly Dump'!P:P,'Weekly Dump'!B:B,C86,'Weekly Dump'!A:A,AB86)</f>
        <v>27</v>
      </c>
      <c r="Y86" s="4">
        <f t="shared" si="15"/>
        <v>-27</v>
      </c>
      <c r="Z86" s="41"/>
      <c r="AA86" s="12" t="str">
        <f>iferror(IF(VLOOKUP(C86,'Weekly Dump'!B:B,1,0)=C86,"Yes","Missing"),"")</f>
        <v>Yes</v>
      </c>
      <c r="AB86" s="60">
        <v>46160.0</v>
      </c>
    </row>
    <row r="87">
      <c r="A87" s="38" t="s">
        <v>127</v>
      </c>
      <c r="B87" s="3" t="s">
        <v>45</v>
      </c>
      <c r="C87" s="2" t="s">
        <v>46</v>
      </c>
      <c r="D87" s="3" t="s">
        <v>47</v>
      </c>
      <c r="E87" s="3" t="s">
        <v>48</v>
      </c>
      <c r="F87" s="3" t="s">
        <v>29</v>
      </c>
      <c r="G87" s="3" t="s">
        <v>49</v>
      </c>
      <c r="I87" s="4">
        <f>SUMIFS('Weekly Dump'!D:D,'Weekly Dump'!B:B,C87)</f>
        <v>12</v>
      </c>
      <c r="J87" s="5">
        <f>SUMIFS('Weekly Dump'!AE:AE,'Weekly Dump'!B:B,C87)</f>
        <v>91.65555556</v>
      </c>
      <c r="K87" s="4">
        <f>SUMPRODUCT(
  (TEXT('Weekly Dump'!$A$2:$A1009,"mmm-yy")=TEXT($AB87,"mmm-yy"))*
  ('Weekly Dump'!$B$2:$B1009=$C87)*
  'Weekly Dump'!$D$2:$D1009)</f>
        <v>0</v>
      </c>
      <c r="L87" s="4">
        <f>SUMPRODUCT(
  (TEXT('Weekly Dump'!$A$2:$A1009,"mmm-yy")=TEXT($AB87,"mmm-yy"))*
  ('Weekly Dump'!$B$2:$B1009=$C87)*
  'Weekly Dump'!$E$2:$E1009
)</f>
        <v>0</v>
      </c>
      <c r="M87" s="4">
        <f>SUMPRODUCT(
  (TEXT('Weekly Dump'!$A$2:$A1009,"mmm-yy")=TEXT($AB87,"mmm-yy"))*
  ('Weekly Dump'!$B$2:$B1009=$C87)*
  'Weekly Dump'!$P$2:$P1009
)</f>
        <v>0</v>
      </c>
      <c r="N87" s="39"/>
      <c r="O87" s="40">
        <f>SUMIFS('Weekly Dump'!$D:$D,'Weekly Dump'!$B:$B,$C87,'Weekly Dump'!$A:$A,$AB87)</f>
        <v>0</v>
      </c>
      <c r="P87" s="40">
        <f>SUMIFS('Weekly Dump'!R:R,'Weekly Dump'!B:B,C87,'Weekly Dump'!A:A,AB87)</f>
        <v>0</v>
      </c>
      <c r="Q87" s="40">
        <f t="shared" si="13"/>
        <v>0</v>
      </c>
      <c r="R87" s="41"/>
      <c r="T87" s="4">
        <f>SUMIFS('Weekly Dump'!E:E,'Weekly Dump'!B:B,C87,'Weekly Dump'!A:A,AB87)</f>
        <v>0</v>
      </c>
      <c r="U87" s="3">
        <f t="shared" si="14"/>
        <v>0</v>
      </c>
      <c r="V87" s="42"/>
      <c r="X87" s="4">
        <f>SUMIFS('Weekly Dump'!P:P,'Weekly Dump'!B:B,C87,'Weekly Dump'!A:A,AB87)</f>
        <v>0</v>
      </c>
      <c r="Y87" s="4">
        <f t="shared" si="15"/>
        <v>0</v>
      </c>
      <c r="Z87" s="41"/>
      <c r="AA87" s="12" t="str">
        <f>iferror(IF(VLOOKUP(C87,'Weekly Dump'!B:B,1,0)=C87,"Yes","Missing"),"")</f>
        <v>Yes</v>
      </c>
      <c r="AB87" s="60">
        <v>46160.0</v>
      </c>
    </row>
    <row r="88">
      <c r="A88" s="38" t="s">
        <v>127</v>
      </c>
      <c r="B88" s="2" t="s">
        <v>50</v>
      </c>
      <c r="C88" s="2"/>
      <c r="D88" s="3" t="s">
        <v>51</v>
      </c>
      <c r="E88" s="38" t="s">
        <v>48</v>
      </c>
      <c r="F88" s="3" t="s">
        <v>29</v>
      </c>
      <c r="G88" s="3" t="s">
        <v>52</v>
      </c>
      <c r="I88" s="4">
        <f>SUMIFS('Weekly Dump'!D:D,'Weekly Dump'!B:B,C88)</f>
        <v>0</v>
      </c>
      <c r="J88" s="5">
        <f>SUMIFS('Weekly Dump'!AE:AE,'Weekly Dump'!B:B,C88)</f>
        <v>0</v>
      </c>
      <c r="K88" s="4">
        <f>SUMPRODUCT(
  (TEXT('Weekly Dump'!$A$2:$A1009,"mmm-yy")=TEXT($AB88,"mmm-yy"))*
  ('Weekly Dump'!$B$2:$B1009=$C88)*
  'Weekly Dump'!$D$2:$D1009)</f>
        <v>0</v>
      </c>
      <c r="L88" s="4">
        <f>SUMPRODUCT(
  (TEXT('Weekly Dump'!$A$2:$A1009,"mmm-yy")=TEXT($AB88,"mmm-yy"))*
  ('Weekly Dump'!$B$2:$B1009=$C88)*
  'Weekly Dump'!$E$2:$E1009
)</f>
        <v>0</v>
      </c>
      <c r="M88" s="4">
        <f>SUMPRODUCT(
  (TEXT('Weekly Dump'!$A$2:$A1009,"mmm-yy")=TEXT($AB88,"mmm-yy"))*
  ('Weekly Dump'!$B$2:$B1009=$C88)*
  'Weekly Dump'!$P$2:$P1009
)</f>
        <v>0</v>
      </c>
      <c r="N88" s="39"/>
      <c r="O88" s="40">
        <f>SUMIFS('Weekly Dump'!$D:$D,'Weekly Dump'!$B:$B,$C88,'Weekly Dump'!$A:$A,$AB88)</f>
        <v>0</v>
      </c>
      <c r="P88" s="40">
        <f>SUMIFS('Weekly Dump'!R:R,'Weekly Dump'!B:B,C88,'Weekly Dump'!A:A,AB88)</f>
        <v>0</v>
      </c>
      <c r="Q88" s="40">
        <f t="shared" si="13"/>
        <v>0</v>
      </c>
      <c r="R88" s="41"/>
      <c r="T88" s="4">
        <f>SUMIFS('Weekly Dump'!E:E,'Weekly Dump'!B:B,C88,'Weekly Dump'!A:A,AB88)</f>
        <v>0</v>
      </c>
      <c r="U88" s="3">
        <f t="shared" si="14"/>
        <v>0</v>
      </c>
      <c r="V88" s="42"/>
      <c r="X88" s="4">
        <f>SUMIFS('Weekly Dump'!P:P,'Weekly Dump'!B:B,C88,'Weekly Dump'!A:A,AB88)</f>
        <v>0</v>
      </c>
      <c r="Y88" s="4">
        <f t="shared" si="15"/>
        <v>0</v>
      </c>
      <c r="Z88" s="41"/>
      <c r="AA88" s="12" t="str">
        <f>iferror(IF(VLOOKUP(C88,'Weekly Dump'!B:B,1,0)=C88,"Yes","Missing"),"")</f>
        <v/>
      </c>
      <c r="AB88" s="60">
        <v>46160.0</v>
      </c>
    </row>
    <row r="89">
      <c r="A89" s="38" t="s">
        <v>127</v>
      </c>
      <c r="B89" s="2" t="s">
        <v>53</v>
      </c>
      <c r="C89" s="2"/>
      <c r="D89" s="3" t="s">
        <v>54</v>
      </c>
      <c r="E89" s="38" t="s">
        <v>48</v>
      </c>
      <c r="F89" s="3" t="s">
        <v>34</v>
      </c>
      <c r="G89" s="3" t="s">
        <v>55</v>
      </c>
      <c r="I89" s="4">
        <f>SUMIFS('Weekly Dump'!D:D,'Weekly Dump'!B:B,C89)</f>
        <v>0</v>
      </c>
      <c r="J89" s="5">
        <f>SUMIFS('Weekly Dump'!AE:AE,'Weekly Dump'!B:B,C89)</f>
        <v>0</v>
      </c>
      <c r="K89" s="4">
        <f>SUMPRODUCT(
  (TEXT('Weekly Dump'!$A$2:$A1009,"mmm-yy")=TEXT($AB89,"mmm-yy"))*
  ('Weekly Dump'!$B$2:$B1009=$C89)*
  'Weekly Dump'!$D$2:$D1009)</f>
        <v>0</v>
      </c>
      <c r="L89" s="4">
        <f>SUMPRODUCT(
  (TEXT('Weekly Dump'!$A$2:$A1009,"mmm-yy")=TEXT($AB89,"mmm-yy"))*
  ('Weekly Dump'!$B$2:$B1009=$C89)*
  'Weekly Dump'!$E$2:$E1009
)</f>
        <v>0</v>
      </c>
      <c r="M89" s="4">
        <f>SUMPRODUCT(
  (TEXT('Weekly Dump'!$A$2:$A1009,"mmm-yy")=TEXT($AB89,"mmm-yy"))*
  ('Weekly Dump'!$B$2:$B1009=$C89)*
  'Weekly Dump'!$P$2:$P1009
)</f>
        <v>0</v>
      </c>
      <c r="N89" s="39"/>
      <c r="O89" s="40">
        <f>SUMIFS('Weekly Dump'!$D:$D,'Weekly Dump'!$B:$B,$C89,'Weekly Dump'!$A:$A,$AB89)</f>
        <v>0</v>
      </c>
      <c r="P89" s="40">
        <f>SUMIFS('Weekly Dump'!R:R,'Weekly Dump'!B:B,C89,'Weekly Dump'!A:A,AB89)</f>
        <v>0</v>
      </c>
      <c r="Q89" s="40">
        <f t="shared" si="13"/>
        <v>0</v>
      </c>
      <c r="R89" s="41"/>
      <c r="T89" s="4">
        <f>SUMIFS('Weekly Dump'!E:E,'Weekly Dump'!B:B,C89,'Weekly Dump'!A:A,AB89)</f>
        <v>0</v>
      </c>
      <c r="U89" s="3">
        <f t="shared" si="14"/>
        <v>0</v>
      </c>
      <c r="V89" s="42"/>
      <c r="X89" s="4">
        <f>SUMIFS('Weekly Dump'!P:P,'Weekly Dump'!B:B,C89,'Weekly Dump'!A:A,AB89)</f>
        <v>0</v>
      </c>
      <c r="Y89" s="4">
        <f t="shared" si="15"/>
        <v>0</v>
      </c>
      <c r="Z89" s="41"/>
      <c r="AA89" s="12" t="str">
        <f>iferror(IF(VLOOKUP(C89,'Weekly Dump'!B:B,1,0)=C89,"Yes","Missing"),"")</f>
        <v/>
      </c>
      <c r="AB89" s="60">
        <v>46160.0</v>
      </c>
    </row>
    <row r="90">
      <c r="A90" s="38" t="s">
        <v>127</v>
      </c>
      <c r="B90" s="3"/>
      <c r="C90" s="2" t="s">
        <v>56</v>
      </c>
      <c r="D90" s="3" t="s">
        <v>57</v>
      </c>
      <c r="E90" s="3" t="s">
        <v>28</v>
      </c>
      <c r="F90" s="3" t="s">
        <v>29</v>
      </c>
      <c r="G90" s="3" t="s">
        <v>58</v>
      </c>
      <c r="I90" s="4">
        <f>SUMIFS('Weekly Dump'!D:D,'Weekly Dump'!B:B,C90)</f>
        <v>339</v>
      </c>
      <c r="J90" s="5">
        <f>SUMIFS('Weekly Dump'!AE:AE,'Weekly Dump'!B:B,C90)</f>
        <v>56.65111111</v>
      </c>
      <c r="K90" s="4">
        <f>SUMPRODUCT(
  (TEXT('Weekly Dump'!$A$2:$A1009,"mmm-yy")=TEXT($AB90,"mmm-yy"))*
  ('Weekly Dump'!$B$2:$B1009=$C90)*
  'Weekly Dump'!$D$2:$D1009)</f>
        <v>145</v>
      </c>
      <c r="L90" s="4">
        <f>SUMPRODUCT(
  (TEXT('Weekly Dump'!$A$2:$A1009,"mmm-yy")=TEXT($AB90,"mmm-yy"))*
  ('Weekly Dump'!$B$2:$B1009=$C90)*
  'Weekly Dump'!$E$2:$E1009
)</f>
        <v>139</v>
      </c>
      <c r="M90" s="4">
        <f>SUMPRODUCT(
  (TEXT('Weekly Dump'!$A$2:$A1009,"mmm-yy")=TEXT($AB90,"mmm-yy"))*
  ('Weekly Dump'!$B$2:$B1009=$C90)*
  'Weekly Dump'!$P$2:$P1009
)</f>
        <v>97</v>
      </c>
      <c r="N90" s="39">
        <v>64.0</v>
      </c>
      <c r="O90" s="40">
        <f>SUMIFS('Weekly Dump'!$D:$D,'Weekly Dump'!$B:$B,$C90,'Weekly Dump'!$A:$A,$AB90)</f>
        <v>64</v>
      </c>
      <c r="P90" s="40">
        <f>SUMIFS('Weekly Dump'!R:R,'Weekly Dump'!B:B,C90,'Weekly Dump'!A:A,AB90)</f>
        <v>131837</v>
      </c>
      <c r="Q90" s="40">
        <f t="shared" si="13"/>
        <v>0</v>
      </c>
      <c r="R90" s="41"/>
      <c r="T90" s="4">
        <f>SUMIFS('Weekly Dump'!E:E,'Weekly Dump'!B:B,C90,'Weekly Dump'!A:A,AB90)</f>
        <v>59</v>
      </c>
      <c r="U90" s="3">
        <f t="shared" si="14"/>
        <v>-59</v>
      </c>
      <c r="V90" s="42"/>
      <c r="X90" s="4">
        <f>SUMIFS('Weekly Dump'!P:P,'Weekly Dump'!B:B,C90,'Weekly Dump'!A:A,AB90)</f>
        <v>47</v>
      </c>
      <c r="Y90" s="4">
        <f t="shared" si="15"/>
        <v>-47</v>
      </c>
      <c r="Z90" s="41"/>
      <c r="AA90" s="12" t="str">
        <f>iferror(IF(VLOOKUP(C90,'Weekly Dump'!B:B,1,0)=C90,"Yes","Missing"),"")</f>
        <v>Yes</v>
      </c>
      <c r="AB90" s="60">
        <v>46160.0</v>
      </c>
    </row>
    <row r="91">
      <c r="A91" s="38" t="s">
        <v>127</v>
      </c>
      <c r="B91" s="2" t="s">
        <v>59</v>
      </c>
      <c r="C91" s="2"/>
      <c r="D91" s="3" t="s">
        <v>60</v>
      </c>
      <c r="E91" s="38" t="s">
        <v>48</v>
      </c>
      <c r="F91" s="3" t="s">
        <v>29</v>
      </c>
      <c r="G91" s="3" t="s">
        <v>61</v>
      </c>
      <c r="I91" s="4">
        <f>SUMIFS('Weekly Dump'!D:D,'Weekly Dump'!B:B,C91)</f>
        <v>0</v>
      </c>
      <c r="J91" s="5">
        <f>SUMIFS('Weekly Dump'!AE:AE,'Weekly Dump'!B:B,C91)</f>
        <v>0</v>
      </c>
      <c r="K91" s="4">
        <f>SUMPRODUCT(
  (TEXT('Weekly Dump'!$A$2:$A1009,"mmm-yy")=TEXT($AB91,"mmm-yy"))*
  ('Weekly Dump'!$B$2:$B1009=$C91)*
  'Weekly Dump'!$D$2:$D1009)</f>
        <v>0</v>
      </c>
      <c r="L91" s="4">
        <f>SUMPRODUCT(
  (TEXT('Weekly Dump'!$A$2:$A1009,"mmm-yy")=TEXT($AB91,"mmm-yy"))*
  ('Weekly Dump'!$B$2:$B1009=$C91)*
  'Weekly Dump'!$E$2:$E1009
)</f>
        <v>0</v>
      </c>
      <c r="M91" s="4">
        <f>SUMPRODUCT(
  (TEXT('Weekly Dump'!$A$2:$A1009,"mmm-yy")=TEXT($AB91,"mmm-yy"))*
  ('Weekly Dump'!$B$2:$B1009=$C91)*
  'Weekly Dump'!$P$2:$P1009
)</f>
        <v>0</v>
      </c>
      <c r="N91" s="39"/>
      <c r="O91" s="40">
        <f>SUMIFS('Weekly Dump'!$D:$D,'Weekly Dump'!$B:$B,$C91,'Weekly Dump'!$A:$A,$AB91)</f>
        <v>0</v>
      </c>
      <c r="P91" s="40">
        <f>SUMIFS('Weekly Dump'!R:R,'Weekly Dump'!B:B,C91,'Weekly Dump'!A:A,AB91)</f>
        <v>0</v>
      </c>
      <c r="Q91" s="40">
        <f t="shared" si="13"/>
        <v>0</v>
      </c>
      <c r="R91" s="41"/>
      <c r="T91" s="4">
        <f>SUMIFS('Weekly Dump'!E:E,'Weekly Dump'!B:B,C91,'Weekly Dump'!A:A,AB91)</f>
        <v>0</v>
      </c>
      <c r="U91" s="3">
        <f t="shared" si="14"/>
        <v>0</v>
      </c>
      <c r="V91" s="42"/>
      <c r="X91" s="4">
        <f>SUMIFS('Weekly Dump'!P:P,'Weekly Dump'!B:B,C91,'Weekly Dump'!A:A,AB91)</f>
        <v>0</v>
      </c>
      <c r="Y91" s="4">
        <f t="shared" si="15"/>
        <v>0</v>
      </c>
      <c r="Z91" s="41"/>
      <c r="AA91" s="12" t="str">
        <f>iferror(IF(VLOOKUP(C91,'Weekly Dump'!B:B,1,0)=C91,"Yes","Missing"),"")</f>
        <v/>
      </c>
      <c r="AB91" s="60">
        <v>46160.0</v>
      </c>
    </row>
    <row r="92">
      <c r="A92" s="38" t="s">
        <v>127</v>
      </c>
      <c r="B92" s="3"/>
      <c r="C92" s="2" t="s">
        <v>62</v>
      </c>
      <c r="D92" s="3" t="s">
        <v>63</v>
      </c>
      <c r="E92" s="3" t="s">
        <v>28</v>
      </c>
      <c r="F92" s="3" t="s">
        <v>29</v>
      </c>
      <c r="G92" s="3" t="s">
        <v>61</v>
      </c>
      <c r="I92" s="4">
        <f>SUMIFS('Weekly Dump'!D:D,'Weekly Dump'!B:B,C92)</f>
        <v>219</v>
      </c>
      <c r="J92" s="5">
        <f>SUMIFS('Weekly Dump'!AE:AE,'Weekly Dump'!B:B,C92)</f>
        <v>40.93388889</v>
      </c>
      <c r="K92" s="4">
        <f>SUMPRODUCT(
  (TEXT('Weekly Dump'!$A$2:$A1009,"mmm-yy")=TEXT($AB92,"mmm-yy"))*
  ('Weekly Dump'!$B$2:$B1009=$C92)*
  'Weekly Dump'!$D$2:$D1009)</f>
        <v>0</v>
      </c>
      <c r="L92" s="4">
        <f>SUMPRODUCT(
  (TEXT('Weekly Dump'!$A$2:$A1009,"mmm-yy")=TEXT($AB92,"mmm-yy"))*
  ('Weekly Dump'!$B$2:$B1009=$C92)*
  'Weekly Dump'!$E$2:$E1009
)</f>
        <v>16</v>
      </c>
      <c r="M92" s="4">
        <f>SUMPRODUCT(
  (TEXT('Weekly Dump'!$A$2:$A1009,"mmm-yy")=TEXT($AB92,"mmm-yy"))*
  ('Weekly Dump'!$B$2:$B1009=$C92)*
  'Weekly Dump'!$P$2:$P1009
)</f>
        <v>23</v>
      </c>
      <c r="N92" s="39"/>
      <c r="O92" s="40">
        <f>SUMIFS('Weekly Dump'!$D:$D,'Weekly Dump'!$B:$B,$C92,'Weekly Dump'!$A:$A,$AB92)</f>
        <v>0</v>
      </c>
      <c r="P92" s="40">
        <f>SUMIFS('Weekly Dump'!R:R,'Weekly Dump'!B:B,C92,'Weekly Dump'!A:A,AB92)</f>
        <v>0</v>
      </c>
      <c r="Q92" s="40">
        <f t="shared" si="13"/>
        <v>0</v>
      </c>
      <c r="R92" s="41"/>
      <c r="T92" s="4">
        <f>SUMIFS('Weekly Dump'!E:E,'Weekly Dump'!B:B,C92,'Weekly Dump'!A:A,AB92)</f>
        <v>3</v>
      </c>
      <c r="U92" s="3">
        <f t="shared" si="14"/>
        <v>-3</v>
      </c>
      <c r="V92" s="42"/>
      <c r="X92" s="4">
        <f>SUMIFS('Weekly Dump'!P:P,'Weekly Dump'!B:B,C92,'Weekly Dump'!A:A,AB92)</f>
        <v>12</v>
      </c>
      <c r="Y92" s="4">
        <f t="shared" si="15"/>
        <v>-12</v>
      </c>
      <c r="Z92" s="41"/>
      <c r="AA92" s="12" t="str">
        <f>iferror(IF(VLOOKUP(C92,'Weekly Dump'!B:B,1,0)=C92,"Yes","Missing"),"")</f>
        <v>Yes</v>
      </c>
      <c r="AB92" s="60">
        <v>46160.0</v>
      </c>
    </row>
    <row r="93">
      <c r="A93" s="38" t="s">
        <v>127</v>
      </c>
      <c r="B93" s="3" t="s">
        <v>64</v>
      </c>
      <c r="C93" s="2" t="s">
        <v>65</v>
      </c>
      <c r="D93" s="3" t="s">
        <v>66</v>
      </c>
      <c r="E93" s="3" t="s">
        <v>28</v>
      </c>
      <c r="F93" s="3" t="s">
        <v>34</v>
      </c>
      <c r="G93" s="3"/>
      <c r="I93" s="4">
        <f>SUMIFS('Weekly Dump'!D:D,'Weekly Dump'!B:B,C93)</f>
        <v>192</v>
      </c>
      <c r="J93" s="5">
        <f>SUMIFS('Weekly Dump'!AE:AE,'Weekly Dump'!B:B,C93)</f>
        <v>27.78333333</v>
      </c>
      <c r="K93" s="4">
        <f>SUMPRODUCT(
  (TEXT('Weekly Dump'!$A$2:$A1009,"mmm-yy")=TEXT($AB93,"mmm-yy"))*
  ('Weekly Dump'!$B$2:$B1009=$C93)*
  'Weekly Dump'!$D$2:$D1009)</f>
        <v>111</v>
      </c>
      <c r="L93" s="4">
        <f>SUMPRODUCT(
  (TEXT('Weekly Dump'!$A$2:$A1009,"mmm-yy")=TEXT($AB93,"mmm-yy"))*
  ('Weekly Dump'!$B$2:$B1009=$C93)*
  'Weekly Dump'!$E$2:$E1009
)</f>
        <v>69</v>
      </c>
      <c r="M93" s="4">
        <f>SUMPRODUCT(
  (TEXT('Weekly Dump'!$A$2:$A1009,"mmm-yy")=TEXT($AB93,"mmm-yy"))*
  ('Weekly Dump'!$B$2:$B1009=$C93)*
  'Weekly Dump'!$P$2:$P1009
)</f>
        <v>51</v>
      </c>
      <c r="N93" s="39">
        <v>32.0</v>
      </c>
      <c r="O93" s="40">
        <f>SUMIFS('Weekly Dump'!$D:$D,'Weekly Dump'!$B:$B,$C93,'Weekly Dump'!$A:$A,$AB93)</f>
        <v>49</v>
      </c>
      <c r="P93" s="40">
        <f>SUMIFS('Weekly Dump'!R:R,'Weekly Dump'!B:B,C93,'Weekly Dump'!A:A,AB93)</f>
        <v>93805</v>
      </c>
      <c r="Q93" s="40">
        <f t="shared" si="13"/>
        <v>17</v>
      </c>
      <c r="R93" s="41"/>
      <c r="T93" s="4">
        <f>SUMIFS('Weekly Dump'!E:E,'Weekly Dump'!B:B,C93,'Weekly Dump'!A:A,AB93)</f>
        <v>24</v>
      </c>
      <c r="U93" s="3">
        <f t="shared" si="14"/>
        <v>-24</v>
      </c>
      <c r="V93" s="42"/>
      <c r="X93" s="4">
        <f>SUMIFS('Weekly Dump'!P:P,'Weekly Dump'!B:B,C93,'Weekly Dump'!A:A,AB93)</f>
        <v>20</v>
      </c>
      <c r="Y93" s="4">
        <f t="shared" si="15"/>
        <v>-20</v>
      </c>
      <c r="Z93" s="41"/>
      <c r="AA93" s="12" t="str">
        <f>iferror(IF(VLOOKUP(C93,'Weekly Dump'!B:B,1,0)=C93,"Yes","Missing"),"")</f>
        <v>Yes</v>
      </c>
      <c r="AB93" s="60">
        <v>46160.0</v>
      </c>
    </row>
    <row r="94">
      <c r="A94" s="38" t="s">
        <v>127</v>
      </c>
      <c r="B94" s="2" t="s">
        <v>67</v>
      </c>
      <c r="C94" s="2"/>
      <c r="D94" s="3" t="s">
        <v>68</v>
      </c>
      <c r="E94" s="38" t="s">
        <v>48</v>
      </c>
      <c r="F94" s="3" t="s">
        <v>29</v>
      </c>
      <c r="G94" s="3" t="s">
        <v>69</v>
      </c>
      <c r="I94" s="4">
        <f>SUMIFS('Weekly Dump'!D:D,'Weekly Dump'!B:B,C94)</f>
        <v>0</v>
      </c>
      <c r="J94" s="5">
        <f>SUMIFS('Weekly Dump'!AE:AE,'Weekly Dump'!B:B,C94)</f>
        <v>0</v>
      </c>
      <c r="K94" s="4">
        <f>SUMPRODUCT(
  (TEXT('Weekly Dump'!$A$2:$A1009,"mmm-yy")=TEXT($AB94,"mmm-yy"))*
  ('Weekly Dump'!$B$2:$B1009=$C94)*
  'Weekly Dump'!$D$2:$D1009)</f>
        <v>0</v>
      </c>
      <c r="L94" s="4">
        <f>SUMPRODUCT(
  (TEXT('Weekly Dump'!$A$2:$A1009,"mmm-yy")=TEXT($AB94,"mmm-yy"))*
  ('Weekly Dump'!$B$2:$B1009=$C94)*
  'Weekly Dump'!$E$2:$E1009
)</f>
        <v>0</v>
      </c>
      <c r="M94" s="4">
        <f>SUMPRODUCT(
  (TEXT('Weekly Dump'!$A$2:$A1009,"mmm-yy")=TEXT($AB94,"mmm-yy"))*
  ('Weekly Dump'!$B$2:$B1009=$C94)*
  'Weekly Dump'!$P$2:$P1009
)</f>
        <v>0</v>
      </c>
      <c r="N94" s="39"/>
      <c r="O94" s="40">
        <f>SUMIFS('Weekly Dump'!$D:$D,'Weekly Dump'!$B:$B,$C94,'Weekly Dump'!$A:$A,$AB94)</f>
        <v>0</v>
      </c>
      <c r="P94" s="40">
        <f>SUMIFS('Weekly Dump'!R:R,'Weekly Dump'!B:B,C94,'Weekly Dump'!A:A,AB94)</f>
        <v>0</v>
      </c>
      <c r="Q94" s="40">
        <f t="shared" si="13"/>
        <v>0</v>
      </c>
      <c r="R94" s="41"/>
      <c r="T94" s="4">
        <f>SUMIFS('Weekly Dump'!E:E,'Weekly Dump'!B:B,C94,'Weekly Dump'!A:A,AB94)</f>
        <v>0</v>
      </c>
      <c r="U94" s="3">
        <f t="shared" si="14"/>
        <v>0</v>
      </c>
      <c r="V94" s="42"/>
      <c r="X94" s="4">
        <f>SUMIFS('Weekly Dump'!P:P,'Weekly Dump'!B:B,C94,'Weekly Dump'!A:A,AB94)</f>
        <v>0</v>
      </c>
      <c r="Y94" s="4">
        <f t="shared" si="15"/>
        <v>0</v>
      </c>
      <c r="Z94" s="41"/>
      <c r="AA94" s="12" t="str">
        <f>iferror(IF(VLOOKUP(C94,'Weekly Dump'!B:B,1,0)=C94,"Yes","Missing"),"")</f>
        <v/>
      </c>
      <c r="AB94" s="60">
        <v>46160.0</v>
      </c>
    </row>
    <row r="95">
      <c r="A95" s="38" t="s">
        <v>127</v>
      </c>
      <c r="B95" s="3" t="s">
        <v>70</v>
      </c>
      <c r="C95" s="2" t="s">
        <v>71</v>
      </c>
      <c r="D95" s="3" t="s">
        <v>72</v>
      </c>
      <c r="E95" s="3" t="s">
        <v>28</v>
      </c>
      <c r="F95" s="3" t="s">
        <v>73</v>
      </c>
      <c r="G95" s="3" t="s">
        <v>74</v>
      </c>
      <c r="I95" s="4">
        <f>SUMIFS('Weekly Dump'!D:D,'Weekly Dump'!B:B,C95)</f>
        <v>250</v>
      </c>
      <c r="J95" s="5">
        <f>SUMIFS('Weekly Dump'!AE:AE,'Weekly Dump'!B:B,C95)</f>
        <v>64.17305556</v>
      </c>
      <c r="K95" s="4">
        <f>SUMPRODUCT(
  (TEXT('Weekly Dump'!$A$2:$A1009,"mmm-yy")=TEXT($AB95,"mmm-yy"))*
  ('Weekly Dump'!$B$2:$B1009=$C95)*
  'Weekly Dump'!$D$2:$D1009)</f>
        <v>7</v>
      </c>
      <c r="L95" s="4">
        <f>SUMPRODUCT(
  (TEXT('Weekly Dump'!$A$2:$A1009,"mmm-yy")=TEXT($AB95,"mmm-yy"))*
  ('Weekly Dump'!$B$2:$B1009=$C95)*
  'Weekly Dump'!$E$2:$E1009
)</f>
        <v>2</v>
      </c>
      <c r="M95" s="4">
        <f>SUMPRODUCT(
  (TEXT('Weekly Dump'!$A$2:$A1009,"mmm-yy")=TEXT($AB95,"mmm-yy"))*
  ('Weekly Dump'!$B$2:$B1009=$C95)*
  'Weekly Dump'!$P$2:$P1009
)</f>
        <v>4</v>
      </c>
      <c r="N95" s="39">
        <v>14.0</v>
      </c>
      <c r="O95" s="40">
        <f>SUMIFS('Weekly Dump'!$D:$D,'Weekly Dump'!$B:$B,$C95,'Weekly Dump'!$A:$A,$AB95)</f>
        <v>6</v>
      </c>
      <c r="P95" s="40">
        <f>SUMIFS('Weekly Dump'!R:R,'Weekly Dump'!B:B,C95,'Weekly Dump'!A:A,AB95)</f>
        <v>15530</v>
      </c>
      <c r="Q95" s="40">
        <f t="shared" si="13"/>
        <v>-8</v>
      </c>
      <c r="R95" s="41"/>
      <c r="T95" s="4">
        <f>SUMIFS('Weekly Dump'!E:E,'Weekly Dump'!B:B,C95,'Weekly Dump'!A:A,AB95)</f>
        <v>1</v>
      </c>
      <c r="U95" s="3">
        <f t="shared" si="14"/>
        <v>-1</v>
      </c>
      <c r="V95" s="42"/>
      <c r="X95" s="4">
        <f>SUMIFS('Weekly Dump'!P:P,'Weekly Dump'!B:B,C95,'Weekly Dump'!A:A,AB95)</f>
        <v>0</v>
      </c>
      <c r="Y95" s="4">
        <f t="shared" si="15"/>
        <v>0</v>
      </c>
      <c r="Z95" s="41"/>
      <c r="AA95" s="12" t="str">
        <f>iferror(IF(VLOOKUP(C95,'Weekly Dump'!B:B,1,0)=C95,"Yes","Missing"),"")</f>
        <v>Yes</v>
      </c>
      <c r="AB95" s="60">
        <v>46160.0</v>
      </c>
    </row>
    <row r="96">
      <c r="A96" s="38" t="s">
        <v>127</v>
      </c>
      <c r="B96" s="3" t="s">
        <v>75</v>
      </c>
      <c r="C96" s="2" t="s">
        <v>76</v>
      </c>
      <c r="D96" s="3" t="s">
        <v>77</v>
      </c>
      <c r="E96" s="3" t="s">
        <v>28</v>
      </c>
      <c r="F96" s="3" t="s">
        <v>34</v>
      </c>
      <c r="G96" s="3" t="s">
        <v>78</v>
      </c>
      <c r="I96" s="4">
        <f>SUMIFS('Weekly Dump'!D:D,'Weekly Dump'!B:B,C96)</f>
        <v>1257</v>
      </c>
      <c r="J96" s="5">
        <f>SUMIFS('Weekly Dump'!AE:AE,'Weekly Dump'!B:B,C96)</f>
        <v>209.6044444</v>
      </c>
      <c r="K96" s="4">
        <f>SUMPRODUCT(
  (TEXT('Weekly Dump'!$A$2:$A1009,"mmm-yy")=TEXT($AB96,"mmm-yy"))*
  ('Weekly Dump'!$B$2:$B1009=$C96)*
  'Weekly Dump'!$D$2:$D1009)</f>
        <v>356</v>
      </c>
      <c r="L96" s="4">
        <f>SUMPRODUCT(
  (TEXT('Weekly Dump'!$A$2:$A1009,"mmm-yy")=TEXT($AB96,"mmm-yy"))*
  ('Weekly Dump'!$B$2:$B1009=$C96)*
  'Weekly Dump'!$E$2:$E1009
)</f>
        <v>95</v>
      </c>
      <c r="M96" s="4">
        <f>SUMPRODUCT(
  (TEXT('Weekly Dump'!$A$2:$A1009,"mmm-yy")=TEXT($AB96,"mmm-yy"))*
  ('Weekly Dump'!$B$2:$B1009=$C96)*
  'Weekly Dump'!$P$2:$P1009
)</f>
        <v>70</v>
      </c>
      <c r="N96" s="39">
        <v>0.0</v>
      </c>
      <c r="O96" s="40">
        <f>SUMIFS('Weekly Dump'!$D:$D,'Weekly Dump'!$B:$B,$C96,'Weekly Dump'!$A:$A,$AB96)</f>
        <v>1</v>
      </c>
      <c r="P96" s="40">
        <f>SUMIFS('Weekly Dump'!R:R,'Weekly Dump'!B:B,C96,'Weekly Dump'!A:A,AB96)</f>
        <v>3677</v>
      </c>
      <c r="Q96" s="40">
        <f t="shared" si="13"/>
        <v>1</v>
      </c>
      <c r="R96" s="41"/>
      <c r="T96" s="4">
        <f>SUMIFS('Weekly Dump'!E:E,'Weekly Dump'!B:B,C96,'Weekly Dump'!A:A,AB96)</f>
        <v>50</v>
      </c>
      <c r="U96" s="3">
        <f t="shared" si="14"/>
        <v>-50</v>
      </c>
      <c r="V96" s="42"/>
      <c r="X96" s="4">
        <f>SUMIFS('Weekly Dump'!P:P,'Weekly Dump'!B:B,C96,'Weekly Dump'!A:A,AB96)</f>
        <v>28</v>
      </c>
      <c r="Y96" s="4">
        <f t="shared" si="15"/>
        <v>-28</v>
      </c>
      <c r="Z96" s="41"/>
      <c r="AA96" s="12" t="str">
        <f>iferror(IF(VLOOKUP(C96,'Weekly Dump'!B:B,1,0)=C96,"Yes","Missing"),"")</f>
        <v>Yes</v>
      </c>
      <c r="AB96" s="60">
        <v>46160.0</v>
      </c>
    </row>
    <row r="97">
      <c r="A97" s="38" t="s">
        <v>127</v>
      </c>
      <c r="B97" s="3"/>
      <c r="C97" s="2" t="s">
        <v>79</v>
      </c>
      <c r="D97" s="3" t="s">
        <v>80</v>
      </c>
      <c r="E97" s="3" t="s">
        <v>28</v>
      </c>
      <c r="F97" s="3" t="s">
        <v>29</v>
      </c>
      <c r="G97" s="3" t="s">
        <v>58</v>
      </c>
      <c r="I97" s="4">
        <f>SUMIFS('Weekly Dump'!D:D,'Weekly Dump'!B:B,C97)</f>
        <v>230</v>
      </c>
      <c r="J97" s="5">
        <f>SUMIFS('Weekly Dump'!AE:AE,'Weekly Dump'!B:B,C97)</f>
        <v>31.03111111</v>
      </c>
      <c r="K97" s="4">
        <f>SUMPRODUCT(
  (TEXT('Weekly Dump'!$A$2:$A1009,"mmm-yy")=TEXT($AB97,"mmm-yy"))*
  ('Weekly Dump'!$B$2:$B1009=$C97)*
  'Weekly Dump'!$D$2:$D1009)</f>
        <v>115</v>
      </c>
      <c r="L97" s="4">
        <f>SUMPRODUCT(
  (TEXT('Weekly Dump'!$A$2:$A1009,"mmm-yy")=TEXT($AB97,"mmm-yy"))*
  ('Weekly Dump'!$B$2:$B1009=$C97)*
  'Weekly Dump'!$E$2:$E1009
)</f>
        <v>100</v>
      </c>
      <c r="M97" s="4">
        <f>SUMPRODUCT(
  (TEXT('Weekly Dump'!$A$2:$A1009,"mmm-yy")=TEXT($AB97,"mmm-yy"))*
  ('Weekly Dump'!$B$2:$B1009=$C97)*
  'Weekly Dump'!$P$2:$P1009
)</f>
        <v>75</v>
      </c>
      <c r="N97" s="39">
        <v>35.0</v>
      </c>
      <c r="O97" s="40">
        <f>SUMIFS('Weekly Dump'!$D:$D,'Weekly Dump'!$B:$B,$C97,'Weekly Dump'!$A:$A,$AB97)</f>
        <v>57</v>
      </c>
      <c r="P97" s="40">
        <f>SUMIFS('Weekly Dump'!R:R,'Weekly Dump'!B:B,C97,'Weekly Dump'!A:A,AB97)</f>
        <v>135745</v>
      </c>
      <c r="Q97" s="40">
        <f t="shared" si="13"/>
        <v>22</v>
      </c>
      <c r="R97" s="41"/>
      <c r="T97" s="4">
        <f>SUMIFS('Weekly Dump'!E:E,'Weekly Dump'!B:B,C97,'Weekly Dump'!A:A,AB97)</f>
        <v>34</v>
      </c>
      <c r="U97" s="3">
        <f t="shared" si="14"/>
        <v>-34</v>
      </c>
      <c r="V97" s="42"/>
      <c r="X97" s="4">
        <f>SUMIFS('Weekly Dump'!P:P,'Weekly Dump'!B:B,C97,'Weekly Dump'!A:A,AB97)</f>
        <v>27</v>
      </c>
      <c r="Y97" s="4">
        <f t="shared" si="15"/>
        <v>-27</v>
      </c>
      <c r="Z97" s="41"/>
      <c r="AA97" s="12" t="str">
        <f>iferror(IF(VLOOKUP(C97,'Weekly Dump'!B:B,1,0)=C97,"Yes","Missing"),"")</f>
        <v>Yes</v>
      </c>
      <c r="AB97" s="60">
        <v>46160.0</v>
      </c>
    </row>
    <row r="98">
      <c r="A98" s="38" t="s">
        <v>127</v>
      </c>
      <c r="B98" s="3"/>
      <c r="C98" s="2" t="s">
        <v>81</v>
      </c>
      <c r="D98" s="3" t="s">
        <v>82</v>
      </c>
      <c r="E98" s="3" t="s">
        <v>48</v>
      </c>
      <c r="F98" s="3" t="s">
        <v>34</v>
      </c>
      <c r="G98" s="3" t="s">
        <v>83</v>
      </c>
      <c r="I98" s="4">
        <f>SUMIFS('Weekly Dump'!D:D,'Weekly Dump'!B:B,C98)</f>
        <v>57</v>
      </c>
      <c r="J98" s="5">
        <f>SUMIFS('Weekly Dump'!AE:AE,'Weekly Dump'!B:B,C98)</f>
        <v>11.64361111</v>
      </c>
      <c r="K98" s="4">
        <f>SUMPRODUCT(
  (TEXT('Weekly Dump'!$A$2:$A1009,"mmm-yy")=TEXT($AB98,"mmm-yy"))*
  ('Weekly Dump'!$B$2:$B1009=$C98)*
  'Weekly Dump'!$D$2:$D1009)</f>
        <v>0</v>
      </c>
      <c r="L98" s="4">
        <f>SUMPRODUCT(
  (TEXT('Weekly Dump'!$A$2:$A1009,"mmm-yy")=TEXT($AB98,"mmm-yy"))*
  ('Weekly Dump'!$B$2:$B1009=$C98)*
  'Weekly Dump'!$E$2:$E1009
)</f>
        <v>0</v>
      </c>
      <c r="M98" s="4">
        <f>SUMPRODUCT(
  (TEXT('Weekly Dump'!$A$2:$A1009,"mmm-yy")=TEXT($AB98,"mmm-yy"))*
  ('Weekly Dump'!$B$2:$B1009=$C98)*
  'Weekly Dump'!$P$2:$P1009
)</f>
        <v>0</v>
      </c>
      <c r="N98" s="39"/>
      <c r="O98" s="40">
        <f>SUMIFS('Weekly Dump'!$D:$D,'Weekly Dump'!$B:$B,$C98,'Weekly Dump'!$A:$A,$AB98)</f>
        <v>0</v>
      </c>
      <c r="P98" s="40">
        <f>SUMIFS('Weekly Dump'!R:R,'Weekly Dump'!B:B,C98,'Weekly Dump'!A:A,AB98)</f>
        <v>0</v>
      </c>
      <c r="Q98" s="40">
        <f t="shared" si="13"/>
        <v>0</v>
      </c>
      <c r="R98" s="41"/>
      <c r="T98" s="4">
        <f>SUMIFS('Weekly Dump'!E:E,'Weekly Dump'!B:B,C98,'Weekly Dump'!A:A,AB98)</f>
        <v>0</v>
      </c>
      <c r="U98" s="3">
        <f t="shared" si="14"/>
        <v>0</v>
      </c>
      <c r="V98" s="42"/>
      <c r="X98" s="4">
        <f>SUMIFS('Weekly Dump'!P:P,'Weekly Dump'!B:B,C98,'Weekly Dump'!A:A,AB98)</f>
        <v>0</v>
      </c>
      <c r="Y98" s="4">
        <f t="shared" si="15"/>
        <v>0</v>
      </c>
      <c r="Z98" s="41"/>
      <c r="AA98" s="12" t="str">
        <f>iferror(IF(VLOOKUP(C98,'Weekly Dump'!B:B,1,0)=C98,"Yes","Missing"),"")</f>
        <v>Yes</v>
      </c>
      <c r="AB98" s="60">
        <v>46160.0</v>
      </c>
    </row>
    <row r="99">
      <c r="A99" s="38" t="s">
        <v>127</v>
      </c>
      <c r="B99" s="3"/>
      <c r="C99" s="2" t="s">
        <v>84</v>
      </c>
      <c r="D99" s="3" t="s">
        <v>85</v>
      </c>
      <c r="E99" s="3" t="s">
        <v>48</v>
      </c>
      <c r="F99" s="3" t="s">
        <v>43</v>
      </c>
      <c r="G99" s="3"/>
      <c r="I99" s="4">
        <f>SUMIFS('Weekly Dump'!D:D,'Weekly Dump'!B:B,C99)</f>
        <v>52</v>
      </c>
      <c r="J99" s="5">
        <f>SUMIFS('Weekly Dump'!AE:AE,'Weekly Dump'!B:B,C99)</f>
        <v>10.99111111</v>
      </c>
      <c r="K99" s="4">
        <f>SUMPRODUCT(
  (TEXT('Weekly Dump'!$A$2:$A1009,"mmm-yy")=TEXT($AB99,"mmm-yy"))*
  ('Weekly Dump'!$B$2:$B1009=$C99)*
  'Weekly Dump'!$D$2:$D1009)</f>
        <v>0</v>
      </c>
      <c r="L99" s="4">
        <f>SUMPRODUCT(
  (TEXT('Weekly Dump'!$A$2:$A1009,"mmm-yy")=TEXT($AB99,"mmm-yy"))*
  ('Weekly Dump'!$B$2:$B1009=$C99)*
  'Weekly Dump'!$E$2:$E1009
)</f>
        <v>0</v>
      </c>
      <c r="M99" s="4">
        <f>SUMPRODUCT(
  (TEXT('Weekly Dump'!$A$2:$A1009,"mmm-yy")=TEXT($AB99,"mmm-yy"))*
  ('Weekly Dump'!$B$2:$B1009=$C99)*
  'Weekly Dump'!$P$2:$P1009
)</f>
        <v>0</v>
      </c>
      <c r="N99" s="39"/>
      <c r="O99" s="40">
        <f>SUMIFS('Weekly Dump'!$D:$D,'Weekly Dump'!$B:$B,$C99,'Weekly Dump'!$A:$A,$AB99)</f>
        <v>0</v>
      </c>
      <c r="P99" s="40">
        <f>SUMIFS('Weekly Dump'!R:R,'Weekly Dump'!B:B,C99,'Weekly Dump'!A:A,AB99)</f>
        <v>0</v>
      </c>
      <c r="Q99" s="40">
        <f t="shared" si="13"/>
        <v>0</v>
      </c>
      <c r="R99" s="41"/>
      <c r="T99" s="4">
        <f>SUMIFS('Weekly Dump'!E:E,'Weekly Dump'!B:B,C99,'Weekly Dump'!A:A,AB99)</f>
        <v>0</v>
      </c>
      <c r="U99" s="3">
        <f t="shared" si="14"/>
        <v>0</v>
      </c>
      <c r="V99" s="42"/>
      <c r="X99" s="4">
        <f>SUMIFS('Weekly Dump'!P:P,'Weekly Dump'!B:B,C99,'Weekly Dump'!A:A,AB99)</f>
        <v>0</v>
      </c>
      <c r="Y99" s="4">
        <f t="shared" si="15"/>
        <v>0</v>
      </c>
      <c r="Z99" s="41"/>
      <c r="AA99" s="12" t="str">
        <f>iferror(IF(VLOOKUP(C99,'Weekly Dump'!B:B,1,0)=C99,"Yes","Missing"),"")</f>
        <v>Yes</v>
      </c>
      <c r="AB99" s="60">
        <v>46160.0</v>
      </c>
    </row>
    <row r="100">
      <c r="A100" s="38" t="s">
        <v>127</v>
      </c>
      <c r="B100" s="2"/>
      <c r="C100" s="2" t="s">
        <v>86</v>
      </c>
      <c r="D100" s="3" t="s">
        <v>87</v>
      </c>
      <c r="E100" s="38" t="s">
        <v>88</v>
      </c>
      <c r="F100" s="3"/>
      <c r="G100" s="3"/>
      <c r="I100" s="4">
        <f>SUMIFS('Weekly Dump'!D:D,'Weekly Dump'!B:B,C100)</f>
        <v>0</v>
      </c>
      <c r="J100" s="5">
        <f>SUMIFS('Weekly Dump'!AE:AE,'Weekly Dump'!B:B,C100)</f>
        <v>0</v>
      </c>
      <c r="K100" s="4">
        <f>SUMPRODUCT(
  (TEXT('Weekly Dump'!$A$2:$A1009,"mmm-yy")=TEXT($AB100,"mmm-yy"))*
  ('Weekly Dump'!$B$2:$B1009=$C100)*
  'Weekly Dump'!$D$2:$D1009)</f>
        <v>0</v>
      </c>
      <c r="L100" s="4">
        <f>SUMPRODUCT(
  (TEXT('Weekly Dump'!$A$2:$A1009,"mmm-yy")=TEXT($AB100,"mmm-yy"))*
  ('Weekly Dump'!$B$2:$B1009=$C100)*
  'Weekly Dump'!$E$2:$E1009
)</f>
        <v>0</v>
      </c>
      <c r="M100" s="4">
        <f>SUMPRODUCT(
  (TEXT('Weekly Dump'!$A$2:$A1009,"mmm-yy")=TEXT($AB100,"mmm-yy"))*
  ('Weekly Dump'!$B$2:$B1009=$C100)*
  'Weekly Dump'!$P$2:$P1009
)</f>
        <v>0</v>
      </c>
      <c r="N100" s="39"/>
      <c r="O100" s="40">
        <f>SUMIFS('Weekly Dump'!$D:$D,'Weekly Dump'!$B:$B,$C100,'Weekly Dump'!$A:$A,$AB100)</f>
        <v>0</v>
      </c>
      <c r="P100" s="40">
        <f>SUMIFS('Weekly Dump'!R:R,'Weekly Dump'!B:B,C100,'Weekly Dump'!A:A,AB100)</f>
        <v>0</v>
      </c>
      <c r="Q100" s="40">
        <f t="shared" si="13"/>
        <v>0</v>
      </c>
      <c r="R100" s="41"/>
      <c r="T100" s="4">
        <f>SUMIFS('Weekly Dump'!E:E,'Weekly Dump'!B:B,C100,'Weekly Dump'!A:A,AB100)</f>
        <v>0</v>
      </c>
      <c r="U100" s="3">
        <f t="shared" si="14"/>
        <v>0</v>
      </c>
      <c r="V100" s="42"/>
      <c r="X100" s="4">
        <f>SUMIFS('Weekly Dump'!P:P,'Weekly Dump'!B:B,C100,'Weekly Dump'!A:A,AB100)</f>
        <v>0</v>
      </c>
      <c r="Y100" s="4">
        <f t="shared" si="15"/>
        <v>0</v>
      </c>
      <c r="Z100" s="41"/>
      <c r="AA100" s="12" t="str">
        <f>iferror(IF(VLOOKUP(C100,'Weekly Dump'!B:B,1,0)=C100,"Yes","Missing"),"")</f>
        <v/>
      </c>
      <c r="AB100" s="60">
        <v>46160.0</v>
      </c>
    </row>
    <row r="101">
      <c r="A101" s="38" t="s">
        <v>127</v>
      </c>
      <c r="B101" s="3"/>
      <c r="C101" s="2" t="s">
        <v>89</v>
      </c>
      <c r="D101" s="3" t="s">
        <v>90</v>
      </c>
      <c r="E101" s="3" t="s">
        <v>28</v>
      </c>
      <c r="F101" s="3"/>
      <c r="G101" s="3"/>
      <c r="I101" s="4">
        <f>SUMIFS('Weekly Dump'!D:D,'Weekly Dump'!B:B,C101)</f>
        <v>90</v>
      </c>
      <c r="J101" s="5">
        <f>SUMIFS('Weekly Dump'!AE:AE,'Weekly Dump'!B:B,C101)</f>
        <v>14.57388889</v>
      </c>
      <c r="K101" s="4">
        <f>SUMPRODUCT(
  (TEXT('Weekly Dump'!$A$2:$A1009,"mmm-yy")=TEXT($AB101,"mmm-yy"))*
  ('Weekly Dump'!$B$2:$B1009=$C101)*
  'Weekly Dump'!$D$2:$D1009)</f>
        <v>43</v>
      </c>
      <c r="L101" s="4">
        <f>SUMPRODUCT(
  (TEXT('Weekly Dump'!$A$2:$A1009,"mmm-yy")=TEXT($AB101,"mmm-yy"))*
  ('Weekly Dump'!$B$2:$B1009=$C101)*
  'Weekly Dump'!$E$2:$E1009
)</f>
        <v>20</v>
      </c>
      <c r="M101" s="4">
        <f>SUMPRODUCT(
  (TEXT('Weekly Dump'!$A$2:$A1009,"mmm-yy")=TEXT($AB101,"mmm-yy"))*
  ('Weekly Dump'!$B$2:$B1009=$C101)*
  'Weekly Dump'!$P$2:$P1009
)</f>
        <v>19</v>
      </c>
      <c r="N101" s="39">
        <v>15.0</v>
      </c>
      <c r="O101" s="40">
        <f>SUMIFS('Weekly Dump'!$D:$D,'Weekly Dump'!$B:$B,$C101,'Weekly Dump'!$A:$A,$AB101)</f>
        <v>9</v>
      </c>
      <c r="P101" s="40">
        <f>SUMIFS('Weekly Dump'!R:R,'Weekly Dump'!B:B,C101,'Weekly Dump'!A:A,AB101)</f>
        <v>19240</v>
      </c>
      <c r="Q101" s="40">
        <f t="shared" si="13"/>
        <v>-6</v>
      </c>
      <c r="R101" s="41"/>
      <c r="T101" s="4">
        <f>SUMIFS('Weekly Dump'!E:E,'Weekly Dump'!B:B,C101,'Weekly Dump'!A:A,AB101)</f>
        <v>15</v>
      </c>
      <c r="U101" s="3">
        <f t="shared" si="14"/>
        <v>-15</v>
      </c>
      <c r="V101" s="42"/>
      <c r="X101" s="4">
        <f>SUMIFS('Weekly Dump'!P:P,'Weekly Dump'!B:B,C101,'Weekly Dump'!A:A,AB101)</f>
        <v>19</v>
      </c>
      <c r="Y101" s="4">
        <f t="shared" si="15"/>
        <v>-19</v>
      </c>
      <c r="Z101" s="41"/>
      <c r="AA101" s="12" t="str">
        <f>iferror(IF(VLOOKUP(C101,'Weekly Dump'!B:B,1,0)=C101,"Yes","Missing"),"")</f>
        <v>Yes</v>
      </c>
      <c r="AB101" s="60">
        <v>46160.0</v>
      </c>
    </row>
    <row r="102">
      <c r="A102" s="38" t="s">
        <v>127</v>
      </c>
      <c r="B102" s="3"/>
      <c r="C102" s="2" t="s">
        <v>91</v>
      </c>
      <c r="D102" s="3" t="s">
        <v>92</v>
      </c>
      <c r="E102" s="3" t="s">
        <v>48</v>
      </c>
      <c r="F102" s="3" t="s">
        <v>29</v>
      </c>
      <c r="G102" s="3" t="s">
        <v>49</v>
      </c>
      <c r="I102" s="4">
        <f>SUMIFS('Weekly Dump'!D:D,'Weekly Dump'!B:B,C102)</f>
        <v>56</v>
      </c>
      <c r="J102" s="5">
        <f>SUMIFS('Weekly Dump'!AE:AE,'Weekly Dump'!B:B,C102)</f>
        <v>10.39083333</v>
      </c>
      <c r="K102" s="4">
        <f>SUMPRODUCT(
  (TEXT('Weekly Dump'!$A$2:$A1009,"mmm-yy")=TEXT($AB102,"mmm-yy"))*
  ('Weekly Dump'!$B$2:$B1009=$C102)*
  'Weekly Dump'!$D$2:$D1009)</f>
        <v>0</v>
      </c>
      <c r="L102" s="4">
        <f>SUMPRODUCT(
  (TEXT('Weekly Dump'!$A$2:$A1009,"mmm-yy")=TEXT($AB102,"mmm-yy"))*
  ('Weekly Dump'!$B$2:$B1009=$C102)*
  'Weekly Dump'!$E$2:$E1009
)</f>
        <v>0</v>
      </c>
      <c r="M102" s="4">
        <f>SUMPRODUCT(
  (TEXT('Weekly Dump'!$A$2:$A1009,"mmm-yy")=TEXT($AB102,"mmm-yy"))*
  ('Weekly Dump'!$B$2:$B1009=$C102)*
  'Weekly Dump'!$P$2:$P1009
)</f>
        <v>0</v>
      </c>
      <c r="N102" s="39"/>
      <c r="O102" s="40">
        <f>SUMIFS('Weekly Dump'!$D:$D,'Weekly Dump'!$B:$B,$C102,'Weekly Dump'!$A:$A,$AB102)</f>
        <v>0</v>
      </c>
      <c r="P102" s="40">
        <f>SUMIFS('Weekly Dump'!R:R,'Weekly Dump'!B:B,C102,'Weekly Dump'!A:A,AB102)</f>
        <v>0</v>
      </c>
      <c r="Q102" s="40">
        <f t="shared" si="13"/>
        <v>0</v>
      </c>
      <c r="R102" s="41"/>
      <c r="T102" s="4">
        <f>SUMIFS('Weekly Dump'!E:E,'Weekly Dump'!B:B,C102,'Weekly Dump'!A:A,AB102)</f>
        <v>0</v>
      </c>
      <c r="U102" s="3">
        <f t="shared" si="14"/>
        <v>0</v>
      </c>
      <c r="V102" s="42"/>
      <c r="X102" s="4">
        <f>SUMIFS('Weekly Dump'!P:P,'Weekly Dump'!B:B,C102,'Weekly Dump'!A:A,AB102)</f>
        <v>0</v>
      </c>
      <c r="Y102" s="4">
        <f t="shared" si="15"/>
        <v>0</v>
      </c>
      <c r="Z102" s="41"/>
      <c r="AA102" s="12" t="str">
        <f>iferror(IF(VLOOKUP(C102,'Weekly Dump'!B:B,1,0)=C102,"Yes","Missing"),"")</f>
        <v>Yes</v>
      </c>
      <c r="AB102" s="60">
        <v>46160.0</v>
      </c>
    </row>
    <row r="103">
      <c r="A103" s="38" t="s">
        <v>127</v>
      </c>
      <c r="B103" s="3"/>
      <c r="C103" s="2" t="s">
        <v>93</v>
      </c>
      <c r="D103" s="3" t="s">
        <v>94</v>
      </c>
      <c r="E103" s="3" t="s">
        <v>48</v>
      </c>
      <c r="F103" s="3" t="s">
        <v>34</v>
      </c>
      <c r="G103" s="3" t="s">
        <v>95</v>
      </c>
      <c r="I103" s="4">
        <f>SUMIFS('Weekly Dump'!D:D,'Weekly Dump'!B:B,C103)</f>
        <v>50</v>
      </c>
      <c r="J103" s="5">
        <f>SUMIFS('Weekly Dump'!AE:AE,'Weekly Dump'!B:B,C103)</f>
        <v>10.19194444</v>
      </c>
      <c r="K103" s="4">
        <f>SUMPRODUCT(
  (TEXT('Weekly Dump'!$A$2:$A1009,"mmm-yy")=TEXT($AB103,"mmm-yy"))*
  ('Weekly Dump'!$B$2:$B1009=$C103)*
  'Weekly Dump'!$D$2:$D1009)</f>
        <v>0</v>
      </c>
      <c r="L103" s="4">
        <f>SUMPRODUCT(
  (TEXT('Weekly Dump'!$A$2:$A1009,"mmm-yy")=TEXT($AB103,"mmm-yy"))*
  ('Weekly Dump'!$B$2:$B1009=$C103)*
  'Weekly Dump'!$E$2:$E1009
)</f>
        <v>0</v>
      </c>
      <c r="M103" s="4">
        <f>SUMPRODUCT(
  (TEXT('Weekly Dump'!$A$2:$A1009,"mmm-yy")=TEXT($AB103,"mmm-yy"))*
  ('Weekly Dump'!$B$2:$B1009=$C103)*
  'Weekly Dump'!$P$2:$P1009
)</f>
        <v>1</v>
      </c>
      <c r="N103" s="39"/>
      <c r="O103" s="40">
        <f>SUMIFS('Weekly Dump'!$D:$D,'Weekly Dump'!$B:$B,$C103,'Weekly Dump'!$A:$A,$AB103)</f>
        <v>0</v>
      </c>
      <c r="P103" s="40">
        <f>SUMIFS('Weekly Dump'!R:R,'Weekly Dump'!B:B,C103,'Weekly Dump'!A:A,AB103)</f>
        <v>0</v>
      </c>
      <c r="Q103" s="40">
        <f t="shared" si="13"/>
        <v>0</v>
      </c>
      <c r="R103" s="41"/>
      <c r="T103" s="4">
        <f>SUMIFS('Weekly Dump'!E:E,'Weekly Dump'!B:B,C103,'Weekly Dump'!A:A,AB103)</f>
        <v>0</v>
      </c>
      <c r="U103" s="3">
        <f t="shared" si="14"/>
        <v>0</v>
      </c>
      <c r="V103" s="42"/>
      <c r="X103" s="4">
        <f>SUMIFS('Weekly Dump'!P:P,'Weekly Dump'!B:B,C103,'Weekly Dump'!A:A,AB103)</f>
        <v>0</v>
      </c>
      <c r="Y103" s="4">
        <f t="shared" si="15"/>
        <v>0</v>
      </c>
      <c r="Z103" s="41"/>
      <c r="AA103" s="12" t="str">
        <f>iferror(IF(VLOOKUP(C103,'Weekly Dump'!B:B,1,0)=C103,"Yes","Missing"),"")</f>
        <v>Yes</v>
      </c>
      <c r="AB103" s="60">
        <v>46160.0</v>
      </c>
    </row>
    <row r="104">
      <c r="A104" s="38" t="s">
        <v>127</v>
      </c>
      <c r="B104" s="3"/>
      <c r="C104" s="2" t="s">
        <v>96</v>
      </c>
      <c r="D104" s="3" t="s">
        <v>97</v>
      </c>
      <c r="E104" s="3" t="s">
        <v>28</v>
      </c>
      <c r="F104" s="3"/>
      <c r="G104" s="3"/>
      <c r="I104" s="4">
        <f>SUMIFS('Weekly Dump'!D:D,'Weekly Dump'!B:B,C104)</f>
        <v>94</v>
      </c>
      <c r="J104" s="5">
        <f>SUMIFS('Weekly Dump'!AE:AE,'Weekly Dump'!B:B,C104)</f>
        <v>24.01333333</v>
      </c>
      <c r="K104" s="4">
        <f>SUMPRODUCT(
  (TEXT('Weekly Dump'!$A$2:$A1009,"mmm-yy")=TEXT($AB104,"mmm-yy"))*
  ('Weekly Dump'!$B$2:$B1009=$C104)*
  'Weekly Dump'!$D$2:$D1009)</f>
        <v>45</v>
      </c>
      <c r="L104" s="4">
        <f>SUMPRODUCT(
  (TEXT('Weekly Dump'!$A$2:$A1009,"mmm-yy")=TEXT($AB104,"mmm-yy"))*
  ('Weekly Dump'!$B$2:$B1009=$C104)*
  'Weekly Dump'!$E$2:$E1009
)</f>
        <v>48</v>
      </c>
      <c r="M104" s="4">
        <f>SUMPRODUCT(
  (TEXT('Weekly Dump'!$A$2:$A1009,"mmm-yy")=TEXT($AB104,"mmm-yy"))*
  ('Weekly Dump'!$B$2:$B1009=$C104)*
  'Weekly Dump'!$P$2:$P1009
)</f>
        <v>59</v>
      </c>
      <c r="N104" s="39">
        <v>15.0</v>
      </c>
      <c r="O104" s="40">
        <f>SUMIFS('Weekly Dump'!$D:$D,'Weekly Dump'!$B:$B,$C104,'Weekly Dump'!$A:$A,$AB104)</f>
        <v>15</v>
      </c>
      <c r="P104" s="40">
        <f>SUMIFS('Weekly Dump'!R:R,'Weekly Dump'!B:B,C104,'Weekly Dump'!A:A,AB104)</f>
        <v>33566</v>
      </c>
      <c r="Q104" s="40">
        <f t="shared" si="13"/>
        <v>0</v>
      </c>
      <c r="R104" s="41"/>
      <c r="T104" s="4">
        <f>SUMIFS('Weekly Dump'!E:E,'Weekly Dump'!B:B,C104,'Weekly Dump'!A:A,AB104)</f>
        <v>14</v>
      </c>
      <c r="U104" s="3">
        <f t="shared" si="14"/>
        <v>-14</v>
      </c>
      <c r="V104" s="42"/>
      <c r="X104" s="4">
        <f>SUMIFS('Weekly Dump'!P:P,'Weekly Dump'!B:B,C104,'Weekly Dump'!A:A,AB104)</f>
        <v>19</v>
      </c>
      <c r="Y104" s="4">
        <f t="shared" si="15"/>
        <v>-19</v>
      </c>
      <c r="Z104" s="41"/>
      <c r="AA104" s="12" t="str">
        <f>iferror(IF(VLOOKUP(C104,'Weekly Dump'!B:B,1,0)=C104,"Yes","Missing"),"")</f>
        <v>Yes</v>
      </c>
      <c r="AB104" s="60">
        <v>46160.0</v>
      </c>
    </row>
    <row r="105">
      <c r="A105" s="38" t="s">
        <v>127</v>
      </c>
      <c r="B105" s="3"/>
      <c r="C105" s="2" t="s">
        <v>98</v>
      </c>
      <c r="D105" s="3" t="s">
        <v>99</v>
      </c>
      <c r="E105" s="3" t="s">
        <v>48</v>
      </c>
      <c r="F105" s="3" t="s">
        <v>43</v>
      </c>
      <c r="G105" s="3" t="s">
        <v>95</v>
      </c>
      <c r="I105" s="4">
        <f>SUMIFS('Weekly Dump'!D:D,'Weekly Dump'!B:B,C105)</f>
        <v>50</v>
      </c>
      <c r="J105" s="5">
        <f>SUMIFS('Weekly Dump'!AE:AE,'Weekly Dump'!B:B,C105)</f>
        <v>10.06555556</v>
      </c>
      <c r="K105" s="4">
        <f>SUMPRODUCT(
  (TEXT('Weekly Dump'!$A$2:$A1009,"mmm-yy")=TEXT($AB105,"mmm-yy"))*
  ('Weekly Dump'!$B$2:$B1009=$C105)*
  'Weekly Dump'!$D$2:$D1009)</f>
        <v>0</v>
      </c>
      <c r="L105" s="4">
        <f>SUMPRODUCT(
  (TEXT('Weekly Dump'!$A$2:$A1009,"mmm-yy")=TEXT($AB105,"mmm-yy"))*
  ('Weekly Dump'!$B$2:$B1009=$C105)*
  'Weekly Dump'!$E$2:$E1009
)</f>
        <v>0</v>
      </c>
      <c r="M105" s="4">
        <f>SUMPRODUCT(
  (TEXT('Weekly Dump'!$A$2:$A1009,"mmm-yy")=TEXT($AB105,"mmm-yy"))*
  ('Weekly Dump'!$B$2:$B1009=$C105)*
  'Weekly Dump'!$P$2:$P1009
)</f>
        <v>0</v>
      </c>
      <c r="N105" s="39"/>
      <c r="O105" s="40">
        <f>SUMIFS('Weekly Dump'!$D:$D,'Weekly Dump'!$B:$B,$C105,'Weekly Dump'!$A:$A,$AB105)</f>
        <v>0</v>
      </c>
      <c r="P105" s="40">
        <f>SUMIFS('Weekly Dump'!R:R,'Weekly Dump'!B:B,C105,'Weekly Dump'!A:A,AB105)</f>
        <v>0</v>
      </c>
      <c r="Q105" s="40">
        <f t="shared" si="13"/>
        <v>0</v>
      </c>
      <c r="R105" s="41"/>
      <c r="T105" s="4">
        <f>SUMIFS('Weekly Dump'!E:E,'Weekly Dump'!B:B,C105,'Weekly Dump'!A:A,AB105)</f>
        <v>0</v>
      </c>
      <c r="U105" s="3">
        <f t="shared" si="14"/>
        <v>0</v>
      </c>
      <c r="V105" s="42"/>
      <c r="X105" s="4">
        <f>SUMIFS('Weekly Dump'!P:P,'Weekly Dump'!B:B,C105,'Weekly Dump'!A:A,AB105)</f>
        <v>0</v>
      </c>
      <c r="Y105" s="4">
        <f t="shared" si="15"/>
        <v>0</v>
      </c>
      <c r="Z105" s="41"/>
      <c r="AA105" s="12" t="str">
        <f>iferror(IF(VLOOKUP(C105,'Weekly Dump'!B:B,1,0)=C105,"Yes","Missing"),"")</f>
        <v>Yes</v>
      </c>
      <c r="AB105" s="60">
        <v>46160.0</v>
      </c>
    </row>
    <row r="106">
      <c r="A106" s="38" t="s">
        <v>127</v>
      </c>
      <c r="B106" s="3"/>
      <c r="C106" s="2" t="s">
        <v>100</v>
      </c>
      <c r="D106" s="3" t="s">
        <v>101</v>
      </c>
      <c r="E106" s="3" t="s">
        <v>28</v>
      </c>
      <c r="F106" s="3" t="s">
        <v>29</v>
      </c>
      <c r="G106" s="3" t="s">
        <v>83</v>
      </c>
      <c r="I106" s="4">
        <f>SUMIFS('Weekly Dump'!D:D,'Weekly Dump'!B:B,C106)</f>
        <v>125</v>
      </c>
      <c r="J106" s="5">
        <f>SUMIFS('Weekly Dump'!AE:AE,'Weekly Dump'!B:B,C106)</f>
        <v>17.74722222</v>
      </c>
      <c r="K106" s="4">
        <f>SUMPRODUCT(
  (TEXT('Weekly Dump'!$A$2:$A1009,"mmm-yy")=TEXT($AB106,"mmm-yy"))*
  ('Weekly Dump'!$B$2:$B1009=$C106)*
  'Weekly Dump'!$D$2:$D1009)</f>
        <v>75</v>
      </c>
      <c r="L106" s="4">
        <f>SUMPRODUCT(
  (TEXT('Weekly Dump'!$A$2:$A1009,"mmm-yy")=TEXT($AB106,"mmm-yy"))*
  ('Weekly Dump'!$B$2:$B1009=$C106)*
  'Weekly Dump'!$E$2:$E1009
)</f>
        <v>81</v>
      </c>
      <c r="M106" s="4">
        <f>SUMPRODUCT(
  (TEXT('Weekly Dump'!$A$2:$A1009,"mmm-yy")=TEXT($AB106,"mmm-yy"))*
  ('Weekly Dump'!$B$2:$B1009=$C106)*
  'Weekly Dump'!$P$2:$P1009
)</f>
        <v>52</v>
      </c>
      <c r="N106" s="39">
        <v>0.0</v>
      </c>
      <c r="O106" s="40">
        <f>SUMIFS('Weekly Dump'!$D:$D,'Weekly Dump'!$B:$B,$C106,'Weekly Dump'!$A:$A,$AB106)</f>
        <v>0</v>
      </c>
      <c r="P106" s="40">
        <f>SUMIFS('Weekly Dump'!R:R,'Weekly Dump'!B:B,C106,'Weekly Dump'!A:A,AB106)</f>
        <v>0</v>
      </c>
      <c r="Q106" s="40">
        <f t="shared" si="13"/>
        <v>0</v>
      </c>
      <c r="R106" s="41"/>
      <c r="T106" s="4">
        <f>SUMIFS('Weekly Dump'!E:E,'Weekly Dump'!B:B,C106,'Weekly Dump'!A:A,AB106)</f>
        <v>39</v>
      </c>
      <c r="U106" s="3">
        <f t="shared" si="14"/>
        <v>-39</v>
      </c>
      <c r="V106" s="42"/>
      <c r="X106" s="4">
        <f>SUMIFS('Weekly Dump'!P:P,'Weekly Dump'!B:B,C106,'Weekly Dump'!A:A,AB106)</f>
        <v>23</v>
      </c>
      <c r="Y106" s="4">
        <f t="shared" si="15"/>
        <v>-23</v>
      </c>
      <c r="Z106" s="41"/>
      <c r="AA106" s="12" t="str">
        <f>iferror(IF(VLOOKUP(C106,'Weekly Dump'!B:B,1,0)=C106,"Yes","Missing"),"")</f>
        <v>Yes</v>
      </c>
      <c r="AB106" s="60">
        <v>46160.0</v>
      </c>
    </row>
    <row r="107">
      <c r="A107" s="38" t="s">
        <v>127</v>
      </c>
      <c r="B107" s="3"/>
      <c r="C107" s="2" t="s">
        <v>102</v>
      </c>
      <c r="D107" s="3" t="s">
        <v>103</v>
      </c>
      <c r="E107" s="3" t="s">
        <v>28</v>
      </c>
      <c r="F107" s="3" t="s">
        <v>29</v>
      </c>
      <c r="G107" s="3"/>
      <c r="I107" s="4">
        <f>SUMIFS('Weekly Dump'!D:D,'Weekly Dump'!B:B,C107)</f>
        <v>85</v>
      </c>
      <c r="J107" s="5">
        <f>SUMIFS('Weekly Dump'!AE:AE,'Weekly Dump'!B:B,C107)</f>
        <v>6.948333333</v>
      </c>
      <c r="K107" s="4">
        <f>SUMPRODUCT(
  (TEXT('Weekly Dump'!$A$2:$A1009,"mmm-yy")=TEXT($AB107,"mmm-yy"))*
  ('Weekly Dump'!$B$2:$B1009=$C107)*
  'Weekly Dump'!$D$2:$D1009)</f>
        <v>60</v>
      </c>
      <c r="L107" s="4">
        <f>SUMPRODUCT(
  (TEXT('Weekly Dump'!$A$2:$A1009,"mmm-yy")=TEXT($AB107,"mmm-yy"))*
  ('Weekly Dump'!$B$2:$B1009=$C107)*
  'Weekly Dump'!$E$2:$E1009
)</f>
        <v>18</v>
      </c>
      <c r="M107" s="4">
        <f>SUMPRODUCT(
  (TEXT('Weekly Dump'!$A$2:$A1009,"mmm-yy")=TEXT($AB107,"mmm-yy"))*
  ('Weekly Dump'!$B$2:$B1009=$C107)*
  'Weekly Dump'!$P$2:$P1009
)</f>
        <v>14</v>
      </c>
      <c r="N107" s="39"/>
      <c r="O107" s="40">
        <f>SUMIFS('Weekly Dump'!$D:$D,'Weekly Dump'!$B:$B,$C107,'Weekly Dump'!$A:$A,$AB107)</f>
        <v>0</v>
      </c>
      <c r="P107" s="40">
        <f>SUMIFS('Weekly Dump'!R:R,'Weekly Dump'!B:B,C107,'Weekly Dump'!A:A,AB107)</f>
        <v>0</v>
      </c>
      <c r="Q107" s="40">
        <f t="shared" si="13"/>
        <v>0</v>
      </c>
      <c r="R107" s="41"/>
      <c r="T107" s="4">
        <f>SUMIFS('Weekly Dump'!E:E,'Weekly Dump'!B:B,C107,'Weekly Dump'!A:A,AB107)</f>
        <v>9</v>
      </c>
      <c r="U107" s="3">
        <f t="shared" si="14"/>
        <v>-9</v>
      </c>
      <c r="V107" s="42"/>
      <c r="X107" s="4">
        <f>SUMIFS('Weekly Dump'!P:P,'Weekly Dump'!B:B,C107,'Weekly Dump'!A:A,AB107)</f>
        <v>6</v>
      </c>
      <c r="Y107" s="4">
        <f t="shared" si="15"/>
        <v>-6</v>
      </c>
      <c r="Z107" s="41"/>
      <c r="AA107" s="12" t="str">
        <f>iferror(IF(VLOOKUP(C107,'Weekly Dump'!B:B,1,0)=C107,"Yes","Missing"),"")</f>
        <v>Yes</v>
      </c>
      <c r="AB107" s="60">
        <v>46160.0</v>
      </c>
    </row>
    <row r="108">
      <c r="A108" s="38" t="s">
        <v>127</v>
      </c>
      <c r="B108" s="3"/>
      <c r="C108" s="2" t="s">
        <v>104</v>
      </c>
      <c r="D108" s="3" t="s">
        <v>105</v>
      </c>
      <c r="E108" s="3" t="s">
        <v>48</v>
      </c>
      <c r="F108" s="3" t="s">
        <v>29</v>
      </c>
      <c r="G108" s="3"/>
      <c r="I108" s="4">
        <f>SUMIFS('Weekly Dump'!D:D,'Weekly Dump'!B:B,C108)</f>
        <v>75</v>
      </c>
      <c r="J108" s="5">
        <f>SUMIFS('Weekly Dump'!AE:AE,'Weekly Dump'!B:B,C108)</f>
        <v>13.08944444</v>
      </c>
      <c r="K108" s="4">
        <f>SUMPRODUCT(
  (TEXT('Weekly Dump'!$A$2:$A1009,"mmm-yy")=TEXT($AB108,"mmm-yy"))*
  ('Weekly Dump'!$B$2:$B1009=$C108)*
  'Weekly Dump'!$D$2:$D1009)</f>
        <v>23</v>
      </c>
      <c r="L108" s="4">
        <f>SUMPRODUCT(
  (TEXT('Weekly Dump'!$A$2:$A1009,"mmm-yy")=TEXT($AB108,"mmm-yy"))*
  ('Weekly Dump'!$B$2:$B1009=$C108)*
  'Weekly Dump'!$E$2:$E1009
)</f>
        <v>23</v>
      </c>
      <c r="M108" s="4">
        <f>SUMPRODUCT(
  (TEXT('Weekly Dump'!$A$2:$A1009,"mmm-yy")=TEXT($AB108,"mmm-yy"))*
  ('Weekly Dump'!$B$2:$B1009=$C108)*
  'Weekly Dump'!$P$2:$P1009
)</f>
        <v>13</v>
      </c>
      <c r="N108" s="39"/>
      <c r="O108" s="40">
        <f>SUMIFS('Weekly Dump'!$D:$D,'Weekly Dump'!$B:$B,$C108,'Weekly Dump'!$A:$A,$AB108)</f>
        <v>0</v>
      </c>
      <c r="P108" s="40">
        <f>SUMIFS('Weekly Dump'!R:R,'Weekly Dump'!B:B,C108,'Weekly Dump'!A:A,AB108)</f>
        <v>0</v>
      </c>
      <c r="Q108" s="40">
        <f t="shared" si="13"/>
        <v>0</v>
      </c>
      <c r="R108" s="41"/>
      <c r="T108" s="4">
        <f>SUMIFS('Weekly Dump'!E:E,'Weekly Dump'!B:B,C108,'Weekly Dump'!A:A,AB108)</f>
        <v>12</v>
      </c>
      <c r="U108" s="3">
        <f t="shared" si="14"/>
        <v>-12</v>
      </c>
      <c r="V108" s="42"/>
      <c r="X108" s="4">
        <f>SUMIFS('Weekly Dump'!P:P,'Weekly Dump'!B:B,C108,'Weekly Dump'!A:A,AB108)</f>
        <v>13</v>
      </c>
      <c r="Y108" s="4">
        <f t="shared" si="15"/>
        <v>-13</v>
      </c>
      <c r="Z108" s="41"/>
      <c r="AA108" s="12" t="str">
        <f>iferror(IF(VLOOKUP(C108,'Weekly Dump'!B:B,1,0)=C108,"Yes","Missing"),"")</f>
        <v>Yes</v>
      </c>
      <c r="AB108" s="60">
        <v>46160.0</v>
      </c>
    </row>
    <row r="109">
      <c r="A109" s="38" t="s">
        <v>127</v>
      </c>
      <c r="B109" s="3"/>
      <c r="C109" s="2" t="s">
        <v>106</v>
      </c>
      <c r="D109" s="3" t="s">
        <v>107</v>
      </c>
      <c r="E109" s="38" t="s">
        <v>88</v>
      </c>
      <c r="F109" s="3"/>
      <c r="G109" s="3"/>
      <c r="I109" s="4">
        <f>SUMIFS('Weekly Dump'!D:D,'Weekly Dump'!B:B,C109)</f>
        <v>8</v>
      </c>
      <c r="J109" s="5">
        <f>SUMIFS('Weekly Dump'!AE:AE,'Weekly Dump'!B:B,C109)</f>
        <v>1.161388889</v>
      </c>
      <c r="K109" s="4">
        <f>SUMPRODUCT(
  (TEXT('Weekly Dump'!$A$2:$A1009,"mmm-yy")=TEXT($AB109,"mmm-yy"))*
  ('Weekly Dump'!$B$2:$B1009=$C109)*
  'Weekly Dump'!$D$2:$D1009)</f>
        <v>0</v>
      </c>
      <c r="L109" s="4">
        <f>SUMPRODUCT(
  (TEXT('Weekly Dump'!$A$2:$A1009,"mmm-yy")=TEXT($AB109,"mmm-yy"))*
  ('Weekly Dump'!$B$2:$B1009=$C109)*
  'Weekly Dump'!$E$2:$E1009
)</f>
        <v>0</v>
      </c>
      <c r="M109" s="4">
        <f>SUMPRODUCT(
  (TEXT('Weekly Dump'!$A$2:$A1009,"mmm-yy")=TEXT($AB109,"mmm-yy"))*
  ('Weekly Dump'!$B$2:$B1009=$C109)*
  'Weekly Dump'!$P$2:$P1009
)</f>
        <v>0</v>
      </c>
      <c r="N109" s="39"/>
      <c r="O109" s="40">
        <f>SUMIFS('Weekly Dump'!$D:$D,'Weekly Dump'!$B:$B,$C109,'Weekly Dump'!$A:$A,$AB109)</f>
        <v>0</v>
      </c>
      <c r="P109" s="40">
        <f>SUMIFS('Weekly Dump'!R:R,'Weekly Dump'!B:B,C109,'Weekly Dump'!A:A,AB109)</f>
        <v>0</v>
      </c>
      <c r="Q109" s="40">
        <f t="shared" si="13"/>
        <v>0</v>
      </c>
      <c r="R109" s="41"/>
      <c r="T109" s="4">
        <f>SUMIFS('Weekly Dump'!E:E,'Weekly Dump'!B:B,C109,'Weekly Dump'!A:A,AB109)</f>
        <v>0</v>
      </c>
      <c r="U109" s="3">
        <f t="shared" si="14"/>
        <v>0</v>
      </c>
      <c r="V109" s="42"/>
      <c r="X109" s="4">
        <f>SUMIFS('Weekly Dump'!P:P,'Weekly Dump'!B:B,C109,'Weekly Dump'!A:A,AB109)</f>
        <v>0</v>
      </c>
      <c r="Y109" s="4">
        <f t="shared" si="15"/>
        <v>0</v>
      </c>
      <c r="Z109" s="41"/>
      <c r="AA109" s="12" t="str">
        <f>iferror(IF(VLOOKUP(C109,'Weekly Dump'!B:B,1,0)=C109,"Yes","Missing"),"")</f>
        <v>Yes</v>
      </c>
      <c r="AB109" s="60">
        <v>46160.0</v>
      </c>
    </row>
    <row r="110">
      <c r="A110" s="38" t="s">
        <v>127</v>
      </c>
      <c r="B110" s="3"/>
      <c r="C110" s="2" t="s">
        <v>108</v>
      </c>
      <c r="D110" s="3" t="s">
        <v>109</v>
      </c>
      <c r="E110" s="3" t="s">
        <v>28</v>
      </c>
      <c r="F110" s="3"/>
      <c r="G110" s="3"/>
      <c r="I110" s="4">
        <f>SUMIFS('Weekly Dump'!D:D,'Weekly Dump'!B:B,C110)</f>
        <v>58</v>
      </c>
      <c r="J110" s="5">
        <f>SUMIFS('Weekly Dump'!AE:AE,'Weekly Dump'!B:B,C110)</f>
        <v>9.653333333</v>
      </c>
      <c r="K110" s="4">
        <f>SUMPRODUCT(
  (TEXT('Weekly Dump'!$A$2:$A1009,"mmm-yy")=TEXT($AB110,"mmm-yy"))*
  ('Weekly Dump'!$B$2:$B1009=$C110)*
  'Weekly Dump'!$D$2:$D1009)</f>
        <v>43</v>
      </c>
      <c r="L110" s="4">
        <f>SUMPRODUCT(
  (TEXT('Weekly Dump'!$A$2:$A1009,"mmm-yy")=TEXT($AB110,"mmm-yy"))*
  ('Weekly Dump'!$B$2:$B1009=$C110)*
  'Weekly Dump'!$E$2:$E1009
)</f>
        <v>37</v>
      </c>
      <c r="M110" s="4">
        <f>SUMPRODUCT(
  (TEXT('Weekly Dump'!$A$2:$A1009,"mmm-yy")=TEXT($AB110,"mmm-yy"))*
  ('Weekly Dump'!$B$2:$B1009=$C110)*
  'Weekly Dump'!$P$2:$P1009
)</f>
        <v>46</v>
      </c>
      <c r="N110" s="39">
        <v>15.0</v>
      </c>
      <c r="O110" s="40">
        <f>SUMIFS('Weekly Dump'!$D:$D,'Weekly Dump'!$B:$B,$C110,'Weekly Dump'!$A:$A,$AB110)</f>
        <v>15</v>
      </c>
      <c r="P110" s="40">
        <f>SUMIFS('Weekly Dump'!R:R,'Weekly Dump'!B:B,C110,'Weekly Dump'!A:A,AB110)</f>
        <v>34222</v>
      </c>
      <c r="Q110" s="40">
        <f t="shared" si="13"/>
        <v>0</v>
      </c>
      <c r="R110" s="41"/>
      <c r="T110" s="4">
        <f>SUMIFS('Weekly Dump'!E:E,'Weekly Dump'!B:B,C110,'Weekly Dump'!A:A,AB110)</f>
        <v>8</v>
      </c>
      <c r="U110" s="3">
        <f t="shared" si="14"/>
        <v>-8</v>
      </c>
      <c r="V110" s="42"/>
      <c r="X110" s="4">
        <f>SUMIFS('Weekly Dump'!P:P,'Weekly Dump'!B:B,C110,'Weekly Dump'!A:A,AB110)</f>
        <v>12</v>
      </c>
      <c r="Y110" s="4">
        <f t="shared" si="15"/>
        <v>-12</v>
      </c>
      <c r="Z110" s="41"/>
      <c r="AA110" s="12" t="str">
        <f>iferror(IF(VLOOKUP(C110,'Weekly Dump'!B:B,1,0)=C110,"Yes","Missing"),"")</f>
        <v>Yes</v>
      </c>
      <c r="AB110" s="60">
        <v>46160.0</v>
      </c>
    </row>
    <row r="111">
      <c r="A111" s="38" t="s">
        <v>127</v>
      </c>
      <c r="B111" s="3"/>
      <c r="C111" s="2" t="s">
        <v>110</v>
      </c>
      <c r="D111" s="3" t="s">
        <v>111</v>
      </c>
      <c r="E111" s="38" t="s">
        <v>88</v>
      </c>
      <c r="F111" s="3"/>
      <c r="G111" s="3"/>
      <c r="I111" s="4">
        <f>SUMIFS('Weekly Dump'!D:D,'Weekly Dump'!B:B,C111)</f>
        <v>44</v>
      </c>
      <c r="J111" s="5">
        <f>SUMIFS('Weekly Dump'!AE:AE,'Weekly Dump'!B:B,C111)</f>
        <v>2.713333333</v>
      </c>
      <c r="K111" s="4">
        <f>SUMPRODUCT(
  (TEXT('Weekly Dump'!$A$2:$A1009,"mmm-yy")=TEXT($AB111,"mmm-yy"))*
  ('Weekly Dump'!$B$2:$B1009=$C111)*
  'Weekly Dump'!$D$2:$D1009)</f>
        <v>21</v>
      </c>
      <c r="L111" s="4">
        <f>SUMPRODUCT(
  (TEXT('Weekly Dump'!$A$2:$A1009,"mmm-yy")=TEXT($AB111,"mmm-yy"))*
  ('Weekly Dump'!$B$2:$B1009=$C111)*
  'Weekly Dump'!$E$2:$E1009
)</f>
        <v>27</v>
      </c>
      <c r="M111" s="4">
        <f>SUMPRODUCT(
  (TEXT('Weekly Dump'!$A$2:$A1009,"mmm-yy")=TEXT($AB111,"mmm-yy"))*
  ('Weekly Dump'!$B$2:$B1009=$C111)*
  'Weekly Dump'!$P$2:$P1009
)</f>
        <v>12</v>
      </c>
      <c r="N111" s="39"/>
      <c r="O111" s="40">
        <f>SUMIFS('Weekly Dump'!$D:$D,'Weekly Dump'!$B:$B,$C111,'Weekly Dump'!$A:$A,$AB111)</f>
        <v>0</v>
      </c>
      <c r="P111" s="40">
        <f>SUMIFS('Weekly Dump'!R:R,'Weekly Dump'!B:B,C111,'Weekly Dump'!A:A,AB111)</f>
        <v>0</v>
      </c>
      <c r="Q111" s="40">
        <f t="shared" si="13"/>
        <v>0</v>
      </c>
      <c r="R111" s="41"/>
      <c r="T111" s="4">
        <f>SUMIFS('Weekly Dump'!E:E,'Weekly Dump'!B:B,C111,'Weekly Dump'!A:A,AB111)</f>
        <v>12</v>
      </c>
      <c r="U111" s="3">
        <f t="shared" si="14"/>
        <v>-12</v>
      </c>
      <c r="V111" s="42"/>
      <c r="X111" s="4">
        <f>SUMIFS('Weekly Dump'!P:P,'Weekly Dump'!B:B,C111,'Weekly Dump'!A:A,AB111)</f>
        <v>12</v>
      </c>
      <c r="Y111" s="4">
        <f t="shared" si="15"/>
        <v>-12</v>
      </c>
      <c r="Z111" s="41"/>
      <c r="AA111" s="12" t="str">
        <f>iferror(IF(VLOOKUP(C111,'Weekly Dump'!B:B,1,0)=C111,"Yes","Missing"),"")</f>
        <v>Yes</v>
      </c>
      <c r="AB111" s="60">
        <v>46160.0</v>
      </c>
    </row>
    <row r="112">
      <c r="A112" s="38" t="s">
        <v>127</v>
      </c>
      <c r="B112" s="2"/>
      <c r="C112" s="2" t="str">
        <f t="shared" ref="C112:C115" si="16">IFERROR(VLOOKUP(D112,Sheet3!L:M,2,0),"")</f>
        <v/>
      </c>
      <c r="D112" s="3" t="s">
        <v>112</v>
      </c>
      <c r="E112" s="38" t="s">
        <v>88</v>
      </c>
      <c r="F112" s="3"/>
      <c r="G112" s="3"/>
      <c r="I112" s="4">
        <f>SUMIFS('Weekly Dump'!D:D,'Weekly Dump'!B:B,C112)</f>
        <v>0</v>
      </c>
      <c r="J112" s="5">
        <f>SUMIFS('Weekly Dump'!AE:AE,'Weekly Dump'!B:B,C112)</f>
        <v>0</v>
      </c>
      <c r="K112" s="4">
        <f>SUMPRODUCT(
  (TEXT('Weekly Dump'!$A$2:$A1009,"mmm-yy")=TEXT($AB112,"mmm-yy"))*
  ('Weekly Dump'!$B$2:$B1009=$C112)*
  'Weekly Dump'!$D$2:$D1009)</f>
        <v>0</v>
      </c>
      <c r="L112" s="4">
        <f>SUMPRODUCT(
  (TEXT('Weekly Dump'!$A$2:$A1009,"mmm-yy")=TEXT($AB112,"mmm-yy"))*
  ('Weekly Dump'!$B$2:$B1009=$C112)*
  'Weekly Dump'!$E$2:$E1009
)</f>
        <v>0</v>
      </c>
      <c r="M112" s="4">
        <f>SUMPRODUCT(
  (TEXT('Weekly Dump'!$A$2:$A1009,"mmm-yy")=TEXT($AB112,"mmm-yy"))*
  ('Weekly Dump'!$B$2:$B1009=$C112)*
  'Weekly Dump'!$P$2:$P1009
)</f>
        <v>0</v>
      </c>
      <c r="N112" s="39"/>
      <c r="O112" s="40">
        <f>SUMIFS('Weekly Dump'!$D:$D,'Weekly Dump'!$B:$B,$C112,'Weekly Dump'!$A:$A,$AB112)</f>
        <v>0</v>
      </c>
      <c r="P112" s="40">
        <f>SUMIFS('Weekly Dump'!R:R,'Weekly Dump'!B:B,C112,'Weekly Dump'!A:A,AB112)</f>
        <v>0</v>
      </c>
      <c r="Q112" s="40">
        <f t="shared" si="13"/>
        <v>0</v>
      </c>
      <c r="R112" s="41"/>
      <c r="T112" s="4">
        <f>SUMIFS('Weekly Dump'!E:E,'Weekly Dump'!B:B,C112,'Weekly Dump'!A:A,AB112)</f>
        <v>0</v>
      </c>
      <c r="U112" s="3">
        <f t="shared" si="14"/>
        <v>0</v>
      </c>
      <c r="V112" s="42"/>
      <c r="X112" s="4">
        <f>SUMIFS('Weekly Dump'!P:P,'Weekly Dump'!B:B,C112,'Weekly Dump'!A:A,AB112)</f>
        <v>0</v>
      </c>
      <c r="Y112" s="4">
        <f t="shared" si="15"/>
        <v>0</v>
      </c>
      <c r="Z112" s="41"/>
      <c r="AA112" s="12" t="str">
        <f>iferror(IF(VLOOKUP(C112,'Weekly Dump'!B:B,1,0)=C112,"Yes","Missing"),"")</f>
        <v/>
      </c>
      <c r="AB112" s="60">
        <v>46160.0</v>
      </c>
    </row>
    <row r="113">
      <c r="A113" s="38" t="s">
        <v>127</v>
      </c>
      <c r="B113" s="2"/>
      <c r="C113" s="2" t="str">
        <f t="shared" si="16"/>
        <v/>
      </c>
      <c r="D113" s="3" t="s">
        <v>113</v>
      </c>
      <c r="E113" s="38" t="s">
        <v>88</v>
      </c>
      <c r="F113" s="3"/>
      <c r="G113" s="3"/>
      <c r="I113" s="4">
        <f>SUMIFS('Weekly Dump'!D:D,'Weekly Dump'!B:B,C113)</f>
        <v>0</v>
      </c>
      <c r="J113" s="5">
        <f>SUMIFS('Weekly Dump'!AE:AE,'Weekly Dump'!B:B,C113)</f>
        <v>0</v>
      </c>
      <c r="K113" s="4">
        <f>SUMPRODUCT(
  (TEXT('Weekly Dump'!$A$2:$A1009,"mmm-yy")=TEXT($AB113,"mmm-yy"))*
  ('Weekly Dump'!$B$2:$B1009=$C113)*
  'Weekly Dump'!$D$2:$D1009)</f>
        <v>0</v>
      </c>
      <c r="L113" s="4">
        <f>SUMPRODUCT(
  (TEXT('Weekly Dump'!$A$2:$A1009,"mmm-yy")=TEXT($AB113,"mmm-yy"))*
  ('Weekly Dump'!$B$2:$B1009=$C113)*
  'Weekly Dump'!$E$2:$E1009
)</f>
        <v>0</v>
      </c>
      <c r="M113" s="4">
        <f>SUMPRODUCT(
  (TEXT('Weekly Dump'!$A$2:$A1009,"mmm-yy")=TEXT($AB113,"mmm-yy"))*
  ('Weekly Dump'!$B$2:$B1009=$C113)*
  'Weekly Dump'!$P$2:$P1009
)</f>
        <v>0</v>
      </c>
      <c r="N113" s="39"/>
      <c r="O113" s="40">
        <f>SUMIFS('Weekly Dump'!$D:$D,'Weekly Dump'!$B:$B,$C113,'Weekly Dump'!$A:$A,$AB113)</f>
        <v>0</v>
      </c>
      <c r="P113" s="40">
        <f>SUMIFS('Weekly Dump'!R:R,'Weekly Dump'!B:B,C113,'Weekly Dump'!A:A,AB113)</f>
        <v>0</v>
      </c>
      <c r="Q113" s="40">
        <f t="shared" si="13"/>
        <v>0</v>
      </c>
      <c r="R113" s="41"/>
      <c r="T113" s="4">
        <f>SUMIFS('Weekly Dump'!E:E,'Weekly Dump'!B:B,C113,'Weekly Dump'!A:A,AB113)</f>
        <v>0</v>
      </c>
      <c r="U113" s="3">
        <f t="shared" si="14"/>
        <v>0</v>
      </c>
      <c r="V113" s="42"/>
      <c r="X113" s="4">
        <f>SUMIFS('Weekly Dump'!P:P,'Weekly Dump'!B:B,C113,'Weekly Dump'!A:A,AB113)</f>
        <v>0</v>
      </c>
      <c r="Y113" s="4">
        <f t="shared" si="15"/>
        <v>0</v>
      </c>
      <c r="Z113" s="41"/>
      <c r="AA113" s="12" t="str">
        <f>iferror(IF(VLOOKUP(C113,'Weekly Dump'!B:B,1,0)=C113,"Yes","Missing"),"")</f>
        <v/>
      </c>
      <c r="AB113" s="60">
        <v>46160.0</v>
      </c>
    </row>
    <row r="114">
      <c r="A114" s="38" t="s">
        <v>127</v>
      </c>
      <c r="B114" s="2"/>
      <c r="C114" s="2" t="str">
        <f t="shared" si="16"/>
        <v/>
      </c>
      <c r="D114" s="3" t="s">
        <v>114</v>
      </c>
      <c r="E114" s="38" t="s">
        <v>88</v>
      </c>
      <c r="F114" s="3" t="str">
        <f t="shared" ref="F114:F115" si="17">IFERROR(VLOOKUP($D114,Sheet3!$N:$Q,3,0),"")</f>
        <v/>
      </c>
      <c r="G114" s="3" t="str">
        <f t="shared" ref="G114:G115" si="18">IFERROR(VLOOKUP($D114,Sheet3!$N:$Q,4,0),"")</f>
        <v/>
      </c>
      <c r="I114" s="4">
        <f>SUMIFS('Weekly Dump'!D:D,'Weekly Dump'!B:B,C114)</f>
        <v>0</v>
      </c>
      <c r="J114" s="5">
        <f>SUMIFS('Weekly Dump'!AE:AE,'Weekly Dump'!B:B,C114)</f>
        <v>0</v>
      </c>
      <c r="K114" s="4">
        <f>SUMPRODUCT(
  (TEXT('Weekly Dump'!$A$2:$A1009,"mmm-yy")=TEXT($AB114,"mmm-yy"))*
  ('Weekly Dump'!$B$2:$B1009=$C114)*
  'Weekly Dump'!$D$2:$D1009)</f>
        <v>0</v>
      </c>
      <c r="L114" s="4">
        <f>SUMPRODUCT(
  (TEXT('Weekly Dump'!$A$2:$A1009,"mmm-yy")=TEXT($AB114,"mmm-yy"))*
  ('Weekly Dump'!$B$2:$B1009=$C114)*
  'Weekly Dump'!$E$2:$E1009
)</f>
        <v>0</v>
      </c>
      <c r="M114" s="4">
        <f>SUMPRODUCT(
  (TEXT('Weekly Dump'!$A$2:$A1009,"mmm-yy")=TEXT($AB114,"mmm-yy"))*
  ('Weekly Dump'!$B$2:$B1009=$C114)*
  'Weekly Dump'!$P$2:$P1009
)</f>
        <v>0</v>
      </c>
      <c r="N114" s="39"/>
      <c r="O114" s="40">
        <f>SUMIFS('Weekly Dump'!$D:$D,'Weekly Dump'!$B:$B,$C114,'Weekly Dump'!$A:$A,$AB114)</f>
        <v>0</v>
      </c>
      <c r="P114" s="40">
        <f>SUMIFS('Weekly Dump'!R:R,'Weekly Dump'!B:B,C114,'Weekly Dump'!A:A,AB114)</f>
        <v>0</v>
      </c>
      <c r="Q114" s="40">
        <f t="shared" si="13"/>
        <v>0</v>
      </c>
      <c r="R114" s="41"/>
      <c r="T114" s="4">
        <f>SUMIFS('Weekly Dump'!E:E,'Weekly Dump'!B:B,C114,'Weekly Dump'!A:A,AB114)</f>
        <v>0</v>
      </c>
      <c r="U114" s="3">
        <f t="shared" si="14"/>
        <v>0</v>
      </c>
      <c r="V114" s="42"/>
      <c r="X114" s="4">
        <f>SUMIFS('Weekly Dump'!P:P,'Weekly Dump'!B:B,C114,'Weekly Dump'!A:A,AB114)</f>
        <v>0</v>
      </c>
      <c r="Y114" s="4">
        <f t="shared" si="15"/>
        <v>0</v>
      </c>
      <c r="Z114" s="41"/>
      <c r="AA114" s="12" t="str">
        <f>iferror(IF(VLOOKUP(C114,'Weekly Dump'!B:B,1,0)=C114,"Yes","Missing"),"")</f>
        <v/>
      </c>
      <c r="AB114" s="60">
        <v>46160.0</v>
      </c>
    </row>
    <row r="115">
      <c r="A115" s="38" t="s">
        <v>127</v>
      </c>
      <c r="B115" s="2"/>
      <c r="C115" s="2" t="str">
        <f t="shared" si="16"/>
        <v/>
      </c>
      <c r="D115" s="3" t="s">
        <v>115</v>
      </c>
      <c r="E115" s="38" t="s">
        <v>88</v>
      </c>
      <c r="F115" s="3" t="str">
        <f t="shared" si="17"/>
        <v/>
      </c>
      <c r="G115" s="3" t="str">
        <f t="shared" si="18"/>
        <v/>
      </c>
      <c r="I115" s="4">
        <f>SUMIFS('Weekly Dump'!D:D,'Weekly Dump'!B:B,C115)</f>
        <v>0</v>
      </c>
      <c r="J115" s="5">
        <f>SUMIFS('Weekly Dump'!AE:AE,'Weekly Dump'!B:B,C115)</f>
        <v>0</v>
      </c>
      <c r="K115" s="4">
        <f>SUMPRODUCT(
  (TEXT('Weekly Dump'!$A$2:$A1009,"mmm-yy")=TEXT($AB115,"mmm-yy"))*
  ('Weekly Dump'!$B$2:$B1009=$C115)*
  'Weekly Dump'!$D$2:$D1009)</f>
        <v>0</v>
      </c>
      <c r="L115" s="4">
        <f>SUMPRODUCT(
  (TEXT('Weekly Dump'!$A$2:$A1009,"mmm-yy")=TEXT($AB115,"mmm-yy"))*
  ('Weekly Dump'!$B$2:$B1009=$C115)*
  'Weekly Dump'!$E$2:$E1009
)</f>
        <v>0</v>
      </c>
      <c r="M115" s="4">
        <f>SUMPRODUCT(
  (TEXT('Weekly Dump'!$A$2:$A1009,"mmm-yy")=TEXT($AB115,"mmm-yy"))*
  ('Weekly Dump'!$B$2:$B1009=$C115)*
  'Weekly Dump'!$P$2:$P1009
)</f>
        <v>0</v>
      </c>
      <c r="N115" s="39"/>
      <c r="O115" s="40">
        <f>SUMIFS('Weekly Dump'!$D:$D,'Weekly Dump'!$B:$B,$C115,'Weekly Dump'!$A:$A,$AB115)</f>
        <v>0</v>
      </c>
      <c r="P115" s="40">
        <f>SUMIFS('Weekly Dump'!R:R,'Weekly Dump'!B:B,C115,'Weekly Dump'!A:A,AB115)</f>
        <v>0</v>
      </c>
      <c r="Q115" s="40">
        <f t="shared" si="13"/>
        <v>0</v>
      </c>
      <c r="R115" s="41"/>
      <c r="T115" s="4">
        <f>SUMIFS('Weekly Dump'!E:E,'Weekly Dump'!B:B,C115,'Weekly Dump'!A:A,AB115)</f>
        <v>0</v>
      </c>
      <c r="U115" s="3">
        <f t="shared" si="14"/>
        <v>0</v>
      </c>
      <c r="V115" s="42"/>
      <c r="X115" s="4">
        <f>SUMIFS('Weekly Dump'!P:P,'Weekly Dump'!B:B,C115,'Weekly Dump'!A:A,AB115)</f>
        <v>0</v>
      </c>
      <c r="Y115" s="4">
        <f t="shared" si="15"/>
        <v>0</v>
      </c>
      <c r="Z115" s="41"/>
      <c r="AA115" s="12" t="str">
        <f>iferror(IF(VLOOKUP(C115,'Weekly Dump'!B:B,1,0)=C115,"Yes","Missing"),"")</f>
        <v/>
      </c>
      <c r="AB115" s="60">
        <v>46160.0</v>
      </c>
    </row>
    <row r="116">
      <c r="A116" s="38" t="s">
        <v>127</v>
      </c>
      <c r="B116" s="2"/>
      <c r="C116" s="46" t="s">
        <v>116</v>
      </c>
      <c r="D116" s="38" t="s">
        <v>117</v>
      </c>
      <c r="E116" s="3" t="s">
        <v>28</v>
      </c>
      <c r="F116" s="3"/>
      <c r="G116" s="3"/>
      <c r="I116" s="4">
        <f>SUMIFS('Weekly Dump'!D:D,'Weekly Dump'!B:B,C116)</f>
        <v>31</v>
      </c>
      <c r="J116" s="5">
        <f>SUMIFS('Weekly Dump'!AE:AE,'Weekly Dump'!B:B,C116)</f>
        <v>0</v>
      </c>
      <c r="K116" s="4">
        <f>SUMPRODUCT(
  (TEXT('Weekly Dump'!$A$2:$A1009,"mmm-yy")=TEXT($AB116,"mmm-yy"))*
  ('Weekly Dump'!$B$2:$B1009=$C116)*
  'Weekly Dump'!$D$2:$D1009)</f>
        <v>31</v>
      </c>
      <c r="L116" s="4">
        <f>SUMPRODUCT(
  (TEXT('Weekly Dump'!$A$2:$A1009,"mmm-yy")=TEXT($AB116,"mmm-yy"))*
  ('Weekly Dump'!$B$2:$B1009=$C116)*
  'Weekly Dump'!$E$2:$E1009
)</f>
        <v>0</v>
      </c>
      <c r="M116" s="4">
        <f>SUMPRODUCT(
  (TEXT('Weekly Dump'!$A$2:$A1009,"mmm-yy")=TEXT($AB116,"mmm-yy"))*
  ('Weekly Dump'!$B$2:$B1009=$C116)*
  'Weekly Dump'!$P$2:$P1009
)</f>
        <v>0</v>
      </c>
      <c r="N116" s="39">
        <v>25.0</v>
      </c>
      <c r="O116" s="40">
        <f>SUMIFS('Weekly Dump'!$D:$D,'Weekly Dump'!$B:$B,$C116,'Weekly Dump'!$A:$A,$AB116)</f>
        <v>20</v>
      </c>
      <c r="P116" s="40">
        <f>SUMIFS('Weekly Dump'!R:R,'Weekly Dump'!B:B,C116,'Weekly Dump'!A:A,AB116)</f>
        <v>43818</v>
      </c>
      <c r="Q116" s="40">
        <f t="shared" si="13"/>
        <v>-5</v>
      </c>
      <c r="R116" s="41"/>
      <c r="S116" s="3" t="str">
        <f>IFERROR(VLOOKUP(C116,Sheet9!$C$10:$E$25,3,0),"")</f>
        <v/>
      </c>
      <c r="T116" s="4">
        <f>SUMIFS('Weekly Dump'!E:E,'Weekly Dump'!B:B,C116,'Weekly Dump'!A:A,AB116)</f>
        <v>0</v>
      </c>
      <c r="U116" s="3">
        <f t="shared" si="14"/>
        <v>0</v>
      </c>
      <c r="V116" s="42"/>
      <c r="W116" s="4"/>
      <c r="X116" s="4">
        <f>SUMIFS('Weekly Dump'!P:P,'Weekly Dump'!B:B,C116,'Weekly Dump'!A:A,AB116)</f>
        <v>0</v>
      </c>
      <c r="Y116" s="4">
        <f t="shared" ref="Y116:Y120" si="19">X116-W116</f>
        <v>0</v>
      </c>
      <c r="Z116" s="41"/>
      <c r="AA116" s="12" t="str">
        <f>iferror(IF(VLOOKUP(C116,'Weekly Dump'!B:B,1,0)=C116,"Yes","Missing"),"")</f>
        <v>Yes</v>
      </c>
      <c r="AB116" s="60">
        <v>46160.0</v>
      </c>
    </row>
    <row r="117">
      <c r="A117" s="38" t="s">
        <v>127</v>
      </c>
      <c r="B117" s="2"/>
      <c r="C117" s="46" t="s">
        <v>118</v>
      </c>
      <c r="D117" s="38" t="s">
        <v>119</v>
      </c>
      <c r="E117" s="3" t="s">
        <v>28</v>
      </c>
      <c r="F117" s="3"/>
      <c r="G117" s="3"/>
      <c r="I117" s="4">
        <f>SUMIFS('Weekly Dump'!D:D,'Weekly Dump'!B:B,C117)</f>
        <v>25</v>
      </c>
      <c r="J117" s="5">
        <f>SUMIFS('Weekly Dump'!AE:AE,'Weekly Dump'!B:B,C117)</f>
        <v>0</v>
      </c>
      <c r="K117" s="4">
        <f>SUMPRODUCT(
  (TEXT('Weekly Dump'!$A$2:$A1009,"mmm-yy")=TEXT($AB117,"mmm-yy"))*
  ('Weekly Dump'!$B$2:$B1009=$C117)*
  'Weekly Dump'!$D$2:$D1009)</f>
        <v>25</v>
      </c>
      <c r="L117" s="4">
        <f>SUMPRODUCT(
  (TEXT('Weekly Dump'!$A$2:$A1009,"mmm-yy")=TEXT($AB117,"mmm-yy"))*
  ('Weekly Dump'!$B$2:$B1009=$C117)*
  'Weekly Dump'!$E$2:$E1009
)</f>
        <v>0</v>
      </c>
      <c r="M117" s="4">
        <f>SUMPRODUCT(
  (TEXT('Weekly Dump'!$A$2:$A1009,"mmm-yy")=TEXT($AB117,"mmm-yy"))*
  ('Weekly Dump'!$B$2:$B1009=$C117)*
  'Weekly Dump'!$P$2:$P1009
)</f>
        <v>0</v>
      </c>
      <c r="N117" s="39">
        <v>25.0</v>
      </c>
      <c r="O117" s="40">
        <f>SUMIFS('Weekly Dump'!$D:$D,'Weekly Dump'!$B:$B,$C117,'Weekly Dump'!$A:$A,$AB117)</f>
        <v>20</v>
      </c>
      <c r="P117" s="40">
        <f>SUMIFS('Weekly Dump'!R:R,'Weekly Dump'!B:B,C117,'Weekly Dump'!A:A,AB117)</f>
        <v>47294</v>
      </c>
      <c r="Q117" s="40">
        <f t="shared" si="13"/>
        <v>-5</v>
      </c>
      <c r="R117" s="41"/>
      <c r="S117" s="3" t="str">
        <f>IFERROR(VLOOKUP(C117,Sheet9!$C$10:$E$25,3,0),"")</f>
        <v/>
      </c>
      <c r="T117" s="4">
        <f>SUMIFS('Weekly Dump'!E:E,'Weekly Dump'!B:B,C117,'Weekly Dump'!A:A,AB117)</f>
        <v>0</v>
      </c>
      <c r="U117" s="3">
        <f t="shared" si="14"/>
        <v>0</v>
      </c>
      <c r="V117" s="42"/>
      <c r="W117" s="4"/>
      <c r="X117" s="4">
        <f>SUMIFS('Weekly Dump'!P:P,'Weekly Dump'!B:B,C117,'Weekly Dump'!A:A,AB117)</f>
        <v>0</v>
      </c>
      <c r="Y117" s="4">
        <f t="shared" si="19"/>
        <v>0</v>
      </c>
      <c r="Z117" s="41"/>
      <c r="AA117" s="12" t="str">
        <f>iferror(IF(VLOOKUP(C117,'Weekly Dump'!B:B,1,0)=C117,"Yes","Missing"),"")</f>
        <v>Yes</v>
      </c>
      <c r="AB117" s="60">
        <v>46160.0</v>
      </c>
    </row>
    <row r="118">
      <c r="A118" s="38" t="s">
        <v>127</v>
      </c>
      <c r="B118" s="2"/>
      <c r="C118" s="46" t="s">
        <v>120</v>
      </c>
      <c r="D118" s="38" t="s">
        <v>121</v>
      </c>
      <c r="E118" s="3" t="s">
        <v>28</v>
      </c>
      <c r="F118" s="3"/>
      <c r="G118" s="3"/>
      <c r="I118" s="4">
        <f>SUMIFS('Weekly Dump'!D:D,'Weekly Dump'!B:B,C118)</f>
        <v>5</v>
      </c>
      <c r="J118" s="5">
        <f>SUMIFS('Weekly Dump'!AE:AE,'Weekly Dump'!B:B,C118)</f>
        <v>0</v>
      </c>
      <c r="K118" s="4">
        <f>SUMPRODUCT(
  (TEXT('Weekly Dump'!$A$2:$A1009,"mmm-yy")=TEXT($AB118,"mmm-yy"))*
  ('Weekly Dump'!$B$2:$B1009=$C118)*
  'Weekly Dump'!$D$2:$D1009)</f>
        <v>5</v>
      </c>
      <c r="L118" s="4">
        <f>SUMPRODUCT(
  (TEXT('Weekly Dump'!$A$2:$A1009,"mmm-yy")=TEXT($AB118,"mmm-yy"))*
  ('Weekly Dump'!$B$2:$B1009=$C118)*
  'Weekly Dump'!$E$2:$E1009
)</f>
        <v>0</v>
      </c>
      <c r="M118" s="4">
        <f>SUMPRODUCT(
  (TEXT('Weekly Dump'!$A$2:$A1009,"mmm-yy")=TEXT($AB118,"mmm-yy"))*
  ('Weekly Dump'!$B$2:$B1009=$C118)*
  'Weekly Dump'!$P$2:$P1009
)</f>
        <v>0</v>
      </c>
      <c r="N118" s="39">
        <v>25.0</v>
      </c>
      <c r="O118" s="40">
        <f>SUMIFS('Weekly Dump'!$D:$D,'Weekly Dump'!$B:$B,$C118,'Weekly Dump'!$A:$A,$AB118)</f>
        <v>0</v>
      </c>
      <c r="P118" s="40">
        <f>SUMIFS('Weekly Dump'!R:R,'Weekly Dump'!B:B,C118,'Weekly Dump'!A:A,AB118)</f>
        <v>0</v>
      </c>
      <c r="Q118" s="40">
        <f t="shared" si="13"/>
        <v>-25</v>
      </c>
      <c r="R118" s="41"/>
      <c r="S118" s="3" t="str">
        <f>IFERROR(VLOOKUP(C118,Sheet9!$C$10:$E$25,3,0),"")</f>
        <v/>
      </c>
      <c r="T118" s="4">
        <f>SUMIFS('Weekly Dump'!E:E,'Weekly Dump'!B:B,C118,'Weekly Dump'!A:A,AB118)</f>
        <v>0</v>
      </c>
      <c r="U118" s="3">
        <f t="shared" si="14"/>
        <v>0</v>
      </c>
      <c r="V118" s="42"/>
      <c r="W118" s="4"/>
      <c r="X118" s="4">
        <f>SUMIFS('Weekly Dump'!P:P,'Weekly Dump'!B:B,C118,'Weekly Dump'!A:A,AB118)</f>
        <v>0</v>
      </c>
      <c r="Y118" s="4">
        <f t="shared" si="19"/>
        <v>0</v>
      </c>
      <c r="Z118" s="41"/>
      <c r="AA118" s="12" t="str">
        <f>iferror(IF(VLOOKUP(C118,'Weekly Dump'!B:B,1,0)=C118,"Yes","Missing"),"")</f>
        <v>Yes</v>
      </c>
      <c r="AB118" s="60">
        <v>46160.0</v>
      </c>
    </row>
    <row r="119">
      <c r="A119" s="38" t="s">
        <v>127</v>
      </c>
      <c r="B119" s="2"/>
      <c r="C119" s="46" t="s">
        <v>122</v>
      </c>
      <c r="D119" s="38" t="s">
        <v>123</v>
      </c>
      <c r="E119" s="3" t="s">
        <v>28</v>
      </c>
      <c r="F119" s="3"/>
      <c r="G119" s="3"/>
      <c r="I119" s="4">
        <f>SUMIFS('Weekly Dump'!D:D,'Weekly Dump'!B:B,C119)</f>
        <v>24</v>
      </c>
      <c r="J119" s="5">
        <f>SUMIFS('Weekly Dump'!AE:AE,'Weekly Dump'!B:B,C119)</f>
        <v>0</v>
      </c>
      <c r="K119" s="4">
        <f>SUMPRODUCT(
  (TEXT('Weekly Dump'!$A$2:$A1009,"mmm-yy")=TEXT($AB119,"mmm-yy"))*
  ('Weekly Dump'!$B$2:$B1009=$C119)*
  'Weekly Dump'!$D$2:$D1009)</f>
        <v>24</v>
      </c>
      <c r="L119" s="4">
        <f>SUMPRODUCT(
  (TEXT('Weekly Dump'!$A$2:$A1009,"mmm-yy")=TEXT($AB119,"mmm-yy"))*
  ('Weekly Dump'!$B$2:$B1009=$C119)*
  'Weekly Dump'!$E$2:$E1009
)</f>
        <v>0</v>
      </c>
      <c r="M119" s="4">
        <f>SUMPRODUCT(
  (TEXT('Weekly Dump'!$A$2:$A1009,"mmm-yy")=TEXT($AB119,"mmm-yy"))*
  ('Weekly Dump'!$B$2:$B1009=$C119)*
  'Weekly Dump'!$P$2:$P1009
)</f>
        <v>0</v>
      </c>
      <c r="N119" s="39">
        <v>25.0</v>
      </c>
      <c r="O119" s="40">
        <f>SUMIFS('Weekly Dump'!$D:$D,'Weekly Dump'!$B:$B,$C119,'Weekly Dump'!$A:$A,$AB119)</f>
        <v>19</v>
      </c>
      <c r="P119" s="40">
        <f>SUMIFS('Weekly Dump'!R:R,'Weekly Dump'!B:B,C119,'Weekly Dump'!A:A,AB119)</f>
        <v>47051</v>
      </c>
      <c r="Q119" s="40">
        <f t="shared" si="13"/>
        <v>-6</v>
      </c>
      <c r="R119" s="41"/>
      <c r="S119" s="3" t="str">
        <f>IFERROR(VLOOKUP(C119,Sheet9!$C$10:$E$25,3,0),"")</f>
        <v/>
      </c>
      <c r="T119" s="4">
        <f>SUMIFS('Weekly Dump'!E:E,'Weekly Dump'!B:B,C119,'Weekly Dump'!A:A,AB119)</f>
        <v>0</v>
      </c>
      <c r="U119" s="3">
        <f t="shared" si="14"/>
        <v>0</v>
      </c>
      <c r="V119" s="42"/>
      <c r="W119" s="4"/>
      <c r="X119" s="4">
        <f>SUMIFS('Weekly Dump'!P:P,'Weekly Dump'!B:B,C119,'Weekly Dump'!A:A,AB119)</f>
        <v>0</v>
      </c>
      <c r="Y119" s="4">
        <f t="shared" si="19"/>
        <v>0</v>
      </c>
      <c r="Z119" s="41"/>
      <c r="AA119" s="12" t="str">
        <f>iferror(IF(VLOOKUP(C119,'Weekly Dump'!B:B,1,0)=C119,"Yes","Missing"),"")</f>
        <v>Yes</v>
      </c>
      <c r="AB119" s="60">
        <v>46160.0</v>
      </c>
    </row>
    <row r="120">
      <c r="A120" s="38" t="s">
        <v>127</v>
      </c>
      <c r="B120" s="2"/>
      <c r="C120" s="46" t="s">
        <v>124</v>
      </c>
      <c r="D120" s="38" t="s">
        <v>125</v>
      </c>
      <c r="E120" s="3" t="s">
        <v>28</v>
      </c>
      <c r="F120" s="3"/>
      <c r="G120" s="3"/>
      <c r="I120" s="4">
        <f>SUMIFS('Weekly Dump'!D:D,'Weekly Dump'!B:B,C120)</f>
        <v>12</v>
      </c>
      <c r="J120" s="5">
        <f>SUMIFS('Weekly Dump'!AE:AE,'Weekly Dump'!B:B,C120)</f>
        <v>0</v>
      </c>
      <c r="K120" s="4">
        <f>SUMPRODUCT(
  (TEXT('Weekly Dump'!$A$2:$A1009,"mmm-yy")=TEXT($AB120,"mmm-yy"))*
  ('Weekly Dump'!$B$2:$B1009=$C120)*
  'Weekly Dump'!$D$2:$D1009)</f>
        <v>12</v>
      </c>
      <c r="L120" s="4">
        <f>SUMPRODUCT(
  (TEXT('Weekly Dump'!$A$2:$A1009,"mmm-yy")=TEXT($AB120,"mmm-yy"))*
  ('Weekly Dump'!$B$2:$B1009=$C120)*
  'Weekly Dump'!$E$2:$E1009
)</f>
        <v>0</v>
      </c>
      <c r="M120" s="4">
        <f>SUMPRODUCT(
  (TEXT('Weekly Dump'!$A$2:$A1009,"mmm-yy")=TEXT($AB120,"mmm-yy"))*
  ('Weekly Dump'!$B$2:$B1009=$C120)*
  'Weekly Dump'!$P$2:$P1009
)</f>
        <v>0</v>
      </c>
      <c r="N120" s="39">
        <v>25.0</v>
      </c>
      <c r="O120" s="40">
        <f>SUMIFS('Weekly Dump'!$D:$D,'Weekly Dump'!$B:$B,$C120,'Weekly Dump'!$A:$A,$AB120)</f>
        <v>7</v>
      </c>
      <c r="P120" s="40">
        <f>SUMIFS('Weekly Dump'!R:R,'Weekly Dump'!B:B,C120,'Weekly Dump'!A:A,AB120)</f>
        <v>17026</v>
      </c>
      <c r="Q120" s="40">
        <f t="shared" si="13"/>
        <v>-18</v>
      </c>
      <c r="R120" s="41"/>
      <c r="S120" s="3" t="str">
        <f>IFERROR(VLOOKUP(C120,Sheet9!$C$10:$E$25,3,0),"")</f>
        <v/>
      </c>
      <c r="T120" s="4">
        <f>SUMIFS('Weekly Dump'!E:E,'Weekly Dump'!B:B,C120,'Weekly Dump'!A:A,AB120)</f>
        <v>0</v>
      </c>
      <c r="U120" s="3">
        <f t="shared" si="14"/>
        <v>0</v>
      </c>
      <c r="V120" s="42"/>
      <c r="W120" s="4"/>
      <c r="X120" s="4">
        <f>SUMIFS('Weekly Dump'!P:P,'Weekly Dump'!B:B,C120,'Weekly Dump'!A:A,AB120)</f>
        <v>0</v>
      </c>
      <c r="Y120" s="4">
        <f t="shared" si="19"/>
        <v>0</v>
      </c>
      <c r="Z120" s="41"/>
      <c r="AA120" s="12" t="str">
        <f>iferror(IF(VLOOKUP(C120,'Weekly Dump'!B:B,1,0)=C120,"Yes","Missing"),"")</f>
        <v>Yes</v>
      </c>
      <c r="AB120" s="60">
        <v>46160.0</v>
      </c>
    </row>
    <row r="121">
      <c r="A121" s="47"/>
      <c r="B121" s="48"/>
      <c r="C121" s="48"/>
      <c r="D121" s="49"/>
      <c r="E121" s="49"/>
      <c r="F121" s="49"/>
      <c r="G121" s="49"/>
      <c r="H121" s="49"/>
      <c r="I121" s="50"/>
      <c r="J121" s="51"/>
      <c r="K121" s="50">
        <f>SUMPRODUCT(
  (TEXT('Weekly Dump'!$A$2:$A1009,"mmm-yy")=TEXT($AB121,"mmm-yy"))*
  ('Weekly Dump'!$B$2:$B1009=$C121)*
  'Weekly Dump'!$D$2:$D1009)</f>
        <v>0</v>
      </c>
      <c r="L121" s="50">
        <f>SUMPRODUCT(
  (TEXT('Weekly Dump'!$A$2:$A1009,"mmm-yy")=TEXT($AB121,"mmm-yy"))*
  ('Weekly Dump'!$B$2:$B1009=$C121)*
  'Weekly Dump'!$E$2:$E1009
)</f>
        <v>0</v>
      </c>
      <c r="M121" s="50">
        <f>SUMPRODUCT(
  (TEXT('Weekly Dump'!$A$2:$A1009,"mmm-yy")=TEXT($AB121,"mmm-yy"))*
  ('Weekly Dump'!$B$2:$B1009=$C121)*
  'Weekly Dump'!$P$2:$P1009
)</f>
        <v>0</v>
      </c>
      <c r="N121" s="52"/>
      <c r="O121" s="53"/>
      <c r="P121" s="53"/>
      <c r="Q121" s="50"/>
      <c r="R121" s="54"/>
      <c r="S121" s="55"/>
      <c r="T121" s="50"/>
      <c r="U121" s="49"/>
      <c r="V121" s="56"/>
      <c r="W121" s="55"/>
      <c r="X121" s="50"/>
      <c r="Y121" s="50"/>
      <c r="Z121" s="54"/>
      <c r="AA121" s="54" t="str">
        <f>iferror(IF(VLOOKUP(C121,'Weekly Dump'!B:B,1,0)=C121,"Yes","Missing"),"")</f>
        <v/>
      </c>
      <c r="AB121" s="59"/>
    </row>
    <row r="122">
      <c r="A122" s="38" t="s">
        <v>128</v>
      </c>
      <c r="B122" s="3" t="s">
        <v>25</v>
      </c>
      <c r="C122" s="2" t="s">
        <v>26</v>
      </c>
      <c r="D122" s="3" t="s">
        <v>27</v>
      </c>
      <c r="E122" s="3" t="s">
        <v>28</v>
      </c>
      <c r="F122" s="3" t="s">
        <v>29</v>
      </c>
      <c r="G122" s="3" t="s">
        <v>30</v>
      </c>
      <c r="H122" s="3"/>
      <c r="I122" s="4">
        <f>SUMIFS('Weekly Dump'!D:D,'Weekly Dump'!B:B,C122)</f>
        <v>1040</v>
      </c>
      <c r="J122" s="5">
        <f>SUMIFS('Weekly Dump'!AE:AE,'Weekly Dump'!B:B,C122)</f>
        <v>170.8347222</v>
      </c>
      <c r="K122" s="4">
        <f>SUMPRODUCT(
  (TEXT('Weekly Dump'!$A$2:$A1009,"mmm-yy")=TEXT($AB122,"mmm-yy"))*
  ('Weekly Dump'!$B$2:$B1009=$C122)*
  'Weekly Dump'!$D$2:$D1009)</f>
        <v>40</v>
      </c>
      <c r="L122" s="4">
        <f>SUMPRODUCT(
  (TEXT('Weekly Dump'!$A$2:$A1009,"mmm-yy")=TEXT($AB122,"mmm-yy"))*
  ('Weekly Dump'!$B$2:$B1009=$C122)*
  'Weekly Dump'!$E$2:$E1009
)</f>
        <v>123</v>
      </c>
      <c r="M122" s="4">
        <f>SUMPRODUCT(
  (TEXT('Weekly Dump'!$A$2:$A1009,"mmm-yy")=TEXT($AB122,"mmm-yy"))*
  ('Weekly Dump'!$B$2:$B1009=$C122)*
  'Weekly Dump'!$P$2:$P1009
)</f>
        <v>93</v>
      </c>
      <c r="N122" s="39">
        <v>0.0</v>
      </c>
      <c r="O122" s="40">
        <f>SUMIFS('Weekly Dump'!$D:$D,'Weekly Dump'!$B:$B,$C122,'Weekly Dump'!$A:$A,$AB122)</f>
        <v>0</v>
      </c>
      <c r="P122" s="40">
        <f>SUMIFS('Weekly Dump'!R:R,'Weekly Dump'!B:B,C122,'Weekly Dump'!A:A,AB122)</f>
        <v>0</v>
      </c>
      <c r="Q122" s="40">
        <f t="shared" ref="Q122:Q1009" si="20">N122-O122</f>
        <v>0</v>
      </c>
      <c r="R122" s="41"/>
      <c r="T122" s="4">
        <f>SUMIFS('Weekly Dump'!E:E,'Weekly Dump'!B:B,C122,'Weekly Dump'!A:A,AB122)</f>
        <v>0</v>
      </c>
      <c r="U122" s="3">
        <f t="shared" ref="U122:U1009" si="21">S122-T122</f>
        <v>0</v>
      </c>
      <c r="V122" s="42"/>
      <c r="X122" s="4">
        <f>SUMIFS('Weekly Dump'!P:P,'Weekly Dump'!B:B,C122,'Weekly Dump'!A:A,AB122)</f>
        <v>0</v>
      </c>
      <c r="Y122" s="4">
        <f t="shared" ref="Y122:Y1009" si="22">W122-X122</f>
        <v>0</v>
      </c>
      <c r="Z122" s="41"/>
      <c r="AA122" s="12" t="str">
        <f>iferror(IF(VLOOKUP(C122,'Weekly Dump'!B:B,1,0)=C122,"Yes","Missing"),"")</f>
        <v>Yes</v>
      </c>
      <c r="AB122" s="60">
        <v>46167.0</v>
      </c>
    </row>
    <row r="123">
      <c r="A123" s="38" t="s">
        <v>128</v>
      </c>
      <c r="B123" s="3" t="s">
        <v>31</v>
      </c>
      <c r="C123" s="2" t="s">
        <v>32</v>
      </c>
      <c r="D123" s="3" t="s">
        <v>33</v>
      </c>
      <c r="E123" s="3" t="s">
        <v>28</v>
      </c>
      <c r="F123" s="3" t="s">
        <v>34</v>
      </c>
      <c r="G123" s="3" t="s">
        <v>35</v>
      </c>
      <c r="I123" s="4">
        <f>SUMIFS('Weekly Dump'!D:D,'Weekly Dump'!B:B,C123)</f>
        <v>854</v>
      </c>
      <c r="J123" s="5">
        <f>SUMIFS('Weekly Dump'!AE:AE,'Weekly Dump'!B:B,C123)</f>
        <v>189.9819444</v>
      </c>
      <c r="K123" s="4">
        <f>SUMPRODUCT(
  (TEXT('Weekly Dump'!$A$2:$A1009,"mmm-yy")=TEXT($AB123,"mmm-yy"))*
  ('Weekly Dump'!$B$2:$B1009=$C123)*
  'Weekly Dump'!$D$2:$D1009)</f>
        <v>52</v>
      </c>
      <c r="L123" s="4">
        <f>SUMPRODUCT(
  (TEXT('Weekly Dump'!$A$2:$A1009,"mmm-yy")=TEXT($AB123,"mmm-yy"))*
  ('Weekly Dump'!$B$2:$B1009=$C123)*
  'Weekly Dump'!$E$2:$E1009
)</f>
        <v>60</v>
      </c>
      <c r="M123" s="4">
        <f>SUMPRODUCT(
  (TEXT('Weekly Dump'!$A$2:$A1009,"mmm-yy")=TEXT($AB123,"mmm-yy"))*
  ('Weekly Dump'!$B$2:$B1009=$C123)*
  'Weekly Dump'!$P$2:$P1009
)</f>
        <v>65</v>
      </c>
      <c r="N123" s="39">
        <v>20.0</v>
      </c>
      <c r="O123" s="40">
        <f>SUMIFS('Weekly Dump'!$D:$D,'Weekly Dump'!$B:$B,$C123,'Weekly Dump'!$A:$A,$AB123)</f>
        <v>0</v>
      </c>
      <c r="P123" s="40">
        <f>SUMIFS('Weekly Dump'!R:R,'Weekly Dump'!B:B,C123,'Weekly Dump'!A:A,AB123)</f>
        <v>0</v>
      </c>
      <c r="Q123" s="40">
        <f t="shared" si="20"/>
        <v>20</v>
      </c>
      <c r="R123" s="41"/>
      <c r="T123" s="4">
        <f>SUMIFS('Weekly Dump'!E:E,'Weekly Dump'!B:B,C123,'Weekly Dump'!A:A,AB123)</f>
        <v>0</v>
      </c>
      <c r="U123" s="3">
        <f t="shared" si="21"/>
        <v>0</v>
      </c>
      <c r="V123" s="42"/>
      <c r="X123" s="4">
        <f>SUMIFS('Weekly Dump'!P:P,'Weekly Dump'!B:B,C123,'Weekly Dump'!A:A,AB123)</f>
        <v>0</v>
      </c>
      <c r="Y123" s="4">
        <f t="shared" si="22"/>
        <v>0</v>
      </c>
      <c r="Z123" s="41"/>
      <c r="AA123" s="12" t="str">
        <f>iferror(IF(VLOOKUP(C123,'Weekly Dump'!B:B,1,0)=C123,"Yes","Missing"),"")</f>
        <v>Yes</v>
      </c>
      <c r="AB123" s="60">
        <v>46167.0</v>
      </c>
    </row>
    <row r="124">
      <c r="A124" s="38" t="s">
        <v>128</v>
      </c>
      <c r="B124" s="3" t="s">
        <v>36</v>
      </c>
      <c r="C124" s="2" t="s">
        <v>37</v>
      </c>
      <c r="D124" s="3" t="s">
        <v>38</v>
      </c>
      <c r="E124" s="3" t="s">
        <v>28</v>
      </c>
      <c r="F124" s="3" t="s">
        <v>34</v>
      </c>
      <c r="G124" s="3" t="s">
        <v>39</v>
      </c>
      <c r="I124" s="4">
        <f>SUMIFS('Weekly Dump'!D:D,'Weekly Dump'!B:B,C124)</f>
        <v>268</v>
      </c>
      <c r="J124" s="5">
        <f>SUMIFS('Weekly Dump'!AE:AE,'Weekly Dump'!B:B,C124)</f>
        <v>61.42138889</v>
      </c>
      <c r="K124" s="4">
        <f>SUMPRODUCT(
  (TEXT('Weekly Dump'!$A$2:$A1009,"mmm-yy")=TEXT($AB124,"mmm-yy"))*
  ('Weekly Dump'!$B$2:$B1009=$C124)*
  'Weekly Dump'!$D$2:$D1009)</f>
        <v>57</v>
      </c>
      <c r="L124" s="4">
        <f>SUMPRODUCT(
  (TEXT('Weekly Dump'!$A$2:$A1009,"mmm-yy")=TEXT($AB124,"mmm-yy"))*
  ('Weekly Dump'!$B$2:$B1009=$C124)*
  'Weekly Dump'!$E$2:$E1009
)</f>
        <v>48</v>
      </c>
      <c r="M124" s="4">
        <f>SUMPRODUCT(
  (TEXT('Weekly Dump'!$A$2:$A1009,"mmm-yy")=TEXT($AB124,"mmm-yy"))*
  ('Weekly Dump'!$B$2:$B1009=$C124)*
  'Weekly Dump'!$P$2:$P1009
)</f>
        <v>45</v>
      </c>
      <c r="N124" s="39">
        <v>25.0</v>
      </c>
      <c r="O124" s="40">
        <f>SUMIFS('Weekly Dump'!$D:$D,'Weekly Dump'!$B:$B,$C124,'Weekly Dump'!$A:$A,$AB124)</f>
        <v>0</v>
      </c>
      <c r="P124" s="40">
        <f>SUMIFS('Weekly Dump'!R:R,'Weekly Dump'!B:B,C124,'Weekly Dump'!A:A,AB124)</f>
        <v>0</v>
      </c>
      <c r="Q124" s="40">
        <f t="shared" si="20"/>
        <v>25</v>
      </c>
      <c r="R124" s="41"/>
      <c r="T124" s="4">
        <f>SUMIFS('Weekly Dump'!E:E,'Weekly Dump'!B:B,C124,'Weekly Dump'!A:A,AB124)</f>
        <v>0</v>
      </c>
      <c r="U124" s="3">
        <f t="shared" si="21"/>
        <v>0</v>
      </c>
      <c r="V124" s="42"/>
      <c r="W124" s="62">
        <v>456.0</v>
      </c>
      <c r="X124" s="4">
        <f>SUMIFS('Weekly Dump'!P:P,'Weekly Dump'!B:B,C124,'Weekly Dump'!A:A,AB124)</f>
        <v>0</v>
      </c>
      <c r="Y124" s="4">
        <f t="shared" si="22"/>
        <v>456</v>
      </c>
      <c r="Z124" s="41"/>
      <c r="AA124" s="12" t="str">
        <f>iferror(IF(VLOOKUP(C124,'Weekly Dump'!B:B,1,0)=C124,"Yes","Missing"),"")</f>
        <v>Yes</v>
      </c>
      <c r="AB124" s="60">
        <v>46167.0</v>
      </c>
    </row>
    <row r="125">
      <c r="A125" s="38" t="s">
        <v>128</v>
      </c>
      <c r="B125" s="3" t="s">
        <v>40</v>
      </c>
      <c r="C125" s="2" t="s">
        <v>41</v>
      </c>
      <c r="D125" s="3" t="s">
        <v>42</v>
      </c>
      <c r="E125" s="38" t="s">
        <v>28</v>
      </c>
      <c r="F125" s="3" t="s">
        <v>43</v>
      </c>
      <c r="G125" s="3" t="s">
        <v>44</v>
      </c>
      <c r="I125" s="4">
        <f>SUMIFS('Weekly Dump'!D:D,'Weekly Dump'!B:B,C125)</f>
        <v>132</v>
      </c>
      <c r="J125" s="5">
        <f>SUMIFS('Weekly Dump'!AE:AE,'Weekly Dump'!B:B,C125)</f>
        <v>247.0944444</v>
      </c>
      <c r="K125" s="4">
        <f>SUMPRODUCT(
  (TEXT('Weekly Dump'!$A$2:$A1009,"mmm-yy")=TEXT($AB125,"mmm-yy"))*
  ('Weekly Dump'!$B$2:$B1009=$C125)*
  'Weekly Dump'!$D$2:$D1009)</f>
        <v>75</v>
      </c>
      <c r="L125" s="4">
        <f>SUMPRODUCT(
  (TEXT('Weekly Dump'!$A$2:$A1009,"mmm-yy")=TEXT($AB125,"mmm-yy"))*
  ('Weekly Dump'!$B$2:$B1009=$C125)*
  'Weekly Dump'!$E$2:$E1009
)</f>
        <v>74</v>
      </c>
      <c r="M125" s="4">
        <f>SUMPRODUCT(
  (TEXT('Weekly Dump'!$A$2:$A1009,"mmm-yy")=TEXT($AB125,"mmm-yy"))*
  ('Weekly Dump'!$B$2:$B1009=$C125)*
  'Weekly Dump'!$P$2:$P1009
)</f>
        <v>65</v>
      </c>
      <c r="N125" s="39">
        <v>30.0</v>
      </c>
      <c r="O125" s="40">
        <f>SUMIFS('Weekly Dump'!$D:$D,'Weekly Dump'!$B:$B,$C125,'Weekly Dump'!$A:$A,$AB125)</f>
        <v>0</v>
      </c>
      <c r="P125" s="40">
        <f>SUMIFS('Weekly Dump'!R:R,'Weekly Dump'!B:B,C125,'Weekly Dump'!A:A,AB125)</f>
        <v>0</v>
      </c>
      <c r="Q125" s="40">
        <f t="shared" si="20"/>
        <v>30</v>
      </c>
      <c r="R125" s="41"/>
      <c r="T125" s="4">
        <f>SUMIFS('Weekly Dump'!E:E,'Weekly Dump'!B:B,C125,'Weekly Dump'!A:A,AB125)</f>
        <v>0</v>
      </c>
      <c r="U125" s="3">
        <f t="shared" si="21"/>
        <v>0</v>
      </c>
      <c r="V125" s="42"/>
      <c r="X125" s="4">
        <f>SUMIFS('Weekly Dump'!P:P,'Weekly Dump'!B:B,C125,'Weekly Dump'!A:A,AB125)</f>
        <v>0</v>
      </c>
      <c r="Y125" s="4">
        <f t="shared" si="22"/>
        <v>0</v>
      </c>
      <c r="Z125" s="41"/>
      <c r="AA125" s="12" t="str">
        <f>iferror(IF(VLOOKUP(C125,'Weekly Dump'!B:B,1,0)=C125,"Yes","Missing"),"")</f>
        <v>Yes</v>
      </c>
      <c r="AB125" s="60">
        <v>46167.0</v>
      </c>
    </row>
    <row r="126">
      <c r="A126" s="38" t="s">
        <v>128</v>
      </c>
      <c r="B126" s="3" t="s">
        <v>45</v>
      </c>
      <c r="C126" s="2" t="s">
        <v>46</v>
      </c>
      <c r="D126" s="3" t="s">
        <v>47</v>
      </c>
      <c r="E126" s="3" t="s">
        <v>48</v>
      </c>
      <c r="F126" s="3" t="s">
        <v>29</v>
      </c>
      <c r="G126" s="3" t="s">
        <v>49</v>
      </c>
      <c r="I126" s="4">
        <f>SUMIFS('Weekly Dump'!D:D,'Weekly Dump'!B:B,C126)</f>
        <v>12</v>
      </c>
      <c r="J126" s="5">
        <f>SUMIFS('Weekly Dump'!AE:AE,'Weekly Dump'!B:B,C126)</f>
        <v>91.65555556</v>
      </c>
      <c r="K126" s="4">
        <f>SUMPRODUCT(
  (TEXT('Weekly Dump'!$A$2:$A1009,"mmm-yy")=TEXT($AB126,"mmm-yy"))*
  ('Weekly Dump'!$B$2:$B1009=$C126)*
  'Weekly Dump'!$D$2:$D1009)</f>
        <v>0</v>
      </c>
      <c r="L126" s="4">
        <f>SUMPRODUCT(
  (TEXT('Weekly Dump'!$A$2:$A1009,"mmm-yy")=TEXT($AB126,"mmm-yy"))*
  ('Weekly Dump'!$B$2:$B1009=$C126)*
  'Weekly Dump'!$E$2:$E1009
)</f>
        <v>0</v>
      </c>
      <c r="M126" s="4">
        <f>SUMPRODUCT(
  (TEXT('Weekly Dump'!$A$2:$A1009,"mmm-yy")=TEXT($AB126,"mmm-yy"))*
  ('Weekly Dump'!$B$2:$B1009=$C126)*
  'Weekly Dump'!$P$2:$P1009
)</f>
        <v>0</v>
      </c>
      <c r="N126" s="39"/>
      <c r="O126" s="40">
        <f>SUMIFS('Weekly Dump'!$D:$D,'Weekly Dump'!$B:$B,$C126,'Weekly Dump'!$A:$A,$AB126)</f>
        <v>0</v>
      </c>
      <c r="P126" s="40">
        <f>SUMIFS('Weekly Dump'!R:R,'Weekly Dump'!B:B,C126,'Weekly Dump'!A:A,AB126)</f>
        <v>0</v>
      </c>
      <c r="Q126" s="40">
        <f t="shared" si="20"/>
        <v>0</v>
      </c>
      <c r="R126" s="41"/>
      <c r="T126" s="4">
        <f>SUMIFS('Weekly Dump'!E:E,'Weekly Dump'!B:B,C126,'Weekly Dump'!A:A,AB126)</f>
        <v>0</v>
      </c>
      <c r="U126" s="3">
        <f t="shared" si="21"/>
        <v>0</v>
      </c>
      <c r="V126" s="42"/>
      <c r="W126" s="62">
        <v>456.0</v>
      </c>
      <c r="X126" s="4">
        <f>SUMIFS('Weekly Dump'!P:P,'Weekly Dump'!B:B,C126,'Weekly Dump'!A:A,AB126)</f>
        <v>0</v>
      </c>
      <c r="Y126" s="4">
        <f t="shared" si="22"/>
        <v>456</v>
      </c>
      <c r="Z126" s="41"/>
      <c r="AA126" s="12" t="str">
        <f>iferror(IF(VLOOKUP(C126,'Weekly Dump'!B:B,1,0)=C126,"Yes","Missing"),"")</f>
        <v>Yes</v>
      </c>
      <c r="AB126" s="60">
        <v>46167.0</v>
      </c>
    </row>
    <row r="127">
      <c r="A127" s="38" t="s">
        <v>128</v>
      </c>
      <c r="B127" s="2" t="s">
        <v>50</v>
      </c>
      <c r="C127" s="2"/>
      <c r="D127" s="3" t="s">
        <v>51</v>
      </c>
      <c r="E127" s="38" t="s">
        <v>48</v>
      </c>
      <c r="F127" s="3" t="s">
        <v>29</v>
      </c>
      <c r="G127" s="3" t="s">
        <v>52</v>
      </c>
      <c r="I127" s="4">
        <f>SUMIFS('Weekly Dump'!D:D,'Weekly Dump'!B:B,C127)</f>
        <v>0</v>
      </c>
      <c r="J127" s="5">
        <f>SUMIFS('Weekly Dump'!AE:AE,'Weekly Dump'!B:B,C127)</f>
        <v>0</v>
      </c>
      <c r="K127" s="4">
        <f>SUMPRODUCT(
  (TEXT('Weekly Dump'!$A$2:$A1009,"mmm-yy")=TEXT($AB127,"mmm-yy"))*
  ('Weekly Dump'!$B$2:$B1009=$C127)*
  'Weekly Dump'!$D$2:$D1009)</f>
        <v>0</v>
      </c>
      <c r="L127" s="4">
        <f>SUMPRODUCT(
  (TEXT('Weekly Dump'!$A$2:$A1009,"mmm-yy")=TEXT($AB127,"mmm-yy"))*
  ('Weekly Dump'!$B$2:$B1009=$C127)*
  'Weekly Dump'!$E$2:$E1009
)</f>
        <v>0</v>
      </c>
      <c r="M127" s="4">
        <f>SUMPRODUCT(
  (TEXT('Weekly Dump'!$A$2:$A1009,"mmm-yy")=TEXT($AB127,"mmm-yy"))*
  ('Weekly Dump'!$B$2:$B1009=$C127)*
  'Weekly Dump'!$P$2:$P1009
)</f>
        <v>0</v>
      </c>
      <c r="N127" s="39"/>
      <c r="O127" s="40">
        <f>SUMIFS('Weekly Dump'!$D:$D,'Weekly Dump'!$B:$B,$C127,'Weekly Dump'!$A:$A,$AB127)</f>
        <v>0</v>
      </c>
      <c r="P127" s="40">
        <f>SUMIFS('Weekly Dump'!R:R,'Weekly Dump'!B:B,C127,'Weekly Dump'!A:A,AB127)</f>
        <v>0</v>
      </c>
      <c r="Q127" s="40">
        <f t="shared" si="20"/>
        <v>0</v>
      </c>
      <c r="R127" s="41"/>
      <c r="T127" s="4">
        <f>SUMIFS('Weekly Dump'!E:E,'Weekly Dump'!B:B,C127,'Weekly Dump'!A:A,AB127)</f>
        <v>0</v>
      </c>
      <c r="U127" s="3">
        <f t="shared" si="21"/>
        <v>0</v>
      </c>
      <c r="V127" s="42"/>
      <c r="X127" s="4">
        <f>SUMIFS('Weekly Dump'!P:P,'Weekly Dump'!B:B,C127,'Weekly Dump'!A:A,AB127)</f>
        <v>0</v>
      </c>
      <c r="Y127" s="4">
        <f t="shared" si="22"/>
        <v>0</v>
      </c>
      <c r="Z127" s="41"/>
      <c r="AA127" s="12" t="str">
        <f>iferror(IF(VLOOKUP(C127,'Weekly Dump'!B:B,1,0)=C127,"Yes","Missing"),"")</f>
        <v/>
      </c>
      <c r="AB127" s="60">
        <v>46167.0</v>
      </c>
    </row>
    <row r="128">
      <c r="A128" s="38" t="s">
        <v>128</v>
      </c>
      <c r="B128" s="2" t="s">
        <v>53</v>
      </c>
      <c r="C128" s="2"/>
      <c r="D128" s="3" t="s">
        <v>54</v>
      </c>
      <c r="E128" s="38" t="s">
        <v>48</v>
      </c>
      <c r="F128" s="3" t="s">
        <v>34</v>
      </c>
      <c r="G128" s="3" t="s">
        <v>55</v>
      </c>
      <c r="I128" s="4">
        <f>SUMIFS('Weekly Dump'!D:D,'Weekly Dump'!B:B,C128)</f>
        <v>0</v>
      </c>
      <c r="J128" s="5">
        <f>SUMIFS('Weekly Dump'!AE:AE,'Weekly Dump'!B:B,C128)</f>
        <v>0</v>
      </c>
      <c r="K128" s="4">
        <f>SUMPRODUCT(
  (TEXT('Weekly Dump'!$A$2:$A1009,"mmm-yy")=TEXT($AB128,"mmm-yy"))*
  ('Weekly Dump'!$B$2:$B1009=$C128)*
  'Weekly Dump'!$D$2:$D1009)</f>
        <v>0</v>
      </c>
      <c r="L128" s="4">
        <f>SUMPRODUCT(
  (TEXT('Weekly Dump'!$A$2:$A1009,"mmm-yy")=TEXT($AB128,"mmm-yy"))*
  ('Weekly Dump'!$B$2:$B1009=$C128)*
  'Weekly Dump'!$E$2:$E1009
)</f>
        <v>0</v>
      </c>
      <c r="M128" s="4">
        <f>SUMPRODUCT(
  (TEXT('Weekly Dump'!$A$2:$A1009,"mmm-yy")=TEXT($AB128,"mmm-yy"))*
  ('Weekly Dump'!$B$2:$B1009=$C128)*
  'Weekly Dump'!$P$2:$P1009
)</f>
        <v>0</v>
      </c>
      <c r="N128" s="39"/>
      <c r="O128" s="40">
        <f>SUMIFS('Weekly Dump'!$D:$D,'Weekly Dump'!$B:$B,$C128,'Weekly Dump'!$A:$A,$AB128)</f>
        <v>0</v>
      </c>
      <c r="P128" s="40">
        <f>SUMIFS('Weekly Dump'!R:R,'Weekly Dump'!B:B,C128,'Weekly Dump'!A:A,AB128)</f>
        <v>0</v>
      </c>
      <c r="Q128" s="40">
        <f t="shared" si="20"/>
        <v>0</v>
      </c>
      <c r="R128" s="41"/>
      <c r="T128" s="4">
        <f>SUMIFS('Weekly Dump'!E:E,'Weekly Dump'!B:B,C128,'Weekly Dump'!A:A,AB128)</f>
        <v>0</v>
      </c>
      <c r="U128" s="3">
        <f t="shared" si="21"/>
        <v>0</v>
      </c>
      <c r="V128" s="42"/>
      <c r="X128" s="4">
        <f>SUMIFS('Weekly Dump'!P:P,'Weekly Dump'!B:B,C128,'Weekly Dump'!A:A,AB128)</f>
        <v>0</v>
      </c>
      <c r="Y128" s="4">
        <f t="shared" si="22"/>
        <v>0</v>
      </c>
      <c r="Z128" s="41"/>
      <c r="AA128" s="12" t="str">
        <f>iferror(IF(VLOOKUP(C128,'Weekly Dump'!B:B,1,0)=C128,"Yes","Missing"),"")</f>
        <v/>
      </c>
      <c r="AB128" s="60">
        <v>46167.0</v>
      </c>
    </row>
    <row r="129">
      <c r="A129" s="38" t="s">
        <v>128</v>
      </c>
      <c r="B129" s="3"/>
      <c r="C129" s="2" t="s">
        <v>56</v>
      </c>
      <c r="D129" s="3" t="s">
        <v>57</v>
      </c>
      <c r="E129" s="3" t="s">
        <v>28</v>
      </c>
      <c r="F129" s="3" t="s">
        <v>29</v>
      </c>
      <c r="G129" s="3" t="s">
        <v>58</v>
      </c>
      <c r="I129" s="4">
        <f>SUMIFS('Weekly Dump'!D:D,'Weekly Dump'!B:B,C129)</f>
        <v>339</v>
      </c>
      <c r="J129" s="5">
        <f>SUMIFS('Weekly Dump'!AE:AE,'Weekly Dump'!B:B,C129)</f>
        <v>56.65111111</v>
      </c>
      <c r="K129" s="4">
        <f>SUMPRODUCT(
  (TEXT('Weekly Dump'!$A$2:$A1009,"mmm-yy")=TEXT($AB129,"mmm-yy"))*
  ('Weekly Dump'!$B$2:$B1009=$C129)*
  'Weekly Dump'!$D$2:$D1009)</f>
        <v>145</v>
      </c>
      <c r="L129" s="4">
        <f>SUMPRODUCT(
  (TEXT('Weekly Dump'!$A$2:$A1009,"mmm-yy")=TEXT($AB129,"mmm-yy"))*
  ('Weekly Dump'!$B$2:$B1009=$C129)*
  'Weekly Dump'!$E$2:$E1009
)</f>
        <v>139</v>
      </c>
      <c r="M129" s="4">
        <f>SUMPRODUCT(
  (TEXT('Weekly Dump'!$A$2:$A1009,"mmm-yy")=TEXT($AB129,"mmm-yy"))*
  ('Weekly Dump'!$B$2:$B1009=$C129)*
  'Weekly Dump'!$P$2:$P1009
)</f>
        <v>97</v>
      </c>
      <c r="N129" s="39">
        <v>64.0</v>
      </c>
      <c r="O129" s="40">
        <f>SUMIFS('Weekly Dump'!$D:$D,'Weekly Dump'!$B:$B,$C129,'Weekly Dump'!$A:$A,$AB129)</f>
        <v>0</v>
      </c>
      <c r="P129" s="40">
        <f>SUMIFS('Weekly Dump'!R:R,'Weekly Dump'!B:B,C129,'Weekly Dump'!A:A,AB129)</f>
        <v>0</v>
      </c>
      <c r="Q129" s="40">
        <f t="shared" si="20"/>
        <v>64</v>
      </c>
      <c r="R129" s="41"/>
      <c r="T129" s="4">
        <f>SUMIFS('Weekly Dump'!E:E,'Weekly Dump'!B:B,C129,'Weekly Dump'!A:A,AB129)</f>
        <v>0</v>
      </c>
      <c r="U129" s="3">
        <f t="shared" si="21"/>
        <v>0</v>
      </c>
      <c r="V129" s="42"/>
      <c r="W129" s="62">
        <v>456.0</v>
      </c>
      <c r="X129" s="4">
        <f>SUMIFS('Weekly Dump'!P:P,'Weekly Dump'!B:B,C129,'Weekly Dump'!A:A,AB129)</f>
        <v>0</v>
      </c>
      <c r="Y129" s="4">
        <f t="shared" si="22"/>
        <v>456</v>
      </c>
      <c r="Z129" s="41"/>
      <c r="AA129" s="12" t="str">
        <f>iferror(IF(VLOOKUP(C129,'Weekly Dump'!B:B,1,0)=C129,"Yes","Missing"),"")</f>
        <v>Yes</v>
      </c>
      <c r="AB129" s="60">
        <v>46167.0</v>
      </c>
    </row>
    <row r="130">
      <c r="A130" s="38" t="s">
        <v>128</v>
      </c>
      <c r="B130" s="2" t="s">
        <v>59</v>
      </c>
      <c r="C130" s="2"/>
      <c r="D130" s="3" t="s">
        <v>60</v>
      </c>
      <c r="E130" s="38" t="s">
        <v>48</v>
      </c>
      <c r="F130" s="3" t="s">
        <v>29</v>
      </c>
      <c r="G130" s="3" t="s">
        <v>61</v>
      </c>
      <c r="I130" s="4">
        <f>SUMIFS('Weekly Dump'!D:D,'Weekly Dump'!B:B,C130)</f>
        <v>0</v>
      </c>
      <c r="J130" s="5">
        <f>SUMIFS('Weekly Dump'!AE:AE,'Weekly Dump'!B:B,C130)</f>
        <v>0</v>
      </c>
      <c r="K130" s="4">
        <f>SUMPRODUCT(
  (TEXT('Weekly Dump'!$A$2:$A1009,"mmm-yy")=TEXT($AB130,"mmm-yy"))*
  ('Weekly Dump'!$B$2:$B1009=$C130)*
  'Weekly Dump'!$D$2:$D1009)</f>
        <v>0</v>
      </c>
      <c r="L130" s="4">
        <f>SUMPRODUCT(
  (TEXT('Weekly Dump'!$A$2:$A1009,"mmm-yy")=TEXT($AB130,"mmm-yy"))*
  ('Weekly Dump'!$B$2:$B1009=$C130)*
  'Weekly Dump'!$E$2:$E1009
)</f>
        <v>0</v>
      </c>
      <c r="M130" s="4">
        <f>SUMPRODUCT(
  (TEXT('Weekly Dump'!$A$2:$A1009,"mmm-yy")=TEXT($AB130,"mmm-yy"))*
  ('Weekly Dump'!$B$2:$B1009=$C130)*
  'Weekly Dump'!$P$2:$P1009
)</f>
        <v>0</v>
      </c>
      <c r="N130" s="39"/>
      <c r="O130" s="40">
        <f>SUMIFS('Weekly Dump'!$D:$D,'Weekly Dump'!$B:$B,$C130,'Weekly Dump'!$A:$A,$AB130)</f>
        <v>0</v>
      </c>
      <c r="P130" s="40">
        <f>SUMIFS('Weekly Dump'!R:R,'Weekly Dump'!B:B,C130,'Weekly Dump'!A:A,AB130)</f>
        <v>0</v>
      </c>
      <c r="Q130" s="40">
        <f t="shared" si="20"/>
        <v>0</v>
      </c>
      <c r="R130" s="41"/>
      <c r="T130" s="4">
        <f>SUMIFS('Weekly Dump'!E:E,'Weekly Dump'!B:B,C130,'Weekly Dump'!A:A,AB130)</f>
        <v>0</v>
      </c>
      <c r="U130" s="3">
        <f t="shared" si="21"/>
        <v>0</v>
      </c>
      <c r="V130" s="42"/>
      <c r="X130" s="4">
        <f>SUMIFS('Weekly Dump'!P:P,'Weekly Dump'!B:B,C130,'Weekly Dump'!A:A,AB130)</f>
        <v>0</v>
      </c>
      <c r="Y130" s="4">
        <f t="shared" si="22"/>
        <v>0</v>
      </c>
      <c r="Z130" s="41"/>
      <c r="AA130" s="12" t="str">
        <f>iferror(IF(VLOOKUP(C130,'Weekly Dump'!B:B,1,0)=C130,"Yes","Missing"),"")</f>
        <v/>
      </c>
      <c r="AB130" s="60">
        <v>46167.0</v>
      </c>
    </row>
    <row r="131">
      <c r="A131" s="38" t="s">
        <v>128</v>
      </c>
      <c r="B131" s="3"/>
      <c r="C131" s="2" t="s">
        <v>62</v>
      </c>
      <c r="D131" s="3" t="s">
        <v>63</v>
      </c>
      <c r="E131" s="3" t="s">
        <v>28</v>
      </c>
      <c r="F131" s="3" t="s">
        <v>29</v>
      </c>
      <c r="G131" s="3" t="s">
        <v>61</v>
      </c>
      <c r="I131" s="4">
        <f>SUMIFS('Weekly Dump'!D:D,'Weekly Dump'!B:B,C131)</f>
        <v>219</v>
      </c>
      <c r="J131" s="5">
        <f>SUMIFS('Weekly Dump'!AE:AE,'Weekly Dump'!B:B,C131)</f>
        <v>40.93388889</v>
      </c>
      <c r="K131" s="4">
        <f>SUMPRODUCT(
  (TEXT('Weekly Dump'!$A$2:$A1009,"mmm-yy")=TEXT($AB131,"mmm-yy"))*
  ('Weekly Dump'!$B$2:$B1009=$C131)*
  'Weekly Dump'!$D$2:$D1009)</f>
        <v>0</v>
      </c>
      <c r="L131" s="4">
        <f>SUMPRODUCT(
  (TEXT('Weekly Dump'!$A$2:$A1009,"mmm-yy")=TEXT($AB131,"mmm-yy"))*
  ('Weekly Dump'!$B$2:$B1009=$C131)*
  'Weekly Dump'!$E$2:$E1009
)</f>
        <v>16</v>
      </c>
      <c r="M131" s="4">
        <f>SUMPRODUCT(
  (TEXT('Weekly Dump'!$A$2:$A1009,"mmm-yy")=TEXT($AB131,"mmm-yy"))*
  ('Weekly Dump'!$B$2:$B1009=$C131)*
  'Weekly Dump'!$P$2:$P1009
)</f>
        <v>23</v>
      </c>
      <c r="N131" s="39"/>
      <c r="O131" s="40">
        <f>SUMIFS('Weekly Dump'!$D:$D,'Weekly Dump'!$B:$B,$C131,'Weekly Dump'!$A:$A,$AB131)</f>
        <v>0</v>
      </c>
      <c r="P131" s="40">
        <f>SUMIFS('Weekly Dump'!R:R,'Weekly Dump'!B:B,C131,'Weekly Dump'!A:A,AB131)</f>
        <v>0</v>
      </c>
      <c r="Q131" s="40">
        <f t="shared" si="20"/>
        <v>0</v>
      </c>
      <c r="R131" s="41"/>
      <c r="T131" s="4">
        <f>SUMIFS('Weekly Dump'!E:E,'Weekly Dump'!B:B,C131,'Weekly Dump'!A:A,AB131)</f>
        <v>0</v>
      </c>
      <c r="U131" s="3">
        <f t="shared" si="21"/>
        <v>0</v>
      </c>
      <c r="V131" s="42"/>
      <c r="X131" s="4">
        <f>SUMIFS('Weekly Dump'!P:P,'Weekly Dump'!B:B,C131,'Weekly Dump'!A:A,AB131)</f>
        <v>0</v>
      </c>
      <c r="Y131" s="4">
        <f t="shared" si="22"/>
        <v>0</v>
      </c>
      <c r="Z131" s="41"/>
      <c r="AA131" s="12" t="str">
        <f>iferror(IF(VLOOKUP(C131,'Weekly Dump'!B:B,1,0)=C131,"Yes","Missing"),"")</f>
        <v>Yes</v>
      </c>
      <c r="AB131" s="60">
        <v>46167.0</v>
      </c>
    </row>
    <row r="132">
      <c r="A132" s="38" t="s">
        <v>128</v>
      </c>
      <c r="B132" s="3" t="s">
        <v>64</v>
      </c>
      <c r="C132" s="2" t="s">
        <v>65</v>
      </c>
      <c r="D132" s="3" t="s">
        <v>66</v>
      </c>
      <c r="E132" s="3" t="s">
        <v>28</v>
      </c>
      <c r="F132" s="3" t="s">
        <v>34</v>
      </c>
      <c r="G132" s="3"/>
      <c r="I132" s="4">
        <f>SUMIFS('Weekly Dump'!D:D,'Weekly Dump'!B:B,C132)</f>
        <v>192</v>
      </c>
      <c r="J132" s="5">
        <f>SUMIFS('Weekly Dump'!AE:AE,'Weekly Dump'!B:B,C132)</f>
        <v>27.78333333</v>
      </c>
      <c r="K132" s="4">
        <f>SUMPRODUCT(
  (TEXT('Weekly Dump'!$A$2:$A1009,"mmm-yy")=TEXT($AB132,"mmm-yy"))*
  ('Weekly Dump'!$B$2:$B1009=$C132)*
  'Weekly Dump'!$D$2:$D1009)</f>
        <v>111</v>
      </c>
      <c r="L132" s="4">
        <f>SUMPRODUCT(
  (TEXT('Weekly Dump'!$A$2:$A1009,"mmm-yy")=TEXT($AB132,"mmm-yy"))*
  ('Weekly Dump'!$B$2:$B1009=$C132)*
  'Weekly Dump'!$E$2:$E1009
)</f>
        <v>69</v>
      </c>
      <c r="M132" s="4">
        <f>SUMPRODUCT(
  (TEXT('Weekly Dump'!$A$2:$A1009,"mmm-yy")=TEXT($AB132,"mmm-yy"))*
  ('Weekly Dump'!$B$2:$B1009=$C132)*
  'Weekly Dump'!$P$2:$P1009
)</f>
        <v>51</v>
      </c>
      <c r="N132" s="39">
        <v>30.0</v>
      </c>
      <c r="O132" s="40">
        <f>SUMIFS('Weekly Dump'!$D:$D,'Weekly Dump'!$B:$B,$C132,'Weekly Dump'!$A:$A,$AB132)</f>
        <v>0</v>
      </c>
      <c r="P132" s="40">
        <f>SUMIFS('Weekly Dump'!R:R,'Weekly Dump'!B:B,C132,'Weekly Dump'!A:A,AB132)</f>
        <v>0</v>
      </c>
      <c r="Q132" s="40">
        <f t="shared" si="20"/>
        <v>30</v>
      </c>
      <c r="R132" s="41"/>
      <c r="T132" s="4">
        <f>SUMIFS('Weekly Dump'!E:E,'Weekly Dump'!B:B,C132,'Weekly Dump'!A:A,AB132)</f>
        <v>0</v>
      </c>
      <c r="U132" s="3">
        <f t="shared" si="21"/>
        <v>0</v>
      </c>
      <c r="V132" s="42"/>
      <c r="X132" s="4">
        <f>SUMIFS('Weekly Dump'!P:P,'Weekly Dump'!B:B,C132,'Weekly Dump'!A:A,AB132)</f>
        <v>0</v>
      </c>
      <c r="Y132" s="4">
        <f t="shared" si="22"/>
        <v>0</v>
      </c>
      <c r="Z132" s="41"/>
      <c r="AA132" s="12" t="str">
        <f>iferror(IF(VLOOKUP(C132,'Weekly Dump'!B:B,1,0)=C132,"Yes","Missing"),"")</f>
        <v>Yes</v>
      </c>
      <c r="AB132" s="60">
        <v>46167.0</v>
      </c>
    </row>
    <row r="133">
      <c r="A133" s="38" t="s">
        <v>128</v>
      </c>
      <c r="B133" s="2" t="s">
        <v>67</v>
      </c>
      <c r="C133" s="2"/>
      <c r="D133" s="3" t="s">
        <v>68</v>
      </c>
      <c r="E133" s="38" t="s">
        <v>48</v>
      </c>
      <c r="F133" s="3" t="s">
        <v>29</v>
      </c>
      <c r="G133" s="3" t="s">
        <v>69</v>
      </c>
      <c r="I133" s="4">
        <f>SUMIFS('Weekly Dump'!D:D,'Weekly Dump'!B:B,C133)</f>
        <v>0</v>
      </c>
      <c r="J133" s="5">
        <f>SUMIFS('Weekly Dump'!AE:AE,'Weekly Dump'!B:B,C133)</f>
        <v>0</v>
      </c>
      <c r="K133" s="4">
        <f>SUMPRODUCT(
  (TEXT('Weekly Dump'!$A$2:$A1009,"mmm-yy")=TEXT($AB133,"mmm-yy"))*
  ('Weekly Dump'!$B$2:$B1009=$C133)*
  'Weekly Dump'!$D$2:$D1009)</f>
        <v>0</v>
      </c>
      <c r="L133" s="4">
        <f>SUMPRODUCT(
  (TEXT('Weekly Dump'!$A$2:$A1009,"mmm-yy")=TEXT($AB133,"mmm-yy"))*
  ('Weekly Dump'!$B$2:$B1009=$C133)*
  'Weekly Dump'!$E$2:$E1009
)</f>
        <v>0</v>
      </c>
      <c r="M133" s="4">
        <f>SUMPRODUCT(
  (TEXT('Weekly Dump'!$A$2:$A1009,"mmm-yy")=TEXT($AB133,"mmm-yy"))*
  ('Weekly Dump'!$B$2:$B1009=$C133)*
  'Weekly Dump'!$P$2:$P1009
)</f>
        <v>0</v>
      </c>
      <c r="N133" s="39"/>
      <c r="O133" s="40">
        <f>SUMIFS('Weekly Dump'!$D:$D,'Weekly Dump'!$B:$B,$C133,'Weekly Dump'!$A:$A,$AB133)</f>
        <v>0</v>
      </c>
      <c r="P133" s="40">
        <f>SUMIFS('Weekly Dump'!R:R,'Weekly Dump'!B:B,C133,'Weekly Dump'!A:A,AB133)</f>
        <v>0</v>
      </c>
      <c r="Q133" s="40">
        <f t="shared" si="20"/>
        <v>0</v>
      </c>
      <c r="R133" s="41"/>
      <c r="T133" s="4">
        <f>SUMIFS('Weekly Dump'!E:E,'Weekly Dump'!B:B,C133,'Weekly Dump'!A:A,AB133)</f>
        <v>0</v>
      </c>
      <c r="U133" s="3">
        <f t="shared" si="21"/>
        <v>0</v>
      </c>
      <c r="V133" s="42"/>
      <c r="X133" s="4">
        <f>SUMIFS('Weekly Dump'!P:P,'Weekly Dump'!B:B,C133,'Weekly Dump'!A:A,AB133)</f>
        <v>0</v>
      </c>
      <c r="Y133" s="4">
        <f t="shared" si="22"/>
        <v>0</v>
      </c>
      <c r="Z133" s="41"/>
      <c r="AA133" s="12" t="str">
        <f>iferror(IF(VLOOKUP(C133,'Weekly Dump'!B:B,1,0)=C133,"Yes","Missing"),"")</f>
        <v/>
      </c>
      <c r="AB133" s="60">
        <v>46167.0</v>
      </c>
    </row>
    <row r="134">
      <c r="A134" s="38" t="s">
        <v>128</v>
      </c>
      <c r="B134" s="3" t="s">
        <v>70</v>
      </c>
      <c r="C134" s="2" t="s">
        <v>71</v>
      </c>
      <c r="D134" s="3" t="s">
        <v>72</v>
      </c>
      <c r="E134" s="3" t="s">
        <v>28</v>
      </c>
      <c r="F134" s="3" t="s">
        <v>73</v>
      </c>
      <c r="G134" s="3" t="s">
        <v>74</v>
      </c>
      <c r="I134" s="4">
        <f>SUMIFS('Weekly Dump'!D:D,'Weekly Dump'!B:B,C134)</f>
        <v>250</v>
      </c>
      <c r="J134" s="5">
        <f>SUMIFS('Weekly Dump'!AE:AE,'Weekly Dump'!B:B,C134)</f>
        <v>64.17305556</v>
      </c>
      <c r="K134" s="4">
        <f>SUMPRODUCT(
  (TEXT('Weekly Dump'!$A$2:$A1009,"mmm-yy")=TEXT($AB134,"mmm-yy"))*
  ('Weekly Dump'!$B$2:$B1009=$C134)*
  'Weekly Dump'!$D$2:$D1009)</f>
        <v>7</v>
      </c>
      <c r="L134" s="4">
        <f>SUMPRODUCT(
  (TEXT('Weekly Dump'!$A$2:$A1009,"mmm-yy")=TEXT($AB134,"mmm-yy"))*
  ('Weekly Dump'!$B$2:$B1009=$C134)*
  'Weekly Dump'!$E$2:$E1009
)</f>
        <v>2</v>
      </c>
      <c r="M134" s="4">
        <f>SUMPRODUCT(
  (TEXT('Weekly Dump'!$A$2:$A1009,"mmm-yy")=TEXT($AB134,"mmm-yy"))*
  ('Weekly Dump'!$B$2:$B1009=$C134)*
  'Weekly Dump'!$P$2:$P1009
)</f>
        <v>4</v>
      </c>
      <c r="N134" s="39">
        <v>14.0</v>
      </c>
      <c r="O134" s="40">
        <f>SUMIFS('Weekly Dump'!$D:$D,'Weekly Dump'!$B:$B,$C134,'Weekly Dump'!$A:$A,$AB134)</f>
        <v>0</v>
      </c>
      <c r="P134" s="40">
        <f>SUMIFS('Weekly Dump'!R:R,'Weekly Dump'!B:B,C134,'Weekly Dump'!A:A,AB134)</f>
        <v>0</v>
      </c>
      <c r="Q134" s="40">
        <f t="shared" si="20"/>
        <v>14</v>
      </c>
      <c r="R134" s="41"/>
      <c r="T134" s="4">
        <f>SUMIFS('Weekly Dump'!E:E,'Weekly Dump'!B:B,C134,'Weekly Dump'!A:A,AB134)</f>
        <v>0</v>
      </c>
      <c r="U134" s="3">
        <f t="shared" si="21"/>
        <v>0</v>
      </c>
      <c r="V134" s="42"/>
      <c r="X134" s="4">
        <f>SUMIFS('Weekly Dump'!P:P,'Weekly Dump'!B:B,C134,'Weekly Dump'!A:A,AB134)</f>
        <v>0</v>
      </c>
      <c r="Y134" s="4">
        <f t="shared" si="22"/>
        <v>0</v>
      </c>
      <c r="Z134" s="41"/>
      <c r="AA134" s="12" t="str">
        <f>iferror(IF(VLOOKUP(C134,'Weekly Dump'!B:B,1,0)=C134,"Yes","Missing"),"")</f>
        <v>Yes</v>
      </c>
      <c r="AB134" s="60">
        <v>46167.0</v>
      </c>
    </row>
    <row r="135">
      <c r="A135" s="38" t="s">
        <v>128</v>
      </c>
      <c r="B135" s="3" t="s">
        <v>75</v>
      </c>
      <c r="C135" s="2" t="s">
        <v>76</v>
      </c>
      <c r="D135" s="3" t="s">
        <v>77</v>
      </c>
      <c r="E135" s="3" t="s">
        <v>28</v>
      </c>
      <c r="F135" s="3" t="s">
        <v>34</v>
      </c>
      <c r="G135" s="3" t="s">
        <v>78</v>
      </c>
      <c r="I135" s="4">
        <f>SUMIFS('Weekly Dump'!D:D,'Weekly Dump'!B:B,C135)</f>
        <v>1257</v>
      </c>
      <c r="J135" s="5">
        <f>SUMIFS('Weekly Dump'!AE:AE,'Weekly Dump'!B:B,C135)</f>
        <v>209.6044444</v>
      </c>
      <c r="K135" s="4">
        <f>SUMPRODUCT(
  (TEXT('Weekly Dump'!$A$2:$A1009,"mmm-yy")=TEXT($AB135,"mmm-yy"))*
  ('Weekly Dump'!$B$2:$B1009=$C135)*
  'Weekly Dump'!$D$2:$D1009)</f>
        <v>356</v>
      </c>
      <c r="L135" s="4">
        <f>SUMPRODUCT(
  (TEXT('Weekly Dump'!$A$2:$A1009,"mmm-yy")=TEXT($AB135,"mmm-yy"))*
  ('Weekly Dump'!$B$2:$B1009=$C135)*
  'Weekly Dump'!$E$2:$E1009
)</f>
        <v>95</v>
      </c>
      <c r="M135" s="4">
        <f>SUMPRODUCT(
  (TEXT('Weekly Dump'!$A$2:$A1009,"mmm-yy")=TEXT($AB135,"mmm-yy"))*
  ('Weekly Dump'!$B$2:$B1009=$C135)*
  'Weekly Dump'!$P$2:$P1009
)</f>
        <v>70</v>
      </c>
      <c r="N135" s="39">
        <v>0.0</v>
      </c>
      <c r="O135" s="40">
        <f>SUMIFS('Weekly Dump'!$D:$D,'Weekly Dump'!$B:$B,$C135,'Weekly Dump'!$A:$A,$AB135)</f>
        <v>0</v>
      </c>
      <c r="P135" s="40">
        <f>SUMIFS('Weekly Dump'!R:R,'Weekly Dump'!B:B,C135,'Weekly Dump'!A:A,AB135)</f>
        <v>0</v>
      </c>
      <c r="Q135" s="40">
        <f t="shared" si="20"/>
        <v>0</v>
      </c>
      <c r="R135" s="41"/>
      <c r="T135" s="4">
        <f>SUMIFS('Weekly Dump'!E:E,'Weekly Dump'!B:B,C135,'Weekly Dump'!A:A,AB135)</f>
        <v>0</v>
      </c>
      <c r="U135" s="3">
        <f t="shared" si="21"/>
        <v>0</v>
      </c>
      <c r="V135" s="42"/>
      <c r="X135" s="4">
        <f>SUMIFS('Weekly Dump'!P:P,'Weekly Dump'!B:B,C135,'Weekly Dump'!A:A,AB135)</f>
        <v>0</v>
      </c>
      <c r="Y135" s="4">
        <f t="shared" si="22"/>
        <v>0</v>
      </c>
      <c r="Z135" s="41"/>
      <c r="AA135" s="12" t="str">
        <f>iferror(IF(VLOOKUP(C135,'Weekly Dump'!B:B,1,0)=C135,"Yes","Missing"),"")</f>
        <v>Yes</v>
      </c>
      <c r="AB135" s="60">
        <v>46167.0</v>
      </c>
    </row>
    <row r="136">
      <c r="A136" s="38" t="s">
        <v>128</v>
      </c>
      <c r="B136" s="3"/>
      <c r="C136" s="2" t="s">
        <v>79</v>
      </c>
      <c r="D136" s="3" t="s">
        <v>80</v>
      </c>
      <c r="E136" s="3" t="s">
        <v>28</v>
      </c>
      <c r="F136" s="3" t="s">
        <v>29</v>
      </c>
      <c r="G136" s="3" t="s">
        <v>58</v>
      </c>
      <c r="I136" s="4">
        <f>SUMIFS('Weekly Dump'!D:D,'Weekly Dump'!B:B,C136)</f>
        <v>230</v>
      </c>
      <c r="J136" s="5">
        <f>SUMIFS('Weekly Dump'!AE:AE,'Weekly Dump'!B:B,C136)</f>
        <v>31.03111111</v>
      </c>
      <c r="K136" s="4">
        <f>SUMPRODUCT(
  (TEXT('Weekly Dump'!$A$2:$A1009,"mmm-yy")=TEXT($AB136,"mmm-yy"))*
  ('Weekly Dump'!$B$2:$B1009=$C136)*
  'Weekly Dump'!$D$2:$D1009)</f>
        <v>115</v>
      </c>
      <c r="L136" s="4">
        <f>SUMPRODUCT(
  (TEXT('Weekly Dump'!$A$2:$A1009,"mmm-yy")=TEXT($AB136,"mmm-yy"))*
  ('Weekly Dump'!$B$2:$B1009=$C136)*
  'Weekly Dump'!$E$2:$E1009
)</f>
        <v>100</v>
      </c>
      <c r="M136" s="4">
        <f>SUMPRODUCT(
  (TEXT('Weekly Dump'!$A$2:$A1009,"mmm-yy")=TEXT($AB136,"mmm-yy"))*
  ('Weekly Dump'!$B$2:$B1009=$C136)*
  'Weekly Dump'!$P$2:$P1009
)</f>
        <v>75</v>
      </c>
      <c r="N136" s="39">
        <v>40.0</v>
      </c>
      <c r="O136" s="40">
        <f>SUMIFS('Weekly Dump'!$D:$D,'Weekly Dump'!$B:$B,$C136,'Weekly Dump'!$A:$A,$AB136)</f>
        <v>0</v>
      </c>
      <c r="P136" s="40">
        <f>SUMIFS('Weekly Dump'!R:R,'Weekly Dump'!B:B,C136,'Weekly Dump'!A:A,AB136)</f>
        <v>0</v>
      </c>
      <c r="Q136" s="40">
        <f t="shared" si="20"/>
        <v>40</v>
      </c>
      <c r="R136" s="41"/>
      <c r="T136" s="4">
        <f>SUMIFS('Weekly Dump'!E:E,'Weekly Dump'!B:B,C136,'Weekly Dump'!A:A,AB136)</f>
        <v>0</v>
      </c>
      <c r="U136" s="3">
        <f t="shared" si="21"/>
        <v>0</v>
      </c>
      <c r="V136" s="42"/>
      <c r="W136" s="62">
        <v>45.0</v>
      </c>
      <c r="X136" s="4">
        <f>SUMIFS('Weekly Dump'!P:P,'Weekly Dump'!B:B,C136,'Weekly Dump'!A:A,AB136)</f>
        <v>0</v>
      </c>
      <c r="Y136" s="4">
        <f t="shared" si="22"/>
        <v>45</v>
      </c>
      <c r="Z136" s="41"/>
      <c r="AA136" s="12" t="str">
        <f>iferror(IF(VLOOKUP(C136,'Weekly Dump'!B:B,1,0)=C136,"Yes","Missing"),"")</f>
        <v>Yes</v>
      </c>
      <c r="AB136" s="60">
        <v>46167.0</v>
      </c>
    </row>
    <row r="137">
      <c r="A137" s="38" t="s">
        <v>128</v>
      </c>
      <c r="B137" s="3"/>
      <c r="C137" s="2" t="s">
        <v>81</v>
      </c>
      <c r="D137" s="3" t="s">
        <v>82</v>
      </c>
      <c r="E137" s="3" t="s">
        <v>48</v>
      </c>
      <c r="F137" s="3" t="s">
        <v>34</v>
      </c>
      <c r="G137" s="3" t="s">
        <v>83</v>
      </c>
      <c r="I137" s="4">
        <f>SUMIFS('Weekly Dump'!D:D,'Weekly Dump'!B:B,C137)</f>
        <v>57</v>
      </c>
      <c r="J137" s="5">
        <f>SUMIFS('Weekly Dump'!AE:AE,'Weekly Dump'!B:B,C137)</f>
        <v>11.64361111</v>
      </c>
      <c r="K137" s="4">
        <f>SUMPRODUCT(
  (TEXT('Weekly Dump'!$A$2:$A1009,"mmm-yy")=TEXT($AB137,"mmm-yy"))*
  ('Weekly Dump'!$B$2:$B1009=$C137)*
  'Weekly Dump'!$D$2:$D1009)</f>
        <v>0</v>
      </c>
      <c r="L137" s="4">
        <f>SUMPRODUCT(
  (TEXT('Weekly Dump'!$A$2:$A1009,"mmm-yy")=TEXT($AB137,"mmm-yy"))*
  ('Weekly Dump'!$B$2:$B1009=$C137)*
  'Weekly Dump'!$E$2:$E1009
)</f>
        <v>0</v>
      </c>
      <c r="M137" s="4">
        <f>SUMPRODUCT(
  (TEXT('Weekly Dump'!$A$2:$A1009,"mmm-yy")=TEXT($AB137,"mmm-yy"))*
  ('Weekly Dump'!$B$2:$B1009=$C137)*
  'Weekly Dump'!$P$2:$P1009
)</f>
        <v>0</v>
      </c>
      <c r="N137" s="39"/>
      <c r="O137" s="40">
        <f>SUMIFS('Weekly Dump'!$D:$D,'Weekly Dump'!$B:$B,$C137,'Weekly Dump'!$A:$A,$AB137)</f>
        <v>0</v>
      </c>
      <c r="P137" s="40">
        <f>SUMIFS('Weekly Dump'!R:R,'Weekly Dump'!B:B,C137,'Weekly Dump'!A:A,AB137)</f>
        <v>0</v>
      </c>
      <c r="Q137" s="40">
        <f t="shared" si="20"/>
        <v>0</v>
      </c>
      <c r="R137" s="41"/>
      <c r="T137" s="4">
        <f>SUMIFS('Weekly Dump'!E:E,'Weekly Dump'!B:B,C137,'Weekly Dump'!A:A,AB137)</f>
        <v>0</v>
      </c>
      <c r="U137" s="3">
        <f t="shared" si="21"/>
        <v>0</v>
      </c>
      <c r="V137" s="42"/>
      <c r="X137" s="4">
        <f>SUMIFS('Weekly Dump'!P:P,'Weekly Dump'!B:B,C137,'Weekly Dump'!A:A,AB137)</f>
        <v>0</v>
      </c>
      <c r="Y137" s="4">
        <f t="shared" si="22"/>
        <v>0</v>
      </c>
      <c r="Z137" s="41"/>
      <c r="AA137" s="12" t="str">
        <f>iferror(IF(VLOOKUP(C137,'Weekly Dump'!B:B,1,0)=C137,"Yes","Missing"),"")</f>
        <v>Yes</v>
      </c>
      <c r="AB137" s="60">
        <v>46167.0</v>
      </c>
    </row>
    <row r="138">
      <c r="A138" s="38" t="s">
        <v>128</v>
      </c>
      <c r="B138" s="3"/>
      <c r="C138" s="2" t="s">
        <v>84</v>
      </c>
      <c r="D138" s="3" t="s">
        <v>85</v>
      </c>
      <c r="E138" s="3" t="s">
        <v>48</v>
      </c>
      <c r="F138" s="3" t="s">
        <v>43</v>
      </c>
      <c r="G138" s="3"/>
      <c r="I138" s="4">
        <f>SUMIFS('Weekly Dump'!D:D,'Weekly Dump'!B:B,C138)</f>
        <v>52</v>
      </c>
      <c r="J138" s="5">
        <f>SUMIFS('Weekly Dump'!AE:AE,'Weekly Dump'!B:B,C138)</f>
        <v>10.99111111</v>
      </c>
      <c r="K138" s="4">
        <f>SUMPRODUCT(
  (TEXT('Weekly Dump'!$A$2:$A1009,"mmm-yy")=TEXT($AB138,"mmm-yy"))*
  ('Weekly Dump'!$B$2:$B1009=$C138)*
  'Weekly Dump'!$D$2:$D1009)</f>
        <v>0</v>
      </c>
      <c r="L138" s="4">
        <f>SUMPRODUCT(
  (TEXT('Weekly Dump'!$A$2:$A1009,"mmm-yy")=TEXT($AB138,"mmm-yy"))*
  ('Weekly Dump'!$B$2:$B1009=$C138)*
  'Weekly Dump'!$E$2:$E1009
)</f>
        <v>0</v>
      </c>
      <c r="M138" s="4">
        <f>SUMPRODUCT(
  (TEXT('Weekly Dump'!$A$2:$A1009,"mmm-yy")=TEXT($AB138,"mmm-yy"))*
  ('Weekly Dump'!$B$2:$B1009=$C138)*
  'Weekly Dump'!$P$2:$P1009
)</f>
        <v>0</v>
      </c>
      <c r="N138" s="39"/>
      <c r="O138" s="40">
        <f>SUMIFS('Weekly Dump'!$D:$D,'Weekly Dump'!$B:$B,$C138,'Weekly Dump'!$A:$A,$AB138)</f>
        <v>0</v>
      </c>
      <c r="P138" s="40">
        <f>SUMIFS('Weekly Dump'!R:R,'Weekly Dump'!B:B,C138,'Weekly Dump'!A:A,AB138)</f>
        <v>0</v>
      </c>
      <c r="Q138" s="40">
        <f t="shared" si="20"/>
        <v>0</v>
      </c>
      <c r="R138" s="41"/>
      <c r="T138" s="4">
        <f>SUMIFS('Weekly Dump'!E:E,'Weekly Dump'!B:B,C138,'Weekly Dump'!A:A,AB138)</f>
        <v>0</v>
      </c>
      <c r="U138" s="3">
        <f t="shared" si="21"/>
        <v>0</v>
      </c>
      <c r="V138" s="42"/>
      <c r="X138" s="4">
        <f>SUMIFS('Weekly Dump'!P:P,'Weekly Dump'!B:B,C138,'Weekly Dump'!A:A,AB138)</f>
        <v>0</v>
      </c>
      <c r="Y138" s="4">
        <f t="shared" si="22"/>
        <v>0</v>
      </c>
      <c r="Z138" s="41"/>
      <c r="AA138" s="12" t="str">
        <f>iferror(IF(VLOOKUP(C138,'Weekly Dump'!B:B,1,0)=C138,"Yes","Missing"),"")</f>
        <v>Yes</v>
      </c>
      <c r="AB138" s="60">
        <v>46167.0</v>
      </c>
    </row>
    <row r="139">
      <c r="A139" s="38" t="s">
        <v>128</v>
      </c>
      <c r="B139" s="2"/>
      <c r="C139" s="2" t="s">
        <v>86</v>
      </c>
      <c r="D139" s="3" t="s">
        <v>87</v>
      </c>
      <c r="E139" s="38" t="s">
        <v>88</v>
      </c>
      <c r="F139" s="3"/>
      <c r="G139" s="3"/>
      <c r="I139" s="4">
        <f>SUMIFS('Weekly Dump'!D:D,'Weekly Dump'!B:B,C139)</f>
        <v>0</v>
      </c>
      <c r="J139" s="5">
        <f>SUMIFS('Weekly Dump'!AE:AE,'Weekly Dump'!B:B,C139)</f>
        <v>0</v>
      </c>
      <c r="K139" s="4">
        <f>SUMPRODUCT(
  (TEXT('Weekly Dump'!$A$2:$A1009,"mmm-yy")=TEXT($AB139,"mmm-yy"))*
  ('Weekly Dump'!$B$2:$B1009=$C139)*
  'Weekly Dump'!$D$2:$D1009)</f>
        <v>0</v>
      </c>
      <c r="L139" s="4">
        <f>SUMPRODUCT(
  (TEXT('Weekly Dump'!$A$2:$A1009,"mmm-yy")=TEXT($AB139,"mmm-yy"))*
  ('Weekly Dump'!$B$2:$B1009=$C139)*
  'Weekly Dump'!$E$2:$E1009
)</f>
        <v>0</v>
      </c>
      <c r="M139" s="4">
        <f>SUMPRODUCT(
  (TEXT('Weekly Dump'!$A$2:$A1009,"mmm-yy")=TEXT($AB139,"mmm-yy"))*
  ('Weekly Dump'!$B$2:$B1009=$C139)*
  'Weekly Dump'!$P$2:$P1009
)</f>
        <v>0</v>
      </c>
      <c r="N139" s="39"/>
      <c r="O139" s="40">
        <f>SUMIFS('Weekly Dump'!$D:$D,'Weekly Dump'!$B:$B,$C139,'Weekly Dump'!$A:$A,$AB139)</f>
        <v>0</v>
      </c>
      <c r="P139" s="40">
        <f>SUMIFS('Weekly Dump'!R:R,'Weekly Dump'!B:B,C139,'Weekly Dump'!A:A,AB139)</f>
        <v>0</v>
      </c>
      <c r="Q139" s="40">
        <f t="shared" si="20"/>
        <v>0</v>
      </c>
      <c r="R139" s="41"/>
      <c r="T139" s="4">
        <f>SUMIFS('Weekly Dump'!E:E,'Weekly Dump'!B:B,C139,'Weekly Dump'!A:A,AB139)</f>
        <v>0</v>
      </c>
      <c r="U139" s="3">
        <f t="shared" si="21"/>
        <v>0</v>
      </c>
      <c r="V139" s="42"/>
      <c r="X139" s="4">
        <f>SUMIFS('Weekly Dump'!P:P,'Weekly Dump'!B:B,C139,'Weekly Dump'!A:A,AB139)</f>
        <v>0</v>
      </c>
      <c r="Y139" s="4">
        <f t="shared" si="22"/>
        <v>0</v>
      </c>
      <c r="Z139" s="41"/>
      <c r="AA139" s="12" t="str">
        <f>iferror(IF(VLOOKUP(C139,'Weekly Dump'!B:B,1,0)=C139,"Yes","Missing"),"")</f>
        <v/>
      </c>
      <c r="AB139" s="60">
        <v>46167.0</v>
      </c>
    </row>
    <row r="140">
      <c r="A140" s="38" t="s">
        <v>128</v>
      </c>
      <c r="B140" s="3"/>
      <c r="C140" s="2" t="s">
        <v>89</v>
      </c>
      <c r="D140" s="3" t="s">
        <v>90</v>
      </c>
      <c r="E140" s="3" t="s">
        <v>28</v>
      </c>
      <c r="F140" s="3"/>
      <c r="G140" s="3"/>
      <c r="I140" s="4">
        <f>SUMIFS('Weekly Dump'!D:D,'Weekly Dump'!B:B,C140)</f>
        <v>90</v>
      </c>
      <c r="J140" s="5">
        <f>SUMIFS('Weekly Dump'!AE:AE,'Weekly Dump'!B:B,C140)</f>
        <v>14.57388889</v>
      </c>
      <c r="K140" s="4">
        <f>SUMPRODUCT(
  (TEXT('Weekly Dump'!$A$2:$A1009,"mmm-yy")=TEXT($AB140,"mmm-yy"))*
  ('Weekly Dump'!$B$2:$B1009=$C140)*
  'Weekly Dump'!$D$2:$D1009)</f>
        <v>43</v>
      </c>
      <c r="L140" s="4">
        <f>SUMPRODUCT(
  (TEXT('Weekly Dump'!$A$2:$A1009,"mmm-yy")=TEXT($AB140,"mmm-yy"))*
  ('Weekly Dump'!$B$2:$B1009=$C140)*
  'Weekly Dump'!$E$2:$E1009
)</f>
        <v>20</v>
      </c>
      <c r="M140" s="4">
        <f>SUMPRODUCT(
  (TEXT('Weekly Dump'!$A$2:$A1009,"mmm-yy")=TEXT($AB140,"mmm-yy"))*
  ('Weekly Dump'!$B$2:$B1009=$C140)*
  'Weekly Dump'!$P$2:$P1009
)</f>
        <v>19</v>
      </c>
      <c r="N140" s="39">
        <v>15.0</v>
      </c>
      <c r="O140" s="40">
        <f>SUMIFS('Weekly Dump'!$D:$D,'Weekly Dump'!$B:$B,$C140,'Weekly Dump'!$A:$A,$AB140)</f>
        <v>0</v>
      </c>
      <c r="P140" s="40">
        <f>SUMIFS('Weekly Dump'!R:R,'Weekly Dump'!B:B,C140,'Weekly Dump'!A:A,AB140)</f>
        <v>0</v>
      </c>
      <c r="Q140" s="40">
        <f t="shared" si="20"/>
        <v>15</v>
      </c>
      <c r="R140" s="41"/>
      <c r="T140" s="4">
        <f>SUMIFS('Weekly Dump'!E:E,'Weekly Dump'!B:B,C140,'Weekly Dump'!A:A,AB140)</f>
        <v>0</v>
      </c>
      <c r="U140" s="3">
        <f t="shared" si="21"/>
        <v>0</v>
      </c>
      <c r="V140" s="42"/>
      <c r="W140" s="62">
        <v>78.0</v>
      </c>
      <c r="X140" s="4">
        <f>SUMIFS('Weekly Dump'!P:P,'Weekly Dump'!B:B,C140,'Weekly Dump'!A:A,AB140)</f>
        <v>0</v>
      </c>
      <c r="Y140" s="4">
        <f t="shared" si="22"/>
        <v>78</v>
      </c>
      <c r="Z140" s="41"/>
      <c r="AA140" s="12" t="str">
        <f>iferror(IF(VLOOKUP(C140,'Weekly Dump'!B:B,1,0)=C140,"Yes","Missing"),"")</f>
        <v>Yes</v>
      </c>
      <c r="AB140" s="60">
        <v>46167.0</v>
      </c>
    </row>
    <row r="141">
      <c r="A141" s="38" t="s">
        <v>128</v>
      </c>
      <c r="B141" s="3"/>
      <c r="C141" s="2" t="s">
        <v>91</v>
      </c>
      <c r="D141" s="3" t="s">
        <v>92</v>
      </c>
      <c r="E141" s="3" t="s">
        <v>48</v>
      </c>
      <c r="F141" s="3" t="s">
        <v>29</v>
      </c>
      <c r="G141" s="3" t="s">
        <v>49</v>
      </c>
      <c r="I141" s="4">
        <f>SUMIFS('Weekly Dump'!D:D,'Weekly Dump'!B:B,C141)</f>
        <v>56</v>
      </c>
      <c r="J141" s="5">
        <f>SUMIFS('Weekly Dump'!AE:AE,'Weekly Dump'!B:B,C141)</f>
        <v>10.39083333</v>
      </c>
      <c r="K141" s="4">
        <f>SUMPRODUCT(
  (TEXT('Weekly Dump'!$A$2:$A1009,"mmm-yy")=TEXT($AB141,"mmm-yy"))*
  ('Weekly Dump'!$B$2:$B1009=$C141)*
  'Weekly Dump'!$D$2:$D1009)</f>
        <v>0</v>
      </c>
      <c r="L141" s="4">
        <f>SUMPRODUCT(
  (TEXT('Weekly Dump'!$A$2:$A1009,"mmm-yy")=TEXT($AB141,"mmm-yy"))*
  ('Weekly Dump'!$B$2:$B1009=$C141)*
  'Weekly Dump'!$E$2:$E1009
)</f>
        <v>0</v>
      </c>
      <c r="M141" s="4">
        <f>SUMPRODUCT(
  (TEXT('Weekly Dump'!$A$2:$A1009,"mmm-yy")=TEXT($AB141,"mmm-yy"))*
  ('Weekly Dump'!$B$2:$B1009=$C141)*
  'Weekly Dump'!$P$2:$P1009
)</f>
        <v>0</v>
      </c>
      <c r="N141" s="39"/>
      <c r="O141" s="40">
        <f>SUMIFS('Weekly Dump'!$D:$D,'Weekly Dump'!$B:$B,$C141,'Weekly Dump'!$A:$A,$AB141)</f>
        <v>0</v>
      </c>
      <c r="P141" s="40">
        <f>SUMIFS('Weekly Dump'!R:R,'Weekly Dump'!B:B,C141,'Weekly Dump'!A:A,AB141)</f>
        <v>0</v>
      </c>
      <c r="Q141" s="40">
        <f t="shared" si="20"/>
        <v>0</v>
      </c>
      <c r="R141" s="41"/>
      <c r="T141" s="4">
        <f>SUMIFS('Weekly Dump'!E:E,'Weekly Dump'!B:B,C141,'Weekly Dump'!A:A,AB141)</f>
        <v>0</v>
      </c>
      <c r="U141" s="3">
        <f t="shared" si="21"/>
        <v>0</v>
      </c>
      <c r="V141" s="42"/>
      <c r="W141" s="62">
        <v>78.0</v>
      </c>
      <c r="X141" s="4">
        <f>SUMIFS('Weekly Dump'!P:P,'Weekly Dump'!B:B,C141,'Weekly Dump'!A:A,AB141)</f>
        <v>0</v>
      </c>
      <c r="Y141" s="4">
        <f t="shared" si="22"/>
        <v>78</v>
      </c>
      <c r="Z141" s="41"/>
      <c r="AA141" s="12" t="str">
        <f>iferror(IF(VLOOKUP(C141,'Weekly Dump'!B:B,1,0)=C141,"Yes","Missing"),"")</f>
        <v>Yes</v>
      </c>
      <c r="AB141" s="60">
        <v>46167.0</v>
      </c>
    </row>
    <row r="142">
      <c r="A142" s="38" t="s">
        <v>128</v>
      </c>
      <c r="B142" s="3"/>
      <c r="C142" s="2" t="s">
        <v>93</v>
      </c>
      <c r="D142" s="3" t="s">
        <v>94</v>
      </c>
      <c r="E142" s="3" t="s">
        <v>48</v>
      </c>
      <c r="F142" s="3" t="s">
        <v>34</v>
      </c>
      <c r="G142" s="3" t="s">
        <v>95</v>
      </c>
      <c r="I142" s="4">
        <f>SUMIFS('Weekly Dump'!D:D,'Weekly Dump'!B:B,C142)</f>
        <v>50</v>
      </c>
      <c r="J142" s="5">
        <f>SUMIFS('Weekly Dump'!AE:AE,'Weekly Dump'!B:B,C142)</f>
        <v>10.19194444</v>
      </c>
      <c r="K142" s="4">
        <f>SUMPRODUCT(
  (TEXT('Weekly Dump'!$A$2:$A1009,"mmm-yy")=TEXT($AB142,"mmm-yy"))*
  ('Weekly Dump'!$B$2:$B1009=$C142)*
  'Weekly Dump'!$D$2:$D1009)</f>
        <v>0</v>
      </c>
      <c r="L142" s="4">
        <f>SUMPRODUCT(
  (TEXT('Weekly Dump'!$A$2:$A1009,"mmm-yy")=TEXT($AB142,"mmm-yy"))*
  ('Weekly Dump'!$B$2:$B1009=$C142)*
  'Weekly Dump'!$E$2:$E1009
)</f>
        <v>0</v>
      </c>
      <c r="M142" s="4">
        <f>SUMPRODUCT(
  (TEXT('Weekly Dump'!$A$2:$A1009,"mmm-yy")=TEXT($AB142,"mmm-yy"))*
  ('Weekly Dump'!$B$2:$B1009=$C142)*
  'Weekly Dump'!$P$2:$P1009
)</f>
        <v>1</v>
      </c>
      <c r="N142" s="39"/>
      <c r="O142" s="40">
        <f>SUMIFS('Weekly Dump'!$D:$D,'Weekly Dump'!$B:$B,$C142,'Weekly Dump'!$A:$A,$AB142)</f>
        <v>0</v>
      </c>
      <c r="P142" s="40">
        <f>SUMIFS('Weekly Dump'!R:R,'Weekly Dump'!B:B,C142,'Weekly Dump'!A:A,AB142)</f>
        <v>0</v>
      </c>
      <c r="Q142" s="40">
        <f t="shared" si="20"/>
        <v>0</v>
      </c>
      <c r="R142" s="41"/>
      <c r="T142" s="4">
        <f>SUMIFS('Weekly Dump'!E:E,'Weekly Dump'!B:B,C142,'Weekly Dump'!A:A,AB142)</f>
        <v>0</v>
      </c>
      <c r="U142" s="3">
        <f t="shared" si="21"/>
        <v>0</v>
      </c>
      <c r="V142" s="42"/>
      <c r="W142" s="62">
        <v>78.0</v>
      </c>
      <c r="X142" s="4">
        <f>SUMIFS('Weekly Dump'!P:P,'Weekly Dump'!B:B,C142,'Weekly Dump'!A:A,AB142)</f>
        <v>0</v>
      </c>
      <c r="Y142" s="4">
        <f t="shared" si="22"/>
        <v>78</v>
      </c>
      <c r="Z142" s="41"/>
      <c r="AA142" s="12" t="str">
        <f>iferror(IF(VLOOKUP(C142,'Weekly Dump'!B:B,1,0)=C142,"Yes","Missing"),"")</f>
        <v>Yes</v>
      </c>
      <c r="AB142" s="60">
        <v>46167.0</v>
      </c>
    </row>
    <row r="143">
      <c r="A143" s="38" t="s">
        <v>128</v>
      </c>
      <c r="B143" s="3"/>
      <c r="C143" s="2" t="s">
        <v>96</v>
      </c>
      <c r="D143" s="3" t="s">
        <v>97</v>
      </c>
      <c r="E143" s="3" t="s">
        <v>28</v>
      </c>
      <c r="F143" s="3"/>
      <c r="G143" s="3"/>
      <c r="I143" s="4">
        <f>SUMIFS('Weekly Dump'!D:D,'Weekly Dump'!B:B,C143)</f>
        <v>94</v>
      </c>
      <c r="J143" s="5">
        <f>SUMIFS('Weekly Dump'!AE:AE,'Weekly Dump'!B:B,C143)</f>
        <v>24.01333333</v>
      </c>
      <c r="K143" s="4">
        <f>SUMPRODUCT(
  (TEXT('Weekly Dump'!$A$2:$A1009,"mmm-yy")=TEXT($AB143,"mmm-yy"))*
  ('Weekly Dump'!$B$2:$B1009=$C143)*
  'Weekly Dump'!$D$2:$D1009)</f>
        <v>45</v>
      </c>
      <c r="L143" s="4">
        <f>SUMPRODUCT(
  (TEXT('Weekly Dump'!$A$2:$A1009,"mmm-yy")=TEXT($AB143,"mmm-yy"))*
  ('Weekly Dump'!$B$2:$B1009=$C143)*
  'Weekly Dump'!$E$2:$E1009
)</f>
        <v>48</v>
      </c>
      <c r="M143" s="4">
        <f>SUMPRODUCT(
  (TEXT('Weekly Dump'!$A$2:$A1009,"mmm-yy")=TEXT($AB143,"mmm-yy"))*
  ('Weekly Dump'!$B$2:$B1009=$C143)*
  'Weekly Dump'!$P$2:$P1009
)</f>
        <v>59</v>
      </c>
      <c r="N143" s="39">
        <v>15.0</v>
      </c>
      <c r="O143" s="40">
        <f>SUMIFS('Weekly Dump'!$D:$D,'Weekly Dump'!$B:$B,$C143,'Weekly Dump'!$A:$A,$AB143)</f>
        <v>0</v>
      </c>
      <c r="P143" s="40">
        <f>SUMIFS('Weekly Dump'!R:R,'Weekly Dump'!B:B,C143,'Weekly Dump'!A:A,AB143)</f>
        <v>0</v>
      </c>
      <c r="Q143" s="40">
        <f t="shared" si="20"/>
        <v>15</v>
      </c>
      <c r="R143" s="41"/>
      <c r="T143" s="4">
        <f>SUMIFS('Weekly Dump'!E:E,'Weekly Dump'!B:B,C143,'Weekly Dump'!A:A,AB143)</f>
        <v>0</v>
      </c>
      <c r="U143" s="3">
        <f t="shared" si="21"/>
        <v>0</v>
      </c>
      <c r="V143" s="42"/>
      <c r="W143" s="62">
        <v>78.0</v>
      </c>
      <c r="X143" s="4">
        <f>SUMIFS('Weekly Dump'!P:P,'Weekly Dump'!B:B,C143,'Weekly Dump'!A:A,AB143)</f>
        <v>0</v>
      </c>
      <c r="Y143" s="4">
        <f t="shared" si="22"/>
        <v>78</v>
      </c>
      <c r="Z143" s="41"/>
      <c r="AA143" s="12" t="str">
        <f>iferror(IF(VLOOKUP(C143,'Weekly Dump'!B:B,1,0)=C143,"Yes","Missing"),"")</f>
        <v>Yes</v>
      </c>
      <c r="AB143" s="60">
        <v>46167.0</v>
      </c>
    </row>
    <row r="144">
      <c r="A144" s="38" t="s">
        <v>128</v>
      </c>
      <c r="B144" s="3"/>
      <c r="C144" s="2" t="s">
        <v>98</v>
      </c>
      <c r="D144" s="3" t="s">
        <v>99</v>
      </c>
      <c r="E144" s="3" t="s">
        <v>48</v>
      </c>
      <c r="F144" s="3" t="s">
        <v>43</v>
      </c>
      <c r="G144" s="3" t="s">
        <v>95</v>
      </c>
      <c r="I144" s="4">
        <f>SUMIFS('Weekly Dump'!D:D,'Weekly Dump'!B:B,C144)</f>
        <v>50</v>
      </c>
      <c r="J144" s="5">
        <f>SUMIFS('Weekly Dump'!AE:AE,'Weekly Dump'!B:B,C144)</f>
        <v>10.06555556</v>
      </c>
      <c r="K144" s="4">
        <f>SUMPRODUCT(
  (TEXT('Weekly Dump'!$A$2:$A1009,"mmm-yy")=TEXT($AB144,"mmm-yy"))*
  ('Weekly Dump'!$B$2:$B1009=$C144)*
  'Weekly Dump'!$D$2:$D1009)</f>
        <v>0</v>
      </c>
      <c r="L144" s="4">
        <f>SUMPRODUCT(
  (TEXT('Weekly Dump'!$A$2:$A1009,"mmm-yy")=TEXT($AB144,"mmm-yy"))*
  ('Weekly Dump'!$B$2:$B1009=$C144)*
  'Weekly Dump'!$E$2:$E1009
)</f>
        <v>0</v>
      </c>
      <c r="M144" s="4">
        <f>SUMPRODUCT(
  (TEXT('Weekly Dump'!$A$2:$A1009,"mmm-yy")=TEXT($AB144,"mmm-yy"))*
  ('Weekly Dump'!$B$2:$B1009=$C144)*
  'Weekly Dump'!$P$2:$P1009
)</f>
        <v>0</v>
      </c>
      <c r="N144" s="39"/>
      <c r="O144" s="40">
        <f>SUMIFS('Weekly Dump'!$D:$D,'Weekly Dump'!$B:$B,$C144,'Weekly Dump'!$A:$A,$AB144)</f>
        <v>0</v>
      </c>
      <c r="P144" s="40">
        <f>SUMIFS('Weekly Dump'!R:R,'Weekly Dump'!B:B,C144,'Weekly Dump'!A:A,AB144)</f>
        <v>0</v>
      </c>
      <c r="Q144" s="40">
        <f t="shared" si="20"/>
        <v>0</v>
      </c>
      <c r="R144" s="41"/>
      <c r="T144" s="4">
        <f>SUMIFS('Weekly Dump'!E:E,'Weekly Dump'!B:B,C144,'Weekly Dump'!A:A,AB144)</f>
        <v>0</v>
      </c>
      <c r="U144" s="3">
        <f t="shared" si="21"/>
        <v>0</v>
      </c>
      <c r="V144" s="42"/>
      <c r="W144" s="62">
        <v>78.0</v>
      </c>
      <c r="X144" s="4">
        <f>SUMIFS('Weekly Dump'!P:P,'Weekly Dump'!B:B,C144,'Weekly Dump'!A:A,AB144)</f>
        <v>0</v>
      </c>
      <c r="Y144" s="4">
        <f t="shared" si="22"/>
        <v>78</v>
      </c>
      <c r="Z144" s="41"/>
      <c r="AA144" s="12" t="str">
        <f>iferror(IF(VLOOKUP(C144,'Weekly Dump'!B:B,1,0)=C144,"Yes","Missing"),"")</f>
        <v>Yes</v>
      </c>
      <c r="AB144" s="60">
        <v>46167.0</v>
      </c>
    </row>
    <row r="145">
      <c r="A145" s="38" t="s">
        <v>128</v>
      </c>
      <c r="B145" s="3"/>
      <c r="C145" s="2" t="s">
        <v>100</v>
      </c>
      <c r="D145" s="3" t="s">
        <v>101</v>
      </c>
      <c r="E145" s="3" t="s">
        <v>28</v>
      </c>
      <c r="F145" s="3" t="s">
        <v>29</v>
      </c>
      <c r="G145" s="3" t="s">
        <v>83</v>
      </c>
      <c r="I145" s="4">
        <f>SUMIFS('Weekly Dump'!D:D,'Weekly Dump'!B:B,C145)</f>
        <v>125</v>
      </c>
      <c r="J145" s="5">
        <f>SUMIFS('Weekly Dump'!AE:AE,'Weekly Dump'!B:B,C145)</f>
        <v>17.74722222</v>
      </c>
      <c r="K145" s="4">
        <f>SUMPRODUCT(
  (TEXT('Weekly Dump'!$A$2:$A1009,"mmm-yy")=TEXT($AB145,"mmm-yy"))*
  ('Weekly Dump'!$B$2:$B1009=$C145)*
  'Weekly Dump'!$D$2:$D1009)</f>
        <v>75</v>
      </c>
      <c r="L145" s="4">
        <f>SUMPRODUCT(
  (TEXT('Weekly Dump'!$A$2:$A1009,"mmm-yy")=TEXT($AB145,"mmm-yy"))*
  ('Weekly Dump'!$B$2:$B1009=$C145)*
  'Weekly Dump'!$E$2:$E1009
)</f>
        <v>81</v>
      </c>
      <c r="M145" s="4">
        <f>SUMPRODUCT(
  (TEXT('Weekly Dump'!$A$2:$A1009,"mmm-yy")=TEXT($AB145,"mmm-yy"))*
  ('Weekly Dump'!$B$2:$B1009=$C145)*
  'Weekly Dump'!$P$2:$P1009
)</f>
        <v>52</v>
      </c>
      <c r="N145" s="39">
        <v>0.0</v>
      </c>
      <c r="O145" s="40">
        <f>SUMIFS('Weekly Dump'!$D:$D,'Weekly Dump'!$B:$B,$C145,'Weekly Dump'!$A:$A,$AB145)</f>
        <v>0</v>
      </c>
      <c r="P145" s="40">
        <f>SUMIFS('Weekly Dump'!R:R,'Weekly Dump'!B:B,C145,'Weekly Dump'!A:A,AB145)</f>
        <v>0</v>
      </c>
      <c r="Q145" s="40">
        <f t="shared" si="20"/>
        <v>0</v>
      </c>
      <c r="R145" s="41"/>
      <c r="T145" s="4">
        <f>SUMIFS('Weekly Dump'!E:E,'Weekly Dump'!B:B,C145,'Weekly Dump'!A:A,AB145)</f>
        <v>0</v>
      </c>
      <c r="U145" s="3">
        <f t="shared" si="21"/>
        <v>0</v>
      </c>
      <c r="V145" s="42"/>
      <c r="W145" s="62">
        <v>78.0</v>
      </c>
      <c r="X145" s="4">
        <f>SUMIFS('Weekly Dump'!P:P,'Weekly Dump'!B:B,C145,'Weekly Dump'!A:A,AB145)</f>
        <v>0</v>
      </c>
      <c r="Y145" s="4">
        <f t="shared" si="22"/>
        <v>78</v>
      </c>
      <c r="Z145" s="41"/>
      <c r="AA145" s="12" t="str">
        <f>iferror(IF(VLOOKUP(C145,'Weekly Dump'!B:B,1,0)=C145,"Yes","Missing"),"")</f>
        <v>Yes</v>
      </c>
      <c r="AB145" s="60">
        <v>46167.0</v>
      </c>
    </row>
    <row r="146">
      <c r="A146" s="38" t="s">
        <v>128</v>
      </c>
      <c r="B146" s="3"/>
      <c r="C146" s="2" t="s">
        <v>102</v>
      </c>
      <c r="D146" s="3" t="s">
        <v>103</v>
      </c>
      <c r="E146" s="3" t="s">
        <v>28</v>
      </c>
      <c r="F146" s="3" t="s">
        <v>29</v>
      </c>
      <c r="G146" s="3"/>
      <c r="I146" s="4">
        <f>SUMIFS('Weekly Dump'!D:D,'Weekly Dump'!B:B,C146)</f>
        <v>85</v>
      </c>
      <c r="J146" s="5">
        <f>SUMIFS('Weekly Dump'!AE:AE,'Weekly Dump'!B:B,C146)</f>
        <v>6.948333333</v>
      </c>
      <c r="K146" s="4">
        <f>SUMPRODUCT(
  (TEXT('Weekly Dump'!$A$2:$A1009,"mmm-yy")=TEXT($AB146,"mmm-yy"))*
  ('Weekly Dump'!$B$2:$B1009=$C146)*
  'Weekly Dump'!$D$2:$D1009)</f>
        <v>60</v>
      </c>
      <c r="L146" s="4">
        <f>SUMPRODUCT(
  (TEXT('Weekly Dump'!$A$2:$A1009,"mmm-yy")=TEXT($AB146,"mmm-yy"))*
  ('Weekly Dump'!$B$2:$B1009=$C146)*
  'Weekly Dump'!$E$2:$E1009
)</f>
        <v>18</v>
      </c>
      <c r="M146" s="4">
        <f>SUMPRODUCT(
  (TEXT('Weekly Dump'!$A$2:$A1009,"mmm-yy")=TEXT($AB146,"mmm-yy"))*
  ('Weekly Dump'!$B$2:$B1009=$C146)*
  'Weekly Dump'!$P$2:$P1009
)</f>
        <v>14</v>
      </c>
      <c r="N146" s="39"/>
      <c r="O146" s="40">
        <f>SUMIFS('Weekly Dump'!$D:$D,'Weekly Dump'!$B:$B,$C146,'Weekly Dump'!$A:$A,$AB146)</f>
        <v>0</v>
      </c>
      <c r="P146" s="40">
        <f>SUMIFS('Weekly Dump'!R:R,'Weekly Dump'!B:B,C146,'Weekly Dump'!A:A,AB146)</f>
        <v>0</v>
      </c>
      <c r="Q146" s="40">
        <f t="shared" si="20"/>
        <v>0</v>
      </c>
      <c r="R146" s="41"/>
      <c r="T146" s="4">
        <f>SUMIFS('Weekly Dump'!E:E,'Weekly Dump'!B:B,C146,'Weekly Dump'!A:A,AB146)</f>
        <v>0</v>
      </c>
      <c r="U146" s="3">
        <f t="shared" si="21"/>
        <v>0</v>
      </c>
      <c r="V146" s="42"/>
      <c r="W146" s="62">
        <v>78.0</v>
      </c>
      <c r="X146" s="4">
        <f>SUMIFS('Weekly Dump'!P:P,'Weekly Dump'!B:B,C146,'Weekly Dump'!A:A,AB146)</f>
        <v>0</v>
      </c>
      <c r="Y146" s="4">
        <f t="shared" si="22"/>
        <v>78</v>
      </c>
      <c r="Z146" s="41"/>
      <c r="AA146" s="12" t="str">
        <f>iferror(IF(VLOOKUP(C146,'Weekly Dump'!B:B,1,0)=C146,"Yes","Missing"),"")</f>
        <v>Yes</v>
      </c>
      <c r="AB146" s="60">
        <v>46167.0</v>
      </c>
    </row>
    <row r="147">
      <c r="A147" s="38" t="s">
        <v>128</v>
      </c>
      <c r="B147" s="3"/>
      <c r="C147" s="2" t="s">
        <v>104</v>
      </c>
      <c r="D147" s="3" t="s">
        <v>105</v>
      </c>
      <c r="E147" s="3" t="s">
        <v>48</v>
      </c>
      <c r="F147" s="3" t="s">
        <v>29</v>
      </c>
      <c r="G147" s="3"/>
      <c r="I147" s="4">
        <f>SUMIFS('Weekly Dump'!D:D,'Weekly Dump'!B:B,C147)</f>
        <v>75</v>
      </c>
      <c r="J147" s="5">
        <f>SUMIFS('Weekly Dump'!AE:AE,'Weekly Dump'!B:B,C147)</f>
        <v>13.08944444</v>
      </c>
      <c r="K147" s="4">
        <f>SUMPRODUCT(
  (TEXT('Weekly Dump'!$A$2:$A1009,"mmm-yy")=TEXT($AB147,"mmm-yy"))*
  ('Weekly Dump'!$B$2:$B1009=$C147)*
  'Weekly Dump'!$D$2:$D1009)</f>
        <v>23</v>
      </c>
      <c r="L147" s="4">
        <f>SUMPRODUCT(
  (TEXT('Weekly Dump'!$A$2:$A1009,"mmm-yy")=TEXT($AB147,"mmm-yy"))*
  ('Weekly Dump'!$B$2:$B1009=$C147)*
  'Weekly Dump'!$E$2:$E1009
)</f>
        <v>23</v>
      </c>
      <c r="M147" s="4">
        <f>SUMPRODUCT(
  (TEXT('Weekly Dump'!$A$2:$A1009,"mmm-yy")=TEXT($AB147,"mmm-yy"))*
  ('Weekly Dump'!$B$2:$B1009=$C147)*
  'Weekly Dump'!$P$2:$P1009
)</f>
        <v>13</v>
      </c>
      <c r="N147" s="39"/>
      <c r="O147" s="40">
        <f>SUMIFS('Weekly Dump'!$D:$D,'Weekly Dump'!$B:$B,$C147,'Weekly Dump'!$A:$A,$AB147)</f>
        <v>0</v>
      </c>
      <c r="P147" s="40">
        <f>SUMIFS('Weekly Dump'!R:R,'Weekly Dump'!B:B,C147,'Weekly Dump'!A:A,AB147)</f>
        <v>0</v>
      </c>
      <c r="Q147" s="40">
        <f t="shared" si="20"/>
        <v>0</v>
      </c>
      <c r="R147" s="41"/>
      <c r="T147" s="4">
        <f>SUMIFS('Weekly Dump'!E:E,'Weekly Dump'!B:B,C147,'Weekly Dump'!A:A,AB147)</f>
        <v>0</v>
      </c>
      <c r="U147" s="3">
        <f t="shared" si="21"/>
        <v>0</v>
      </c>
      <c r="V147" s="42"/>
      <c r="W147" s="62">
        <v>78.0</v>
      </c>
      <c r="X147" s="4">
        <f>SUMIFS('Weekly Dump'!P:P,'Weekly Dump'!B:B,C147,'Weekly Dump'!A:A,AB147)</f>
        <v>0</v>
      </c>
      <c r="Y147" s="4">
        <f t="shared" si="22"/>
        <v>78</v>
      </c>
      <c r="Z147" s="41"/>
      <c r="AA147" s="12" t="str">
        <f>iferror(IF(VLOOKUP(C147,'Weekly Dump'!B:B,1,0)=C147,"Yes","Missing"),"")</f>
        <v>Yes</v>
      </c>
      <c r="AB147" s="60">
        <v>46167.0</v>
      </c>
    </row>
    <row r="148">
      <c r="A148" s="38" t="s">
        <v>128</v>
      </c>
      <c r="B148" s="3"/>
      <c r="C148" s="2" t="s">
        <v>106</v>
      </c>
      <c r="D148" s="3" t="s">
        <v>107</v>
      </c>
      <c r="E148" s="38" t="s">
        <v>88</v>
      </c>
      <c r="F148" s="3"/>
      <c r="G148" s="3"/>
      <c r="I148" s="4">
        <f>SUMIFS('Weekly Dump'!D:D,'Weekly Dump'!B:B,C148)</f>
        <v>8</v>
      </c>
      <c r="J148" s="5">
        <f>SUMIFS('Weekly Dump'!AE:AE,'Weekly Dump'!B:B,C148)</f>
        <v>1.161388889</v>
      </c>
      <c r="K148" s="4">
        <f>SUMPRODUCT(
  (TEXT('Weekly Dump'!$A$2:$A1009,"mmm-yy")=TEXT($AB148,"mmm-yy"))*
  ('Weekly Dump'!$B$2:$B1009=$C148)*
  'Weekly Dump'!$D$2:$D1009)</f>
        <v>0</v>
      </c>
      <c r="L148" s="4">
        <f>SUMPRODUCT(
  (TEXT('Weekly Dump'!$A$2:$A1009,"mmm-yy")=TEXT($AB148,"mmm-yy"))*
  ('Weekly Dump'!$B$2:$B1009=$C148)*
  'Weekly Dump'!$E$2:$E1009
)</f>
        <v>0</v>
      </c>
      <c r="M148" s="4">
        <f>SUMPRODUCT(
  (TEXT('Weekly Dump'!$A$2:$A1009,"mmm-yy")=TEXT($AB148,"mmm-yy"))*
  ('Weekly Dump'!$B$2:$B1009=$C148)*
  'Weekly Dump'!$P$2:$P1009
)</f>
        <v>0</v>
      </c>
      <c r="N148" s="39"/>
      <c r="O148" s="40">
        <f>SUMIFS('Weekly Dump'!$D:$D,'Weekly Dump'!$B:$B,$C148,'Weekly Dump'!$A:$A,$AB148)</f>
        <v>0</v>
      </c>
      <c r="P148" s="40">
        <f>SUMIFS('Weekly Dump'!R:R,'Weekly Dump'!B:B,C148,'Weekly Dump'!A:A,AB148)</f>
        <v>0</v>
      </c>
      <c r="Q148" s="40">
        <f t="shared" si="20"/>
        <v>0</v>
      </c>
      <c r="R148" s="41"/>
      <c r="T148" s="4">
        <f>SUMIFS('Weekly Dump'!E:E,'Weekly Dump'!B:B,C148,'Weekly Dump'!A:A,AB148)</f>
        <v>0</v>
      </c>
      <c r="U148" s="3">
        <f t="shared" si="21"/>
        <v>0</v>
      </c>
      <c r="V148" s="42"/>
      <c r="W148" s="62">
        <v>78.0</v>
      </c>
      <c r="X148" s="4">
        <f>SUMIFS('Weekly Dump'!P:P,'Weekly Dump'!B:B,C148,'Weekly Dump'!A:A,AB148)</f>
        <v>0</v>
      </c>
      <c r="Y148" s="4">
        <f t="shared" si="22"/>
        <v>78</v>
      </c>
      <c r="Z148" s="41"/>
      <c r="AA148" s="12" t="str">
        <f>iferror(IF(VLOOKUP(C148,'Weekly Dump'!B:B,1,0)=C148,"Yes","Missing"),"")</f>
        <v>Yes</v>
      </c>
      <c r="AB148" s="60">
        <v>46167.0</v>
      </c>
    </row>
    <row r="149">
      <c r="A149" s="38" t="s">
        <v>128</v>
      </c>
      <c r="B149" s="3"/>
      <c r="C149" s="2" t="s">
        <v>108</v>
      </c>
      <c r="D149" s="3" t="s">
        <v>109</v>
      </c>
      <c r="E149" s="3" t="s">
        <v>28</v>
      </c>
      <c r="F149" s="3"/>
      <c r="G149" s="3"/>
      <c r="I149" s="4">
        <f>SUMIFS('Weekly Dump'!D:D,'Weekly Dump'!B:B,C149)</f>
        <v>58</v>
      </c>
      <c r="J149" s="5">
        <f>SUMIFS('Weekly Dump'!AE:AE,'Weekly Dump'!B:B,C149)</f>
        <v>9.653333333</v>
      </c>
      <c r="K149" s="4">
        <f>SUMPRODUCT(
  (TEXT('Weekly Dump'!$A$2:$A1009,"mmm-yy")=TEXT($AB149,"mmm-yy"))*
  ('Weekly Dump'!$B$2:$B1009=$C149)*
  'Weekly Dump'!$D$2:$D1009)</f>
        <v>43</v>
      </c>
      <c r="L149" s="4">
        <f>SUMPRODUCT(
  (TEXT('Weekly Dump'!$A$2:$A1009,"mmm-yy")=TEXT($AB149,"mmm-yy"))*
  ('Weekly Dump'!$B$2:$B1009=$C149)*
  'Weekly Dump'!$E$2:$E1009
)</f>
        <v>37</v>
      </c>
      <c r="M149" s="4">
        <f>SUMPRODUCT(
  (TEXT('Weekly Dump'!$A$2:$A1009,"mmm-yy")=TEXT($AB149,"mmm-yy"))*
  ('Weekly Dump'!$B$2:$B1009=$C149)*
  'Weekly Dump'!$P$2:$P1009
)</f>
        <v>46</v>
      </c>
      <c r="N149" s="39">
        <v>0.0</v>
      </c>
      <c r="O149" s="40">
        <f>SUMIFS('Weekly Dump'!$D:$D,'Weekly Dump'!$B:$B,$C149,'Weekly Dump'!$A:$A,$AB149)</f>
        <v>0</v>
      </c>
      <c r="P149" s="40">
        <f>SUMIFS('Weekly Dump'!R:R,'Weekly Dump'!B:B,C149,'Weekly Dump'!A:A,AB149)</f>
        <v>0</v>
      </c>
      <c r="Q149" s="40">
        <f t="shared" si="20"/>
        <v>0</v>
      </c>
      <c r="R149" s="41"/>
      <c r="T149" s="4">
        <f>SUMIFS('Weekly Dump'!E:E,'Weekly Dump'!B:B,C149,'Weekly Dump'!A:A,AB149)</f>
        <v>0</v>
      </c>
      <c r="U149" s="3">
        <f t="shared" si="21"/>
        <v>0</v>
      </c>
      <c r="V149" s="42"/>
      <c r="W149" s="62">
        <v>78.0</v>
      </c>
      <c r="X149" s="4">
        <f>SUMIFS('Weekly Dump'!P:P,'Weekly Dump'!B:B,C149,'Weekly Dump'!A:A,AB149)</f>
        <v>0</v>
      </c>
      <c r="Y149" s="4">
        <f t="shared" si="22"/>
        <v>78</v>
      </c>
      <c r="Z149" s="41"/>
      <c r="AA149" s="12" t="str">
        <f>iferror(IF(VLOOKUP(C149,'Weekly Dump'!B:B,1,0)=C149,"Yes","Missing"),"")</f>
        <v>Yes</v>
      </c>
      <c r="AB149" s="60">
        <v>46167.0</v>
      </c>
    </row>
    <row r="150">
      <c r="A150" s="38" t="s">
        <v>128</v>
      </c>
      <c r="B150" s="3"/>
      <c r="C150" s="2" t="s">
        <v>110</v>
      </c>
      <c r="D150" s="3" t="s">
        <v>111</v>
      </c>
      <c r="E150" s="38" t="s">
        <v>88</v>
      </c>
      <c r="F150" s="3"/>
      <c r="G150" s="3"/>
      <c r="I150" s="4">
        <f>SUMIFS('Weekly Dump'!D:D,'Weekly Dump'!B:B,C150)</f>
        <v>44</v>
      </c>
      <c r="J150" s="5">
        <f>SUMIFS('Weekly Dump'!AE:AE,'Weekly Dump'!B:B,C150)</f>
        <v>2.713333333</v>
      </c>
      <c r="K150" s="4">
        <f>SUMPRODUCT(
  (TEXT('Weekly Dump'!$A$2:$A1009,"mmm-yy")=TEXT($AB150,"mmm-yy"))*
  ('Weekly Dump'!$B$2:$B1009=$C150)*
  'Weekly Dump'!$D$2:$D1009)</f>
        <v>21</v>
      </c>
      <c r="L150" s="4">
        <f>SUMPRODUCT(
  (TEXT('Weekly Dump'!$A$2:$A1009,"mmm-yy")=TEXT($AB150,"mmm-yy"))*
  ('Weekly Dump'!$B$2:$B1009=$C150)*
  'Weekly Dump'!$E$2:$E1009
)</f>
        <v>27</v>
      </c>
      <c r="M150" s="4">
        <f>SUMPRODUCT(
  (TEXT('Weekly Dump'!$A$2:$A1009,"mmm-yy")=TEXT($AB150,"mmm-yy"))*
  ('Weekly Dump'!$B$2:$B1009=$C150)*
  'Weekly Dump'!$P$2:$P1009
)</f>
        <v>12</v>
      </c>
      <c r="N150" s="39"/>
      <c r="O150" s="40">
        <f>SUMIFS('Weekly Dump'!$D:$D,'Weekly Dump'!$B:$B,$C150,'Weekly Dump'!$A:$A,$AB150)</f>
        <v>0</v>
      </c>
      <c r="P150" s="40">
        <f>SUMIFS('Weekly Dump'!R:R,'Weekly Dump'!B:B,C150,'Weekly Dump'!A:A,AB150)</f>
        <v>0</v>
      </c>
      <c r="Q150" s="40">
        <f t="shared" si="20"/>
        <v>0</v>
      </c>
      <c r="R150" s="41"/>
      <c r="T150" s="4">
        <f>SUMIFS('Weekly Dump'!E:E,'Weekly Dump'!B:B,C150,'Weekly Dump'!A:A,AB150)</f>
        <v>0</v>
      </c>
      <c r="U150" s="3">
        <f t="shared" si="21"/>
        <v>0</v>
      </c>
      <c r="V150" s="42"/>
      <c r="W150" s="62">
        <v>78.0</v>
      </c>
      <c r="X150" s="4">
        <f>SUMIFS('Weekly Dump'!P:P,'Weekly Dump'!B:B,C150,'Weekly Dump'!A:A,AB150)</f>
        <v>0</v>
      </c>
      <c r="Y150" s="4">
        <f t="shared" si="22"/>
        <v>78</v>
      </c>
      <c r="Z150" s="41"/>
      <c r="AA150" s="12" t="str">
        <f>iferror(IF(VLOOKUP(C150,'Weekly Dump'!B:B,1,0)=C150,"Yes","Missing"),"")</f>
        <v>Yes</v>
      </c>
      <c r="AB150" s="60">
        <v>46167.0</v>
      </c>
    </row>
    <row r="151">
      <c r="A151" s="38" t="s">
        <v>128</v>
      </c>
      <c r="B151" s="2"/>
      <c r="C151" s="2" t="str">
        <f t="shared" ref="C151:C154" si="23">IFERROR(VLOOKUP(D151,Sheet3!L:M,2,0),"")</f>
        <v/>
      </c>
      <c r="D151" s="3" t="s">
        <v>112</v>
      </c>
      <c r="E151" s="38" t="s">
        <v>88</v>
      </c>
      <c r="F151" s="3"/>
      <c r="G151" s="3"/>
      <c r="I151" s="4">
        <f>SUMIFS('Weekly Dump'!D:D,'Weekly Dump'!B:B,C151)</f>
        <v>0</v>
      </c>
      <c r="J151" s="5">
        <f>SUMIFS('Weekly Dump'!AE:AE,'Weekly Dump'!B:B,C151)</f>
        <v>0</v>
      </c>
      <c r="K151" s="4">
        <f>SUMPRODUCT(
  (TEXT('Weekly Dump'!$A$2:$A1009,"mmm-yy")=TEXT($AB151,"mmm-yy"))*
  ('Weekly Dump'!$B$2:$B1009=$C151)*
  'Weekly Dump'!$D$2:$D1009)</f>
        <v>0</v>
      </c>
      <c r="L151" s="4">
        <f>SUMPRODUCT(
  (TEXT('Weekly Dump'!$A$2:$A1009,"mmm-yy")=TEXT($AB151,"mmm-yy"))*
  ('Weekly Dump'!$B$2:$B1009=$C151)*
  'Weekly Dump'!$E$2:$E1009
)</f>
        <v>0</v>
      </c>
      <c r="M151" s="4">
        <f>SUMPRODUCT(
  (TEXT('Weekly Dump'!$A$2:$A1009,"mmm-yy")=TEXT($AB151,"mmm-yy"))*
  ('Weekly Dump'!$B$2:$B1009=$C151)*
  'Weekly Dump'!$P$2:$P1009
)</f>
        <v>0</v>
      </c>
      <c r="N151" s="39"/>
      <c r="O151" s="40">
        <f>SUMIFS('Weekly Dump'!$D:$D,'Weekly Dump'!$B:$B,$C151,'Weekly Dump'!$A:$A,$AB151)</f>
        <v>0</v>
      </c>
      <c r="P151" s="40">
        <f>SUMIFS('Weekly Dump'!R:R,'Weekly Dump'!B:B,C151,'Weekly Dump'!A:A,AB151)</f>
        <v>0</v>
      </c>
      <c r="Q151" s="40">
        <f t="shared" si="20"/>
        <v>0</v>
      </c>
      <c r="R151" s="41"/>
      <c r="T151" s="4">
        <f>SUMIFS('Weekly Dump'!E:E,'Weekly Dump'!B:B,C151,'Weekly Dump'!A:A,AB151)</f>
        <v>0</v>
      </c>
      <c r="U151" s="3">
        <f t="shared" si="21"/>
        <v>0</v>
      </c>
      <c r="V151" s="42"/>
      <c r="W151" s="62">
        <v>78.0</v>
      </c>
      <c r="X151" s="4">
        <f>SUMIFS('Weekly Dump'!P:P,'Weekly Dump'!B:B,C151,'Weekly Dump'!A:A,AB151)</f>
        <v>0</v>
      </c>
      <c r="Y151" s="4">
        <f t="shared" si="22"/>
        <v>78</v>
      </c>
      <c r="Z151" s="41"/>
      <c r="AA151" s="12" t="str">
        <f>iferror(IF(VLOOKUP(C151,'Weekly Dump'!B:B,1,0)=C151,"Yes","Missing"),"")</f>
        <v/>
      </c>
      <c r="AB151" s="60">
        <v>46167.0</v>
      </c>
    </row>
    <row r="152">
      <c r="A152" s="38" t="s">
        <v>128</v>
      </c>
      <c r="B152" s="2"/>
      <c r="C152" s="2" t="str">
        <f t="shared" si="23"/>
        <v/>
      </c>
      <c r="D152" s="3" t="s">
        <v>113</v>
      </c>
      <c r="E152" s="38" t="s">
        <v>88</v>
      </c>
      <c r="F152" s="3"/>
      <c r="G152" s="3"/>
      <c r="I152" s="4">
        <f>SUMIFS('Weekly Dump'!D:D,'Weekly Dump'!B:B,C152)</f>
        <v>0</v>
      </c>
      <c r="J152" s="5">
        <f>SUMIFS('Weekly Dump'!AE:AE,'Weekly Dump'!B:B,C152)</f>
        <v>0</v>
      </c>
      <c r="K152" s="4">
        <f>SUMPRODUCT(
  (TEXT('Weekly Dump'!$A$2:$A1009,"mmm-yy")=TEXT($AB152,"mmm-yy"))*
  ('Weekly Dump'!$B$2:$B1009=$C152)*
  'Weekly Dump'!$D$2:$D1009)</f>
        <v>0</v>
      </c>
      <c r="L152" s="4">
        <f>SUMPRODUCT(
  (TEXT('Weekly Dump'!$A$2:$A1009,"mmm-yy")=TEXT($AB152,"mmm-yy"))*
  ('Weekly Dump'!$B$2:$B1009=$C152)*
  'Weekly Dump'!$E$2:$E1009
)</f>
        <v>0</v>
      </c>
      <c r="M152" s="4">
        <f>SUMPRODUCT(
  (TEXT('Weekly Dump'!$A$2:$A1009,"mmm-yy")=TEXT($AB152,"mmm-yy"))*
  ('Weekly Dump'!$B$2:$B1009=$C152)*
  'Weekly Dump'!$P$2:$P1009
)</f>
        <v>0</v>
      </c>
      <c r="N152" s="39"/>
      <c r="O152" s="40">
        <f>SUMIFS('Weekly Dump'!$D:$D,'Weekly Dump'!$B:$B,$C152,'Weekly Dump'!$A:$A,$AB152)</f>
        <v>0</v>
      </c>
      <c r="P152" s="40">
        <f>SUMIFS('Weekly Dump'!R:R,'Weekly Dump'!B:B,C152,'Weekly Dump'!A:A,AB152)</f>
        <v>0</v>
      </c>
      <c r="Q152" s="40">
        <f t="shared" si="20"/>
        <v>0</v>
      </c>
      <c r="R152" s="41"/>
      <c r="T152" s="4">
        <f>SUMIFS('Weekly Dump'!E:E,'Weekly Dump'!B:B,C152,'Weekly Dump'!A:A,AB152)</f>
        <v>0</v>
      </c>
      <c r="U152" s="3">
        <f t="shared" si="21"/>
        <v>0</v>
      </c>
      <c r="V152" s="42"/>
      <c r="W152" s="62">
        <v>78.0</v>
      </c>
      <c r="X152" s="4">
        <f>SUMIFS('Weekly Dump'!P:P,'Weekly Dump'!B:B,C152,'Weekly Dump'!A:A,AB152)</f>
        <v>0</v>
      </c>
      <c r="Y152" s="4">
        <f t="shared" si="22"/>
        <v>78</v>
      </c>
      <c r="Z152" s="41"/>
      <c r="AA152" s="12" t="str">
        <f>iferror(IF(VLOOKUP(C152,'Weekly Dump'!B:B,1,0)=C152,"Yes","Missing"),"")</f>
        <v/>
      </c>
      <c r="AB152" s="60">
        <v>46167.0</v>
      </c>
    </row>
    <row r="153">
      <c r="A153" s="38" t="s">
        <v>128</v>
      </c>
      <c r="B153" s="2"/>
      <c r="C153" s="2" t="str">
        <f t="shared" si="23"/>
        <v/>
      </c>
      <c r="D153" s="3" t="s">
        <v>114</v>
      </c>
      <c r="E153" s="38" t="s">
        <v>88</v>
      </c>
      <c r="F153" s="3" t="str">
        <f t="shared" ref="F153:F154" si="24">IFERROR(VLOOKUP($D153,Sheet3!$N:$Q,3,0),"")</f>
        <v/>
      </c>
      <c r="G153" s="3" t="str">
        <f t="shared" ref="G153:G154" si="25">IFERROR(VLOOKUP($D153,Sheet3!$N:$Q,4,0),"")</f>
        <v/>
      </c>
      <c r="I153" s="4">
        <f>SUMIFS('Weekly Dump'!D:D,'Weekly Dump'!B:B,C153)</f>
        <v>0</v>
      </c>
      <c r="J153" s="5">
        <f>SUMIFS('Weekly Dump'!AE:AE,'Weekly Dump'!B:B,C153)</f>
        <v>0</v>
      </c>
      <c r="K153" s="4">
        <f>SUMPRODUCT(
  (TEXT('Weekly Dump'!$A$2:$A1009,"mmm-yy")=TEXT($AB153,"mmm-yy"))*
  ('Weekly Dump'!$B$2:$B1009=$C153)*
  'Weekly Dump'!$D$2:$D1009)</f>
        <v>0</v>
      </c>
      <c r="L153" s="4">
        <f>SUMPRODUCT(
  (TEXT('Weekly Dump'!$A$2:$A1009,"mmm-yy")=TEXT($AB153,"mmm-yy"))*
  ('Weekly Dump'!$B$2:$B1009=$C153)*
  'Weekly Dump'!$E$2:$E1009
)</f>
        <v>0</v>
      </c>
      <c r="M153" s="4">
        <f>SUMPRODUCT(
  (TEXT('Weekly Dump'!$A$2:$A1009,"mmm-yy")=TEXT($AB153,"mmm-yy"))*
  ('Weekly Dump'!$B$2:$B1009=$C153)*
  'Weekly Dump'!$P$2:$P1009
)</f>
        <v>0</v>
      </c>
      <c r="N153" s="39"/>
      <c r="O153" s="40">
        <f>SUMIFS('Weekly Dump'!$D:$D,'Weekly Dump'!$B:$B,$C153,'Weekly Dump'!$A:$A,$AB153)</f>
        <v>0</v>
      </c>
      <c r="P153" s="40">
        <f>SUMIFS('Weekly Dump'!R:R,'Weekly Dump'!B:B,C153,'Weekly Dump'!A:A,AB153)</f>
        <v>0</v>
      </c>
      <c r="Q153" s="40">
        <f t="shared" si="20"/>
        <v>0</v>
      </c>
      <c r="R153" s="41"/>
      <c r="T153" s="4">
        <f>SUMIFS('Weekly Dump'!E:E,'Weekly Dump'!B:B,C153,'Weekly Dump'!A:A,AB153)</f>
        <v>0</v>
      </c>
      <c r="U153" s="3">
        <f t="shared" si="21"/>
        <v>0</v>
      </c>
      <c r="V153" s="42"/>
      <c r="W153" s="62">
        <v>78.0</v>
      </c>
      <c r="X153" s="4">
        <f>SUMIFS('Weekly Dump'!P:P,'Weekly Dump'!B:B,C153,'Weekly Dump'!A:A,AB153)</f>
        <v>0</v>
      </c>
      <c r="Y153" s="4">
        <f t="shared" si="22"/>
        <v>78</v>
      </c>
      <c r="Z153" s="41"/>
      <c r="AA153" s="12" t="str">
        <f>iferror(IF(VLOOKUP(C153,'Weekly Dump'!B:B,1,0)=C153,"Yes","Missing"),"")</f>
        <v/>
      </c>
      <c r="AB153" s="60">
        <v>46167.0</v>
      </c>
    </row>
    <row r="154">
      <c r="A154" s="38" t="s">
        <v>128</v>
      </c>
      <c r="B154" s="2"/>
      <c r="C154" s="2" t="str">
        <f t="shared" si="23"/>
        <v/>
      </c>
      <c r="D154" s="3" t="s">
        <v>115</v>
      </c>
      <c r="E154" s="38" t="s">
        <v>88</v>
      </c>
      <c r="F154" s="3" t="str">
        <f t="shared" si="24"/>
        <v/>
      </c>
      <c r="G154" s="3" t="str">
        <f t="shared" si="25"/>
        <v/>
      </c>
      <c r="I154" s="4">
        <f>SUMIFS('Weekly Dump'!D:D,'Weekly Dump'!B:B,C154)</f>
        <v>0</v>
      </c>
      <c r="J154" s="5">
        <f>SUMIFS('Weekly Dump'!AE:AE,'Weekly Dump'!B:B,C154)</f>
        <v>0</v>
      </c>
      <c r="K154" s="4">
        <f>SUMPRODUCT(
  (TEXT('Weekly Dump'!$A$2:$A1009,"mmm-yy")=TEXT($AB154,"mmm-yy"))*
  ('Weekly Dump'!$B$2:$B1009=$C154)*
  'Weekly Dump'!$D$2:$D1009)</f>
        <v>0</v>
      </c>
      <c r="L154" s="4">
        <f>SUMPRODUCT(
  (TEXT('Weekly Dump'!$A$2:$A1009,"mmm-yy")=TEXT($AB154,"mmm-yy"))*
  ('Weekly Dump'!$B$2:$B1009=$C154)*
  'Weekly Dump'!$E$2:$E1009
)</f>
        <v>0</v>
      </c>
      <c r="M154" s="4">
        <f>SUMPRODUCT(
  (TEXT('Weekly Dump'!$A$2:$A1009,"mmm-yy")=TEXT($AB154,"mmm-yy"))*
  ('Weekly Dump'!$B$2:$B1009=$C154)*
  'Weekly Dump'!$P$2:$P1009
)</f>
        <v>0</v>
      </c>
      <c r="N154" s="39"/>
      <c r="O154" s="40">
        <f>SUMIFS('Weekly Dump'!$D:$D,'Weekly Dump'!$B:$B,$C154,'Weekly Dump'!$A:$A,$AB154)</f>
        <v>0</v>
      </c>
      <c r="P154" s="40">
        <f>SUMIFS('Weekly Dump'!R:R,'Weekly Dump'!B:B,C154,'Weekly Dump'!A:A,AB154)</f>
        <v>0</v>
      </c>
      <c r="Q154" s="40">
        <f t="shared" si="20"/>
        <v>0</v>
      </c>
      <c r="R154" s="41"/>
      <c r="T154" s="4">
        <f>SUMIFS('Weekly Dump'!E:E,'Weekly Dump'!B:B,C154,'Weekly Dump'!A:A,AB154)</f>
        <v>0</v>
      </c>
      <c r="U154" s="3">
        <f t="shared" si="21"/>
        <v>0</v>
      </c>
      <c r="V154" s="42"/>
      <c r="W154" s="62">
        <v>78.0</v>
      </c>
      <c r="X154" s="4">
        <f>SUMIFS('Weekly Dump'!P:P,'Weekly Dump'!B:B,C154,'Weekly Dump'!A:A,AB154)</f>
        <v>0</v>
      </c>
      <c r="Y154" s="4">
        <f t="shared" si="22"/>
        <v>78</v>
      </c>
      <c r="Z154" s="41"/>
      <c r="AA154" s="12" t="str">
        <f>iferror(IF(VLOOKUP(C154,'Weekly Dump'!B:B,1,0)=C154,"Yes","Missing"),"")</f>
        <v/>
      </c>
      <c r="AB154" s="60">
        <v>46167.0</v>
      </c>
    </row>
    <row r="155">
      <c r="A155" s="38" t="s">
        <v>128</v>
      </c>
      <c r="B155" s="63"/>
      <c r="C155" s="64" t="s">
        <v>116</v>
      </c>
      <c r="D155" s="62" t="s">
        <v>117</v>
      </c>
      <c r="E155" s="3" t="s">
        <v>28</v>
      </c>
      <c r="G155" s="3" t="str">
        <f t="shared" ref="G155:G1009" si="26">IFERROR(VLOOKUP($D155,Sheet3!$N:$Q,5,0),"")</f>
        <v/>
      </c>
      <c r="I155" s="4">
        <f>SUMIFS('Weekly Dump'!D:D,'Weekly Dump'!B:B,C155)</f>
        <v>31</v>
      </c>
      <c r="J155" s="5">
        <f>SUMIFS('Weekly Dump'!AE:AE,'Weekly Dump'!B:B,C155)</f>
        <v>0</v>
      </c>
      <c r="K155" s="4">
        <f>SUMPRODUCT(
  (TEXT('Weekly Dump'!$A$2:$A1009,"mmm-yy")=TEXT($AB155,"mmm-yy"))*
  ('Weekly Dump'!$B$2:$B1009=$C155)*
  'Weekly Dump'!$D$2:$D1009)</f>
        <v>31</v>
      </c>
      <c r="L155" s="4">
        <f>SUMPRODUCT(
  (TEXT('Weekly Dump'!$A$2:$A1009,"mmm-yy")=TEXT($AB155,"mmm-yy"))*
  ('Weekly Dump'!$B$2:$B1009=$C155)*
  'Weekly Dump'!$E$2:$E1009
)</f>
        <v>0</v>
      </c>
      <c r="M155" s="4">
        <f>SUMPRODUCT(
  (TEXT('Weekly Dump'!$A$2:$A1009,"mmm-yy")=TEXT($AB155,"mmm-yy"))*
  ('Weekly Dump'!$B$2:$B1009=$C155)*
  'Weekly Dump'!$P$2:$P1009
)</f>
        <v>0</v>
      </c>
      <c r="N155" s="39">
        <v>20.0</v>
      </c>
      <c r="O155" s="40">
        <f>SUMIFS('Weekly Dump'!$D:$D,'Weekly Dump'!$B:$B,$C155,'Weekly Dump'!$A:$A,$AB155)</f>
        <v>0</v>
      </c>
      <c r="P155" s="40">
        <f>SUMIFS('Weekly Dump'!R:R,'Weekly Dump'!B:B,C155,'Weekly Dump'!A:A,AB155)</f>
        <v>0</v>
      </c>
      <c r="Q155" s="40">
        <f t="shared" si="20"/>
        <v>20</v>
      </c>
      <c r="R155" s="41"/>
      <c r="T155" s="4">
        <f>SUMIFS('Weekly Dump'!E:E,'Weekly Dump'!B:B,C155,'Weekly Dump'!A:A,AB155)</f>
        <v>0</v>
      </c>
      <c r="U155" s="3">
        <f t="shared" si="21"/>
        <v>0</v>
      </c>
      <c r="V155" s="42"/>
      <c r="W155" s="62">
        <v>78.0</v>
      </c>
      <c r="X155" s="4">
        <f>SUMIFS('Weekly Dump'!P:P,'Weekly Dump'!B:B,C155,'Weekly Dump'!A:A,AB155)</f>
        <v>0</v>
      </c>
      <c r="Y155" s="4">
        <f t="shared" si="22"/>
        <v>78</v>
      </c>
      <c r="Z155" s="41"/>
      <c r="AA155" s="12" t="str">
        <f>iferror(IF(VLOOKUP(C155,'Weekly Dump'!B:B,1,0)=C155,"Yes","Missing"),"")</f>
        <v>Yes</v>
      </c>
      <c r="AB155" s="60">
        <v>46167.0</v>
      </c>
    </row>
    <row r="156">
      <c r="A156" s="38" t="s">
        <v>128</v>
      </c>
      <c r="B156" s="63"/>
      <c r="C156" s="64" t="s">
        <v>118</v>
      </c>
      <c r="D156" s="62" t="s">
        <v>119</v>
      </c>
      <c r="E156" s="3" t="s">
        <v>28</v>
      </c>
      <c r="G156" s="3" t="str">
        <f t="shared" si="26"/>
        <v/>
      </c>
      <c r="I156" s="4">
        <f>SUMIFS('Weekly Dump'!D:D,'Weekly Dump'!B:B,C156)</f>
        <v>25</v>
      </c>
      <c r="J156" s="5">
        <f>SUMIFS('Weekly Dump'!AE:AE,'Weekly Dump'!B:B,C156)</f>
        <v>0</v>
      </c>
      <c r="K156" s="4">
        <f>SUMPRODUCT(
  (TEXT('Weekly Dump'!$A$2:$A1009,"mmm-yy")=TEXT($AB156,"mmm-yy"))*
  ('Weekly Dump'!$B$2:$B1009=$C156)*
  'Weekly Dump'!$D$2:$D1009)</f>
        <v>25</v>
      </c>
      <c r="L156" s="4">
        <f>SUMPRODUCT(
  (TEXT('Weekly Dump'!$A$2:$A1009,"mmm-yy")=TEXT($AB156,"mmm-yy"))*
  ('Weekly Dump'!$B$2:$B1009=$C156)*
  'Weekly Dump'!$E$2:$E1009
)</f>
        <v>0</v>
      </c>
      <c r="M156" s="4">
        <f>SUMPRODUCT(
  (TEXT('Weekly Dump'!$A$2:$A1009,"mmm-yy")=TEXT($AB156,"mmm-yy"))*
  ('Weekly Dump'!$B$2:$B1009=$C156)*
  'Weekly Dump'!$P$2:$P1009
)</f>
        <v>0</v>
      </c>
      <c r="N156" s="39">
        <v>20.0</v>
      </c>
      <c r="O156" s="40">
        <f>SUMIFS('Weekly Dump'!$D:$D,'Weekly Dump'!$B:$B,$C156,'Weekly Dump'!$A:$A,$AB156)</f>
        <v>0</v>
      </c>
      <c r="P156" s="40">
        <f>SUMIFS('Weekly Dump'!R:R,'Weekly Dump'!B:B,C156,'Weekly Dump'!A:A,AB156)</f>
        <v>0</v>
      </c>
      <c r="Q156" s="40">
        <f t="shared" si="20"/>
        <v>20</v>
      </c>
      <c r="R156" s="41"/>
      <c r="T156" s="4">
        <f>SUMIFS('Weekly Dump'!E:E,'Weekly Dump'!B:B,C156,'Weekly Dump'!A:A,AB156)</f>
        <v>0</v>
      </c>
      <c r="U156" s="3">
        <f t="shared" si="21"/>
        <v>0</v>
      </c>
      <c r="V156" s="42"/>
      <c r="W156" s="62">
        <v>78.0</v>
      </c>
      <c r="X156" s="4">
        <f>SUMIFS('Weekly Dump'!P:P,'Weekly Dump'!B:B,C156,'Weekly Dump'!A:A,AB156)</f>
        <v>0</v>
      </c>
      <c r="Y156" s="4">
        <f t="shared" si="22"/>
        <v>78</v>
      </c>
      <c r="Z156" s="41"/>
      <c r="AA156" s="12" t="str">
        <f>iferror(IF(VLOOKUP(C156,'Weekly Dump'!B:B,1,0)=C156,"Yes","Missing"),"")</f>
        <v>Yes</v>
      </c>
      <c r="AB156" s="60">
        <v>46167.0</v>
      </c>
    </row>
    <row r="157">
      <c r="A157" s="38" t="s">
        <v>128</v>
      </c>
      <c r="B157" s="63"/>
      <c r="C157" s="64" t="s">
        <v>120</v>
      </c>
      <c r="D157" s="62" t="s">
        <v>121</v>
      </c>
      <c r="E157" s="3" t="s">
        <v>28</v>
      </c>
      <c r="G157" s="3" t="str">
        <f t="shared" si="26"/>
        <v/>
      </c>
      <c r="I157" s="4">
        <f>SUMIFS('Weekly Dump'!D:D,'Weekly Dump'!B:B,C157)</f>
        <v>5</v>
      </c>
      <c r="J157" s="5">
        <f>SUMIFS('Weekly Dump'!AE:AE,'Weekly Dump'!B:B,C157)</f>
        <v>0</v>
      </c>
      <c r="K157" s="4">
        <f>SUMPRODUCT(
  (TEXT('Weekly Dump'!$A$2:$A1009,"mmm-yy")=TEXT($AB157,"mmm-yy"))*
  ('Weekly Dump'!$B$2:$B1009=$C157)*
  'Weekly Dump'!$D$2:$D1009)</f>
        <v>5</v>
      </c>
      <c r="L157" s="4">
        <f>SUMPRODUCT(
  (TEXT('Weekly Dump'!$A$2:$A1009,"mmm-yy")=TEXT($AB157,"mmm-yy"))*
  ('Weekly Dump'!$B$2:$B1009=$C157)*
  'Weekly Dump'!$E$2:$E1009
)</f>
        <v>0</v>
      </c>
      <c r="M157" s="4">
        <f>SUMPRODUCT(
  (TEXT('Weekly Dump'!$A$2:$A1009,"mmm-yy")=TEXT($AB157,"mmm-yy"))*
  ('Weekly Dump'!$B$2:$B1009=$C157)*
  'Weekly Dump'!$P$2:$P1009
)</f>
        <v>0</v>
      </c>
      <c r="N157" s="39">
        <v>25.0</v>
      </c>
      <c r="O157" s="40">
        <f>SUMIFS('Weekly Dump'!$D:$D,'Weekly Dump'!$B:$B,$C157,'Weekly Dump'!$A:$A,$AB157)</f>
        <v>0</v>
      </c>
      <c r="P157" s="40">
        <f>SUMIFS('Weekly Dump'!R:R,'Weekly Dump'!B:B,C157,'Weekly Dump'!A:A,AB157)</f>
        <v>0</v>
      </c>
      <c r="Q157" s="40">
        <f t="shared" si="20"/>
        <v>25</v>
      </c>
      <c r="R157" s="41"/>
      <c r="T157" s="4">
        <f>SUMIFS('Weekly Dump'!E:E,'Weekly Dump'!B:B,C157,'Weekly Dump'!A:A,AB157)</f>
        <v>0</v>
      </c>
      <c r="U157" s="3">
        <f t="shared" si="21"/>
        <v>0</v>
      </c>
      <c r="V157" s="42"/>
      <c r="W157" s="62">
        <v>78.0</v>
      </c>
      <c r="X157" s="4">
        <f>SUMIFS('Weekly Dump'!P:P,'Weekly Dump'!B:B,C157,'Weekly Dump'!A:A,AB157)</f>
        <v>0</v>
      </c>
      <c r="Y157" s="4">
        <f t="shared" si="22"/>
        <v>78</v>
      </c>
      <c r="Z157" s="41"/>
      <c r="AA157" s="12" t="str">
        <f>iferror(IF(VLOOKUP(C157,'Weekly Dump'!B:B,1,0)=C157,"Yes","Missing"),"")</f>
        <v>Yes</v>
      </c>
      <c r="AB157" s="60">
        <v>46167.0</v>
      </c>
    </row>
    <row r="158">
      <c r="A158" s="38" t="s">
        <v>128</v>
      </c>
      <c r="B158" s="63"/>
      <c r="C158" s="64" t="s">
        <v>122</v>
      </c>
      <c r="D158" s="62" t="s">
        <v>123</v>
      </c>
      <c r="E158" s="3" t="s">
        <v>28</v>
      </c>
      <c r="G158" s="3" t="str">
        <f t="shared" si="26"/>
        <v/>
      </c>
      <c r="I158" s="4">
        <f>SUMIFS('Weekly Dump'!D:D,'Weekly Dump'!B:B,C158)</f>
        <v>24</v>
      </c>
      <c r="J158" s="5">
        <f>SUMIFS('Weekly Dump'!AE:AE,'Weekly Dump'!B:B,C158)</f>
        <v>0</v>
      </c>
      <c r="K158" s="4">
        <f>SUMPRODUCT(
  (TEXT('Weekly Dump'!$A$2:$A1009,"mmm-yy")=TEXT($AB158,"mmm-yy"))*
  ('Weekly Dump'!$B$2:$B1009=$C158)*
  'Weekly Dump'!$D$2:$D1009)</f>
        <v>24</v>
      </c>
      <c r="L158" s="4">
        <f>SUMPRODUCT(
  (TEXT('Weekly Dump'!$A$2:$A1009,"mmm-yy")=TEXT($AB158,"mmm-yy"))*
  ('Weekly Dump'!$B$2:$B1009=$C158)*
  'Weekly Dump'!$E$2:$E1009
)</f>
        <v>0</v>
      </c>
      <c r="M158" s="4">
        <f>SUMPRODUCT(
  (TEXT('Weekly Dump'!$A$2:$A1009,"mmm-yy")=TEXT($AB158,"mmm-yy"))*
  ('Weekly Dump'!$B$2:$B1009=$C158)*
  'Weekly Dump'!$P$2:$P1009
)</f>
        <v>0</v>
      </c>
      <c r="N158" s="39" t="s">
        <v>129</v>
      </c>
      <c r="O158" s="40">
        <f>SUMIFS('Weekly Dump'!$D:$D,'Weekly Dump'!$B:$B,$C158,'Weekly Dump'!$A:$A,$AB158)</f>
        <v>0</v>
      </c>
      <c r="P158" s="40">
        <f>SUMIFS('Weekly Dump'!R:R,'Weekly Dump'!B:B,C158,'Weekly Dump'!A:A,AB158)</f>
        <v>0</v>
      </c>
      <c r="Q158" s="4" t="str">
        <f t="shared" si="20"/>
        <v>#VALUE!</v>
      </c>
      <c r="R158" s="41"/>
      <c r="T158" s="4">
        <f>SUMIFS('Weekly Dump'!E:E,'Weekly Dump'!B:B,C158,'Weekly Dump'!A:A,AB158)</f>
        <v>0</v>
      </c>
      <c r="U158" s="3">
        <f t="shared" si="21"/>
        <v>0</v>
      </c>
      <c r="V158" s="42"/>
      <c r="W158" s="62">
        <v>78.0</v>
      </c>
      <c r="X158" s="4">
        <f>SUMIFS('Weekly Dump'!P:P,'Weekly Dump'!B:B,C158,'Weekly Dump'!A:A,AB158)</f>
        <v>0</v>
      </c>
      <c r="Y158" s="4">
        <f t="shared" si="22"/>
        <v>78</v>
      </c>
      <c r="Z158" s="41"/>
      <c r="AA158" s="12" t="str">
        <f>iferror(IF(VLOOKUP(C158,'Weekly Dump'!B:B,1,0)=C158,"Yes","Missing"),"")</f>
        <v>Yes</v>
      </c>
      <c r="AB158" s="60">
        <v>46167.0</v>
      </c>
    </row>
    <row r="159">
      <c r="A159" s="38" t="s">
        <v>128</v>
      </c>
      <c r="B159" s="63"/>
      <c r="C159" s="64" t="s">
        <v>124</v>
      </c>
      <c r="D159" s="62" t="s">
        <v>125</v>
      </c>
      <c r="E159" s="3" t="s">
        <v>28</v>
      </c>
      <c r="G159" s="3" t="str">
        <f t="shared" si="26"/>
        <v/>
      </c>
      <c r="I159" s="4">
        <f>SUMIFS('Weekly Dump'!D:D,'Weekly Dump'!B:B,C159)</f>
        <v>12</v>
      </c>
      <c r="J159" s="5">
        <f>SUMIFS('Weekly Dump'!AE:AE,'Weekly Dump'!B:B,C159)</f>
        <v>0</v>
      </c>
      <c r="K159" s="4">
        <f>SUMPRODUCT(
  (TEXT('Weekly Dump'!$A$2:$A1009,"mmm-yy")=TEXT($AB159,"mmm-yy"))*
  ('Weekly Dump'!$B$2:$B1009=$C159)*
  'Weekly Dump'!$D$2:$D1009)</f>
        <v>12</v>
      </c>
      <c r="L159" s="4">
        <f>SUMPRODUCT(
  (TEXT('Weekly Dump'!$A$2:$A1009,"mmm-yy")=TEXT($AB159,"mmm-yy"))*
  ('Weekly Dump'!$B$2:$B1009=$C159)*
  'Weekly Dump'!$E$2:$E1009
)</f>
        <v>0</v>
      </c>
      <c r="M159" s="4">
        <f>SUMPRODUCT(
  (TEXT('Weekly Dump'!$A$2:$A1009,"mmm-yy")=TEXT($AB159,"mmm-yy"))*
  ('Weekly Dump'!$B$2:$B1009=$C159)*
  'Weekly Dump'!$P$2:$P1009
)</f>
        <v>0</v>
      </c>
      <c r="N159" s="39" t="s">
        <v>129</v>
      </c>
      <c r="O159" s="40">
        <f>SUMIFS('Weekly Dump'!$D:$D,'Weekly Dump'!$B:$B,$C159,'Weekly Dump'!$A:$A,$AB159)</f>
        <v>0</v>
      </c>
      <c r="P159" s="40">
        <f>SUMIFS('Weekly Dump'!R:R,'Weekly Dump'!B:B,C159,'Weekly Dump'!A:A,AB159)</f>
        <v>0</v>
      </c>
      <c r="Q159" s="4" t="str">
        <f t="shared" si="20"/>
        <v>#VALUE!</v>
      </c>
      <c r="R159" s="41"/>
      <c r="T159" s="4">
        <f>SUMIFS('Weekly Dump'!E:E,'Weekly Dump'!B:B,C159,'Weekly Dump'!A:A,AB159)</f>
        <v>0</v>
      </c>
      <c r="U159" s="3">
        <f t="shared" si="21"/>
        <v>0</v>
      </c>
      <c r="V159" s="42"/>
      <c r="W159" s="62">
        <v>78.0</v>
      </c>
      <c r="X159" s="4">
        <f>SUMIFS('Weekly Dump'!P:P,'Weekly Dump'!B:B,C159,'Weekly Dump'!A:A,AB159)</f>
        <v>0</v>
      </c>
      <c r="Y159" s="4">
        <f t="shared" si="22"/>
        <v>78</v>
      </c>
      <c r="Z159" s="41"/>
      <c r="AA159" s="12" t="str">
        <f>iferror(IF(VLOOKUP(C159,'Weekly Dump'!B:B,1,0)=C159,"Yes","Missing"),"")</f>
        <v>Yes</v>
      </c>
      <c r="AB159" s="60">
        <v>46167.0</v>
      </c>
    </row>
    <row r="160">
      <c r="B160" s="63"/>
      <c r="C160" s="63"/>
      <c r="G160" s="3" t="str">
        <f t="shared" si="26"/>
        <v/>
      </c>
      <c r="I160" s="4">
        <f>SUMIFS('Weekly Dump'!D:D,'Weekly Dump'!B:B,C160)</f>
        <v>0</v>
      </c>
      <c r="J160" s="5">
        <f>SUMIFS('Weekly Dump'!AE:AE,'Weekly Dump'!B:B,C160)</f>
        <v>0</v>
      </c>
      <c r="K160" s="4">
        <f>SUMPRODUCT(
  (TEXT('Weekly Dump'!$A$2:$A1009,"mmm-yy")=TEXT($AB160,"mmm-yy"))*
  ('Weekly Dump'!$B$2:$B1009=$C160)*
  'Weekly Dump'!$D$2:$D1009)</f>
        <v>0</v>
      </c>
      <c r="L160" s="4">
        <f>SUMPRODUCT(
  (TEXT('Weekly Dump'!$A$2:$A1009,"mmm-yy")=TEXT($AB160,"mmm-yy"))*
  ('Weekly Dump'!$B$2:$B1009=$C160)*
  'Weekly Dump'!$E$2:$E1009
)</f>
        <v>0</v>
      </c>
      <c r="M160" s="4">
        <f>SUMPRODUCT(
  (TEXT('Weekly Dump'!$A$2:$A1009,"mmm-yy")=TEXT($AB160,"mmm-yy"))*
  ('Weekly Dump'!$B$2:$B1009=$C160)*
  'Weekly Dump'!$P$2:$P1009
)</f>
        <v>0</v>
      </c>
      <c r="N160" s="39"/>
      <c r="O160" s="65"/>
      <c r="P160" s="40">
        <f>SUMIFS('Weekly Dump'!R:R,'Weekly Dump'!B:B,C160,'Weekly Dump'!A:A,AB160)</f>
        <v>0</v>
      </c>
      <c r="Q160" s="40">
        <f t="shared" si="20"/>
        <v>0</v>
      </c>
      <c r="R160" s="41"/>
      <c r="T160" s="4">
        <f>SUMIFS('Weekly Dump'!E:E,'Weekly Dump'!B:B,C160,'Weekly Dump'!A:A,AB160)</f>
        <v>0</v>
      </c>
      <c r="U160" s="3">
        <f t="shared" si="21"/>
        <v>0</v>
      </c>
      <c r="V160" s="42"/>
      <c r="X160" s="4">
        <f>SUMIFS('Weekly Dump'!P:P,'Weekly Dump'!B:B,C160,'Weekly Dump'!A:A,AB160)</f>
        <v>0</v>
      </c>
      <c r="Y160" s="4">
        <f t="shared" si="22"/>
        <v>0</v>
      </c>
      <c r="Z160" s="41"/>
      <c r="AA160" s="12" t="str">
        <f>iferror(IF(VLOOKUP(C160,'Weekly Dump'!B:B,1,0)=C160,"Yes","Missing"),"")</f>
        <v/>
      </c>
      <c r="AB160" s="66"/>
    </row>
    <row r="161">
      <c r="B161" s="63"/>
      <c r="C161" s="63"/>
      <c r="G161" s="3" t="str">
        <f t="shared" si="26"/>
        <v/>
      </c>
      <c r="I161" s="4">
        <f>SUMIFS('Weekly Dump'!D:D,'Weekly Dump'!B:B,C161)</f>
        <v>0</v>
      </c>
      <c r="J161" s="5">
        <f>SUMIFS('Weekly Dump'!AE:AE,'Weekly Dump'!B:B,C161)</f>
        <v>0</v>
      </c>
      <c r="K161" s="4">
        <f>SUMPRODUCT(
  (TEXT('Weekly Dump'!$A$2:$A1009,"mmm-yy")=TEXT($AB161,"mmm-yy"))*
  ('Weekly Dump'!$B$2:$B1009=$C161)*
  'Weekly Dump'!$D$2:$D1009)</f>
        <v>0</v>
      </c>
      <c r="L161" s="4">
        <f>SUMPRODUCT(
  (TEXT('Weekly Dump'!$A$2:$A1009,"mmm-yy")=TEXT($AB161,"mmm-yy"))*
  ('Weekly Dump'!$B$2:$B1009=$C161)*
  'Weekly Dump'!$E$2:$E1009
)</f>
        <v>0</v>
      </c>
      <c r="M161" s="4">
        <f>SUMPRODUCT(
  (TEXT('Weekly Dump'!$A$2:$A1009,"mmm-yy")=TEXT($AB161,"mmm-yy"))*
  ('Weekly Dump'!$B$2:$B1009=$C161)*
  'Weekly Dump'!$P$2:$P1009
)</f>
        <v>0</v>
      </c>
      <c r="N161" s="39"/>
      <c r="O161" s="40">
        <f>SUMIFS('Weekly Dump'!$D:$D,'Weekly Dump'!$B:$B,$C161,'Weekly Dump'!$A:$A,$AB161)</f>
        <v>0</v>
      </c>
      <c r="P161" s="40">
        <f>SUMIFS('Weekly Dump'!R:R,'Weekly Dump'!B:B,C161,'Weekly Dump'!A:A,AB161)</f>
        <v>0</v>
      </c>
      <c r="Q161" s="40">
        <f t="shared" si="20"/>
        <v>0</v>
      </c>
      <c r="R161" s="41"/>
      <c r="T161" s="4">
        <f>SUMIFS('Weekly Dump'!E:E,'Weekly Dump'!B:B,C161,'Weekly Dump'!A:A,AB161)</f>
        <v>0</v>
      </c>
      <c r="U161" s="3">
        <f t="shared" si="21"/>
        <v>0</v>
      </c>
      <c r="V161" s="42"/>
      <c r="X161" s="4">
        <f>SUMIFS('Weekly Dump'!P:P,'Weekly Dump'!B:B,C161,'Weekly Dump'!A:A,AB161)</f>
        <v>0</v>
      </c>
      <c r="Y161" s="4">
        <f t="shared" si="22"/>
        <v>0</v>
      </c>
      <c r="Z161" s="41"/>
      <c r="AA161" s="12" t="str">
        <f>iferror(IF(VLOOKUP(C161,'Weekly Dump'!B:B,1,0)=C161,"Yes","Missing"),"")</f>
        <v/>
      </c>
      <c r="AB161" s="66"/>
    </row>
    <row r="162">
      <c r="B162" s="63"/>
      <c r="C162" s="63"/>
      <c r="G162" s="3" t="str">
        <f t="shared" si="26"/>
        <v/>
      </c>
      <c r="I162" s="4">
        <f>SUMIFS('Weekly Dump'!D:D,'Weekly Dump'!B:B,C162)</f>
        <v>0</v>
      </c>
      <c r="J162" s="5">
        <f>SUMIFS('Weekly Dump'!AE:AE,'Weekly Dump'!B:B,C162)</f>
        <v>0</v>
      </c>
      <c r="K162" s="4">
        <f>SUMPRODUCT(
  (TEXT('Weekly Dump'!$A$2:$A1009,"mmm-yy")=TEXT($AB162,"mmm-yy"))*
  ('Weekly Dump'!$B$2:$B1009=$C162)*
  'Weekly Dump'!$D$2:$D1009)</f>
        <v>0</v>
      </c>
      <c r="L162" s="4">
        <f>SUMPRODUCT(
  (TEXT('Weekly Dump'!$A$2:$A1009,"mmm-yy")=TEXT($AB162,"mmm-yy"))*
  ('Weekly Dump'!$B$2:$B1009=$C162)*
  'Weekly Dump'!$E$2:$E1009
)</f>
        <v>0</v>
      </c>
      <c r="M162" s="4">
        <f>SUMPRODUCT(
  (TEXT('Weekly Dump'!$A$2:$A1009,"mmm-yy")=TEXT($AB162,"mmm-yy"))*
  ('Weekly Dump'!$B$2:$B1009=$C162)*
  'Weekly Dump'!$P$2:$P1009
)</f>
        <v>0</v>
      </c>
      <c r="N162" s="39"/>
      <c r="O162" s="40">
        <f>SUMIFS('Weekly Dump'!$D:$D,'Weekly Dump'!$B:$B,$C162,'Weekly Dump'!$A:$A,$AB162)</f>
        <v>0</v>
      </c>
      <c r="P162" s="40">
        <f>SUMIFS('Weekly Dump'!R:R,'Weekly Dump'!B:B,C162,'Weekly Dump'!A:A,AB162)</f>
        <v>0</v>
      </c>
      <c r="Q162" s="40">
        <f t="shared" si="20"/>
        <v>0</v>
      </c>
      <c r="R162" s="41"/>
      <c r="T162" s="4">
        <f>SUMIFS('Weekly Dump'!E:E,'Weekly Dump'!B:B,C162,'Weekly Dump'!A:A,AB162)</f>
        <v>0</v>
      </c>
      <c r="U162" s="3">
        <f t="shared" si="21"/>
        <v>0</v>
      </c>
      <c r="V162" s="42"/>
      <c r="X162" s="4">
        <f>SUMIFS('Weekly Dump'!P:P,'Weekly Dump'!B:B,C162,'Weekly Dump'!A:A,AB162)</f>
        <v>0</v>
      </c>
      <c r="Y162" s="4">
        <f t="shared" si="22"/>
        <v>0</v>
      </c>
      <c r="Z162" s="41"/>
      <c r="AA162" s="12" t="str">
        <f>iferror(IF(VLOOKUP(C162,'Weekly Dump'!B:B,1,0)=C162,"Yes","Missing"),"")</f>
        <v/>
      </c>
      <c r="AB162" s="66"/>
    </row>
    <row r="163">
      <c r="B163" s="63"/>
      <c r="C163" s="63"/>
      <c r="G163" s="3" t="str">
        <f t="shared" si="26"/>
        <v/>
      </c>
      <c r="I163" s="4">
        <f>SUMIFS('Weekly Dump'!D:D,'Weekly Dump'!B:B,C163)</f>
        <v>0</v>
      </c>
      <c r="J163" s="5">
        <f>SUMIFS('Weekly Dump'!AE:AE,'Weekly Dump'!B:B,C163)</f>
        <v>0</v>
      </c>
      <c r="K163" s="4">
        <f>SUMPRODUCT(
  (TEXT('Weekly Dump'!$A$2:$A1009,"mmm-yy")=TEXT($AB163,"mmm-yy"))*
  ('Weekly Dump'!$B$2:$B1009=$C163)*
  'Weekly Dump'!$D$2:$D1009)</f>
        <v>0</v>
      </c>
      <c r="L163" s="4">
        <f>SUMPRODUCT(
  (TEXT('Weekly Dump'!$A$2:$A1009,"mmm-yy")=TEXT($AB163,"mmm-yy"))*
  ('Weekly Dump'!$B$2:$B1009=$C163)*
  'Weekly Dump'!$E$2:$E1009
)</f>
        <v>0</v>
      </c>
      <c r="M163" s="4">
        <f>SUMPRODUCT(
  (TEXT('Weekly Dump'!$A$2:$A1009,"mmm-yy")=TEXT($AB163,"mmm-yy"))*
  ('Weekly Dump'!$B$2:$B1009=$C163)*
  'Weekly Dump'!$P$2:$P1009
)</f>
        <v>0</v>
      </c>
      <c r="N163" s="39"/>
      <c r="O163" s="40">
        <f>SUMIFS('Weekly Dump'!$D:$D,'Weekly Dump'!$B:$B,$C163,'Weekly Dump'!$A:$A,$AB163)</f>
        <v>0</v>
      </c>
      <c r="P163" s="40">
        <f>SUMIFS('Weekly Dump'!R:R,'Weekly Dump'!B:B,C163,'Weekly Dump'!A:A,AB163)</f>
        <v>0</v>
      </c>
      <c r="Q163" s="40">
        <f t="shared" si="20"/>
        <v>0</v>
      </c>
      <c r="R163" s="41"/>
      <c r="T163" s="4">
        <f>SUMIFS('Weekly Dump'!E:E,'Weekly Dump'!B:B,C163,'Weekly Dump'!A:A,AB163)</f>
        <v>0</v>
      </c>
      <c r="U163" s="3">
        <f t="shared" si="21"/>
        <v>0</v>
      </c>
      <c r="V163" s="42"/>
      <c r="X163" s="4">
        <f>SUMIFS('Weekly Dump'!P:P,'Weekly Dump'!B:B,C163,'Weekly Dump'!A:A,AB163)</f>
        <v>0</v>
      </c>
      <c r="Y163" s="4">
        <f t="shared" si="22"/>
        <v>0</v>
      </c>
      <c r="Z163" s="41"/>
      <c r="AA163" s="12" t="str">
        <f>iferror(IF(VLOOKUP(C163,'Weekly Dump'!B:B,1,0)=C163,"Yes","Missing"),"")</f>
        <v/>
      </c>
      <c r="AB163" s="66"/>
    </row>
    <row r="164">
      <c r="B164" s="63"/>
      <c r="C164" s="63"/>
      <c r="G164" s="3" t="str">
        <f t="shared" si="26"/>
        <v/>
      </c>
      <c r="I164" s="4">
        <f>SUMIFS('Weekly Dump'!D:D,'Weekly Dump'!B:B,C164)</f>
        <v>0</v>
      </c>
      <c r="J164" s="5">
        <f>SUMIFS('Weekly Dump'!AE:AE,'Weekly Dump'!B:B,C164)</f>
        <v>0</v>
      </c>
      <c r="K164" s="4">
        <f>SUMPRODUCT(
  (TEXT('Weekly Dump'!$A$2:$A1009,"mmm-yy")=TEXT($AB164,"mmm-yy"))*
  ('Weekly Dump'!$B$2:$B1009=$C164)*
  'Weekly Dump'!$D$2:$D1009)</f>
        <v>0</v>
      </c>
      <c r="L164" s="4">
        <f>SUMPRODUCT(
  (TEXT('Weekly Dump'!$A$2:$A1009,"mmm-yy")=TEXT($AB164,"mmm-yy"))*
  ('Weekly Dump'!$B$2:$B1009=$C164)*
  'Weekly Dump'!$E$2:$E1009
)</f>
        <v>0</v>
      </c>
      <c r="M164" s="4">
        <f>SUMPRODUCT(
  (TEXT('Weekly Dump'!$A$2:$A1009,"mmm-yy")=TEXT($AB164,"mmm-yy"))*
  ('Weekly Dump'!$B$2:$B1009=$C164)*
  'Weekly Dump'!$P$2:$P1009
)</f>
        <v>0</v>
      </c>
      <c r="N164" s="39"/>
      <c r="O164" s="40">
        <f>SUMIFS('Weekly Dump'!$D:$D,'Weekly Dump'!$B:$B,$C164,'Weekly Dump'!$A:$A,$AB164)</f>
        <v>0</v>
      </c>
      <c r="P164" s="40">
        <f>SUMIFS('Weekly Dump'!R:R,'Weekly Dump'!B:B,C164,'Weekly Dump'!A:A,AB164)</f>
        <v>0</v>
      </c>
      <c r="Q164" s="40">
        <f t="shared" si="20"/>
        <v>0</v>
      </c>
      <c r="R164" s="41"/>
      <c r="T164" s="4">
        <f>SUMIFS('Weekly Dump'!E:E,'Weekly Dump'!B:B,C164,'Weekly Dump'!A:A,AB164)</f>
        <v>0</v>
      </c>
      <c r="U164" s="3">
        <f t="shared" si="21"/>
        <v>0</v>
      </c>
      <c r="V164" s="42"/>
      <c r="X164" s="4">
        <f>SUMIFS('Weekly Dump'!P:P,'Weekly Dump'!B:B,C164,'Weekly Dump'!A:A,AB164)</f>
        <v>0</v>
      </c>
      <c r="Y164" s="4">
        <f t="shared" si="22"/>
        <v>0</v>
      </c>
      <c r="Z164" s="41"/>
      <c r="AA164" s="12" t="str">
        <f>iferror(IF(VLOOKUP(C164,'Weekly Dump'!B:B,1,0)=C164,"Yes","Missing"),"")</f>
        <v/>
      </c>
      <c r="AB164" s="66"/>
    </row>
    <row r="165">
      <c r="B165" s="63"/>
      <c r="C165" s="63"/>
      <c r="G165" s="3" t="str">
        <f t="shared" si="26"/>
        <v/>
      </c>
      <c r="I165" s="4">
        <f>SUMIFS('Weekly Dump'!D:D,'Weekly Dump'!B:B,C165)</f>
        <v>0</v>
      </c>
      <c r="J165" s="5">
        <f>SUMIFS('Weekly Dump'!AE:AE,'Weekly Dump'!B:B,C165)</f>
        <v>0</v>
      </c>
      <c r="K165" s="4">
        <f>SUMPRODUCT(
  (TEXT('Weekly Dump'!$A$2:$A1009,"mmm-yy")=TEXT($AB165,"mmm-yy"))*
  ('Weekly Dump'!$B$2:$B1009=$C165)*
  'Weekly Dump'!$D$2:$D1009)</f>
        <v>0</v>
      </c>
      <c r="L165" s="4">
        <f>SUMPRODUCT(
  (TEXT('Weekly Dump'!$A$2:$A1009,"mmm-yy")=TEXT($AB165,"mmm-yy"))*
  ('Weekly Dump'!$B$2:$B1009=$C165)*
  'Weekly Dump'!$E$2:$E1009
)</f>
        <v>0</v>
      </c>
      <c r="M165" s="4">
        <f>SUMPRODUCT(
  (TEXT('Weekly Dump'!$A$2:$A1009,"mmm-yy")=TEXT($AB165,"mmm-yy"))*
  ('Weekly Dump'!$B$2:$B1009=$C165)*
  'Weekly Dump'!$P$2:$P1009
)</f>
        <v>0</v>
      </c>
      <c r="N165" s="39"/>
      <c r="O165" s="40">
        <f>SUMIFS('Weekly Dump'!$D:$D,'Weekly Dump'!$B:$B,$C165,'Weekly Dump'!$A:$A,$AB165)</f>
        <v>0</v>
      </c>
      <c r="P165" s="40">
        <f>SUMIFS('Weekly Dump'!R:R,'Weekly Dump'!B:B,C165,'Weekly Dump'!A:A,AB165)</f>
        <v>0</v>
      </c>
      <c r="Q165" s="40">
        <f t="shared" si="20"/>
        <v>0</v>
      </c>
      <c r="R165" s="41"/>
      <c r="T165" s="4">
        <f>SUMIFS('Weekly Dump'!E:E,'Weekly Dump'!B:B,C165,'Weekly Dump'!A:A,AB165)</f>
        <v>0</v>
      </c>
      <c r="U165" s="3">
        <f t="shared" si="21"/>
        <v>0</v>
      </c>
      <c r="V165" s="42"/>
      <c r="X165" s="4">
        <f>SUMIFS('Weekly Dump'!P:P,'Weekly Dump'!B:B,C165,'Weekly Dump'!A:A,AB165)</f>
        <v>0</v>
      </c>
      <c r="Y165" s="4">
        <f t="shared" si="22"/>
        <v>0</v>
      </c>
      <c r="Z165" s="41"/>
      <c r="AA165" s="12" t="str">
        <f>iferror(IF(VLOOKUP(C165,'Weekly Dump'!B:B,1,0)=C165,"Yes","Missing"),"")</f>
        <v/>
      </c>
      <c r="AB165" s="66"/>
    </row>
    <row r="166">
      <c r="B166" s="63"/>
      <c r="C166" s="63"/>
      <c r="G166" s="3" t="str">
        <f t="shared" si="26"/>
        <v/>
      </c>
      <c r="I166" s="4">
        <f>SUMIFS('Weekly Dump'!D:D,'Weekly Dump'!B:B,C166)</f>
        <v>0</v>
      </c>
      <c r="J166" s="5">
        <f>SUMIFS('Weekly Dump'!AE:AE,'Weekly Dump'!B:B,C166)</f>
        <v>0</v>
      </c>
      <c r="K166" s="4">
        <f>SUMPRODUCT(
  (TEXT('Weekly Dump'!$A$2:$A1009,"mmm-yy")=TEXT($AB166,"mmm-yy"))*
  ('Weekly Dump'!$B$2:$B1009=$C166)*
  'Weekly Dump'!$D$2:$D1009)</f>
        <v>0</v>
      </c>
      <c r="L166" s="4">
        <f>SUMPRODUCT(
  (TEXT('Weekly Dump'!$A$2:$A1009,"mmm-yy")=TEXT($AB166,"mmm-yy"))*
  ('Weekly Dump'!$B$2:$B1009=$C166)*
  'Weekly Dump'!$E$2:$E1009
)</f>
        <v>0</v>
      </c>
      <c r="M166" s="4">
        <f>SUMPRODUCT(
  (TEXT('Weekly Dump'!$A$2:$A1009,"mmm-yy")=TEXT($AB166,"mmm-yy"))*
  ('Weekly Dump'!$B$2:$B1009=$C166)*
  'Weekly Dump'!$P$2:$P1009
)</f>
        <v>0</v>
      </c>
      <c r="N166" s="39"/>
      <c r="O166" s="40">
        <f>SUMIFS('Weekly Dump'!$D:$D,'Weekly Dump'!$B:$B,$C166,'Weekly Dump'!$A:$A,$AB166)</f>
        <v>0</v>
      </c>
      <c r="P166" s="40">
        <f>SUMIFS('Weekly Dump'!R:R,'Weekly Dump'!B:B,C166,'Weekly Dump'!A:A,AB166)</f>
        <v>0</v>
      </c>
      <c r="Q166" s="40">
        <f t="shared" si="20"/>
        <v>0</v>
      </c>
      <c r="R166" s="41"/>
      <c r="T166" s="4">
        <f>SUMIFS('Weekly Dump'!E:E,'Weekly Dump'!B:B,C166,'Weekly Dump'!A:A,AB166)</f>
        <v>0</v>
      </c>
      <c r="U166" s="3">
        <f t="shared" si="21"/>
        <v>0</v>
      </c>
      <c r="V166" s="42"/>
      <c r="X166" s="4">
        <f>SUMIFS('Weekly Dump'!P:P,'Weekly Dump'!B:B,C166,'Weekly Dump'!A:A,AB166)</f>
        <v>0</v>
      </c>
      <c r="Y166" s="4">
        <f t="shared" si="22"/>
        <v>0</v>
      </c>
      <c r="Z166" s="41"/>
      <c r="AA166" s="12" t="str">
        <f>iferror(IF(VLOOKUP(C166,'Weekly Dump'!B:B,1,0)=C166,"Yes","Missing"),"")</f>
        <v/>
      </c>
      <c r="AB166" s="66"/>
    </row>
    <row r="167">
      <c r="B167" s="63"/>
      <c r="C167" s="63"/>
      <c r="G167" s="3" t="str">
        <f t="shared" si="26"/>
        <v/>
      </c>
      <c r="I167" s="4">
        <f>SUMIFS('Weekly Dump'!D:D,'Weekly Dump'!B:B,C167)</f>
        <v>0</v>
      </c>
      <c r="J167" s="5">
        <f>SUMIFS('Weekly Dump'!AE:AE,'Weekly Dump'!B:B,C167)</f>
        <v>0</v>
      </c>
      <c r="K167" s="4">
        <f>SUMPRODUCT(
  (TEXT('Weekly Dump'!$A$2:$A1009,"mmm-yy")=TEXT($AB167,"mmm-yy"))*
  ('Weekly Dump'!$B$2:$B1009=$C167)*
  'Weekly Dump'!$D$2:$D1009)</f>
        <v>0</v>
      </c>
      <c r="L167" s="4">
        <f>SUMPRODUCT(
  (TEXT('Weekly Dump'!$A$2:$A1009,"mmm-yy")=TEXT($AB167,"mmm-yy"))*
  ('Weekly Dump'!$B$2:$B1009=$C167)*
  'Weekly Dump'!$E$2:$E1009
)</f>
        <v>0</v>
      </c>
      <c r="M167" s="4">
        <f>SUMPRODUCT(
  (TEXT('Weekly Dump'!$A$2:$A1009,"mmm-yy")=TEXT($AB167,"mmm-yy"))*
  ('Weekly Dump'!$B$2:$B1009=$C167)*
  'Weekly Dump'!$P$2:$P1009
)</f>
        <v>0</v>
      </c>
      <c r="N167" s="39"/>
      <c r="O167" s="40">
        <f>SUMIFS('Weekly Dump'!$D:$D,'Weekly Dump'!$B:$B,$C167,'Weekly Dump'!$A:$A,$AB167)</f>
        <v>0</v>
      </c>
      <c r="P167" s="40">
        <f>SUMIFS('Weekly Dump'!R:R,'Weekly Dump'!B:B,C167,'Weekly Dump'!A:A,AB167)</f>
        <v>0</v>
      </c>
      <c r="Q167" s="40">
        <f t="shared" si="20"/>
        <v>0</v>
      </c>
      <c r="R167" s="41"/>
      <c r="T167" s="4">
        <f>SUMIFS('Weekly Dump'!E:E,'Weekly Dump'!B:B,C167,'Weekly Dump'!A:A,AB167)</f>
        <v>0</v>
      </c>
      <c r="U167" s="3">
        <f t="shared" si="21"/>
        <v>0</v>
      </c>
      <c r="V167" s="42"/>
      <c r="X167" s="4">
        <f>SUMIFS('Weekly Dump'!P:P,'Weekly Dump'!B:B,C167,'Weekly Dump'!A:A,AB167)</f>
        <v>0</v>
      </c>
      <c r="Y167" s="4">
        <f t="shared" si="22"/>
        <v>0</v>
      </c>
      <c r="Z167" s="41"/>
      <c r="AA167" s="12" t="str">
        <f>iferror(IF(VLOOKUP(C167,'Weekly Dump'!B:B,1,0)=C167,"Yes","Missing"),"")</f>
        <v/>
      </c>
      <c r="AB167" s="66"/>
    </row>
    <row r="168">
      <c r="B168" s="63"/>
      <c r="C168" s="63"/>
      <c r="G168" s="3" t="str">
        <f t="shared" si="26"/>
        <v/>
      </c>
      <c r="I168" s="4">
        <f>SUMIFS('Weekly Dump'!D:D,'Weekly Dump'!B:B,C168)</f>
        <v>0</v>
      </c>
      <c r="J168" s="5">
        <f>SUMIFS('Weekly Dump'!AE:AE,'Weekly Dump'!B:B,C168)</f>
        <v>0</v>
      </c>
      <c r="K168" s="4">
        <f>SUMPRODUCT(
  (TEXT('Weekly Dump'!$A$2:$A1009,"mmm-yy")=TEXT($AB168,"mmm-yy"))*
  ('Weekly Dump'!$B$2:$B1009=$C168)*
  'Weekly Dump'!$D$2:$D1009)</f>
        <v>0</v>
      </c>
      <c r="L168" s="4">
        <f>SUMPRODUCT(
  (TEXT('Weekly Dump'!$A$2:$A1009,"mmm-yy")=TEXT($AB168,"mmm-yy"))*
  ('Weekly Dump'!$B$2:$B1009=$C168)*
  'Weekly Dump'!$E$2:$E1009
)</f>
        <v>0</v>
      </c>
      <c r="M168" s="4">
        <f>SUMPRODUCT(
  (TEXT('Weekly Dump'!$A$2:$A1009,"mmm-yy")=TEXT($AB168,"mmm-yy"))*
  ('Weekly Dump'!$B$2:$B1009=$C168)*
  'Weekly Dump'!$P$2:$P1009
)</f>
        <v>0</v>
      </c>
      <c r="N168" s="39"/>
      <c r="O168" s="40">
        <f>SUMIFS('Weekly Dump'!$D:$D,'Weekly Dump'!$B:$B,$C168,'Weekly Dump'!$A:$A,$AB168)</f>
        <v>0</v>
      </c>
      <c r="P168" s="40">
        <f>SUMIFS('Weekly Dump'!R:R,'Weekly Dump'!B:B,C168,'Weekly Dump'!A:A,AB168)</f>
        <v>0</v>
      </c>
      <c r="Q168" s="40">
        <f t="shared" si="20"/>
        <v>0</v>
      </c>
      <c r="R168" s="41"/>
      <c r="T168" s="4">
        <f>SUMIFS('Weekly Dump'!E:E,'Weekly Dump'!B:B,C168,'Weekly Dump'!A:A,AB168)</f>
        <v>0</v>
      </c>
      <c r="U168" s="3">
        <f t="shared" si="21"/>
        <v>0</v>
      </c>
      <c r="V168" s="42"/>
      <c r="X168" s="4">
        <f>SUMIFS('Weekly Dump'!P:P,'Weekly Dump'!B:B,C168,'Weekly Dump'!A:A,AB168)</f>
        <v>0</v>
      </c>
      <c r="Y168" s="4">
        <f t="shared" si="22"/>
        <v>0</v>
      </c>
      <c r="Z168" s="41"/>
      <c r="AA168" s="12" t="str">
        <f>iferror(IF(VLOOKUP(C168,'Weekly Dump'!B:B,1,0)=C168,"Yes","Missing"),"")</f>
        <v/>
      </c>
      <c r="AB168" s="66"/>
    </row>
    <row r="169">
      <c r="B169" s="63"/>
      <c r="C169" s="63"/>
      <c r="G169" s="3" t="str">
        <f t="shared" si="26"/>
        <v/>
      </c>
      <c r="I169" s="4">
        <f>SUMIFS('Weekly Dump'!D:D,'Weekly Dump'!B:B,C169)</f>
        <v>0</v>
      </c>
      <c r="J169" s="5">
        <f>SUMIFS('Weekly Dump'!AE:AE,'Weekly Dump'!B:B,C169)</f>
        <v>0</v>
      </c>
      <c r="K169" s="4">
        <f>SUMPRODUCT(
  (TEXT('Weekly Dump'!$A$2:$A1009,"mmm-yy")=TEXT($AB169,"mmm-yy"))*
  ('Weekly Dump'!$B$2:$B1009=$C169)*
  'Weekly Dump'!$D$2:$D1009)</f>
        <v>0</v>
      </c>
      <c r="L169" s="4">
        <f>SUMPRODUCT(
  (TEXT('Weekly Dump'!$A$2:$A1009,"mmm-yy")=TEXT($AB169,"mmm-yy"))*
  ('Weekly Dump'!$B$2:$B1009=$C169)*
  'Weekly Dump'!$E$2:$E1009
)</f>
        <v>0</v>
      </c>
      <c r="M169" s="4">
        <f>SUMPRODUCT(
  (TEXT('Weekly Dump'!$A$2:$A1009,"mmm-yy")=TEXT($AB169,"mmm-yy"))*
  ('Weekly Dump'!$B$2:$B1009=$C169)*
  'Weekly Dump'!$P$2:$P1009
)</f>
        <v>0</v>
      </c>
      <c r="N169" s="39"/>
      <c r="O169" s="40">
        <f>SUMIFS('Weekly Dump'!$D:$D,'Weekly Dump'!$B:$B,$C169,'Weekly Dump'!$A:$A,$AB169)</f>
        <v>0</v>
      </c>
      <c r="P169" s="40">
        <f>SUMIFS('Weekly Dump'!R:R,'Weekly Dump'!B:B,C169,'Weekly Dump'!A:A,AB169)</f>
        <v>0</v>
      </c>
      <c r="Q169" s="40">
        <f t="shared" si="20"/>
        <v>0</v>
      </c>
      <c r="R169" s="41"/>
      <c r="T169" s="4">
        <f>SUMIFS('Weekly Dump'!E:E,'Weekly Dump'!B:B,C169,'Weekly Dump'!A:A,AB169)</f>
        <v>0</v>
      </c>
      <c r="U169" s="3">
        <f t="shared" si="21"/>
        <v>0</v>
      </c>
      <c r="V169" s="42"/>
      <c r="X169" s="4">
        <f>SUMIFS('Weekly Dump'!P:P,'Weekly Dump'!B:B,C169,'Weekly Dump'!A:A,AB169)</f>
        <v>0</v>
      </c>
      <c r="Y169" s="4">
        <f t="shared" si="22"/>
        <v>0</v>
      </c>
      <c r="Z169" s="41"/>
      <c r="AA169" s="12" t="str">
        <f>iferror(IF(VLOOKUP(C169,'Weekly Dump'!B:B,1,0)=C169,"Yes","Missing"),"")</f>
        <v/>
      </c>
      <c r="AB169" s="66"/>
    </row>
    <row r="170">
      <c r="B170" s="63"/>
      <c r="C170" s="63"/>
      <c r="G170" s="3" t="str">
        <f t="shared" si="26"/>
        <v/>
      </c>
      <c r="I170" s="4">
        <f>SUMIFS('Weekly Dump'!D:D,'Weekly Dump'!B:B,C170)</f>
        <v>0</v>
      </c>
      <c r="J170" s="5">
        <f>SUMIFS('Weekly Dump'!AE:AE,'Weekly Dump'!B:B,C170)</f>
        <v>0</v>
      </c>
      <c r="K170" s="4">
        <f>SUMPRODUCT(
  (TEXT('Weekly Dump'!$A$2:$A1009,"mmm-yy")=TEXT($AB170,"mmm-yy"))*
  ('Weekly Dump'!$B$2:$B1009=$C170)*
  'Weekly Dump'!$D$2:$D1009)</f>
        <v>0</v>
      </c>
      <c r="L170" s="4">
        <f>SUMPRODUCT(
  (TEXT('Weekly Dump'!$A$2:$A1009,"mmm-yy")=TEXT($AB170,"mmm-yy"))*
  ('Weekly Dump'!$B$2:$B1009=$C170)*
  'Weekly Dump'!$E$2:$E1009
)</f>
        <v>0</v>
      </c>
      <c r="M170" s="4">
        <f>SUMPRODUCT(
  (TEXT('Weekly Dump'!$A$2:$A1009,"mmm-yy")=TEXT($AB170,"mmm-yy"))*
  ('Weekly Dump'!$B$2:$B1009=$C170)*
  'Weekly Dump'!$P$2:$P1009
)</f>
        <v>0</v>
      </c>
      <c r="N170" s="39"/>
      <c r="O170" s="40">
        <f>SUMIFS('Weekly Dump'!$D:$D,'Weekly Dump'!$B:$B,$C170,'Weekly Dump'!$A:$A,$AB170)</f>
        <v>0</v>
      </c>
      <c r="P170" s="40">
        <f>SUMIFS('Weekly Dump'!R:R,'Weekly Dump'!B:B,C170,'Weekly Dump'!A:A,AB170)</f>
        <v>0</v>
      </c>
      <c r="Q170" s="40">
        <f t="shared" si="20"/>
        <v>0</v>
      </c>
      <c r="R170" s="41"/>
      <c r="T170" s="4">
        <f>SUMIFS('Weekly Dump'!E:E,'Weekly Dump'!B:B,C170,'Weekly Dump'!A:A,AB170)</f>
        <v>0</v>
      </c>
      <c r="U170" s="3">
        <f t="shared" si="21"/>
        <v>0</v>
      </c>
      <c r="V170" s="42"/>
      <c r="X170" s="4">
        <f>SUMIFS('Weekly Dump'!P:P,'Weekly Dump'!B:B,C170,'Weekly Dump'!A:A,AB170)</f>
        <v>0</v>
      </c>
      <c r="Y170" s="4">
        <f t="shared" si="22"/>
        <v>0</v>
      </c>
      <c r="Z170" s="41"/>
      <c r="AA170" s="12" t="str">
        <f>iferror(IF(VLOOKUP(C170,'Weekly Dump'!B:B,1,0)=C170,"Yes","Missing"),"")</f>
        <v/>
      </c>
      <c r="AB170" s="66"/>
    </row>
    <row r="171">
      <c r="B171" s="63"/>
      <c r="C171" s="63"/>
      <c r="G171" s="3" t="str">
        <f t="shared" si="26"/>
        <v/>
      </c>
      <c r="I171" s="4">
        <f>SUMIFS('Weekly Dump'!D:D,'Weekly Dump'!B:B,C171)</f>
        <v>0</v>
      </c>
      <c r="J171" s="5">
        <f>SUMIFS('Weekly Dump'!AE:AE,'Weekly Dump'!B:B,C171)</f>
        <v>0</v>
      </c>
      <c r="K171" s="4">
        <f>SUMPRODUCT(
  (TEXT('Weekly Dump'!$A$2:$A1009,"mmm-yy")=TEXT($AB171,"mmm-yy"))*
  ('Weekly Dump'!$B$2:$B1009=$C171)*
  'Weekly Dump'!$D$2:$D1009)</f>
        <v>0</v>
      </c>
      <c r="L171" s="4">
        <f>SUMPRODUCT(
  (TEXT('Weekly Dump'!$A$2:$A1009,"mmm-yy")=TEXT($AB171,"mmm-yy"))*
  ('Weekly Dump'!$B$2:$B1009=$C171)*
  'Weekly Dump'!$E$2:$E1009
)</f>
        <v>0</v>
      </c>
      <c r="M171" s="4">
        <f>SUMPRODUCT(
  (TEXT('Weekly Dump'!$A$2:$A1009,"mmm-yy")=TEXT($AB171,"mmm-yy"))*
  ('Weekly Dump'!$B$2:$B1009=$C171)*
  'Weekly Dump'!$P$2:$P1009
)</f>
        <v>0</v>
      </c>
      <c r="N171" s="39"/>
      <c r="O171" s="40">
        <f>SUMIFS('Weekly Dump'!$D:$D,'Weekly Dump'!$B:$B,$C171,'Weekly Dump'!$A:$A,$AB171)</f>
        <v>0</v>
      </c>
      <c r="P171" s="40">
        <f>SUMIFS('Weekly Dump'!R:R,'Weekly Dump'!B:B,C171,'Weekly Dump'!A:A,AB171)</f>
        <v>0</v>
      </c>
      <c r="Q171" s="40">
        <f t="shared" si="20"/>
        <v>0</v>
      </c>
      <c r="R171" s="41"/>
      <c r="T171" s="4">
        <f>SUMIFS('Weekly Dump'!E:E,'Weekly Dump'!B:B,C171,'Weekly Dump'!A:A,AB171)</f>
        <v>0</v>
      </c>
      <c r="U171" s="3">
        <f t="shared" si="21"/>
        <v>0</v>
      </c>
      <c r="V171" s="42"/>
      <c r="X171" s="4">
        <f>SUMIFS('Weekly Dump'!P:P,'Weekly Dump'!B:B,C171,'Weekly Dump'!A:A,AB171)</f>
        <v>0</v>
      </c>
      <c r="Y171" s="4">
        <f t="shared" si="22"/>
        <v>0</v>
      </c>
      <c r="Z171" s="41"/>
      <c r="AA171" s="12" t="str">
        <f>iferror(IF(VLOOKUP(C171,'Weekly Dump'!B:B,1,0)=C171,"Yes","Missing"),"")</f>
        <v/>
      </c>
      <c r="AB171" s="66"/>
    </row>
    <row r="172">
      <c r="B172" s="63"/>
      <c r="C172" s="63"/>
      <c r="G172" s="3" t="str">
        <f t="shared" si="26"/>
        <v/>
      </c>
      <c r="I172" s="4">
        <f>SUMIFS('Weekly Dump'!D:D,'Weekly Dump'!B:B,C172)</f>
        <v>0</v>
      </c>
      <c r="J172" s="5">
        <f>SUMIFS('Weekly Dump'!AE:AE,'Weekly Dump'!B:B,C172)</f>
        <v>0</v>
      </c>
      <c r="K172" s="4">
        <f>SUMPRODUCT(
  (TEXT('Weekly Dump'!$A$2:$A1009,"mmm-yy")=TEXT($AB172,"mmm-yy"))*
  ('Weekly Dump'!$B$2:$B1009=$C172)*
  'Weekly Dump'!$D$2:$D1009)</f>
        <v>0</v>
      </c>
      <c r="L172" s="4">
        <f>SUMPRODUCT(
  (TEXT('Weekly Dump'!$A$2:$A1009,"mmm-yy")=TEXT($AB172,"mmm-yy"))*
  ('Weekly Dump'!$B$2:$B1009=$C172)*
  'Weekly Dump'!$E$2:$E1009
)</f>
        <v>0</v>
      </c>
      <c r="M172" s="4">
        <f>SUMPRODUCT(
  (TEXT('Weekly Dump'!$A$2:$A1009,"mmm-yy")=TEXT($AB172,"mmm-yy"))*
  ('Weekly Dump'!$B$2:$B1009=$C172)*
  'Weekly Dump'!$P$2:$P1009
)</f>
        <v>0</v>
      </c>
      <c r="N172" s="39"/>
      <c r="O172" s="40">
        <f>SUMIFS('Weekly Dump'!$D:$D,'Weekly Dump'!$B:$B,$C172,'Weekly Dump'!$A:$A,$AB172)</f>
        <v>0</v>
      </c>
      <c r="P172" s="40">
        <f>SUMIFS('Weekly Dump'!R:R,'Weekly Dump'!B:B,C172,'Weekly Dump'!A:A,AB172)</f>
        <v>0</v>
      </c>
      <c r="Q172" s="40">
        <f t="shared" si="20"/>
        <v>0</v>
      </c>
      <c r="R172" s="41"/>
      <c r="T172" s="4">
        <f>SUMIFS('Weekly Dump'!E:E,'Weekly Dump'!B:B,C172,'Weekly Dump'!A:A,AB172)</f>
        <v>0</v>
      </c>
      <c r="U172" s="3">
        <f t="shared" si="21"/>
        <v>0</v>
      </c>
      <c r="V172" s="42"/>
      <c r="X172" s="4">
        <f>SUMIFS('Weekly Dump'!P:P,'Weekly Dump'!B:B,C172,'Weekly Dump'!A:A,AB172)</f>
        <v>0</v>
      </c>
      <c r="Y172" s="4">
        <f t="shared" si="22"/>
        <v>0</v>
      </c>
      <c r="Z172" s="41"/>
      <c r="AA172" s="12" t="str">
        <f>iferror(IF(VLOOKUP(C172,'Weekly Dump'!B:B,1,0)=C172,"Yes","Missing"),"")</f>
        <v/>
      </c>
      <c r="AB172" s="66"/>
    </row>
    <row r="173">
      <c r="B173" s="63"/>
      <c r="C173" s="63"/>
      <c r="G173" s="3" t="str">
        <f t="shared" si="26"/>
        <v/>
      </c>
      <c r="I173" s="4">
        <f>SUMIFS('Weekly Dump'!D:D,'Weekly Dump'!B:B,C173)</f>
        <v>0</v>
      </c>
      <c r="J173" s="5">
        <f>SUMIFS('Weekly Dump'!AE:AE,'Weekly Dump'!B:B,C173)</f>
        <v>0</v>
      </c>
      <c r="K173" s="4">
        <f>SUMPRODUCT(
  (TEXT('Weekly Dump'!$A$2:$A1009,"mmm-yy")=TEXT($AB173,"mmm-yy"))*
  ('Weekly Dump'!$B$2:$B1009=$C173)*
  'Weekly Dump'!$D$2:$D1009)</f>
        <v>0</v>
      </c>
      <c r="L173" s="4">
        <f>SUMPRODUCT(
  (TEXT('Weekly Dump'!$A$2:$A1009,"mmm-yy")=TEXT($AB173,"mmm-yy"))*
  ('Weekly Dump'!$B$2:$B1009=$C173)*
  'Weekly Dump'!$E$2:$E1009
)</f>
        <v>0</v>
      </c>
      <c r="M173" s="4">
        <f>SUMPRODUCT(
  (TEXT('Weekly Dump'!$A$2:$A1009,"mmm-yy")=TEXT($AB173,"mmm-yy"))*
  ('Weekly Dump'!$B$2:$B1009=$C173)*
  'Weekly Dump'!$P$2:$P1009
)</f>
        <v>0</v>
      </c>
      <c r="N173" s="39"/>
      <c r="O173" s="40">
        <f>SUMIFS('Weekly Dump'!$D:$D,'Weekly Dump'!$B:$B,$C173,'Weekly Dump'!$A:$A,$AB173)</f>
        <v>0</v>
      </c>
      <c r="P173" s="40">
        <f>SUMIFS('Weekly Dump'!R:R,'Weekly Dump'!B:B,C173,'Weekly Dump'!A:A,AB173)</f>
        <v>0</v>
      </c>
      <c r="Q173" s="40">
        <f t="shared" si="20"/>
        <v>0</v>
      </c>
      <c r="R173" s="41"/>
      <c r="T173" s="4">
        <f>SUMIFS('Weekly Dump'!E:E,'Weekly Dump'!B:B,C173,'Weekly Dump'!A:A,AB173)</f>
        <v>0</v>
      </c>
      <c r="U173" s="3">
        <f t="shared" si="21"/>
        <v>0</v>
      </c>
      <c r="V173" s="42"/>
      <c r="X173" s="4">
        <f>SUMIFS('Weekly Dump'!P:P,'Weekly Dump'!B:B,C173,'Weekly Dump'!A:A,AB173)</f>
        <v>0</v>
      </c>
      <c r="Y173" s="4">
        <f t="shared" si="22"/>
        <v>0</v>
      </c>
      <c r="Z173" s="41"/>
      <c r="AA173" s="12" t="str">
        <f>iferror(IF(VLOOKUP(C173,'Weekly Dump'!B:B,1,0)=C173,"Yes","Missing"),"")</f>
        <v/>
      </c>
      <c r="AB173" s="66"/>
    </row>
    <row r="174">
      <c r="B174" s="63"/>
      <c r="C174" s="63"/>
      <c r="G174" s="3" t="str">
        <f t="shared" si="26"/>
        <v/>
      </c>
      <c r="I174" s="4">
        <f>SUMIFS('Weekly Dump'!D:D,'Weekly Dump'!B:B,C174)</f>
        <v>0</v>
      </c>
      <c r="J174" s="5">
        <f>SUMIFS('Weekly Dump'!AE:AE,'Weekly Dump'!B:B,C174)</f>
        <v>0</v>
      </c>
      <c r="K174" s="4">
        <f>SUMPRODUCT(
  (TEXT('Weekly Dump'!$A$2:$A1009,"mmm-yy")=TEXT($AB174,"mmm-yy"))*
  ('Weekly Dump'!$B$2:$B1009=$C174)*
  'Weekly Dump'!$D$2:$D1009)</f>
        <v>0</v>
      </c>
      <c r="L174" s="4">
        <f>SUMPRODUCT(
  (TEXT('Weekly Dump'!$A$2:$A1009,"mmm-yy")=TEXT($AB174,"mmm-yy"))*
  ('Weekly Dump'!$B$2:$B1009=$C174)*
  'Weekly Dump'!$E$2:$E1009
)</f>
        <v>0</v>
      </c>
      <c r="M174" s="4">
        <f>SUMPRODUCT(
  (TEXT('Weekly Dump'!$A$2:$A1009,"mmm-yy")=TEXT($AB174,"mmm-yy"))*
  ('Weekly Dump'!$B$2:$B1009=$C174)*
  'Weekly Dump'!$P$2:$P1009
)</f>
        <v>0</v>
      </c>
      <c r="N174" s="39"/>
      <c r="O174" s="40">
        <f>SUMIFS('Weekly Dump'!$D:$D,'Weekly Dump'!$B:$B,$C174,'Weekly Dump'!$A:$A,$AB174)</f>
        <v>0</v>
      </c>
      <c r="P174" s="40">
        <f>SUMIFS('Weekly Dump'!R:R,'Weekly Dump'!B:B,C174,'Weekly Dump'!A:A,AB174)</f>
        <v>0</v>
      </c>
      <c r="Q174" s="40">
        <f t="shared" si="20"/>
        <v>0</v>
      </c>
      <c r="R174" s="41"/>
      <c r="T174" s="4">
        <f>SUMIFS('Weekly Dump'!E:E,'Weekly Dump'!B:B,C174,'Weekly Dump'!A:A,AB174)</f>
        <v>0</v>
      </c>
      <c r="U174" s="3">
        <f t="shared" si="21"/>
        <v>0</v>
      </c>
      <c r="V174" s="42"/>
      <c r="X174" s="4">
        <f>SUMIFS('Weekly Dump'!P:P,'Weekly Dump'!B:B,C174,'Weekly Dump'!A:A,AB174)</f>
        <v>0</v>
      </c>
      <c r="Y174" s="4">
        <f t="shared" si="22"/>
        <v>0</v>
      </c>
      <c r="Z174" s="41"/>
      <c r="AA174" s="12" t="str">
        <f>iferror(IF(VLOOKUP(C174,'Weekly Dump'!B:B,1,0)=C174,"Yes","Missing"),"")</f>
        <v/>
      </c>
      <c r="AB174" s="66"/>
    </row>
    <row r="175">
      <c r="B175" s="63"/>
      <c r="C175" s="63"/>
      <c r="G175" s="3" t="str">
        <f t="shared" si="26"/>
        <v/>
      </c>
      <c r="I175" s="4">
        <f>SUMIFS('Weekly Dump'!D:D,'Weekly Dump'!B:B,C175)</f>
        <v>0</v>
      </c>
      <c r="J175" s="5">
        <f>SUMIFS('Weekly Dump'!AE:AE,'Weekly Dump'!B:B,C175)</f>
        <v>0</v>
      </c>
      <c r="K175" s="4">
        <f>SUMPRODUCT(
  (TEXT('Weekly Dump'!$A$2:$A1009,"mmm-yy")=TEXT($AB175,"mmm-yy"))*
  ('Weekly Dump'!$B$2:$B1009=$C175)*
  'Weekly Dump'!$D$2:$D1009)</f>
        <v>0</v>
      </c>
      <c r="L175" s="4">
        <f>SUMPRODUCT(
  (TEXT('Weekly Dump'!$A$2:$A1009,"mmm-yy")=TEXT($AB175,"mmm-yy"))*
  ('Weekly Dump'!$B$2:$B1009=$C175)*
  'Weekly Dump'!$E$2:$E1009
)</f>
        <v>0</v>
      </c>
      <c r="M175" s="4">
        <f>SUMPRODUCT(
  (TEXT('Weekly Dump'!$A$2:$A1009,"mmm-yy")=TEXT($AB175,"mmm-yy"))*
  ('Weekly Dump'!$B$2:$B1009=$C175)*
  'Weekly Dump'!$P$2:$P1009
)</f>
        <v>0</v>
      </c>
      <c r="N175" s="39"/>
      <c r="O175" s="40">
        <f>SUMIFS('Weekly Dump'!$D:$D,'Weekly Dump'!$B:$B,$C175,'Weekly Dump'!$A:$A,$AB175)</f>
        <v>0</v>
      </c>
      <c r="P175" s="40">
        <f>SUMIFS('Weekly Dump'!R:R,'Weekly Dump'!B:B,C175,'Weekly Dump'!A:A,AB175)</f>
        <v>0</v>
      </c>
      <c r="Q175" s="40">
        <f t="shared" si="20"/>
        <v>0</v>
      </c>
      <c r="R175" s="41"/>
      <c r="T175" s="4">
        <f>SUMIFS('Weekly Dump'!E:E,'Weekly Dump'!B:B,C175,'Weekly Dump'!A:A,AB175)</f>
        <v>0</v>
      </c>
      <c r="U175" s="3">
        <f t="shared" si="21"/>
        <v>0</v>
      </c>
      <c r="V175" s="42"/>
      <c r="X175" s="4">
        <f>SUMIFS('Weekly Dump'!P:P,'Weekly Dump'!B:B,C175,'Weekly Dump'!A:A,AB175)</f>
        <v>0</v>
      </c>
      <c r="Y175" s="4">
        <f t="shared" si="22"/>
        <v>0</v>
      </c>
      <c r="Z175" s="41"/>
      <c r="AA175" s="12" t="str">
        <f>iferror(IF(VLOOKUP(C175,'Weekly Dump'!B:B,1,0)=C175,"Yes","Missing"),"")</f>
        <v/>
      </c>
      <c r="AB175" s="66"/>
    </row>
    <row r="176">
      <c r="B176" s="63"/>
      <c r="C176" s="63"/>
      <c r="G176" s="3" t="str">
        <f t="shared" si="26"/>
        <v/>
      </c>
      <c r="I176" s="4">
        <f>SUMIFS('Weekly Dump'!D:D,'Weekly Dump'!B:B,C176)</f>
        <v>0</v>
      </c>
      <c r="J176" s="5">
        <f>SUMIFS('Weekly Dump'!AE:AE,'Weekly Dump'!B:B,C176)</f>
        <v>0</v>
      </c>
      <c r="K176" s="4">
        <f>SUMPRODUCT(
  (TEXT('Weekly Dump'!$A$2:$A1009,"mmm-yy")=TEXT($AB176,"mmm-yy"))*
  ('Weekly Dump'!$B$2:$B1009=$C176)*
  'Weekly Dump'!$D$2:$D1009)</f>
        <v>0</v>
      </c>
      <c r="L176" s="4">
        <f>SUMPRODUCT(
  (TEXT('Weekly Dump'!$A$2:$A1009,"mmm-yy")=TEXT($AB176,"mmm-yy"))*
  ('Weekly Dump'!$B$2:$B1009=$C176)*
  'Weekly Dump'!$E$2:$E1009
)</f>
        <v>0</v>
      </c>
      <c r="M176" s="4">
        <f>SUMPRODUCT(
  (TEXT('Weekly Dump'!$A$2:$A1009,"mmm-yy")=TEXT($AB176,"mmm-yy"))*
  ('Weekly Dump'!$B$2:$B1009=$C176)*
  'Weekly Dump'!$P$2:$P1009
)</f>
        <v>0</v>
      </c>
      <c r="N176" s="39"/>
      <c r="O176" s="40">
        <f>SUMIFS('Weekly Dump'!$D:$D,'Weekly Dump'!$B:$B,$C176,'Weekly Dump'!$A:$A,$AB176)</f>
        <v>0</v>
      </c>
      <c r="P176" s="40">
        <f>SUMIFS('Weekly Dump'!R:R,'Weekly Dump'!B:B,C176,'Weekly Dump'!A:A,AB176)</f>
        <v>0</v>
      </c>
      <c r="Q176" s="40">
        <f t="shared" si="20"/>
        <v>0</v>
      </c>
      <c r="R176" s="41"/>
      <c r="T176" s="4">
        <f>SUMIFS('Weekly Dump'!E:E,'Weekly Dump'!B:B,C176,'Weekly Dump'!A:A,AB176)</f>
        <v>0</v>
      </c>
      <c r="U176" s="3">
        <f t="shared" si="21"/>
        <v>0</v>
      </c>
      <c r="V176" s="42"/>
      <c r="X176" s="4">
        <f>SUMIFS('Weekly Dump'!P:P,'Weekly Dump'!B:B,C176,'Weekly Dump'!A:A,AB176)</f>
        <v>0</v>
      </c>
      <c r="Y176" s="4">
        <f t="shared" si="22"/>
        <v>0</v>
      </c>
      <c r="Z176" s="41"/>
      <c r="AA176" s="12" t="str">
        <f>iferror(IF(VLOOKUP(C176,'Weekly Dump'!B:B,1,0)=C176,"Yes","Missing"),"")</f>
        <v/>
      </c>
      <c r="AB176" s="66"/>
    </row>
    <row r="177">
      <c r="B177" s="63"/>
      <c r="C177" s="63"/>
      <c r="G177" s="3" t="str">
        <f t="shared" si="26"/>
        <v/>
      </c>
      <c r="I177" s="4">
        <f>SUMIFS('Weekly Dump'!D:D,'Weekly Dump'!B:B,C177)</f>
        <v>0</v>
      </c>
      <c r="J177" s="5">
        <f>SUMIFS('Weekly Dump'!AE:AE,'Weekly Dump'!B:B,C177)</f>
        <v>0</v>
      </c>
      <c r="K177" s="4">
        <f>SUMPRODUCT(
  (TEXT('Weekly Dump'!$A$2:$A1009,"mmm-yy")=TEXT($AB177,"mmm-yy"))*
  ('Weekly Dump'!$B$2:$B1009=$C177)*
  'Weekly Dump'!$D$2:$D1009)</f>
        <v>0</v>
      </c>
      <c r="L177" s="4">
        <f>SUMPRODUCT(
  (TEXT('Weekly Dump'!$A$2:$A1009,"mmm-yy")=TEXT($AB177,"mmm-yy"))*
  ('Weekly Dump'!$B$2:$B1009=$C177)*
  'Weekly Dump'!$E$2:$E1009
)</f>
        <v>0</v>
      </c>
      <c r="M177" s="4">
        <f>SUMPRODUCT(
  (TEXT('Weekly Dump'!$A$2:$A1009,"mmm-yy")=TEXT($AB177,"mmm-yy"))*
  ('Weekly Dump'!$B$2:$B1009=$C177)*
  'Weekly Dump'!$P$2:$P1009
)</f>
        <v>0</v>
      </c>
      <c r="N177" s="39"/>
      <c r="O177" s="40">
        <f>SUMIFS('Weekly Dump'!$D:$D,'Weekly Dump'!$B:$B,$C177,'Weekly Dump'!$A:$A,$AB177)</f>
        <v>0</v>
      </c>
      <c r="P177" s="40">
        <f>SUMIFS('Weekly Dump'!R:R,'Weekly Dump'!B:B,C177,'Weekly Dump'!A:A,AB177)</f>
        <v>0</v>
      </c>
      <c r="Q177" s="40">
        <f t="shared" si="20"/>
        <v>0</v>
      </c>
      <c r="R177" s="41"/>
      <c r="T177" s="4">
        <f>SUMIFS('Weekly Dump'!E:E,'Weekly Dump'!B:B,C177,'Weekly Dump'!A:A,AB177)</f>
        <v>0</v>
      </c>
      <c r="U177" s="3">
        <f t="shared" si="21"/>
        <v>0</v>
      </c>
      <c r="V177" s="42"/>
      <c r="X177" s="4">
        <f>SUMIFS('Weekly Dump'!P:P,'Weekly Dump'!B:B,C177,'Weekly Dump'!A:A,AB177)</f>
        <v>0</v>
      </c>
      <c r="Y177" s="4">
        <f t="shared" si="22"/>
        <v>0</v>
      </c>
      <c r="Z177" s="41"/>
      <c r="AA177" s="12" t="str">
        <f>iferror(IF(VLOOKUP(C177,'Weekly Dump'!B:B,1,0)=C177,"Yes","Missing"),"")</f>
        <v/>
      </c>
      <c r="AB177" s="66"/>
    </row>
    <row r="178">
      <c r="B178" s="63"/>
      <c r="C178" s="63"/>
      <c r="G178" s="3" t="str">
        <f t="shared" si="26"/>
        <v/>
      </c>
      <c r="I178" s="4">
        <f>SUMIFS('Weekly Dump'!D:D,'Weekly Dump'!B:B,C178)</f>
        <v>0</v>
      </c>
      <c r="J178" s="5">
        <f>SUMIFS('Weekly Dump'!AE:AE,'Weekly Dump'!B:B,C178)</f>
        <v>0</v>
      </c>
      <c r="K178" s="4">
        <f>SUMPRODUCT(
  (TEXT('Weekly Dump'!$A$2:$A1009,"mmm-yy")=TEXT($AB178,"mmm-yy"))*
  ('Weekly Dump'!$B$2:$B1009=$C178)*
  'Weekly Dump'!$D$2:$D1009)</f>
        <v>0</v>
      </c>
      <c r="L178" s="4">
        <f>SUMPRODUCT(
  (TEXT('Weekly Dump'!$A$2:$A1009,"mmm-yy")=TEXT($AB178,"mmm-yy"))*
  ('Weekly Dump'!$B$2:$B1009=$C178)*
  'Weekly Dump'!$E$2:$E1009
)</f>
        <v>0</v>
      </c>
      <c r="M178" s="4">
        <f>SUMPRODUCT(
  (TEXT('Weekly Dump'!$A$2:$A1009,"mmm-yy")=TEXT($AB178,"mmm-yy"))*
  ('Weekly Dump'!$B$2:$B1009=$C178)*
  'Weekly Dump'!$P$2:$P1009
)</f>
        <v>0</v>
      </c>
      <c r="N178" s="39"/>
      <c r="O178" s="40">
        <f>SUMIFS('Weekly Dump'!$D:$D,'Weekly Dump'!$B:$B,$C178,'Weekly Dump'!$A:$A,$AB178)</f>
        <v>0</v>
      </c>
      <c r="P178" s="40">
        <f>SUMIFS('Weekly Dump'!R:R,'Weekly Dump'!B:B,C178,'Weekly Dump'!A:A,AB178)</f>
        <v>0</v>
      </c>
      <c r="Q178" s="40">
        <f t="shared" si="20"/>
        <v>0</v>
      </c>
      <c r="R178" s="41"/>
      <c r="T178" s="4">
        <f>SUMIFS('Weekly Dump'!E:E,'Weekly Dump'!B:B,C178,'Weekly Dump'!A:A,AB178)</f>
        <v>0</v>
      </c>
      <c r="U178" s="3">
        <f t="shared" si="21"/>
        <v>0</v>
      </c>
      <c r="V178" s="42"/>
      <c r="X178" s="4">
        <f>SUMIFS('Weekly Dump'!P:P,'Weekly Dump'!B:B,C178,'Weekly Dump'!A:A,AB178)</f>
        <v>0</v>
      </c>
      <c r="Y178" s="4">
        <f t="shared" si="22"/>
        <v>0</v>
      </c>
      <c r="Z178" s="41"/>
      <c r="AA178" s="12" t="str">
        <f>iferror(IF(VLOOKUP(C178,'Weekly Dump'!B:B,1,0)=C178,"Yes","Missing"),"")</f>
        <v/>
      </c>
      <c r="AB178" s="66"/>
    </row>
    <row r="179">
      <c r="B179" s="63"/>
      <c r="C179" s="63"/>
      <c r="G179" s="3" t="str">
        <f t="shared" si="26"/>
        <v/>
      </c>
      <c r="I179" s="4">
        <f>SUMIFS('Weekly Dump'!D:D,'Weekly Dump'!B:B,C179)</f>
        <v>0</v>
      </c>
      <c r="J179" s="5">
        <f>SUMIFS('Weekly Dump'!AE:AE,'Weekly Dump'!B:B,C179)</f>
        <v>0</v>
      </c>
      <c r="K179" s="4">
        <f>SUMPRODUCT(
  (TEXT('Weekly Dump'!$A$2:$A1009,"mmm-yy")=TEXT($AB179,"mmm-yy"))*
  ('Weekly Dump'!$B$2:$B1009=$C179)*
  'Weekly Dump'!$D$2:$D1009)</f>
        <v>0</v>
      </c>
      <c r="L179" s="4">
        <f>SUMPRODUCT(
  (TEXT('Weekly Dump'!$A$2:$A1009,"mmm-yy")=TEXT($AB179,"mmm-yy"))*
  ('Weekly Dump'!$B$2:$B1009=$C179)*
  'Weekly Dump'!$E$2:$E1009
)</f>
        <v>0</v>
      </c>
      <c r="M179" s="4">
        <f>SUMPRODUCT(
  (TEXT('Weekly Dump'!$A$2:$A1009,"mmm-yy")=TEXT($AB179,"mmm-yy"))*
  ('Weekly Dump'!$B$2:$B1009=$C179)*
  'Weekly Dump'!$P$2:$P1009
)</f>
        <v>0</v>
      </c>
      <c r="N179" s="39"/>
      <c r="O179" s="40">
        <f>SUMIFS('Weekly Dump'!$D:$D,'Weekly Dump'!$B:$B,$C179,'Weekly Dump'!$A:$A,$AB179)</f>
        <v>0</v>
      </c>
      <c r="P179" s="40">
        <f>SUMIFS('Weekly Dump'!R:R,'Weekly Dump'!B:B,C179,'Weekly Dump'!A:A,AB179)</f>
        <v>0</v>
      </c>
      <c r="Q179" s="40">
        <f t="shared" si="20"/>
        <v>0</v>
      </c>
      <c r="R179" s="41"/>
      <c r="T179" s="4">
        <f>SUMIFS('Weekly Dump'!E:E,'Weekly Dump'!B:B,C179,'Weekly Dump'!A:A,AB179)</f>
        <v>0</v>
      </c>
      <c r="U179" s="3">
        <f t="shared" si="21"/>
        <v>0</v>
      </c>
      <c r="V179" s="42"/>
      <c r="X179" s="4">
        <f>SUMIFS('Weekly Dump'!P:P,'Weekly Dump'!B:B,C179,'Weekly Dump'!A:A,AB179)</f>
        <v>0</v>
      </c>
      <c r="Y179" s="4">
        <f t="shared" si="22"/>
        <v>0</v>
      </c>
      <c r="Z179" s="41"/>
      <c r="AA179" s="12" t="str">
        <f>iferror(IF(VLOOKUP(C179,'Weekly Dump'!B:B,1,0)=C179,"Yes","Missing"),"")</f>
        <v/>
      </c>
      <c r="AB179" s="66"/>
    </row>
    <row r="180">
      <c r="B180" s="63"/>
      <c r="C180" s="63"/>
      <c r="G180" s="3" t="str">
        <f t="shared" si="26"/>
        <v/>
      </c>
      <c r="I180" s="4">
        <f>SUMIFS('Weekly Dump'!D:D,'Weekly Dump'!B:B,C180)</f>
        <v>0</v>
      </c>
      <c r="J180" s="5">
        <f>SUMIFS('Weekly Dump'!AE:AE,'Weekly Dump'!B:B,C180)</f>
        <v>0</v>
      </c>
      <c r="K180" s="4">
        <f>SUMPRODUCT(
  (TEXT('Weekly Dump'!$A$2:$A1009,"mmm-yy")=TEXT($AB180,"mmm-yy"))*
  ('Weekly Dump'!$B$2:$B1009=$C180)*
  'Weekly Dump'!$D$2:$D1009)</f>
        <v>0</v>
      </c>
      <c r="L180" s="4">
        <f>SUMPRODUCT(
  (TEXT('Weekly Dump'!$A$2:$A1009,"mmm-yy")=TEXT($AB180,"mmm-yy"))*
  ('Weekly Dump'!$B$2:$B1009=$C180)*
  'Weekly Dump'!$E$2:$E1009
)</f>
        <v>0</v>
      </c>
      <c r="M180" s="4">
        <f>SUMPRODUCT(
  (TEXT('Weekly Dump'!$A$2:$A1009,"mmm-yy")=TEXT($AB180,"mmm-yy"))*
  ('Weekly Dump'!$B$2:$B1009=$C180)*
  'Weekly Dump'!$P$2:$P1009
)</f>
        <v>0</v>
      </c>
      <c r="N180" s="39"/>
      <c r="O180" s="40">
        <f>SUMIFS('Weekly Dump'!$D:$D,'Weekly Dump'!$B:$B,$C180,'Weekly Dump'!$A:$A,$AB180)</f>
        <v>0</v>
      </c>
      <c r="P180" s="40">
        <f>SUMIFS('Weekly Dump'!R:R,'Weekly Dump'!B:B,C180,'Weekly Dump'!A:A,AB180)</f>
        <v>0</v>
      </c>
      <c r="Q180" s="40">
        <f t="shared" si="20"/>
        <v>0</v>
      </c>
      <c r="R180" s="41"/>
      <c r="T180" s="4">
        <f>SUMIFS('Weekly Dump'!E:E,'Weekly Dump'!B:B,C180,'Weekly Dump'!A:A,AB180)</f>
        <v>0</v>
      </c>
      <c r="U180" s="3">
        <f t="shared" si="21"/>
        <v>0</v>
      </c>
      <c r="V180" s="42"/>
      <c r="X180" s="4">
        <f>SUMIFS('Weekly Dump'!P:P,'Weekly Dump'!B:B,C180,'Weekly Dump'!A:A,AB180)</f>
        <v>0</v>
      </c>
      <c r="Y180" s="4">
        <f t="shared" si="22"/>
        <v>0</v>
      </c>
      <c r="Z180" s="41"/>
      <c r="AA180" s="12" t="str">
        <f>iferror(IF(VLOOKUP(C180,'Weekly Dump'!B:B,1,0)=C180,"Yes","Missing"),"")</f>
        <v/>
      </c>
      <c r="AB180" s="66"/>
    </row>
    <row r="181">
      <c r="B181" s="63"/>
      <c r="C181" s="63"/>
      <c r="G181" s="3" t="str">
        <f t="shared" si="26"/>
        <v/>
      </c>
      <c r="I181" s="4">
        <f>SUMIFS('Weekly Dump'!D:D,'Weekly Dump'!B:B,C181)</f>
        <v>0</v>
      </c>
      <c r="J181" s="5">
        <f>SUMIFS('Weekly Dump'!AE:AE,'Weekly Dump'!B:B,C181)</f>
        <v>0</v>
      </c>
      <c r="K181" s="4">
        <f>SUMPRODUCT(
  (TEXT('Weekly Dump'!$A$2:$A1009,"mmm-yy")=TEXT($AB181,"mmm-yy"))*
  ('Weekly Dump'!$B$2:$B1009=$C181)*
  'Weekly Dump'!$D$2:$D1009)</f>
        <v>0</v>
      </c>
      <c r="L181" s="4">
        <f>SUMPRODUCT(
  (TEXT('Weekly Dump'!$A$2:$A1009,"mmm-yy")=TEXT($AB181,"mmm-yy"))*
  ('Weekly Dump'!$B$2:$B1009=$C181)*
  'Weekly Dump'!$E$2:$E1009
)</f>
        <v>0</v>
      </c>
      <c r="M181" s="4">
        <f>SUMPRODUCT(
  (TEXT('Weekly Dump'!$A$2:$A1009,"mmm-yy")=TEXT($AB181,"mmm-yy"))*
  ('Weekly Dump'!$B$2:$B1009=$C181)*
  'Weekly Dump'!$P$2:$P1009
)</f>
        <v>0</v>
      </c>
      <c r="N181" s="39"/>
      <c r="O181" s="40">
        <f>SUMIFS('Weekly Dump'!$D:$D,'Weekly Dump'!$B:$B,$C181,'Weekly Dump'!$A:$A,$AB181)</f>
        <v>0</v>
      </c>
      <c r="P181" s="40">
        <f>SUMIFS('Weekly Dump'!R:R,'Weekly Dump'!B:B,C181,'Weekly Dump'!A:A,AB181)</f>
        <v>0</v>
      </c>
      <c r="Q181" s="40">
        <f t="shared" si="20"/>
        <v>0</v>
      </c>
      <c r="R181" s="41"/>
      <c r="T181" s="4">
        <f>SUMIFS('Weekly Dump'!E:E,'Weekly Dump'!B:B,C181,'Weekly Dump'!A:A,AB181)</f>
        <v>0</v>
      </c>
      <c r="U181" s="3">
        <f t="shared" si="21"/>
        <v>0</v>
      </c>
      <c r="V181" s="42"/>
      <c r="X181" s="4">
        <f>SUMIFS('Weekly Dump'!P:P,'Weekly Dump'!B:B,C181,'Weekly Dump'!A:A,AB181)</f>
        <v>0</v>
      </c>
      <c r="Y181" s="4">
        <f t="shared" si="22"/>
        <v>0</v>
      </c>
      <c r="Z181" s="41"/>
      <c r="AA181" s="12" t="str">
        <f>iferror(IF(VLOOKUP(C181,'Weekly Dump'!B:B,1,0)=C181,"Yes","Missing"),"")</f>
        <v/>
      </c>
      <c r="AB181" s="66"/>
    </row>
    <row r="182">
      <c r="B182" s="63"/>
      <c r="C182" s="63"/>
      <c r="G182" s="3" t="str">
        <f t="shared" si="26"/>
        <v/>
      </c>
      <c r="I182" s="4">
        <f>SUMIFS('Weekly Dump'!D:D,'Weekly Dump'!B:B,C182)</f>
        <v>0</v>
      </c>
      <c r="J182" s="5">
        <f>SUMIFS('Weekly Dump'!AE:AE,'Weekly Dump'!B:B,C182)</f>
        <v>0</v>
      </c>
      <c r="K182" s="4">
        <f>SUMPRODUCT(
  (TEXT('Weekly Dump'!$A$2:$A1009,"mmm-yy")=TEXT($AB182,"mmm-yy"))*
  ('Weekly Dump'!$B$2:$B1009=$C182)*
  'Weekly Dump'!$D$2:$D1009)</f>
        <v>0</v>
      </c>
      <c r="L182" s="4">
        <f>SUMPRODUCT(
  (TEXT('Weekly Dump'!$A$2:$A1009,"mmm-yy")=TEXT($AB182,"mmm-yy"))*
  ('Weekly Dump'!$B$2:$B1009=$C182)*
  'Weekly Dump'!$E$2:$E1009
)</f>
        <v>0</v>
      </c>
      <c r="M182" s="4">
        <f>SUMPRODUCT(
  (TEXT('Weekly Dump'!$A$2:$A1009,"mmm-yy")=TEXT($AB182,"mmm-yy"))*
  ('Weekly Dump'!$B$2:$B1009=$C182)*
  'Weekly Dump'!$P$2:$P1009
)</f>
        <v>0</v>
      </c>
      <c r="N182" s="39"/>
      <c r="O182" s="40">
        <f>SUMIFS('Weekly Dump'!$D:$D,'Weekly Dump'!$B:$B,$C182,'Weekly Dump'!$A:$A,$AB182)</f>
        <v>0</v>
      </c>
      <c r="P182" s="40">
        <f>SUMIFS('Weekly Dump'!R:R,'Weekly Dump'!B:B,C182,'Weekly Dump'!A:A,AB182)</f>
        <v>0</v>
      </c>
      <c r="Q182" s="40">
        <f t="shared" si="20"/>
        <v>0</v>
      </c>
      <c r="R182" s="41"/>
      <c r="T182" s="4">
        <f>SUMIFS('Weekly Dump'!E:E,'Weekly Dump'!B:B,C182,'Weekly Dump'!A:A,AB182)</f>
        <v>0</v>
      </c>
      <c r="U182" s="3">
        <f t="shared" si="21"/>
        <v>0</v>
      </c>
      <c r="V182" s="42"/>
      <c r="X182" s="4">
        <f>SUMIFS('Weekly Dump'!P:P,'Weekly Dump'!B:B,C182,'Weekly Dump'!A:A,AB182)</f>
        <v>0</v>
      </c>
      <c r="Y182" s="4">
        <f t="shared" si="22"/>
        <v>0</v>
      </c>
      <c r="Z182" s="41"/>
      <c r="AA182" s="12" t="str">
        <f>iferror(IF(VLOOKUP(C182,'Weekly Dump'!B:B,1,0)=C182,"Yes","Missing"),"")</f>
        <v/>
      </c>
      <c r="AB182" s="66"/>
    </row>
    <row r="183">
      <c r="B183" s="63"/>
      <c r="C183" s="63"/>
      <c r="G183" s="3" t="str">
        <f t="shared" si="26"/>
        <v/>
      </c>
      <c r="I183" s="4">
        <f>SUMIFS('Weekly Dump'!D:D,'Weekly Dump'!B:B,C183)</f>
        <v>0</v>
      </c>
      <c r="J183" s="5">
        <f>SUMIFS('Weekly Dump'!AE:AE,'Weekly Dump'!B:B,C183)</f>
        <v>0</v>
      </c>
      <c r="K183" s="4">
        <f>SUMPRODUCT(
  (TEXT('Weekly Dump'!$A$2:$A1009,"mmm-yy")=TEXT($AB183,"mmm-yy"))*
  ('Weekly Dump'!$B$2:$B1009=$C183)*
  'Weekly Dump'!$D$2:$D1009)</f>
        <v>0</v>
      </c>
      <c r="L183" s="4">
        <f>SUMPRODUCT(
  (TEXT('Weekly Dump'!$A$2:$A1009,"mmm-yy")=TEXT($AB183,"mmm-yy"))*
  ('Weekly Dump'!$B$2:$B1009=$C183)*
  'Weekly Dump'!$E$2:$E1009
)</f>
        <v>0</v>
      </c>
      <c r="M183" s="4">
        <f>SUMPRODUCT(
  (TEXT('Weekly Dump'!$A$2:$A1009,"mmm-yy")=TEXT($AB183,"mmm-yy"))*
  ('Weekly Dump'!$B$2:$B1009=$C183)*
  'Weekly Dump'!$P$2:$P1009
)</f>
        <v>0</v>
      </c>
      <c r="N183" s="39"/>
      <c r="O183" s="40">
        <f>SUMIFS('Weekly Dump'!$D:$D,'Weekly Dump'!$B:$B,$C183,'Weekly Dump'!$A:$A,$AB183)</f>
        <v>0</v>
      </c>
      <c r="P183" s="40">
        <f>SUMIFS('Weekly Dump'!R:R,'Weekly Dump'!B:B,C183,'Weekly Dump'!A:A,AB183)</f>
        <v>0</v>
      </c>
      <c r="Q183" s="40">
        <f t="shared" si="20"/>
        <v>0</v>
      </c>
      <c r="R183" s="41"/>
      <c r="T183" s="4">
        <f>SUMIFS('Weekly Dump'!E:E,'Weekly Dump'!B:B,C183,'Weekly Dump'!A:A,AB183)</f>
        <v>0</v>
      </c>
      <c r="U183" s="3">
        <f t="shared" si="21"/>
        <v>0</v>
      </c>
      <c r="V183" s="42"/>
      <c r="X183" s="4">
        <f>SUMIFS('Weekly Dump'!P:P,'Weekly Dump'!B:B,C183,'Weekly Dump'!A:A,AB183)</f>
        <v>0</v>
      </c>
      <c r="Y183" s="4">
        <f t="shared" si="22"/>
        <v>0</v>
      </c>
      <c r="Z183" s="41"/>
      <c r="AA183" s="12" t="str">
        <f>iferror(IF(VLOOKUP(C183,'Weekly Dump'!B:B,1,0)=C183,"Yes","Missing"),"")</f>
        <v/>
      </c>
      <c r="AB183" s="66"/>
    </row>
    <row r="184">
      <c r="B184" s="63"/>
      <c r="C184" s="63"/>
      <c r="G184" s="3" t="str">
        <f t="shared" si="26"/>
        <v/>
      </c>
      <c r="I184" s="4">
        <f>SUMIFS('Weekly Dump'!D:D,'Weekly Dump'!B:B,C184)</f>
        <v>0</v>
      </c>
      <c r="J184" s="5">
        <f>SUMIFS('Weekly Dump'!AE:AE,'Weekly Dump'!B:B,C184)</f>
        <v>0</v>
      </c>
      <c r="K184" s="4">
        <f>SUMPRODUCT(
  (TEXT('Weekly Dump'!$A$2:$A1009,"mmm-yy")=TEXT($AB184,"mmm-yy"))*
  ('Weekly Dump'!$B$2:$B1009=$C184)*
  'Weekly Dump'!$D$2:$D1009)</f>
        <v>0</v>
      </c>
      <c r="L184" s="4">
        <f>SUMPRODUCT(
  (TEXT('Weekly Dump'!$A$2:$A1009,"mmm-yy")=TEXT($AB184,"mmm-yy"))*
  ('Weekly Dump'!$B$2:$B1009=$C184)*
  'Weekly Dump'!$E$2:$E1009
)</f>
        <v>0</v>
      </c>
      <c r="M184" s="4">
        <f>SUMPRODUCT(
  (TEXT('Weekly Dump'!$A$2:$A1009,"mmm-yy")=TEXT($AB184,"mmm-yy"))*
  ('Weekly Dump'!$B$2:$B1009=$C184)*
  'Weekly Dump'!$P$2:$P1009
)</f>
        <v>0</v>
      </c>
      <c r="N184" s="39"/>
      <c r="O184" s="40">
        <f>SUMIFS('Weekly Dump'!$D:$D,'Weekly Dump'!$B:$B,$C184,'Weekly Dump'!$A:$A,$AB184)</f>
        <v>0</v>
      </c>
      <c r="P184" s="40">
        <f>SUMIFS('Weekly Dump'!R:R,'Weekly Dump'!B:B,C184,'Weekly Dump'!A:A,AB184)</f>
        <v>0</v>
      </c>
      <c r="Q184" s="40">
        <f t="shared" si="20"/>
        <v>0</v>
      </c>
      <c r="R184" s="41"/>
      <c r="T184" s="4">
        <f>SUMIFS('Weekly Dump'!E:E,'Weekly Dump'!B:B,C184,'Weekly Dump'!A:A,AB184)</f>
        <v>0</v>
      </c>
      <c r="U184" s="3">
        <f t="shared" si="21"/>
        <v>0</v>
      </c>
      <c r="V184" s="42"/>
      <c r="X184" s="4">
        <f>SUMIFS('Weekly Dump'!P:P,'Weekly Dump'!B:B,C184,'Weekly Dump'!A:A,AB184)</f>
        <v>0</v>
      </c>
      <c r="Y184" s="4">
        <f t="shared" si="22"/>
        <v>0</v>
      </c>
      <c r="Z184" s="41"/>
      <c r="AA184" s="12" t="str">
        <f>iferror(IF(VLOOKUP(C184,'Weekly Dump'!B:B,1,0)=C184,"Yes","Missing"),"")</f>
        <v/>
      </c>
      <c r="AB184" s="66"/>
    </row>
    <row r="185">
      <c r="B185" s="63"/>
      <c r="C185" s="63"/>
      <c r="G185" s="3" t="str">
        <f t="shared" si="26"/>
        <v/>
      </c>
      <c r="I185" s="4">
        <f>SUMIFS('Weekly Dump'!D:D,'Weekly Dump'!B:B,C185)</f>
        <v>0</v>
      </c>
      <c r="J185" s="5">
        <f>SUMIFS('Weekly Dump'!AE:AE,'Weekly Dump'!B:B,C185)</f>
        <v>0</v>
      </c>
      <c r="K185" s="4">
        <f>SUMPRODUCT(
  (TEXT('Weekly Dump'!$A$2:$A1009,"mmm-yy")=TEXT($AB185,"mmm-yy"))*
  ('Weekly Dump'!$B$2:$B1009=$C185)*
  'Weekly Dump'!$D$2:$D1009)</f>
        <v>0</v>
      </c>
      <c r="L185" s="4">
        <f>SUMPRODUCT(
  (TEXT('Weekly Dump'!$A$2:$A1009,"mmm-yy")=TEXT($AB185,"mmm-yy"))*
  ('Weekly Dump'!$B$2:$B1009=$C185)*
  'Weekly Dump'!$E$2:$E1009
)</f>
        <v>0</v>
      </c>
      <c r="M185" s="4">
        <f>SUMPRODUCT(
  (TEXT('Weekly Dump'!$A$2:$A1009,"mmm-yy")=TEXT($AB185,"mmm-yy"))*
  ('Weekly Dump'!$B$2:$B1009=$C185)*
  'Weekly Dump'!$P$2:$P1009
)</f>
        <v>0</v>
      </c>
      <c r="N185" s="39"/>
      <c r="O185" s="40">
        <f>SUMIFS('Weekly Dump'!$D:$D,'Weekly Dump'!$B:$B,$C185,'Weekly Dump'!$A:$A,$AB185)</f>
        <v>0</v>
      </c>
      <c r="P185" s="40">
        <f>SUMIFS('Weekly Dump'!R:R,'Weekly Dump'!B:B,C185,'Weekly Dump'!A:A,AB185)</f>
        <v>0</v>
      </c>
      <c r="Q185" s="40">
        <f t="shared" si="20"/>
        <v>0</v>
      </c>
      <c r="R185" s="41"/>
      <c r="T185" s="4">
        <f>SUMIFS('Weekly Dump'!E:E,'Weekly Dump'!B:B,C185,'Weekly Dump'!A:A,AB185)</f>
        <v>0</v>
      </c>
      <c r="U185" s="3">
        <f t="shared" si="21"/>
        <v>0</v>
      </c>
      <c r="V185" s="42"/>
      <c r="X185" s="4">
        <f>SUMIFS('Weekly Dump'!P:P,'Weekly Dump'!B:B,C185,'Weekly Dump'!A:A,AB185)</f>
        <v>0</v>
      </c>
      <c r="Y185" s="4">
        <f t="shared" si="22"/>
        <v>0</v>
      </c>
      <c r="Z185" s="41"/>
      <c r="AA185" s="12" t="str">
        <f>iferror(IF(VLOOKUP(C185,'Weekly Dump'!B:B,1,0)=C185,"Yes","Missing"),"")</f>
        <v/>
      </c>
      <c r="AB185" s="66"/>
    </row>
    <row r="186">
      <c r="B186" s="63"/>
      <c r="C186" s="63"/>
      <c r="G186" s="3" t="str">
        <f t="shared" si="26"/>
        <v/>
      </c>
      <c r="I186" s="4">
        <f>SUMIFS('Weekly Dump'!D:D,'Weekly Dump'!B:B,C186)</f>
        <v>0</v>
      </c>
      <c r="J186" s="5">
        <f>SUMIFS('Weekly Dump'!AE:AE,'Weekly Dump'!B:B,C186)</f>
        <v>0</v>
      </c>
      <c r="K186" s="4">
        <f>SUMPRODUCT(
  (TEXT('Weekly Dump'!$A$2:$A1009,"mmm-yy")=TEXT($AB186,"mmm-yy"))*
  ('Weekly Dump'!$B$2:$B1009=$C186)*
  'Weekly Dump'!$D$2:$D1009)</f>
        <v>0</v>
      </c>
      <c r="L186" s="4">
        <f>SUMPRODUCT(
  (TEXT('Weekly Dump'!$A$2:$A1009,"mmm-yy")=TEXT($AB186,"mmm-yy"))*
  ('Weekly Dump'!$B$2:$B1009=$C186)*
  'Weekly Dump'!$E$2:$E1009
)</f>
        <v>0</v>
      </c>
      <c r="M186" s="4">
        <f>SUMPRODUCT(
  (TEXT('Weekly Dump'!$A$2:$A1009,"mmm-yy")=TEXT($AB186,"mmm-yy"))*
  ('Weekly Dump'!$B$2:$B1009=$C186)*
  'Weekly Dump'!$P$2:$P1009
)</f>
        <v>0</v>
      </c>
      <c r="N186" s="39"/>
      <c r="O186" s="40">
        <f>SUMIFS('Weekly Dump'!$D:$D,'Weekly Dump'!$B:$B,$C186,'Weekly Dump'!$A:$A,$AB186)</f>
        <v>0</v>
      </c>
      <c r="P186" s="40">
        <f>SUMIFS('Weekly Dump'!R:R,'Weekly Dump'!B:B,C186,'Weekly Dump'!A:A,AB186)</f>
        <v>0</v>
      </c>
      <c r="Q186" s="40">
        <f t="shared" si="20"/>
        <v>0</v>
      </c>
      <c r="R186" s="41"/>
      <c r="T186" s="4">
        <f>SUMIFS('Weekly Dump'!E:E,'Weekly Dump'!B:B,C186,'Weekly Dump'!A:A,AB186)</f>
        <v>0</v>
      </c>
      <c r="U186" s="3">
        <f t="shared" si="21"/>
        <v>0</v>
      </c>
      <c r="V186" s="42"/>
      <c r="X186" s="4">
        <f>SUMIFS('Weekly Dump'!P:P,'Weekly Dump'!B:B,C186,'Weekly Dump'!A:A,AB186)</f>
        <v>0</v>
      </c>
      <c r="Y186" s="4">
        <f t="shared" si="22"/>
        <v>0</v>
      </c>
      <c r="Z186" s="41"/>
      <c r="AA186" s="12" t="str">
        <f>iferror(IF(VLOOKUP(C186,'Weekly Dump'!B:B,1,0)=C186,"Yes","Missing"),"")</f>
        <v/>
      </c>
      <c r="AB186" s="66"/>
    </row>
    <row r="187">
      <c r="B187" s="63"/>
      <c r="C187" s="63"/>
      <c r="G187" s="3" t="str">
        <f t="shared" si="26"/>
        <v/>
      </c>
      <c r="I187" s="4">
        <f>SUMIFS('Weekly Dump'!D:D,'Weekly Dump'!B:B,C187)</f>
        <v>0</v>
      </c>
      <c r="J187" s="5">
        <f>SUMIFS('Weekly Dump'!AE:AE,'Weekly Dump'!B:B,C187)</f>
        <v>0</v>
      </c>
      <c r="K187" s="4">
        <f>SUMPRODUCT(
  (TEXT('Weekly Dump'!$A$2:$A1009,"mmm-yy")=TEXT($AB187,"mmm-yy"))*
  ('Weekly Dump'!$B$2:$B1009=$C187)*
  'Weekly Dump'!$D$2:$D1009)</f>
        <v>0</v>
      </c>
      <c r="L187" s="4">
        <f>SUMPRODUCT(
  (TEXT('Weekly Dump'!$A$2:$A1009,"mmm-yy")=TEXT($AB187,"mmm-yy"))*
  ('Weekly Dump'!$B$2:$B1009=$C187)*
  'Weekly Dump'!$E$2:$E1009
)</f>
        <v>0</v>
      </c>
      <c r="M187" s="4">
        <f>SUMPRODUCT(
  (TEXT('Weekly Dump'!$A$2:$A1009,"mmm-yy")=TEXT($AB187,"mmm-yy"))*
  ('Weekly Dump'!$B$2:$B1009=$C187)*
  'Weekly Dump'!$P$2:$P1009
)</f>
        <v>0</v>
      </c>
      <c r="N187" s="39"/>
      <c r="O187" s="40">
        <f>SUMIFS('Weekly Dump'!$D:$D,'Weekly Dump'!$B:$B,$C187,'Weekly Dump'!$A:$A,$AB187)</f>
        <v>0</v>
      </c>
      <c r="P187" s="40">
        <f>SUMIFS('Weekly Dump'!R:R,'Weekly Dump'!B:B,C187,'Weekly Dump'!A:A,AB187)</f>
        <v>0</v>
      </c>
      <c r="Q187" s="40">
        <f t="shared" si="20"/>
        <v>0</v>
      </c>
      <c r="R187" s="41"/>
      <c r="T187" s="4">
        <f>SUMIFS('Weekly Dump'!E:E,'Weekly Dump'!B:B,C187,'Weekly Dump'!A:A,AB187)</f>
        <v>0</v>
      </c>
      <c r="U187" s="3">
        <f t="shared" si="21"/>
        <v>0</v>
      </c>
      <c r="V187" s="42"/>
      <c r="X187" s="4">
        <f>SUMIFS('Weekly Dump'!P:P,'Weekly Dump'!B:B,C187,'Weekly Dump'!A:A,AB187)</f>
        <v>0</v>
      </c>
      <c r="Y187" s="4">
        <f t="shared" si="22"/>
        <v>0</v>
      </c>
      <c r="Z187" s="41"/>
      <c r="AA187" s="12" t="str">
        <f>iferror(IF(VLOOKUP(C187,'Weekly Dump'!B:B,1,0)=C187,"Yes","Missing"),"")</f>
        <v/>
      </c>
      <c r="AB187" s="66"/>
    </row>
    <row r="188">
      <c r="B188" s="63"/>
      <c r="C188" s="63"/>
      <c r="G188" s="3" t="str">
        <f t="shared" si="26"/>
        <v/>
      </c>
      <c r="I188" s="4">
        <f>SUMIFS('Weekly Dump'!D:D,'Weekly Dump'!B:B,C188)</f>
        <v>0</v>
      </c>
      <c r="J188" s="5">
        <f>SUMIFS('Weekly Dump'!AE:AE,'Weekly Dump'!B:B,C188)</f>
        <v>0</v>
      </c>
      <c r="K188" s="4">
        <f>SUMPRODUCT(
  (TEXT('Weekly Dump'!$A$2:$A1009,"mmm-yy")=TEXT($AB188,"mmm-yy"))*
  ('Weekly Dump'!$B$2:$B1009=$C188)*
  'Weekly Dump'!$D$2:$D1009)</f>
        <v>0</v>
      </c>
      <c r="L188" s="4">
        <f>SUMPRODUCT(
  (TEXT('Weekly Dump'!$A$2:$A1009,"mmm-yy")=TEXT($AB188,"mmm-yy"))*
  ('Weekly Dump'!$B$2:$B1009=$C188)*
  'Weekly Dump'!$E$2:$E1009
)</f>
        <v>0</v>
      </c>
      <c r="M188" s="4">
        <f>SUMPRODUCT(
  (TEXT('Weekly Dump'!$A$2:$A1009,"mmm-yy")=TEXT($AB188,"mmm-yy"))*
  ('Weekly Dump'!$B$2:$B1009=$C188)*
  'Weekly Dump'!$P$2:$P1009
)</f>
        <v>0</v>
      </c>
      <c r="N188" s="39"/>
      <c r="O188" s="40">
        <f>SUMIFS('Weekly Dump'!$D:$D,'Weekly Dump'!$B:$B,$C188,'Weekly Dump'!$A:$A,$AB188)</f>
        <v>0</v>
      </c>
      <c r="P188" s="40">
        <f>SUMIFS('Weekly Dump'!R:R,'Weekly Dump'!B:B,C188,'Weekly Dump'!A:A,AB188)</f>
        <v>0</v>
      </c>
      <c r="Q188" s="40">
        <f t="shared" si="20"/>
        <v>0</v>
      </c>
      <c r="R188" s="41"/>
      <c r="T188" s="4">
        <f>SUMIFS('Weekly Dump'!E:E,'Weekly Dump'!B:B,C188,'Weekly Dump'!A:A,AB188)</f>
        <v>0</v>
      </c>
      <c r="U188" s="3">
        <f t="shared" si="21"/>
        <v>0</v>
      </c>
      <c r="V188" s="42"/>
      <c r="X188" s="4">
        <f>SUMIFS('Weekly Dump'!P:P,'Weekly Dump'!B:B,C188,'Weekly Dump'!A:A,AB188)</f>
        <v>0</v>
      </c>
      <c r="Y188" s="4">
        <f t="shared" si="22"/>
        <v>0</v>
      </c>
      <c r="Z188" s="41"/>
      <c r="AA188" s="12" t="str">
        <f>iferror(IF(VLOOKUP(C188,'Weekly Dump'!B:B,1,0)=C188,"Yes","Missing"),"")</f>
        <v/>
      </c>
      <c r="AB188" s="66"/>
    </row>
    <row r="189">
      <c r="B189" s="63"/>
      <c r="C189" s="63"/>
      <c r="G189" s="3" t="str">
        <f t="shared" si="26"/>
        <v/>
      </c>
      <c r="I189" s="4">
        <f>SUMIFS('Weekly Dump'!D:D,'Weekly Dump'!B:B,C189)</f>
        <v>0</v>
      </c>
      <c r="J189" s="5">
        <f>SUMIFS('Weekly Dump'!AE:AE,'Weekly Dump'!B:B,C189)</f>
        <v>0</v>
      </c>
      <c r="K189" s="4">
        <f>SUMPRODUCT(
  (TEXT('Weekly Dump'!$A$2:$A1009,"mmm-yy")=TEXT($AB189,"mmm-yy"))*
  ('Weekly Dump'!$B$2:$B1009=$C189)*
  'Weekly Dump'!$D$2:$D1009)</f>
        <v>0</v>
      </c>
      <c r="L189" s="4">
        <f>SUMPRODUCT(
  (TEXT('Weekly Dump'!$A$2:$A1009,"mmm-yy")=TEXT($AB189,"mmm-yy"))*
  ('Weekly Dump'!$B$2:$B1009=$C189)*
  'Weekly Dump'!$E$2:$E1009
)</f>
        <v>0</v>
      </c>
      <c r="M189" s="4">
        <f>SUMPRODUCT(
  (TEXT('Weekly Dump'!$A$2:$A1009,"mmm-yy")=TEXT($AB189,"mmm-yy"))*
  ('Weekly Dump'!$B$2:$B1009=$C189)*
  'Weekly Dump'!$P$2:$P1009
)</f>
        <v>0</v>
      </c>
      <c r="N189" s="39"/>
      <c r="O189" s="40">
        <f>SUMIFS('Weekly Dump'!$D:$D,'Weekly Dump'!$B:$B,$C189,'Weekly Dump'!$A:$A,$AB189)</f>
        <v>0</v>
      </c>
      <c r="P189" s="40">
        <f>SUMIFS('Weekly Dump'!R:R,'Weekly Dump'!B:B,C189,'Weekly Dump'!A:A,AB189)</f>
        <v>0</v>
      </c>
      <c r="Q189" s="40">
        <f t="shared" si="20"/>
        <v>0</v>
      </c>
      <c r="R189" s="41"/>
      <c r="T189" s="4">
        <f>SUMIFS('Weekly Dump'!E:E,'Weekly Dump'!B:B,C189,'Weekly Dump'!A:A,AB189)</f>
        <v>0</v>
      </c>
      <c r="U189" s="3">
        <f t="shared" si="21"/>
        <v>0</v>
      </c>
      <c r="V189" s="42"/>
      <c r="X189" s="4">
        <f>SUMIFS('Weekly Dump'!P:P,'Weekly Dump'!B:B,C189,'Weekly Dump'!A:A,AB189)</f>
        <v>0</v>
      </c>
      <c r="Y189" s="4">
        <f t="shared" si="22"/>
        <v>0</v>
      </c>
      <c r="Z189" s="41"/>
      <c r="AA189" s="12" t="str">
        <f>iferror(IF(VLOOKUP(C189,'Weekly Dump'!B:B,1,0)=C189,"Yes","Missing"),"")</f>
        <v/>
      </c>
      <c r="AB189" s="66"/>
    </row>
    <row r="190">
      <c r="B190" s="63"/>
      <c r="C190" s="63"/>
      <c r="G190" s="3" t="str">
        <f t="shared" si="26"/>
        <v/>
      </c>
      <c r="I190" s="4">
        <f>SUMIFS('Weekly Dump'!D:D,'Weekly Dump'!B:B,C190)</f>
        <v>0</v>
      </c>
      <c r="J190" s="5">
        <f>SUMIFS('Weekly Dump'!AE:AE,'Weekly Dump'!B:B,C190)</f>
        <v>0</v>
      </c>
      <c r="K190" s="4">
        <f>SUMPRODUCT(
  (TEXT('Weekly Dump'!$A$2:$A1009,"mmm-yy")=TEXT($AB190,"mmm-yy"))*
  ('Weekly Dump'!$B$2:$B1009=$C190)*
  'Weekly Dump'!$D$2:$D1009)</f>
        <v>0</v>
      </c>
      <c r="L190" s="4">
        <f>SUMPRODUCT(
  (TEXT('Weekly Dump'!$A$2:$A1009,"mmm-yy")=TEXT($AB190,"mmm-yy"))*
  ('Weekly Dump'!$B$2:$B1009=$C190)*
  'Weekly Dump'!$E$2:$E1009
)</f>
        <v>0</v>
      </c>
      <c r="M190" s="4">
        <f>SUMPRODUCT(
  (TEXT('Weekly Dump'!$A$2:$A1009,"mmm-yy")=TEXT($AB190,"mmm-yy"))*
  ('Weekly Dump'!$B$2:$B1009=$C190)*
  'Weekly Dump'!$P$2:$P1009
)</f>
        <v>0</v>
      </c>
      <c r="N190" s="39"/>
      <c r="O190" s="40">
        <f>SUMIFS('Weekly Dump'!$D:$D,'Weekly Dump'!$B:$B,$C190,'Weekly Dump'!$A:$A,$AB190)</f>
        <v>0</v>
      </c>
      <c r="P190" s="40">
        <f>SUMIFS('Weekly Dump'!R:R,'Weekly Dump'!B:B,C190,'Weekly Dump'!A:A,AB190)</f>
        <v>0</v>
      </c>
      <c r="Q190" s="40">
        <f t="shared" si="20"/>
        <v>0</v>
      </c>
      <c r="R190" s="41"/>
      <c r="T190" s="4">
        <f>SUMIFS('Weekly Dump'!E:E,'Weekly Dump'!B:B,C190,'Weekly Dump'!A:A,AB190)</f>
        <v>0</v>
      </c>
      <c r="U190" s="3">
        <f t="shared" si="21"/>
        <v>0</v>
      </c>
      <c r="V190" s="42"/>
      <c r="X190" s="4">
        <f>SUMIFS('Weekly Dump'!P:P,'Weekly Dump'!B:B,C190,'Weekly Dump'!A:A,AB190)</f>
        <v>0</v>
      </c>
      <c r="Y190" s="4">
        <f t="shared" si="22"/>
        <v>0</v>
      </c>
      <c r="Z190" s="41"/>
      <c r="AA190" s="12" t="str">
        <f>iferror(IF(VLOOKUP(C190,'Weekly Dump'!B:B,1,0)=C190,"Yes","Missing"),"")</f>
        <v/>
      </c>
      <c r="AB190" s="66"/>
    </row>
    <row r="191">
      <c r="B191" s="63"/>
      <c r="C191" s="63"/>
      <c r="G191" s="3" t="str">
        <f t="shared" si="26"/>
        <v/>
      </c>
      <c r="I191" s="4">
        <f>SUMIFS('Weekly Dump'!D:D,'Weekly Dump'!B:B,C191)</f>
        <v>0</v>
      </c>
      <c r="J191" s="5">
        <f>SUMIFS('Weekly Dump'!AE:AE,'Weekly Dump'!B:B,C191)</f>
        <v>0</v>
      </c>
      <c r="K191" s="4">
        <f>SUMPRODUCT(
  (TEXT('Weekly Dump'!$A$2:$A1009,"mmm-yy")=TEXT($AB191,"mmm-yy"))*
  ('Weekly Dump'!$B$2:$B1009=$C191)*
  'Weekly Dump'!$D$2:$D1009)</f>
        <v>0</v>
      </c>
      <c r="L191" s="4">
        <f>SUMPRODUCT(
  (TEXT('Weekly Dump'!$A$2:$A1009,"mmm-yy")=TEXT($AB191,"mmm-yy"))*
  ('Weekly Dump'!$B$2:$B1009=$C191)*
  'Weekly Dump'!$E$2:$E1009
)</f>
        <v>0</v>
      </c>
      <c r="M191" s="4">
        <f>SUMPRODUCT(
  (TEXT('Weekly Dump'!$A$2:$A1009,"mmm-yy")=TEXT($AB191,"mmm-yy"))*
  ('Weekly Dump'!$B$2:$B1009=$C191)*
  'Weekly Dump'!$P$2:$P1009
)</f>
        <v>0</v>
      </c>
      <c r="N191" s="39"/>
      <c r="O191" s="40">
        <f>SUMIFS('Weekly Dump'!$D:$D,'Weekly Dump'!$B:$B,$C191,'Weekly Dump'!$A:$A,$AB191)</f>
        <v>0</v>
      </c>
      <c r="P191" s="40">
        <f>SUMIFS('Weekly Dump'!R:R,'Weekly Dump'!B:B,C191,'Weekly Dump'!A:A,AB191)</f>
        <v>0</v>
      </c>
      <c r="Q191" s="40">
        <f t="shared" si="20"/>
        <v>0</v>
      </c>
      <c r="R191" s="41"/>
      <c r="T191" s="4">
        <f>SUMIFS('Weekly Dump'!E:E,'Weekly Dump'!B:B,C191,'Weekly Dump'!A:A,AB191)</f>
        <v>0</v>
      </c>
      <c r="U191" s="3">
        <f t="shared" si="21"/>
        <v>0</v>
      </c>
      <c r="V191" s="42"/>
      <c r="X191" s="4">
        <f>SUMIFS('Weekly Dump'!P:P,'Weekly Dump'!B:B,C191,'Weekly Dump'!A:A,AB191)</f>
        <v>0</v>
      </c>
      <c r="Y191" s="4">
        <f t="shared" si="22"/>
        <v>0</v>
      </c>
      <c r="Z191" s="41"/>
      <c r="AA191" s="12" t="str">
        <f>iferror(IF(VLOOKUP(C191,'Weekly Dump'!B:B,1,0)=C191,"Yes","Missing"),"")</f>
        <v/>
      </c>
      <c r="AB191" s="66"/>
    </row>
    <row r="192">
      <c r="B192" s="63"/>
      <c r="C192" s="63"/>
      <c r="G192" s="3" t="str">
        <f t="shared" si="26"/>
        <v/>
      </c>
      <c r="I192" s="4">
        <f>SUMIFS('Weekly Dump'!D:D,'Weekly Dump'!B:B,C192)</f>
        <v>0</v>
      </c>
      <c r="J192" s="5">
        <f>SUMIFS('Weekly Dump'!AE:AE,'Weekly Dump'!B:B,C192)</f>
        <v>0</v>
      </c>
      <c r="K192" s="4">
        <f>SUMPRODUCT(
  (TEXT('Weekly Dump'!$A$2:$A1009,"mmm-yy")=TEXT($AB192,"mmm-yy"))*
  ('Weekly Dump'!$B$2:$B1009=$C192)*
  'Weekly Dump'!$D$2:$D1009)</f>
        <v>0</v>
      </c>
      <c r="L192" s="4">
        <f>SUMPRODUCT(
  (TEXT('Weekly Dump'!$A$2:$A1009,"mmm-yy")=TEXT($AB192,"mmm-yy"))*
  ('Weekly Dump'!$B$2:$B1009=$C192)*
  'Weekly Dump'!$E$2:$E1009
)</f>
        <v>0</v>
      </c>
      <c r="M192" s="4">
        <f>SUMPRODUCT(
  (TEXT('Weekly Dump'!$A$2:$A1009,"mmm-yy")=TEXT($AB192,"mmm-yy"))*
  ('Weekly Dump'!$B$2:$B1009=$C192)*
  'Weekly Dump'!$P$2:$P1009
)</f>
        <v>0</v>
      </c>
      <c r="N192" s="39"/>
      <c r="O192" s="40">
        <f>SUMIFS('Weekly Dump'!$D:$D,'Weekly Dump'!$B:$B,$C192,'Weekly Dump'!$A:$A,$AB192)</f>
        <v>0</v>
      </c>
      <c r="P192" s="40">
        <f>SUMIFS('Weekly Dump'!R:R,'Weekly Dump'!B:B,C192,'Weekly Dump'!A:A,AB192)</f>
        <v>0</v>
      </c>
      <c r="Q192" s="40">
        <f t="shared" si="20"/>
        <v>0</v>
      </c>
      <c r="R192" s="41"/>
      <c r="T192" s="4">
        <f>SUMIFS('Weekly Dump'!E:E,'Weekly Dump'!B:B,C192,'Weekly Dump'!A:A,AB192)</f>
        <v>0</v>
      </c>
      <c r="U192" s="3">
        <f t="shared" si="21"/>
        <v>0</v>
      </c>
      <c r="V192" s="42"/>
      <c r="X192" s="4">
        <f>SUMIFS('Weekly Dump'!P:P,'Weekly Dump'!B:B,C192,'Weekly Dump'!A:A,AB192)</f>
        <v>0</v>
      </c>
      <c r="Y192" s="4">
        <f t="shared" si="22"/>
        <v>0</v>
      </c>
      <c r="Z192" s="41"/>
      <c r="AA192" s="12" t="str">
        <f>iferror(IF(VLOOKUP(C192,'Weekly Dump'!B:B,1,0)=C192,"Yes","Missing"),"")</f>
        <v/>
      </c>
      <c r="AB192" s="66"/>
    </row>
    <row r="193">
      <c r="B193" s="63"/>
      <c r="C193" s="63"/>
      <c r="G193" s="3" t="str">
        <f t="shared" si="26"/>
        <v/>
      </c>
      <c r="I193" s="4">
        <f>SUMIFS('Weekly Dump'!D:D,'Weekly Dump'!B:B,C193)</f>
        <v>0</v>
      </c>
      <c r="J193" s="5">
        <f>SUMIFS('Weekly Dump'!AE:AE,'Weekly Dump'!B:B,C193)</f>
        <v>0</v>
      </c>
      <c r="K193" s="4">
        <f>SUMPRODUCT(
  (TEXT('Weekly Dump'!$A$2:$A1009,"mmm-yy")=TEXT($AB193,"mmm-yy"))*
  ('Weekly Dump'!$B$2:$B1009=$C193)*
  'Weekly Dump'!$D$2:$D1009)</f>
        <v>0</v>
      </c>
      <c r="L193" s="4">
        <f>SUMPRODUCT(
  (TEXT('Weekly Dump'!$A$2:$A1009,"mmm-yy")=TEXT($AB193,"mmm-yy"))*
  ('Weekly Dump'!$B$2:$B1009=$C193)*
  'Weekly Dump'!$E$2:$E1009
)</f>
        <v>0</v>
      </c>
      <c r="M193" s="4">
        <f>SUMPRODUCT(
  (TEXT('Weekly Dump'!$A$2:$A1009,"mmm-yy")=TEXT($AB193,"mmm-yy"))*
  ('Weekly Dump'!$B$2:$B1009=$C193)*
  'Weekly Dump'!$P$2:$P1009
)</f>
        <v>0</v>
      </c>
      <c r="N193" s="39"/>
      <c r="O193" s="40">
        <f>SUMIFS('Weekly Dump'!$D:$D,'Weekly Dump'!$B:$B,$C193,'Weekly Dump'!$A:$A,$AB193)</f>
        <v>0</v>
      </c>
      <c r="P193" s="40">
        <f>SUMIFS('Weekly Dump'!R:R,'Weekly Dump'!B:B,C193,'Weekly Dump'!A:A,AB193)</f>
        <v>0</v>
      </c>
      <c r="Q193" s="40">
        <f t="shared" si="20"/>
        <v>0</v>
      </c>
      <c r="R193" s="41"/>
      <c r="T193" s="4">
        <f>SUMIFS('Weekly Dump'!E:E,'Weekly Dump'!B:B,C193,'Weekly Dump'!A:A,AB193)</f>
        <v>0</v>
      </c>
      <c r="U193" s="3">
        <f t="shared" si="21"/>
        <v>0</v>
      </c>
      <c r="V193" s="42"/>
      <c r="X193" s="4">
        <f>SUMIFS('Weekly Dump'!P:P,'Weekly Dump'!B:B,C193,'Weekly Dump'!A:A,AB193)</f>
        <v>0</v>
      </c>
      <c r="Y193" s="4">
        <f t="shared" si="22"/>
        <v>0</v>
      </c>
      <c r="Z193" s="41"/>
      <c r="AA193" s="12" t="str">
        <f>iferror(IF(VLOOKUP(C193,'Weekly Dump'!B:B,1,0)=C193,"Yes","Missing"),"")</f>
        <v/>
      </c>
      <c r="AB193" s="66"/>
    </row>
    <row r="194">
      <c r="B194" s="63"/>
      <c r="C194" s="63"/>
      <c r="G194" s="3" t="str">
        <f t="shared" si="26"/>
        <v/>
      </c>
      <c r="I194" s="4">
        <f>SUMIFS('Weekly Dump'!D:D,'Weekly Dump'!B:B,C194)</f>
        <v>0</v>
      </c>
      <c r="J194" s="5">
        <f>SUMIFS('Weekly Dump'!AE:AE,'Weekly Dump'!B:B,C194)</f>
        <v>0</v>
      </c>
      <c r="K194" s="4">
        <f>SUMPRODUCT(
  (TEXT('Weekly Dump'!$A$2:$A1009,"mmm-yy")=TEXT($AB194,"mmm-yy"))*
  ('Weekly Dump'!$B$2:$B1009=$C194)*
  'Weekly Dump'!$D$2:$D1009)</f>
        <v>0</v>
      </c>
      <c r="L194" s="4">
        <f>SUMPRODUCT(
  (TEXT('Weekly Dump'!$A$2:$A1009,"mmm-yy")=TEXT($AB194,"mmm-yy"))*
  ('Weekly Dump'!$B$2:$B1009=$C194)*
  'Weekly Dump'!$E$2:$E1009
)</f>
        <v>0</v>
      </c>
      <c r="M194" s="4">
        <f>SUMPRODUCT(
  (TEXT('Weekly Dump'!$A$2:$A1009,"mmm-yy")=TEXT($AB194,"mmm-yy"))*
  ('Weekly Dump'!$B$2:$B1009=$C194)*
  'Weekly Dump'!$P$2:$P1009
)</f>
        <v>0</v>
      </c>
      <c r="N194" s="39"/>
      <c r="O194" s="40">
        <f>SUMIFS('Weekly Dump'!$D:$D,'Weekly Dump'!$B:$B,$C194,'Weekly Dump'!$A:$A,$AB194)</f>
        <v>0</v>
      </c>
      <c r="P194" s="40">
        <f>SUMIFS('Weekly Dump'!R:R,'Weekly Dump'!B:B,C194,'Weekly Dump'!A:A,AB194)</f>
        <v>0</v>
      </c>
      <c r="Q194" s="40">
        <f t="shared" si="20"/>
        <v>0</v>
      </c>
      <c r="R194" s="41"/>
      <c r="T194" s="4">
        <f>SUMIFS('Weekly Dump'!E:E,'Weekly Dump'!B:B,C194,'Weekly Dump'!A:A,AB194)</f>
        <v>0</v>
      </c>
      <c r="U194" s="3">
        <f t="shared" si="21"/>
        <v>0</v>
      </c>
      <c r="V194" s="42"/>
      <c r="X194" s="4">
        <f>SUMIFS('Weekly Dump'!P:P,'Weekly Dump'!B:B,C194,'Weekly Dump'!A:A,AB194)</f>
        <v>0</v>
      </c>
      <c r="Y194" s="4">
        <f t="shared" si="22"/>
        <v>0</v>
      </c>
      <c r="Z194" s="41"/>
      <c r="AA194" s="12" t="str">
        <f>iferror(IF(VLOOKUP(C194,'Weekly Dump'!B:B,1,0)=C194,"Yes","Missing"),"")</f>
        <v/>
      </c>
      <c r="AB194" s="66"/>
    </row>
    <row r="195">
      <c r="B195" s="63"/>
      <c r="C195" s="63"/>
      <c r="G195" s="3" t="str">
        <f t="shared" si="26"/>
        <v/>
      </c>
      <c r="I195" s="4">
        <f>SUMIFS('Weekly Dump'!D:D,'Weekly Dump'!B:B,C195)</f>
        <v>0</v>
      </c>
      <c r="J195" s="5">
        <f>SUMIFS('Weekly Dump'!AE:AE,'Weekly Dump'!B:B,C195)</f>
        <v>0</v>
      </c>
      <c r="K195" s="4">
        <f>SUMPRODUCT(
  (TEXT('Weekly Dump'!$A$2:$A1009,"mmm-yy")=TEXT($AB195,"mmm-yy"))*
  ('Weekly Dump'!$B$2:$B1009=$C195)*
  'Weekly Dump'!$D$2:$D1009)</f>
        <v>0</v>
      </c>
      <c r="L195" s="4">
        <f>SUMPRODUCT(
  (TEXT('Weekly Dump'!$A$2:$A1009,"mmm-yy")=TEXT($AB195,"mmm-yy"))*
  ('Weekly Dump'!$B$2:$B1009=$C195)*
  'Weekly Dump'!$E$2:$E1009
)</f>
        <v>0</v>
      </c>
      <c r="M195" s="4">
        <f>SUMPRODUCT(
  (TEXT('Weekly Dump'!$A$2:$A1009,"mmm-yy")=TEXT($AB195,"mmm-yy"))*
  ('Weekly Dump'!$B$2:$B1009=$C195)*
  'Weekly Dump'!$P$2:$P1009
)</f>
        <v>0</v>
      </c>
      <c r="N195" s="39"/>
      <c r="O195" s="40">
        <f>SUMIFS('Weekly Dump'!$D:$D,'Weekly Dump'!$B:$B,$C195,'Weekly Dump'!$A:$A,$AB195)</f>
        <v>0</v>
      </c>
      <c r="P195" s="40">
        <f>SUMIFS('Weekly Dump'!R:R,'Weekly Dump'!B:B,C195,'Weekly Dump'!A:A,AB195)</f>
        <v>0</v>
      </c>
      <c r="Q195" s="40">
        <f t="shared" si="20"/>
        <v>0</v>
      </c>
      <c r="R195" s="41"/>
      <c r="T195" s="4">
        <f>SUMIFS('Weekly Dump'!E:E,'Weekly Dump'!B:B,C195,'Weekly Dump'!A:A,AB195)</f>
        <v>0</v>
      </c>
      <c r="U195" s="3">
        <f t="shared" si="21"/>
        <v>0</v>
      </c>
      <c r="V195" s="42"/>
      <c r="X195" s="4">
        <f>SUMIFS('Weekly Dump'!P:P,'Weekly Dump'!B:B,C195,'Weekly Dump'!A:A,AB195)</f>
        <v>0</v>
      </c>
      <c r="Y195" s="4">
        <f t="shared" si="22"/>
        <v>0</v>
      </c>
      <c r="Z195" s="41"/>
      <c r="AA195" s="12" t="str">
        <f>iferror(IF(VLOOKUP(C195,'Weekly Dump'!B:B,1,0)=C195,"Yes","Missing"),"")</f>
        <v/>
      </c>
      <c r="AB195" s="66"/>
    </row>
    <row r="196">
      <c r="B196" s="63"/>
      <c r="C196" s="63"/>
      <c r="G196" s="3" t="str">
        <f t="shared" si="26"/>
        <v/>
      </c>
      <c r="I196" s="4">
        <f>SUMIFS('Weekly Dump'!D:D,'Weekly Dump'!B:B,C196)</f>
        <v>0</v>
      </c>
      <c r="J196" s="5">
        <f>SUMIFS('Weekly Dump'!AE:AE,'Weekly Dump'!B:B,C196)</f>
        <v>0</v>
      </c>
      <c r="K196" s="4">
        <f>SUMPRODUCT(
  (TEXT('Weekly Dump'!$A$2:$A1009,"mmm-yy")=TEXT($AB196,"mmm-yy"))*
  ('Weekly Dump'!$B$2:$B1009=$C196)*
  'Weekly Dump'!$D$2:$D1009)</f>
        <v>0</v>
      </c>
      <c r="L196" s="4">
        <f>SUMPRODUCT(
  (TEXT('Weekly Dump'!$A$2:$A1009,"mmm-yy")=TEXT($AB196,"mmm-yy"))*
  ('Weekly Dump'!$B$2:$B1009=$C196)*
  'Weekly Dump'!$E$2:$E1009
)</f>
        <v>0</v>
      </c>
      <c r="M196" s="4">
        <f>SUMPRODUCT(
  (TEXT('Weekly Dump'!$A$2:$A1009,"mmm-yy")=TEXT($AB196,"mmm-yy"))*
  ('Weekly Dump'!$B$2:$B1009=$C196)*
  'Weekly Dump'!$P$2:$P1009
)</f>
        <v>0</v>
      </c>
      <c r="N196" s="39"/>
      <c r="O196" s="40">
        <f>SUMIFS('Weekly Dump'!$D:$D,'Weekly Dump'!$B:$B,$C196,'Weekly Dump'!$A:$A,$AB196)</f>
        <v>0</v>
      </c>
      <c r="P196" s="40">
        <f>SUMIFS('Weekly Dump'!R:R,'Weekly Dump'!B:B,C196,'Weekly Dump'!A:A,AB196)</f>
        <v>0</v>
      </c>
      <c r="Q196" s="40">
        <f t="shared" si="20"/>
        <v>0</v>
      </c>
      <c r="R196" s="41"/>
      <c r="T196" s="4">
        <f>SUMIFS('Weekly Dump'!E:E,'Weekly Dump'!B:B,C196,'Weekly Dump'!A:A,AB196)</f>
        <v>0</v>
      </c>
      <c r="U196" s="3">
        <f t="shared" si="21"/>
        <v>0</v>
      </c>
      <c r="V196" s="42"/>
      <c r="X196" s="4">
        <f>SUMIFS('Weekly Dump'!P:P,'Weekly Dump'!B:B,C196,'Weekly Dump'!A:A,AB196)</f>
        <v>0</v>
      </c>
      <c r="Y196" s="4">
        <f t="shared" si="22"/>
        <v>0</v>
      </c>
      <c r="Z196" s="41"/>
      <c r="AA196" s="12" t="str">
        <f>iferror(IF(VLOOKUP(C196,'Weekly Dump'!B:B,1,0)=C196,"Yes","Missing"),"")</f>
        <v/>
      </c>
      <c r="AB196" s="66"/>
    </row>
    <row r="197">
      <c r="B197" s="63"/>
      <c r="C197" s="63"/>
      <c r="G197" s="3" t="str">
        <f t="shared" si="26"/>
        <v/>
      </c>
      <c r="I197" s="4">
        <f>SUMIFS('Weekly Dump'!D:D,'Weekly Dump'!B:B,C197)</f>
        <v>0</v>
      </c>
      <c r="J197" s="5">
        <f>SUMIFS('Weekly Dump'!AE:AE,'Weekly Dump'!B:B,C197)</f>
        <v>0</v>
      </c>
      <c r="K197" s="4">
        <f>SUMPRODUCT(
  (TEXT('Weekly Dump'!$A$2:$A1009,"mmm-yy")=TEXT($AB197,"mmm-yy"))*
  ('Weekly Dump'!$B$2:$B1009=$C197)*
  'Weekly Dump'!$D$2:$D1009)</f>
        <v>0</v>
      </c>
      <c r="L197" s="4">
        <f>SUMPRODUCT(
  (TEXT('Weekly Dump'!$A$2:$A1009,"mmm-yy")=TEXT($AB197,"mmm-yy"))*
  ('Weekly Dump'!$B$2:$B1009=$C197)*
  'Weekly Dump'!$E$2:$E1009
)</f>
        <v>0</v>
      </c>
      <c r="M197" s="4">
        <f>SUMPRODUCT(
  (TEXT('Weekly Dump'!$A$2:$A1009,"mmm-yy")=TEXT($AB197,"mmm-yy"))*
  ('Weekly Dump'!$B$2:$B1009=$C197)*
  'Weekly Dump'!$P$2:$P1009
)</f>
        <v>0</v>
      </c>
      <c r="N197" s="39"/>
      <c r="O197" s="40">
        <f>SUMIFS('Weekly Dump'!$D:$D,'Weekly Dump'!$B:$B,$C197,'Weekly Dump'!$A:$A,$AB197)</f>
        <v>0</v>
      </c>
      <c r="P197" s="40">
        <f>SUMIFS('Weekly Dump'!R:R,'Weekly Dump'!B:B,C197,'Weekly Dump'!A:A,AB197)</f>
        <v>0</v>
      </c>
      <c r="Q197" s="40">
        <f t="shared" si="20"/>
        <v>0</v>
      </c>
      <c r="R197" s="41"/>
      <c r="T197" s="4">
        <f>SUMIFS('Weekly Dump'!E:E,'Weekly Dump'!B:B,C197,'Weekly Dump'!A:A,AB197)</f>
        <v>0</v>
      </c>
      <c r="U197" s="3">
        <f t="shared" si="21"/>
        <v>0</v>
      </c>
      <c r="V197" s="42"/>
      <c r="X197" s="4">
        <f>SUMIFS('Weekly Dump'!P:P,'Weekly Dump'!B:B,C197,'Weekly Dump'!A:A,AB197)</f>
        <v>0</v>
      </c>
      <c r="Y197" s="4">
        <f t="shared" si="22"/>
        <v>0</v>
      </c>
      <c r="Z197" s="41"/>
      <c r="AA197" s="12" t="str">
        <f>iferror(IF(VLOOKUP(C197,'Weekly Dump'!B:B,1,0)=C197,"Yes","Missing"),"")</f>
        <v/>
      </c>
      <c r="AB197" s="66"/>
    </row>
    <row r="198">
      <c r="B198" s="63"/>
      <c r="C198" s="63"/>
      <c r="G198" s="3" t="str">
        <f t="shared" si="26"/>
        <v/>
      </c>
      <c r="I198" s="4">
        <f>SUMIFS('Weekly Dump'!D:D,'Weekly Dump'!B:B,C198)</f>
        <v>0</v>
      </c>
      <c r="J198" s="5">
        <f>SUMIFS('Weekly Dump'!AE:AE,'Weekly Dump'!B:B,C198)</f>
        <v>0</v>
      </c>
      <c r="K198" s="4">
        <f>SUMPRODUCT(
  (TEXT('Weekly Dump'!$A$2:$A1009,"mmm-yy")=TEXT($AB198,"mmm-yy"))*
  ('Weekly Dump'!$B$2:$B1009=$C198)*
  'Weekly Dump'!$D$2:$D1009)</f>
        <v>0</v>
      </c>
      <c r="L198" s="4">
        <f>SUMPRODUCT(
  (TEXT('Weekly Dump'!$A$2:$A1009,"mmm-yy")=TEXT($AB198,"mmm-yy"))*
  ('Weekly Dump'!$B$2:$B1009=$C198)*
  'Weekly Dump'!$E$2:$E1009
)</f>
        <v>0</v>
      </c>
      <c r="M198" s="4">
        <f>SUMPRODUCT(
  (TEXT('Weekly Dump'!$A$2:$A1009,"mmm-yy")=TEXT($AB198,"mmm-yy"))*
  ('Weekly Dump'!$B$2:$B1009=$C198)*
  'Weekly Dump'!$P$2:$P1009
)</f>
        <v>0</v>
      </c>
      <c r="N198" s="39"/>
      <c r="O198" s="40">
        <f>SUMIFS('Weekly Dump'!$D:$D,'Weekly Dump'!$B:$B,$C198,'Weekly Dump'!$A:$A,$AB198)</f>
        <v>0</v>
      </c>
      <c r="P198" s="40">
        <f>SUMIFS('Weekly Dump'!R:R,'Weekly Dump'!B:B,C198,'Weekly Dump'!A:A,AB198)</f>
        <v>0</v>
      </c>
      <c r="Q198" s="40">
        <f t="shared" si="20"/>
        <v>0</v>
      </c>
      <c r="R198" s="41"/>
      <c r="T198" s="4">
        <f>SUMIFS('Weekly Dump'!E:E,'Weekly Dump'!B:B,C198,'Weekly Dump'!A:A,AB198)</f>
        <v>0</v>
      </c>
      <c r="U198" s="3">
        <f t="shared" si="21"/>
        <v>0</v>
      </c>
      <c r="V198" s="42"/>
      <c r="X198" s="4">
        <f>SUMIFS('Weekly Dump'!P:P,'Weekly Dump'!B:B,C198,'Weekly Dump'!A:A,AB198)</f>
        <v>0</v>
      </c>
      <c r="Y198" s="4">
        <f t="shared" si="22"/>
        <v>0</v>
      </c>
      <c r="Z198" s="41"/>
      <c r="AA198" s="12" t="str">
        <f>iferror(IF(VLOOKUP(C198,'Weekly Dump'!B:B,1,0)=C198,"Yes","Missing"),"")</f>
        <v/>
      </c>
      <c r="AB198" s="66"/>
    </row>
    <row r="199">
      <c r="B199" s="63"/>
      <c r="C199" s="63"/>
      <c r="G199" s="3" t="str">
        <f t="shared" si="26"/>
        <v/>
      </c>
      <c r="I199" s="4">
        <f>SUMIFS('Weekly Dump'!D:D,'Weekly Dump'!B:B,C199)</f>
        <v>0</v>
      </c>
      <c r="J199" s="5">
        <f>SUMIFS('Weekly Dump'!AE:AE,'Weekly Dump'!B:B,C199)</f>
        <v>0</v>
      </c>
      <c r="K199" s="4">
        <f>SUMPRODUCT(
  (TEXT('Weekly Dump'!$A$2:$A1009,"mmm-yy")=TEXT($AB199,"mmm-yy"))*
  ('Weekly Dump'!$B$2:$B1009=$C199)*
  'Weekly Dump'!$D$2:$D1009)</f>
        <v>0</v>
      </c>
      <c r="L199" s="4">
        <f>SUMPRODUCT(
  (TEXT('Weekly Dump'!$A$2:$A1009,"mmm-yy")=TEXT($AB199,"mmm-yy"))*
  ('Weekly Dump'!$B$2:$B1009=$C199)*
  'Weekly Dump'!$E$2:$E1009
)</f>
        <v>0</v>
      </c>
      <c r="M199" s="4">
        <f>SUMPRODUCT(
  (TEXT('Weekly Dump'!$A$2:$A1009,"mmm-yy")=TEXT($AB199,"mmm-yy"))*
  ('Weekly Dump'!$B$2:$B1009=$C199)*
  'Weekly Dump'!$P$2:$P1009
)</f>
        <v>0</v>
      </c>
      <c r="N199" s="39"/>
      <c r="O199" s="40">
        <f>SUMIFS('Weekly Dump'!$D:$D,'Weekly Dump'!$B:$B,$C199,'Weekly Dump'!$A:$A,$AB199)</f>
        <v>0</v>
      </c>
      <c r="P199" s="40">
        <f>SUMIFS('Weekly Dump'!R:R,'Weekly Dump'!B:B,C199,'Weekly Dump'!A:A,AB199)</f>
        <v>0</v>
      </c>
      <c r="Q199" s="40">
        <f t="shared" si="20"/>
        <v>0</v>
      </c>
      <c r="R199" s="41"/>
      <c r="T199" s="4">
        <f>SUMIFS('Weekly Dump'!E:E,'Weekly Dump'!B:B,C199,'Weekly Dump'!A:A,AB199)</f>
        <v>0</v>
      </c>
      <c r="U199" s="3">
        <f t="shared" si="21"/>
        <v>0</v>
      </c>
      <c r="V199" s="42"/>
      <c r="X199" s="4">
        <f>SUMIFS('Weekly Dump'!P:P,'Weekly Dump'!B:B,C199,'Weekly Dump'!A:A,AB199)</f>
        <v>0</v>
      </c>
      <c r="Y199" s="4">
        <f t="shared" si="22"/>
        <v>0</v>
      </c>
      <c r="Z199" s="41"/>
      <c r="AA199" s="12" t="str">
        <f>iferror(IF(VLOOKUP(C199,'Weekly Dump'!B:B,1,0)=C199,"Yes","Missing"),"")</f>
        <v/>
      </c>
      <c r="AB199" s="66"/>
    </row>
    <row r="200">
      <c r="B200" s="63"/>
      <c r="C200" s="63"/>
      <c r="G200" s="3" t="str">
        <f t="shared" si="26"/>
        <v/>
      </c>
      <c r="I200" s="4">
        <f>SUMIFS('Weekly Dump'!D:D,'Weekly Dump'!B:B,C200)</f>
        <v>0</v>
      </c>
      <c r="J200" s="5">
        <f>SUMIFS('Weekly Dump'!AE:AE,'Weekly Dump'!B:B,C200)</f>
        <v>0</v>
      </c>
      <c r="K200" s="4">
        <f>SUMPRODUCT(
  (TEXT('Weekly Dump'!$A$2:$A1009,"mmm-yy")=TEXT($AB200,"mmm-yy"))*
  ('Weekly Dump'!$B$2:$B1009=$C200)*
  'Weekly Dump'!$D$2:$D1009)</f>
        <v>0</v>
      </c>
      <c r="L200" s="4">
        <f>SUMPRODUCT(
  (TEXT('Weekly Dump'!$A$2:$A1009,"mmm-yy")=TEXT($AB200,"mmm-yy"))*
  ('Weekly Dump'!$B$2:$B1009=$C200)*
  'Weekly Dump'!$E$2:$E1009
)</f>
        <v>0</v>
      </c>
      <c r="M200" s="4">
        <f>SUMPRODUCT(
  (TEXT('Weekly Dump'!$A$2:$A1009,"mmm-yy")=TEXT($AB200,"mmm-yy"))*
  ('Weekly Dump'!$B$2:$B1009=$C200)*
  'Weekly Dump'!$P$2:$P1009
)</f>
        <v>0</v>
      </c>
      <c r="N200" s="39"/>
      <c r="O200" s="40">
        <f>SUMIFS('Weekly Dump'!$D:$D,'Weekly Dump'!$B:$B,$C200,'Weekly Dump'!$A:$A,$AB200)</f>
        <v>0</v>
      </c>
      <c r="P200" s="40">
        <f>SUMIFS('Weekly Dump'!R:R,'Weekly Dump'!B:B,C200,'Weekly Dump'!A:A,AB200)</f>
        <v>0</v>
      </c>
      <c r="Q200" s="40">
        <f t="shared" si="20"/>
        <v>0</v>
      </c>
      <c r="R200" s="41"/>
      <c r="T200" s="4">
        <f>SUMIFS('Weekly Dump'!E:E,'Weekly Dump'!B:B,C200,'Weekly Dump'!A:A,AB200)</f>
        <v>0</v>
      </c>
      <c r="U200" s="3">
        <f t="shared" si="21"/>
        <v>0</v>
      </c>
      <c r="V200" s="42"/>
      <c r="X200" s="4">
        <f>SUMIFS('Weekly Dump'!P:P,'Weekly Dump'!B:B,C200,'Weekly Dump'!A:A,AB200)</f>
        <v>0</v>
      </c>
      <c r="Y200" s="4">
        <f t="shared" si="22"/>
        <v>0</v>
      </c>
      <c r="Z200" s="41"/>
      <c r="AA200" s="12" t="str">
        <f>iferror(IF(VLOOKUP(C200,'Weekly Dump'!B:B,1,0)=C200,"Yes","Missing"),"")</f>
        <v/>
      </c>
      <c r="AB200" s="66"/>
    </row>
    <row r="201">
      <c r="B201" s="63"/>
      <c r="C201" s="63"/>
      <c r="G201" s="3" t="str">
        <f t="shared" si="26"/>
        <v/>
      </c>
      <c r="I201" s="4">
        <f>SUMIFS('Weekly Dump'!D:D,'Weekly Dump'!B:B,C201)</f>
        <v>0</v>
      </c>
      <c r="J201" s="5">
        <f>SUMIFS('Weekly Dump'!AE:AE,'Weekly Dump'!B:B,C201)</f>
        <v>0</v>
      </c>
      <c r="K201" s="4">
        <f>SUMPRODUCT(
  (TEXT('Weekly Dump'!$A$2:$A1009,"mmm-yy")=TEXT($AB201,"mmm-yy"))*
  ('Weekly Dump'!$B$2:$B1009=$C201)*
  'Weekly Dump'!$D$2:$D1009)</f>
        <v>0</v>
      </c>
      <c r="L201" s="4">
        <f>SUMPRODUCT(
  (TEXT('Weekly Dump'!$A$2:$A1009,"mmm-yy")=TEXT($AB201,"mmm-yy"))*
  ('Weekly Dump'!$B$2:$B1009=$C201)*
  'Weekly Dump'!$E$2:$E1009
)</f>
        <v>0</v>
      </c>
      <c r="M201" s="4">
        <f>SUMPRODUCT(
  (TEXT('Weekly Dump'!$A$2:$A1009,"mmm-yy")=TEXT($AB201,"mmm-yy"))*
  ('Weekly Dump'!$B$2:$B1009=$C201)*
  'Weekly Dump'!$P$2:$P1009
)</f>
        <v>0</v>
      </c>
      <c r="N201" s="39"/>
      <c r="O201" s="40">
        <f>SUMIFS('Weekly Dump'!$D:$D,'Weekly Dump'!$B:$B,$C201,'Weekly Dump'!$A:$A,$AB201)</f>
        <v>0</v>
      </c>
      <c r="P201" s="40">
        <f>SUMIFS('Weekly Dump'!R:R,'Weekly Dump'!B:B,C201,'Weekly Dump'!A:A,AB201)</f>
        <v>0</v>
      </c>
      <c r="Q201" s="40">
        <f t="shared" si="20"/>
        <v>0</v>
      </c>
      <c r="R201" s="41"/>
      <c r="T201" s="4">
        <f>SUMIFS('Weekly Dump'!E:E,'Weekly Dump'!B:B,C201,'Weekly Dump'!A:A,AB201)</f>
        <v>0</v>
      </c>
      <c r="U201" s="3">
        <f t="shared" si="21"/>
        <v>0</v>
      </c>
      <c r="V201" s="42"/>
      <c r="X201" s="4">
        <f>SUMIFS('Weekly Dump'!P:P,'Weekly Dump'!B:B,C201,'Weekly Dump'!A:A,AB201)</f>
        <v>0</v>
      </c>
      <c r="Y201" s="4">
        <f t="shared" si="22"/>
        <v>0</v>
      </c>
      <c r="Z201" s="41"/>
      <c r="AA201" s="12" t="str">
        <f>iferror(IF(VLOOKUP(C201,'Weekly Dump'!B:B,1,0)=C201,"Yes","Missing"),"")</f>
        <v/>
      </c>
      <c r="AB201" s="66"/>
    </row>
    <row r="202">
      <c r="B202" s="63"/>
      <c r="C202" s="63"/>
      <c r="G202" s="3" t="str">
        <f t="shared" si="26"/>
        <v/>
      </c>
      <c r="I202" s="4">
        <f>SUMIFS('Weekly Dump'!D:D,'Weekly Dump'!B:B,C202)</f>
        <v>0</v>
      </c>
      <c r="J202" s="5">
        <f>SUMIFS('Weekly Dump'!AE:AE,'Weekly Dump'!B:B,C202)</f>
        <v>0</v>
      </c>
      <c r="K202" s="4">
        <f>SUMPRODUCT(
  (TEXT('Weekly Dump'!$A$2:$A1009,"mmm-yy")=TEXT($AB202,"mmm-yy"))*
  ('Weekly Dump'!$B$2:$B1009=$C202)*
  'Weekly Dump'!$D$2:$D1009)</f>
        <v>0</v>
      </c>
      <c r="L202" s="4">
        <f>SUMPRODUCT(
  (TEXT('Weekly Dump'!$A$2:$A1009,"mmm-yy")=TEXT($AB202,"mmm-yy"))*
  ('Weekly Dump'!$B$2:$B1009=$C202)*
  'Weekly Dump'!$E$2:$E1009
)</f>
        <v>0</v>
      </c>
      <c r="M202" s="4">
        <f>SUMPRODUCT(
  (TEXT('Weekly Dump'!$A$2:$A1009,"mmm-yy")=TEXT($AB202,"mmm-yy"))*
  ('Weekly Dump'!$B$2:$B1009=$C202)*
  'Weekly Dump'!$P$2:$P1009
)</f>
        <v>0</v>
      </c>
      <c r="N202" s="39"/>
      <c r="O202" s="40">
        <f>SUMIFS('Weekly Dump'!$D:$D,'Weekly Dump'!$B:$B,$C202,'Weekly Dump'!$A:$A,$AB202)</f>
        <v>0</v>
      </c>
      <c r="P202" s="40">
        <f>SUMIFS('Weekly Dump'!R:R,'Weekly Dump'!B:B,C202,'Weekly Dump'!A:A,AB202)</f>
        <v>0</v>
      </c>
      <c r="Q202" s="40">
        <f t="shared" si="20"/>
        <v>0</v>
      </c>
      <c r="R202" s="41"/>
      <c r="T202" s="4">
        <f>SUMIFS('Weekly Dump'!E:E,'Weekly Dump'!B:B,C202,'Weekly Dump'!A:A,AB202)</f>
        <v>0</v>
      </c>
      <c r="U202" s="3">
        <f t="shared" si="21"/>
        <v>0</v>
      </c>
      <c r="V202" s="42"/>
      <c r="X202" s="4">
        <f>SUMIFS('Weekly Dump'!P:P,'Weekly Dump'!B:B,C202,'Weekly Dump'!A:A,AB202)</f>
        <v>0</v>
      </c>
      <c r="Y202" s="4">
        <f t="shared" si="22"/>
        <v>0</v>
      </c>
      <c r="Z202" s="41"/>
      <c r="AA202" s="12" t="str">
        <f>iferror(IF(VLOOKUP(C202,'Weekly Dump'!B:B,1,0)=C202,"Yes","Missing"),"")</f>
        <v/>
      </c>
      <c r="AB202" s="66"/>
    </row>
    <row r="203">
      <c r="B203" s="63"/>
      <c r="C203" s="63"/>
      <c r="G203" s="3" t="str">
        <f t="shared" si="26"/>
        <v/>
      </c>
      <c r="I203" s="4">
        <f>SUMIFS('Weekly Dump'!D:D,'Weekly Dump'!B:B,C203)</f>
        <v>0</v>
      </c>
      <c r="J203" s="5">
        <f>SUMIFS('Weekly Dump'!AE:AE,'Weekly Dump'!B:B,C203)</f>
        <v>0</v>
      </c>
      <c r="K203" s="4">
        <f>SUMPRODUCT(
  (TEXT('Weekly Dump'!$A$2:$A1009,"mmm-yy")=TEXT($AB203,"mmm-yy"))*
  ('Weekly Dump'!$B$2:$B1009=$C203)*
  'Weekly Dump'!$D$2:$D1009)</f>
        <v>0</v>
      </c>
      <c r="L203" s="4">
        <f>SUMPRODUCT(
  (TEXT('Weekly Dump'!$A$2:$A1009,"mmm-yy")=TEXT($AB203,"mmm-yy"))*
  ('Weekly Dump'!$B$2:$B1009=$C203)*
  'Weekly Dump'!$E$2:$E1009
)</f>
        <v>0</v>
      </c>
      <c r="M203" s="4">
        <f>SUMPRODUCT(
  (TEXT('Weekly Dump'!$A$2:$A1009,"mmm-yy")=TEXT($AB203,"mmm-yy"))*
  ('Weekly Dump'!$B$2:$B1009=$C203)*
  'Weekly Dump'!$P$2:$P1009
)</f>
        <v>0</v>
      </c>
      <c r="N203" s="39"/>
      <c r="O203" s="40">
        <f>SUMIFS('Weekly Dump'!$D:$D,'Weekly Dump'!$B:$B,$C203,'Weekly Dump'!$A:$A,$AB203)</f>
        <v>0</v>
      </c>
      <c r="P203" s="40">
        <f>SUMIFS('Weekly Dump'!R:R,'Weekly Dump'!B:B,C203,'Weekly Dump'!A:A,AB203)</f>
        <v>0</v>
      </c>
      <c r="Q203" s="40">
        <f t="shared" si="20"/>
        <v>0</v>
      </c>
      <c r="R203" s="41"/>
      <c r="T203" s="4">
        <f>SUMIFS('Weekly Dump'!E:E,'Weekly Dump'!B:B,C203,'Weekly Dump'!A:A,AB203)</f>
        <v>0</v>
      </c>
      <c r="U203" s="3">
        <f t="shared" si="21"/>
        <v>0</v>
      </c>
      <c r="V203" s="42"/>
      <c r="X203" s="4">
        <f>SUMIFS('Weekly Dump'!P:P,'Weekly Dump'!B:B,C203,'Weekly Dump'!A:A,AB203)</f>
        <v>0</v>
      </c>
      <c r="Y203" s="4">
        <f t="shared" si="22"/>
        <v>0</v>
      </c>
      <c r="Z203" s="41"/>
      <c r="AA203" s="12" t="str">
        <f>iferror(IF(VLOOKUP(C203,'Weekly Dump'!B:B,1,0)=C203,"Yes","Missing"),"")</f>
        <v/>
      </c>
      <c r="AB203" s="66"/>
    </row>
    <row r="204">
      <c r="B204" s="63"/>
      <c r="C204" s="63"/>
      <c r="G204" s="3" t="str">
        <f t="shared" si="26"/>
        <v/>
      </c>
      <c r="I204" s="4">
        <f>SUMIFS('Weekly Dump'!D:D,'Weekly Dump'!B:B,C204)</f>
        <v>0</v>
      </c>
      <c r="J204" s="5">
        <f>SUMIFS('Weekly Dump'!AE:AE,'Weekly Dump'!B:B,C204)</f>
        <v>0</v>
      </c>
      <c r="K204" s="4">
        <f>SUMPRODUCT(
  (TEXT('Weekly Dump'!$A$2:$A1009,"mmm-yy")=TEXT($AB204,"mmm-yy"))*
  ('Weekly Dump'!$B$2:$B1009=$C204)*
  'Weekly Dump'!$D$2:$D1009)</f>
        <v>0</v>
      </c>
      <c r="L204" s="4">
        <f>SUMPRODUCT(
  (TEXT('Weekly Dump'!$A$2:$A1009,"mmm-yy")=TEXT($AB204,"mmm-yy"))*
  ('Weekly Dump'!$B$2:$B1009=$C204)*
  'Weekly Dump'!$E$2:$E1009
)</f>
        <v>0</v>
      </c>
      <c r="M204" s="4">
        <f>SUMPRODUCT(
  (TEXT('Weekly Dump'!$A$2:$A1009,"mmm-yy")=TEXT($AB204,"mmm-yy"))*
  ('Weekly Dump'!$B$2:$B1009=$C204)*
  'Weekly Dump'!$P$2:$P1009
)</f>
        <v>0</v>
      </c>
      <c r="N204" s="39"/>
      <c r="O204" s="40">
        <f>SUMIFS('Weekly Dump'!$D:$D,'Weekly Dump'!$B:$B,$C204,'Weekly Dump'!$A:$A,$AB204)</f>
        <v>0</v>
      </c>
      <c r="P204" s="40">
        <f>SUMIFS('Weekly Dump'!R:R,'Weekly Dump'!B:B,C204,'Weekly Dump'!A:A,AB204)</f>
        <v>0</v>
      </c>
      <c r="Q204" s="40">
        <f t="shared" si="20"/>
        <v>0</v>
      </c>
      <c r="R204" s="41"/>
      <c r="T204" s="4">
        <f>SUMIFS('Weekly Dump'!E:E,'Weekly Dump'!B:B,C204,'Weekly Dump'!A:A,AB204)</f>
        <v>0</v>
      </c>
      <c r="U204" s="3">
        <f t="shared" si="21"/>
        <v>0</v>
      </c>
      <c r="V204" s="42"/>
      <c r="X204" s="4">
        <f>SUMIFS('Weekly Dump'!P:P,'Weekly Dump'!B:B,C204,'Weekly Dump'!A:A,AB204)</f>
        <v>0</v>
      </c>
      <c r="Y204" s="4">
        <f t="shared" si="22"/>
        <v>0</v>
      </c>
      <c r="Z204" s="41"/>
      <c r="AA204" s="12" t="str">
        <f>iferror(IF(VLOOKUP(C204,'Weekly Dump'!B:B,1,0)=C204,"Yes","Missing"),"")</f>
        <v/>
      </c>
      <c r="AB204" s="66"/>
    </row>
    <row r="205">
      <c r="B205" s="63"/>
      <c r="C205" s="63"/>
      <c r="G205" s="3" t="str">
        <f t="shared" si="26"/>
        <v/>
      </c>
      <c r="I205" s="4">
        <f>SUMIFS('Weekly Dump'!D:D,'Weekly Dump'!B:B,C205)</f>
        <v>0</v>
      </c>
      <c r="J205" s="5">
        <f>SUMIFS('Weekly Dump'!AE:AE,'Weekly Dump'!B:B,C205)</f>
        <v>0</v>
      </c>
      <c r="K205" s="4">
        <f>SUMPRODUCT(
  (TEXT('Weekly Dump'!$A$2:$A1009,"mmm-yy")=TEXT($AB205,"mmm-yy"))*
  ('Weekly Dump'!$B$2:$B1009=$C205)*
  'Weekly Dump'!$D$2:$D1009)</f>
        <v>0</v>
      </c>
      <c r="L205" s="4">
        <f>SUMPRODUCT(
  (TEXT('Weekly Dump'!$A$2:$A1009,"mmm-yy")=TEXT($AB205,"mmm-yy"))*
  ('Weekly Dump'!$B$2:$B1009=$C205)*
  'Weekly Dump'!$E$2:$E1009
)</f>
        <v>0</v>
      </c>
      <c r="M205" s="4">
        <f>SUMPRODUCT(
  (TEXT('Weekly Dump'!$A$2:$A1009,"mmm-yy")=TEXT($AB205,"mmm-yy"))*
  ('Weekly Dump'!$B$2:$B1009=$C205)*
  'Weekly Dump'!$P$2:$P1009
)</f>
        <v>0</v>
      </c>
      <c r="N205" s="39"/>
      <c r="O205" s="40">
        <f>SUMIFS('Weekly Dump'!$D:$D,'Weekly Dump'!$B:$B,$C205,'Weekly Dump'!$A:$A,$AB205)</f>
        <v>0</v>
      </c>
      <c r="P205" s="40">
        <f>SUMIFS('Weekly Dump'!R:R,'Weekly Dump'!B:B,C205,'Weekly Dump'!A:A,AB205)</f>
        <v>0</v>
      </c>
      <c r="Q205" s="40">
        <f t="shared" si="20"/>
        <v>0</v>
      </c>
      <c r="R205" s="41"/>
      <c r="T205" s="4">
        <f>SUMIFS('Weekly Dump'!E:E,'Weekly Dump'!B:B,C205,'Weekly Dump'!A:A,AB205)</f>
        <v>0</v>
      </c>
      <c r="U205" s="3">
        <f t="shared" si="21"/>
        <v>0</v>
      </c>
      <c r="V205" s="42"/>
      <c r="X205" s="4">
        <f>SUMIFS('Weekly Dump'!P:P,'Weekly Dump'!B:B,C205,'Weekly Dump'!A:A,AB205)</f>
        <v>0</v>
      </c>
      <c r="Y205" s="4">
        <f t="shared" si="22"/>
        <v>0</v>
      </c>
      <c r="Z205" s="41"/>
      <c r="AA205" s="12" t="str">
        <f>iferror(IF(VLOOKUP(C205,'Weekly Dump'!B:B,1,0)=C205,"Yes","Missing"),"")</f>
        <v/>
      </c>
      <c r="AB205" s="66"/>
    </row>
    <row r="206">
      <c r="B206" s="63"/>
      <c r="C206" s="63"/>
      <c r="G206" s="3" t="str">
        <f t="shared" si="26"/>
        <v/>
      </c>
      <c r="I206" s="4">
        <f>SUMIFS('Weekly Dump'!D:D,'Weekly Dump'!B:B,C206)</f>
        <v>0</v>
      </c>
      <c r="J206" s="5">
        <f>SUMIFS('Weekly Dump'!AE:AE,'Weekly Dump'!B:B,C206)</f>
        <v>0</v>
      </c>
      <c r="K206" s="4">
        <f>SUMPRODUCT(
  (TEXT('Weekly Dump'!$A$2:$A1009,"mmm-yy")=TEXT($AB206,"mmm-yy"))*
  ('Weekly Dump'!$B$2:$B1009=$C206)*
  'Weekly Dump'!$D$2:$D1009)</f>
        <v>0</v>
      </c>
      <c r="L206" s="4">
        <f>SUMPRODUCT(
  (TEXT('Weekly Dump'!$A$2:$A1009,"mmm-yy")=TEXT($AB206,"mmm-yy"))*
  ('Weekly Dump'!$B$2:$B1009=$C206)*
  'Weekly Dump'!$E$2:$E1009
)</f>
        <v>0</v>
      </c>
      <c r="M206" s="4">
        <f>SUMPRODUCT(
  (TEXT('Weekly Dump'!$A$2:$A1009,"mmm-yy")=TEXT($AB206,"mmm-yy"))*
  ('Weekly Dump'!$B$2:$B1009=$C206)*
  'Weekly Dump'!$P$2:$P1009
)</f>
        <v>0</v>
      </c>
      <c r="N206" s="39"/>
      <c r="O206" s="40">
        <f>SUMIFS('Weekly Dump'!$D:$D,'Weekly Dump'!$B:$B,$C206,'Weekly Dump'!$A:$A,$AB206)</f>
        <v>0</v>
      </c>
      <c r="P206" s="40">
        <f>SUMIFS('Weekly Dump'!R:R,'Weekly Dump'!B:B,C206,'Weekly Dump'!A:A,AB206)</f>
        <v>0</v>
      </c>
      <c r="Q206" s="40">
        <f t="shared" si="20"/>
        <v>0</v>
      </c>
      <c r="R206" s="41"/>
      <c r="T206" s="4">
        <f>SUMIFS('Weekly Dump'!E:E,'Weekly Dump'!B:B,C206,'Weekly Dump'!A:A,AB206)</f>
        <v>0</v>
      </c>
      <c r="U206" s="3">
        <f t="shared" si="21"/>
        <v>0</v>
      </c>
      <c r="V206" s="42"/>
      <c r="X206" s="4">
        <f>SUMIFS('Weekly Dump'!P:P,'Weekly Dump'!B:B,C206,'Weekly Dump'!A:A,AB206)</f>
        <v>0</v>
      </c>
      <c r="Y206" s="4">
        <f t="shared" si="22"/>
        <v>0</v>
      </c>
      <c r="Z206" s="41"/>
      <c r="AA206" s="12" t="str">
        <f>iferror(IF(VLOOKUP(C206,'Weekly Dump'!B:B,1,0)=C206,"Yes","Missing"),"")</f>
        <v/>
      </c>
      <c r="AB206" s="66"/>
    </row>
    <row r="207">
      <c r="B207" s="63"/>
      <c r="C207" s="63"/>
      <c r="G207" s="3" t="str">
        <f t="shared" si="26"/>
        <v/>
      </c>
      <c r="I207" s="4">
        <f>SUMIFS('Weekly Dump'!D:D,'Weekly Dump'!B:B,C207)</f>
        <v>0</v>
      </c>
      <c r="J207" s="5">
        <f>SUMIFS('Weekly Dump'!AE:AE,'Weekly Dump'!B:B,C207)</f>
        <v>0</v>
      </c>
      <c r="K207" s="4">
        <f>SUMPRODUCT(
  (TEXT('Weekly Dump'!$A$2:$A1009,"mmm-yy")=TEXT($AB207,"mmm-yy"))*
  ('Weekly Dump'!$B$2:$B1009=$C207)*
  'Weekly Dump'!$D$2:$D1009)</f>
        <v>0</v>
      </c>
      <c r="L207" s="4">
        <f>SUMPRODUCT(
  (TEXT('Weekly Dump'!$A$2:$A1009,"mmm-yy")=TEXT($AB207,"mmm-yy"))*
  ('Weekly Dump'!$B$2:$B1009=$C207)*
  'Weekly Dump'!$E$2:$E1009
)</f>
        <v>0</v>
      </c>
      <c r="M207" s="4">
        <f>SUMPRODUCT(
  (TEXT('Weekly Dump'!$A$2:$A1009,"mmm-yy")=TEXT($AB207,"mmm-yy"))*
  ('Weekly Dump'!$B$2:$B1009=$C207)*
  'Weekly Dump'!$P$2:$P1009
)</f>
        <v>0</v>
      </c>
      <c r="N207" s="39"/>
      <c r="O207" s="40">
        <f>SUMIFS('Weekly Dump'!$D:$D,'Weekly Dump'!$B:$B,$C207,'Weekly Dump'!$A:$A,$AB207)</f>
        <v>0</v>
      </c>
      <c r="P207" s="40">
        <f>SUMIFS('Weekly Dump'!R:R,'Weekly Dump'!B:B,C207,'Weekly Dump'!A:A,AB207)</f>
        <v>0</v>
      </c>
      <c r="Q207" s="40">
        <f t="shared" si="20"/>
        <v>0</v>
      </c>
      <c r="R207" s="41"/>
      <c r="T207" s="4">
        <f>SUMIFS('Weekly Dump'!E:E,'Weekly Dump'!B:B,C207,'Weekly Dump'!A:A,AB207)</f>
        <v>0</v>
      </c>
      <c r="U207" s="3">
        <f t="shared" si="21"/>
        <v>0</v>
      </c>
      <c r="V207" s="42"/>
      <c r="X207" s="4">
        <f>SUMIFS('Weekly Dump'!P:P,'Weekly Dump'!B:B,C207,'Weekly Dump'!A:A,AB207)</f>
        <v>0</v>
      </c>
      <c r="Y207" s="4">
        <f t="shared" si="22"/>
        <v>0</v>
      </c>
      <c r="Z207" s="41"/>
      <c r="AA207" s="12" t="str">
        <f>iferror(IF(VLOOKUP(C207,'Weekly Dump'!B:B,1,0)=C207,"Yes","Missing"),"")</f>
        <v/>
      </c>
      <c r="AB207" s="66"/>
    </row>
    <row r="208">
      <c r="B208" s="63"/>
      <c r="C208" s="63"/>
      <c r="G208" s="3" t="str">
        <f t="shared" si="26"/>
        <v/>
      </c>
      <c r="I208" s="4">
        <f>SUMIFS('Weekly Dump'!D:D,'Weekly Dump'!B:B,C208)</f>
        <v>0</v>
      </c>
      <c r="J208" s="5">
        <f>SUMIFS('Weekly Dump'!AE:AE,'Weekly Dump'!B:B,C208)</f>
        <v>0</v>
      </c>
      <c r="K208" s="4">
        <f>SUMPRODUCT(
  (TEXT('Weekly Dump'!$A$2:$A1009,"mmm-yy")=TEXT($AB208,"mmm-yy"))*
  ('Weekly Dump'!$B$2:$B1009=$C208)*
  'Weekly Dump'!$D$2:$D1009)</f>
        <v>0</v>
      </c>
      <c r="L208" s="4">
        <f>SUMPRODUCT(
  (TEXT('Weekly Dump'!$A$2:$A1009,"mmm-yy")=TEXT($AB208,"mmm-yy"))*
  ('Weekly Dump'!$B$2:$B1009=$C208)*
  'Weekly Dump'!$E$2:$E1009
)</f>
        <v>0</v>
      </c>
      <c r="M208" s="4">
        <f>SUMPRODUCT(
  (TEXT('Weekly Dump'!$A$2:$A1009,"mmm-yy")=TEXT($AB208,"mmm-yy"))*
  ('Weekly Dump'!$B$2:$B1009=$C208)*
  'Weekly Dump'!$P$2:$P1009
)</f>
        <v>0</v>
      </c>
      <c r="N208" s="39"/>
      <c r="O208" s="40">
        <f>SUMIFS('Weekly Dump'!$D:$D,'Weekly Dump'!$B:$B,$C208,'Weekly Dump'!$A:$A,$AB208)</f>
        <v>0</v>
      </c>
      <c r="P208" s="40">
        <f>SUMIFS('Weekly Dump'!R:R,'Weekly Dump'!B:B,C208,'Weekly Dump'!A:A,AB208)</f>
        <v>0</v>
      </c>
      <c r="Q208" s="40">
        <f t="shared" si="20"/>
        <v>0</v>
      </c>
      <c r="R208" s="41"/>
      <c r="T208" s="4">
        <f>SUMIFS('Weekly Dump'!E:E,'Weekly Dump'!B:B,C208,'Weekly Dump'!A:A,AB208)</f>
        <v>0</v>
      </c>
      <c r="U208" s="3">
        <f t="shared" si="21"/>
        <v>0</v>
      </c>
      <c r="V208" s="42"/>
      <c r="X208" s="4">
        <f>SUMIFS('Weekly Dump'!P:P,'Weekly Dump'!B:B,C208,'Weekly Dump'!A:A,AB208)</f>
        <v>0</v>
      </c>
      <c r="Y208" s="4">
        <f t="shared" si="22"/>
        <v>0</v>
      </c>
      <c r="Z208" s="41"/>
      <c r="AA208" s="12" t="str">
        <f>iferror(IF(VLOOKUP(C208,'Weekly Dump'!B:B,1,0)=C208,"Yes","Missing"),"")</f>
        <v/>
      </c>
      <c r="AB208" s="66"/>
    </row>
    <row r="209">
      <c r="B209" s="63"/>
      <c r="C209" s="63"/>
      <c r="G209" s="3" t="str">
        <f t="shared" si="26"/>
        <v/>
      </c>
      <c r="I209" s="4">
        <f>SUMIFS('Weekly Dump'!D:D,'Weekly Dump'!B:B,C209)</f>
        <v>0</v>
      </c>
      <c r="J209" s="5">
        <f>SUMIFS('Weekly Dump'!AE:AE,'Weekly Dump'!B:B,C209)</f>
        <v>0</v>
      </c>
      <c r="K209" s="4">
        <f>SUMPRODUCT(
  (TEXT('Weekly Dump'!$A$2:$A1009,"mmm-yy")=TEXT($AB209,"mmm-yy"))*
  ('Weekly Dump'!$B$2:$B1009=$C209)*
  'Weekly Dump'!$D$2:$D1009)</f>
        <v>0</v>
      </c>
      <c r="L209" s="4">
        <f>SUMPRODUCT(
  (TEXT('Weekly Dump'!$A$2:$A1009,"mmm-yy")=TEXT($AB209,"mmm-yy"))*
  ('Weekly Dump'!$B$2:$B1009=$C209)*
  'Weekly Dump'!$E$2:$E1009
)</f>
        <v>0</v>
      </c>
      <c r="M209" s="4">
        <f>SUMPRODUCT(
  (TEXT('Weekly Dump'!$A$2:$A1009,"mmm-yy")=TEXT($AB209,"mmm-yy"))*
  ('Weekly Dump'!$B$2:$B1009=$C209)*
  'Weekly Dump'!$P$2:$P1009
)</f>
        <v>0</v>
      </c>
      <c r="N209" s="39"/>
      <c r="O209" s="40">
        <f>SUMIFS('Weekly Dump'!$D:$D,'Weekly Dump'!$B:$B,$C209,'Weekly Dump'!$A:$A,$AB209)</f>
        <v>0</v>
      </c>
      <c r="P209" s="40">
        <f>SUMIFS('Weekly Dump'!R:R,'Weekly Dump'!B:B,C209,'Weekly Dump'!A:A,AB209)</f>
        <v>0</v>
      </c>
      <c r="Q209" s="40">
        <f t="shared" si="20"/>
        <v>0</v>
      </c>
      <c r="R209" s="41"/>
      <c r="T209" s="4">
        <f>SUMIFS('Weekly Dump'!E:E,'Weekly Dump'!B:B,C209,'Weekly Dump'!A:A,AB209)</f>
        <v>0</v>
      </c>
      <c r="U209" s="3">
        <f t="shared" si="21"/>
        <v>0</v>
      </c>
      <c r="V209" s="42"/>
      <c r="X209" s="4">
        <f>SUMIFS('Weekly Dump'!P:P,'Weekly Dump'!B:B,C209,'Weekly Dump'!A:A,AB209)</f>
        <v>0</v>
      </c>
      <c r="Y209" s="4">
        <f t="shared" si="22"/>
        <v>0</v>
      </c>
      <c r="Z209" s="41"/>
      <c r="AA209" s="12" t="str">
        <f>iferror(IF(VLOOKUP(C209,'Weekly Dump'!B:B,1,0)=C209,"Yes","Missing"),"")</f>
        <v/>
      </c>
      <c r="AB209" s="66"/>
    </row>
    <row r="210">
      <c r="B210" s="63"/>
      <c r="C210" s="63"/>
      <c r="G210" s="3" t="str">
        <f t="shared" si="26"/>
        <v/>
      </c>
      <c r="I210" s="4">
        <f>SUMIFS('Weekly Dump'!D:D,'Weekly Dump'!B:B,C210)</f>
        <v>0</v>
      </c>
      <c r="J210" s="5">
        <f>SUMIFS('Weekly Dump'!AE:AE,'Weekly Dump'!B:B,C210)</f>
        <v>0</v>
      </c>
      <c r="K210" s="4">
        <f>SUMPRODUCT(
  (TEXT('Weekly Dump'!$A$2:$A1009,"mmm-yy")=TEXT($AB210,"mmm-yy"))*
  ('Weekly Dump'!$B$2:$B1009=$C210)*
  'Weekly Dump'!$D$2:$D1009)</f>
        <v>0</v>
      </c>
      <c r="L210" s="4">
        <f>SUMPRODUCT(
  (TEXT('Weekly Dump'!$A$2:$A1009,"mmm-yy")=TEXT($AB210,"mmm-yy"))*
  ('Weekly Dump'!$B$2:$B1009=$C210)*
  'Weekly Dump'!$E$2:$E1009
)</f>
        <v>0</v>
      </c>
      <c r="M210" s="4">
        <f>SUMPRODUCT(
  (TEXT('Weekly Dump'!$A$2:$A1009,"mmm-yy")=TEXT($AB210,"mmm-yy"))*
  ('Weekly Dump'!$B$2:$B1009=$C210)*
  'Weekly Dump'!$P$2:$P1009
)</f>
        <v>0</v>
      </c>
      <c r="N210" s="39"/>
      <c r="O210" s="40">
        <f>SUMIFS('Weekly Dump'!$D:$D,'Weekly Dump'!$B:$B,$C210,'Weekly Dump'!$A:$A,$AB210)</f>
        <v>0</v>
      </c>
      <c r="P210" s="40">
        <f>SUMIFS('Weekly Dump'!R:R,'Weekly Dump'!B:B,C210,'Weekly Dump'!A:A,AB210)</f>
        <v>0</v>
      </c>
      <c r="Q210" s="40">
        <f t="shared" si="20"/>
        <v>0</v>
      </c>
      <c r="R210" s="41"/>
      <c r="T210" s="4">
        <f>SUMIFS('Weekly Dump'!E:E,'Weekly Dump'!B:B,C210,'Weekly Dump'!A:A,AB210)</f>
        <v>0</v>
      </c>
      <c r="U210" s="3">
        <f t="shared" si="21"/>
        <v>0</v>
      </c>
      <c r="V210" s="42"/>
      <c r="X210" s="4">
        <f>SUMIFS('Weekly Dump'!P:P,'Weekly Dump'!B:B,C210,'Weekly Dump'!A:A,AB210)</f>
        <v>0</v>
      </c>
      <c r="Y210" s="4">
        <f t="shared" si="22"/>
        <v>0</v>
      </c>
      <c r="Z210" s="41"/>
      <c r="AA210" s="12" t="str">
        <f>iferror(IF(VLOOKUP(C210,'Weekly Dump'!B:B,1,0)=C210,"Yes","Missing"),"")</f>
        <v/>
      </c>
      <c r="AB210" s="66"/>
    </row>
    <row r="211">
      <c r="B211" s="63"/>
      <c r="C211" s="63"/>
      <c r="G211" s="3" t="str">
        <f t="shared" si="26"/>
        <v/>
      </c>
      <c r="I211" s="4">
        <f>SUMIFS('Weekly Dump'!D:D,'Weekly Dump'!B:B,C211)</f>
        <v>0</v>
      </c>
      <c r="J211" s="5">
        <f>SUMIFS('Weekly Dump'!AE:AE,'Weekly Dump'!B:B,C211)</f>
        <v>0</v>
      </c>
      <c r="K211" s="4">
        <f>SUMPRODUCT(
  (TEXT('Weekly Dump'!$A$2:$A1009,"mmm-yy")=TEXT($AB211,"mmm-yy"))*
  ('Weekly Dump'!$B$2:$B1009=$C211)*
  'Weekly Dump'!$D$2:$D1009)</f>
        <v>0</v>
      </c>
      <c r="L211" s="4">
        <f>SUMPRODUCT(
  (TEXT('Weekly Dump'!$A$2:$A1009,"mmm-yy")=TEXT($AB211,"mmm-yy"))*
  ('Weekly Dump'!$B$2:$B1009=$C211)*
  'Weekly Dump'!$E$2:$E1009
)</f>
        <v>0</v>
      </c>
      <c r="M211" s="4">
        <f>SUMPRODUCT(
  (TEXT('Weekly Dump'!$A$2:$A1009,"mmm-yy")=TEXT($AB211,"mmm-yy"))*
  ('Weekly Dump'!$B$2:$B1009=$C211)*
  'Weekly Dump'!$P$2:$P1009
)</f>
        <v>0</v>
      </c>
      <c r="N211" s="39"/>
      <c r="O211" s="40">
        <f>SUMIFS('Weekly Dump'!$D:$D,'Weekly Dump'!$B:$B,$C211,'Weekly Dump'!$A:$A,$AB211)</f>
        <v>0</v>
      </c>
      <c r="P211" s="40">
        <f>SUMIFS('Weekly Dump'!R:R,'Weekly Dump'!B:B,C211,'Weekly Dump'!A:A,AB211)</f>
        <v>0</v>
      </c>
      <c r="Q211" s="40">
        <f t="shared" si="20"/>
        <v>0</v>
      </c>
      <c r="R211" s="41"/>
      <c r="T211" s="4">
        <f>SUMIFS('Weekly Dump'!E:E,'Weekly Dump'!B:B,C211,'Weekly Dump'!A:A,AB211)</f>
        <v>0</v>
      </c>
      <c r="U211" s="3">
        <f t="shared" si="21"/>
        <v>0</v>
      </c>
      <c r="V211" s="42"/>
      <c r="X211" s="4">
        <f>SUMIFS('Weekly Dump'!P:P,'Weekly Dump'!B:B,C211,'Weekly Dump'!A:A,AB211)</f>
        <v>0</v>
      </c>
      <c r="Y211" s="4">
        <f t="shared" si="22"/>
        <v>0</v>
      </c>
      <c r="Z211" s="41"/>
      <c r="AA211" s="12" t="str">
        <f>iferror(IF(VLOOKUP(C211,'Weekly Dump'!B:B,1,0)=C211,"Yes","Missing"),"")</f>
        <v/>
      </c>
      <c r="AB211" s="66"/>
    </row>
    <row r="212">
      <c r="B212" s="63"/>
      <c r="C212" s="63"/>
      <c r="G212" s="3" t="str">
        <f t="shared" si="26"/>
        <v/>
      </c>
      <c r="I212" s="4">
        <f>SUMIFS('Weekly Dump'!D:D,'Weekly Dump'!B:B,C212)</f>
        <v>0</v>
      </c>
      <c r="J212" s="5">
        <f>SUMIFS('Weekly Dump'!AE:AE,'Weekly Dump'!B:B,C212)</f>
        <v>0</v>
      </c>
      <c r="K212" s="4">
        <f>SUMPRODUCT(
  (TEXT('Weekly Dump'!$A$2:$A1009,"mmm-yy")=TEXT($AB212,"mmm-yy"))*
  ('Weekly Dump'!$B$2:$B1009=$C212)*
  'Weekly Dump'!$D$2:$D1009)</f>
        <v>0</v>
      </c>
      <c r="L212" s="4">
        <f>SUMPRODUCT(
  (TEXT('Weekly Dump'!$A$2:$A1009,"mmm-yy")=TEXT($AB212,"mmm-yy"))*
  ('Weekly Dump'!$B$2:$B1009=$C212)*
  'Weekly Dump'!$E$2:$E1009
)</f>
        <v>0</v>
      </c>
      <c r="M212" s="4">
        <f>SUMPRODUCT(
  (TEXT('Weekly Dump'!$A$2:$A1009,"mmm-yy")=TEXT($AB212,"mmm-yy"))*
  ('Weekly Dump'!$B$2:$B1009=$C212)*
  'Weekly Dump'!$P$2:$P1009
)</f>
        <v>0</v>
      </c>
      <c r="N212" s="39"/>
      <c r="O212" s="40">
        <f>SUMIFS('Weekly Dump'!$D:$D,'Weekly Dump'!$B:$B,$C212,'Weekly Dump'!$A:$A,$AB212)</f>
        <v>0</v>
      </c>
      <c r="P212" s="40">
        <f>SUMIFS('Weekly Dump'!R:R,'Weekly Dump'!B:B,C212,'Weekly Dump'!A:A,AB212)</f>
        <v>0</v>
      </c>
      <c r="Q212" s="40">
        <f t="shared" si="20"/>
        <v>0</v>
      </c>
      <c r="R212" s="41"/>
      <c r="T212" s="4">
        <f>SUMIFS('Weekly Dump'!E:E,'Weekly Dump'!B:B,C212,'Weekly Dump'!A:A,AB212)</f>
        <v>0</v>
      </c>
      <c r="U212" s="3">
        <f t="shared" si="21"/>
        <v>0</v>
      </c>
      <c r="V212" s="42"/>
      <c r="X212" s="4">
        <f>SUMIFS('Weekly Dump'!P:P,'Weekly Dump'!B:B,C212,'Weekly Dump'!A:A,AB212)</f>
        <v>0</v>
      </c>
      <c r="Y212" s="4">
        <f t="shared" si="22"/>
        <v>0</v>
      </c>
      <c r="Z212" s="41"/>
      <c r="AA212" s="12" t="str">
        <f>iferror(IF(VLOOKUP(C212,'Weekly Dump'!B:B,1,0)=C212,"Yes","Missing"),"")</f>
        <v/>
      </c>
      <c r="AB212" s="66"/>
    </row>
    <row r="213">
      <c r="B213" s="63"/>
      <c r="C213" s="63"/>
      <c r="G213" s="3" t="str">
        <f t="shared" si="26"/>
        <v/>
      </c>
      <c r="I213" s="4">
        <f>SUMIFS('Weekly Dump'!D:D,'Weekly Dump'!B:B,C213)</f>
        <v>0</v>
      </c>
      <c r="J213" s="5">
        <f>SUMIFS('Weekly Dump'!AE:AE,'Weekly Dump'!B:B,C213)</f>
        <v>0</v>
      </c>
      <c r="K213" s="4">
        <f>SUMPRODUCT(
  (TEXT('Weekly Dump'!$A$2:$A1009,"mmm-yy")=TEXT($AB213,"mmm-yy"))*
  ('Weekly Dump'!$B$2:$B1009=$C213)*
  'Weekly Dump'!$D$2:$D1009)</f>
        <v>0</v>
      </c>
      <c r="L213" s="4">
        <f>SUMPRODUCT(
  (TEXT('Weekly Dump'!$A$2:$A1009,"mmm-yy")=TEXT($AB213,"mmm-yy"))*
  ('Weekly Dump'!$B$2:$B1009=$C213)*
  'Weekly Dump'!$E$2:$E1009
)</f>
        <v>0</v>
      </c>
      <c r="M213" s="4">
        <f>SUMPRODUCT(
  (TEXT('Weekly Dump'!$A$2:$A1009,"mmm-yy")=TEXT($AB213,"mmm-yy"))*
  ('Weekly Dump'!$B$2:$B1009=$C213)*
  'Weekly Dump'!$P$2:$P1009
)</f>
        <v>0</v>
      </c>
      <c r="N213" s="39"/>
      <c r="O213" s="40">
        <f>SUMIFS('Weekly Dump'!$D:$D,'Weekly Dump'!$B:$B,$C213,'Weekly Dump'!$A:$A,$AB213)</f>
        <v>0</v>
      </c>
      <c r="P213" s="40">
        <f>SUMIFS('Weekly Dump'!R:R,'Weekly Dump'!B:B,C213,'Weekly Dump'!A:A,AB213)</f>
        <v>0</v>
      </c>
      <c r="Q213" s="40">
        <f t="shared" si="20"/>
        <v>0</v>
      </c>
      <c r="R213" s="41"/>
      <c r="T213" s="4">
        <f>SUMIFS('Weekly Dump'!E:E,'Weekly Dump'!B:B,C213,'Weekly Dump'!A:A,AB213)</f>
        <v>0</v>
      </c>
      <c r="U213" s="3">
        <f t="shared" si="21"/>
        <v>0</v>
      </c>
      <c r="V213" s="42"/>
      <c r="X213" s="4">
        <f>SUMIFS('Weekly Dump'!P:P,'Weekly Dump'!B:B,C213,'Weekly Dump'!A:A,AB213)</f>
        <v>0</v>
      </c>
      <c r="Y213" s="4">
        <f t="shared" si="22"/>
        <v>0</v>
      </c>
      <c r="Z213" s="41"/>
      <c r="AA213" s="12" t="str">
        <f>iferror(IF(VLOOKUP(C213,'Weekly Dump'!B:B,1,0)=C213,"Yes","Missing"),"")</f>
        <v/>
      </c>
      <c r="AB213" s="66"/>
    </row>
    <row r="214">
      <c r="B214" s="63"/>
      <c r="C214" s="63"/>
      <c r="G214" s="3" t="str">
        <f t="shared" si="26"/>
        <v/>
      </c>
      <c r="I214" s="4">
        <f>SUMIFS('Weekly Dump'!D:D,'Weekly Dump'!B:B,C214)</f>
        <v>0</v>
      </c>
      <c r="J214" s="5">
        <f>SUMIFS('Weekly Dump'!AE:AE,'Weekly Dump'!B:B,C214)</f>
        <v>0</v>
      </c>
      <c r="K214" s="4">
        <f>SUMPRODUCT(
  (TEXT('Weekly Dump'!$A$2:$A1009,"mmm-yy")=TEXT($AB214,"mmm-yy"))*
  ('Weekly Dump'!$B$2:$B1009=$C214)*
  'Weekly Dump'!$D$2:$D1009)</f>
        <v>0</v>
      </c>
      <c r="L214" s="4">
        <f>SUMPRODUCT(
  (TEXT('Weekly Dump'!$A$2:$A1009,"mmm-yy")=TEXT($AB214,"mmm-yy"))*
  ('Weekly Dump'!$B$2:$B1009=$C214)*
  'Weekly Dump'!$E$2:$E1009
)</f>
        <v>0</v>
      </c>
      <c r="M214" s="4">
        <f>SUMPRODUCT(
  (TEXT('Weekly Dump'!$A$2:$A1009,"mmm-yy")=TEXT($AB214,"mmm-yy"))*
  ('Weekly Dump'!$B$2:$B1009=$C214)*
  'Weekly Dump'!$P$2:$P1009
)</f>
        <v>0</v>
      </c>
      <c r="N214" s="39"/>
      <c r="O214" s="40">
        <f>SUMIFS('Weekly Dump'!$D:$D,'Weekly Dump'!$B:$B,$C214,'Weekly Dump'!$A:$A,$AB214)</f>
        <v>0</v>
      </c>
      <c r="P214" s="40">
        <f>SUMIFS('Weekly Dump'!R:R,'Weekly Dump'!B:B,C214,'Weekly Dump'!A:A,AB214)</f>
        <v>0</v>
      </c>
      <c r="Q214" s="40">
        <f t="shared" si="20"/>
        <v>0</v>
      </c>
      <c r="R214" s="41"/>
      <c r="T214" s="4">
        <f>SUMIFS('Weekly Dump'!E:E,'Weekly Dump'!B:B,C214,'Weekly Dump'!A:A,AB214)</f>
        <v>0</v>
      </c>
      <c r="U214" s="3">
        <f t="shared" si="21"/>
        <v>0</v>
      </c>
      <c r="V214" s="42"/>
      <c r="X214" s="4">
        <f>SUMIFS('Weekly Dump'!P:P,'Weekly Dump'!B:B,C214,'Weekly Dump'!A:A,AB214)</f>
        <v>0</v>
      </c>
      <c r="Y214" s="4">
        <f t="shared" si="22"/>
        <v>0</v>
      </c>
      <c r="Z214" s="41"/>
      <c r="AA214" s="12" t="str">
        <f>iferror(IF(VLOOKUP(C214,'Weekly Dump'!B:B,1,0)=C214,"Yes","Missing"),"")</f>
        <v/>
      </c>
      <c r="AB214" s="66"/>
    </row>
    <row r="215">
      <c r="B215" s="63"/>
      <c r="C215" s="63"/>
      <c r="G215" s="3" t="str">
        <f t="shared" si="26"/>
        <v/>
      </c>
      <c r="I215" s="4">
        <f>SUMIFS('Weekly Dump'!D:D,'Weekly Dump'!B:B,C215)</f>
        <v>0</v>
      </c>
      <c r="J215" s="5">
        <f>SUMIFS('Weekly Dump'!AE:AE,'Weekly Dump'!B:B,C215)</f>
        <v>0</v>
      </c>
      <c r="K215" s="4">
        <f>SUMPRODUCT(
  (TEXT('Weekly Dump'!$A$2:$A1009,"mmm-yy")=TEXT($AB215,"mmm-yy"))*
  ('Weekly Dump'!$B$2:$B1009=$C215)*
  'Weekly Dump'!$D$2:$D1009)</f>
        <v>0</v>
      </c>
      <c r="L215" s="4">
        <f>SUMPRODUCT(
  (TEXT('Weekly Dump'!$A$2:$A1009,"mmm-yy")=TEXT($AB215,"mmm-yy"))*
  ('Weekly Dump'!$B$2:$B1009=$C215)*
  'Weekly Dump'!$E$2:$E1009
)</f>
        <v>0</v>
      </c>
      <c r="M215" s="4">
        <f>SUMPRODUCT(
  (TEXT('Weekly Dump'!$A$2:$A1009,"mmm-yy")=TEXT($AB215,"mmm-yy"))*
  ('Weekly Dump'!$B$2:$B1009=$C215)*
  'Weekly Dump'!$P$2:$P1009
)</f>
        <v>0</v>
      </c>
      <c r="N215" s="39"/>
      <c r="O215" s="40">
        <f>SUMIFS('Weekly Dump'!$D:$D,'Weekly Dump'!$B:$B,$C215,'Weekly Dump'!$A:$A,$AB215)</f>
        <v>0</v>
      </c>
      <c r="P215" s="40">
        <f>SUMIFS('Weekly Dump'!R:R,'Weekly Dump'!B:B,C215,'Weekly Dump'!A:A,AB215)</f>
        <v>0</v>
      </c>
      <c r="Q215" s="40">
        <f t="shared" si="20"/>
        <v>0</v>
      </c>
      <c r="R215" s="41"/>
      <c r="T215" s="4">
        <f>SUMIFS('Weekly Dump'!E:E,'Weekly Dump'!B:B,C215,'Weekly Dump'!A:A,AB215)</f>
        <v>0</v>
      </c>
      <c r="U215" s="3">
        <f t="shared" si="21"/>
        <v>0</v>
      </c>
      <c r="V215" s="42"/>
      <c r="X215" s="4">
        <f>SUMIFS('Weekly Dump'!P:P,'Weekly Dump'!B:B,C215,'Weekly Dump'!A:A,AB215)</f>
        <v>0</v>
      </c>
      <c r="Y215" s="4">
        <f t="shared" si="22"/>
        <v>0</v>
      </c>
      <c r="Z215" s="41"/>
      <c r="AA215" s="12" t="str">
        <f>iferror(IF(VLOOKUP(C215,'Weekly Dump'!B:B,1,0)=C215,"Yes","Missing"),"")</f>
        <v/>
      </c>
      <c r="AB215" s="66"/>
    </row>
    <row r="216">
      <c r="B216" s="63"/>
      <c r="C216" s="63"/>
      <c r="G216" s="3" t="str">
        <f t="shared" si="26"/>
        <v/>
      </c>
      <c r="I216" s="4">
        <f>SUMIFS('Weekly Dump'!D:D,'Weekly Dump'!B:B,C216)</f>
        <v>0</v>
      </c>
      <c r="J216" s="5">
        <f>SUMIFS('Weekly Dump'!AE:AE,'Weekly Dump'!B:B,C216)</f>
        <v>0</v>
      </c>
      <c r="K216" s="4">
        <f>SUMPRODUCT(
  (TEXT('Weekly Dump'!$A$2:$A1009,"mmm-yy")=TEXT($AB216,"mmm-yy"))*
  ('Weekly Dump'!$B$2:$B1009=$C216)*
  'Weekly Dump'!$D$2:$D1009)</f>
        <v>0</v>
      </c>
      <c r="L216" s="4">
        <f>SUMPRODUCT(
  (TEXT('Weekly Dump'!$A$2:$A1009,"mmm-yy")=TEXT($AB216,"mmm-yy"))*
  ('Weekly Dump'!$B$2:$B1009=$C216)*
  'Weekly Dump'!$E$2:$E1009
)</f>
        <v>0</v>
      </c>
      <c r="M216" s="4">
        <f>SUMPRODUCT(
  (TEXT('Weekly Dump'!$A$2:$A1009,"mmm-yy")=TEXT($AB216,"mmm-yy"))*
  ('Weekly Dump'!$B$2:$B1009=$C216)*
  'Weekly Dump'!$P$2:$P1009
)</f>
        <v>0</v>
      </c>
      <c r="N216" s="39"/>
      <c r="O216" s="40">
        <f>SUMIFS('Weekly Dump'!$D:$D,'Weekly Dump'!$B:$B,$C216,'Weekly Dump'!$A:$A,$AB216)</f>
        <v>0</v>
      </c>
      <c r="P216" s="40">
        <f>SUMIFS('Weekly Dump'!R:R,'Weekly Dump'!B:B,C216,'Weekly Dump'!A:A,AB216)</f>
        <v>0</v>
      </c>
      <c r="Q216" s="40">
        <f t="shared" si="20"/>
        <v>0</v>
      </c>
      <c r="R216" s="41"/>
      <c r="T216" s="4">
        <f>SUMIFS('Weekly Dump'!E:E,'Weekly Dump'!B:B,C216,'Weekly Dump'!A:A,AB216)</f>
        <v>0</v>
      </c>
      <c r="U216" s="3">
        <f t="shared" si="21"/>
        <v>0</v>
      </c>
      <c r="V216" s="42"/>
      <c r="X216" s="4">
        <f>SUMIFS('Weekly Dump'!P:P,'Weekly Dump'!B:B,C216,'Weekly Dump'!A:A,AB216)</f>
        <v>0</v>
      </c>
      <c r="Y216" s="4">
        <f t="shared" si="22"/>
        <v>0</v>
      </c>
      <c r="Z216" s="41"/>
      <c r="AA216" s="12" t="str">
        <f>iferror(IF(VLOOKUP(C216,'Weekly Dump'!B:B,1,0)=C216,"Yes","Missing"),"")</f>
        <v/>
      </c>
      <c r="AB216" s="66"/>
    </row>
    <row r="217">
      <c r="B217" s="63"/>
      <c r="C217" s="63"/>
      <c r="G217" s="3" t="str">
        <f t="shared" si="26"/>
        <v/>
      </c>
      <c r="I217" s="4">
        <f>SUMIFS('Weekly Dump'!D:D,'Weekly Dump'!B:B,C217)</f>
        <v>0</v>
      </c>
      <c r="J217" s="5">
        <f>SUMIFS('Weekly Dump'!AE:AE,'Weekly Dump'!B:B,C217)</f>
        <v>0</v>
      </c>
      <c r="K217" s="4">
        <f>SUMPRODUCT(
  (TEXT('Weekly Dump'!$A$2:$A1009,"mmm-yy")=TEXT($AB217,"mmm-yy"))*
  ('Weekly Dump'!$B$2:$B1009=$C217)*
  'Weekly Dump'!$D$2:$D1009)</f>
        <v>0</v>
      </c>
      <c r="L217" s="4">
        <f>SUMPRODUCT(
  (TEXT('Weekly Dump'!$A$2:$A1009,"mmm-yy")=TEXT($AB217,"mmm-yy"))*
  ('Weekly Dump'!$B$2:$B1009=$C217)*
  'Weekly Dump'!$E$2:$E1009
)</f>
        <v>0</v>
      </c>
      <c r="M217" s="4">
        <f>SUMPRODUCT(
  (TEXT('Weekly Dump'!$A$2:$A1009,"mmm-yy")=TEXT($AB217,"mmm-yy"))*
  ('Weekly Dump'!$B$2:$B1009=$C217)*
  'Weekly Dump'!$P$2:$P1009
)</f>
        <v>0</v>
      </c>
      <c r="N217" s="39"/>
      <c r="O217" s="40">
        <f>SUMIFS('Weekly Dump'!$D:$D,'Weekly Dump'!$B:$B,$C217,'Weekly Dump'!$A:$A,$AB217)</f>
        <v>0</v>
      </c>
      <c r="P217" s="40">
        <f>SUMIFS('Weekly Dump'!R:R,'Weekly Dump'!B:B,C217,'Weekly Dump'!A:A,AB217)</f>
        <v>0</v>
      </c>
      <c r="Q217" s="40">
        <f t="shared" si="20"/>
        <v>0</v>
      </c>
      <c r="R217" s="41"/>
      <c r="T217" s="4">
        <f>SUMIFS('Weekly Dump'!E:E,'Weekly Dump'!B:B,C217,'Weekly Dump'!A:A,AB217)</f>
        <v>0</v>
      </c>
      <c r="U217" s="3">
        <f t="shared" si="21"/>
        <v>0</v>
      </c>
      <c r="V217" s="42"/>
      <c r="X217" s="4">
        <f>SUMIFS('Weekly Dump'!P:P,'Weekly Dump'!B:B,C217,'Weekly Dump'!A:A,AB217)</f>
        <v>0</v>
      </c>
      <c r="Y217" s="4">
        <f t="shared" si="22"/>
        <v>0</v>
      </c>
      <c r="Z217" s="41"/>
      <c r="AA217" s="12" t="str">
        <f>iferror(IF(VLOOKUP(C217,'Weekly Dump'!B:B,1,0)=C217,"Yes","Missing"),"")</f>
        <v/>
      </c>
      <c r="AB217" s="66"/>
    </row>
    <row r="218">
      <c r="B218" s="63"/>
      <c r="C218" s="63"/>
      <c r="G218" s="3" t="str">
        <f t="shared" si="26"/>
        <v/>
      </c>
      <c r="I218" s="4">
        <f>SUMIFS('Weekly Dump'!D:D,'Weekly Dump'!B:B,C218)</f>
        <v>0</v>
      </c>
      <c r="J218" s="5">
        <f>SUMIFS('Weekly Dump'!AE:AE,'Weekly Dump'!B:B,C218)</f>
        <v>0</v>
      </c>
      <c r="K218" s="4">
        <f>SUMPRODUCT(
  (TEXT('Weekly Dump'!$A$2:$A1009,"mmm-yy")=TEXT($AB218,"mmm-yy"))*
  ('Weekly Dump'!$B$2:$B1009=$C218)*
  'Weekly Dump'!$D$2:$D1009)</f>
        <v>0</v>
      </c>
      <c r="L218" s="4">
        <f>SUMPRODUCT(
  (TEXT('Weekly Dump'!$A$2:$A1009,"mmm-yy")=TEXT($AB218,"mmm-yy"))*
  ('Weekly Dump'!$B$2:$B1009=$C218)*
  'Weekly Dump'!$E$2:$E1009
)</f>
        <v>0</v>
      </c>
      <c r="M218" s="4">
        <f>SUMPRODUCT(
  (TEXT('Weekly Dump'!$A$2:$A1009,"mmm-yy")=TEXT($AB218,"mmm-yy"))*
  ('Weekly Dump'!$B$2:$B1009=$C218)*
  'Weekly Dump'!$P$2:$P1009
)</f>
        <v>0</v>
      </c>
      <c r="N218" s="39"/>
      <c r="O218" s="40">
        <f>SUMIFS('Weekly Dump'!$D:$D,'Weekly Dump'!$B:$B,$C218,'Weekly Dump'!$A:$A,$AB218)</f>
        <v>0</v>
      </c>
      <c r="P218" s="40">
        <f>SUMIFS('Weekly Dump'!R:R,'Weekly Dump'!B:B,C218,'Weekly Dump'!A:A,AB218)</f>
        <v>0</v>
      </c>
      <c r="Q218" s="40">
        <f t="shared" si="20"/>
        <v>0</v>
      </c>
      <c r="R218" s="41"/>
      <c r="T218" s="4">
        <f>SUMIFS('Weekly Dump'!E:E,'Weekly Dump'!B:B,C218,'Weekly Dump'!A:A,AB218)</f>
        <v>0</v>
      </c>
      <c r="U218" s="3">
        <f t="shared" si="21"/>
        <v>0</v>
      </c>
      <c r="V218" s="42"/>
      <c r="X218" s="4">
        <f>SUMIFS('Weekly Dump'!P:P,'Weekly Dump'!B:B,C218,'Weekly Dump'!A:A,AB218)</f>
        <v>0</v>
      </c>
      <c r="Y218" s="4">
        <f t="shared" si="22"/>
        <v>0</v>
      </c>
      <c r="Z218" s="41"/>
      <c r="AA218" s="12" t="str">
        <f>iferror(IF(VLOOKUP(C218,'Weekly Dump'!B:B,1,0)=C218,"Yes","Missing"),"")</f>
        <v/>
      </c>
      <c r="AB218" s="66"/>
    </row>
    <row r="219">
      <c r="B219" s="63"/>
      <c r="C219" s="63"/>
      <c r="G219" s="3" t="str">
        <f t="shared" si="26"/>
        <v/>
      </c>
      <c r="I219" s="4">
        <f>SUMIFS('Weekly Dump'!D:D,'Weekly Dump'!B:B,C219)</f>
        <v>0</v>
      </c>
      <c r="J219" s="5">
        <f>SUMIFS('Weekly Dump'!AE:AE,'Weekly Dump'!B:B,C219)</f>
        <v>0</v>
      </c>
      <c r="K219" s="4">
        <f>SUMPRODUCT(
  (TEXT('Weekly Dump'!$A$2:$A1009,"mmm-yy")=TEXT($AB219,"mmm-yy"))*
  ('Weekly Dump'!$B$2:$B1009=$C219)*
  'Weekly Dump'!$D$2:$D1009)</f>
        <v>0</v>
      </c>
      <c r="L219" s="4">
        <f>SUMPRODUCT(
  (TEXT('Weekly Dump'!$A$2:$A1009,"mmm-yy")=TEXT($AB219,"mmm-yy"))*
  ('Weekly Dump'!$B$2:$B1009=$C219)*
  'Weekly Dump'!$E$2:$E1009
)</f>
        <v>0</v>
      </c>
      <c r="M219" s="4">
        <f>SUMPRODUCT(
  (TEXT('Weekly Dump'!$A$2:$A1009,"mmm-yy")=TEXT($AB219,"mmm-yy"))*
  ('Weekly Dump'!$B$2:$B1009=$C219)*
  'Weekly Dump'!$P$2:$P1009
)</f>
        <v>0</v>
      </c>
      <c r="N219" s="39"/>
      <c r="O219" s="40">
        <f>SUMIFS('Weekly Dump'!$D:$D,'Weekly Dump'!$B:$B,$C219,'Weekly Dump'!$A:$A,$AB219)</f>
        <v>0</v>
      </c>
      <c r="P219" s="40">
        <f>SUMIFS('Weekly Dump'!R:R,'Weekly Dump'!B:B,C219,'Weekly Dump'!A:A,AB219)</f>
        <v>0</v>
      </c>
      <c r="Q219" s="40">
        <f t="shared" si="20"/>
        <v>0</v>
      </c>
      <c r="R219" s="41"/>
      <c r="T219" s="4">
        <f>SUMIFS('Weekly Dump'!E:E,'Weekly Dump'!B:B,C219,'Weekly Dump'!A:A,AB219)</f>
        <v>0</v>
      </c>
      <c r="U219" s="3">
        <f t="shared" si="21"/>
        <v>0</v>
      </c>
      <c r="V219" s="42"/>
      <c r="X219" s="4">
        <f>SUMIFS('Weekly Dump'!P:P,'Weekly Dump'!B:B,C219,'Weekly Dump'!A:A,AB219)</f>
        <v>0</v>
      </c>
      <c r="Y219" s="4">
        <f t="shared" si="22"/>
        <v>0</v>
      </c>
      <c r="Z219" s="41"/>
      <c r="AA219" s="12" t="str">
        <f>iferror(IF(VLOOKUP(C219,'Weekly Dump'!B:B,1,0)=C219,"Yes","Missing"),"")</f>
        <v/>
      </c>
      <c r="AB219" s="66"/>
    </row>
    <row r="220">
      <c r="B220" s="63"/>
      <c r="C220" s="63"/>
      <c r="G220" s="3" t="str">
        <f t="shared" si="26"/>
        <v/>
      </c>
      <c r="I220" s="4">
        <f>SUMIFS('Weekly Dump'!D:D,'Weekly Dump'!B:B,C220)</f>
        <v>0</v>
      </c>
      <c r="J220" s="5">
        <f>SUMIFS('Weekly Dump'!AE:AE,'Weekly Dump'!B:B,C220)</f>
        <v>0</v>
      </c>
      <c r="K220" s="4">
        <f>SUMPRODUCT(
  (TEXT('Weekly Dump'!$A$2:$A1009,"mmm-yy")=TEXT($AB220,"mmm-yy"))*
  ('Weekly Dump'!$B$2:$B1009=$C220)*
  'Weekly Dump'!$D$2:$D1009)</f>
        <v>0</v>
      </c>
      <c r="L220" s="4">
        <f>SUMPRODUCT(
  (TEXT('Weekly Dump'!$A$2:$A1009,"mmm-yy")=TEXT($AB220,"mmm-yy"))*
  ('Weekly Dump'!$B$2:$B1009=$C220)*
  'Weekly Dump'!$E$2:$E1009
)</f>
        <v>0</v>
      </c>
      <c r="M220" s="4">
        <f>SUMPRODUCT(
  (TEXT('Weekly Dump'!$A$2:$A1009,"mmm-yy")=TEXT($AB220,"mmm-yy"))*
  ('Weekly Dump'!$B$2:$B1009=$C220)*
  'Weekly Dump'!$P$2:$P1009
)</f>
        <v>0</v>
      </c>
      <c r="N220" s="39"/>
      <c r="O220" s="40">
        <f>SUMIFS('Weekly Dump'!$D:$D,'Weekly Dump'!$B:$B,$C220,'Weekly Dump'!$A:$A,$AB220)</f>
        <v>0</v>
      </c>
      <c r="P220" s="40">
        <f>SUMIFS('Weekly Dump'!R:R,'Weekly Dump'!B:B,C220,'Weekly Dump'!A:A,AB220)</f>
        <v>0</v>
      </c>
      <c r="Q220" s="40">
        <f t="shared" si="20"/>
        <v>0</v>
      </c>
      <c r="R220" s="41"/>
      <c r="T220" s="4">
        <f>SUMIFS('Weekly Dump'!E:E,'Weekly Dump'!B:B,C220,'Weekly Dump'!A:A,AB220)</f>
        <v>0</v>
      </c>
      <c r="U220" s="3">
        <f t="shared" si="21"/>
        <v>0</v>
      </c>
      <c r="V220" s="42"/>
      <c r="X220" s="4">
        <f>SUMIFS('Weekly Dump'!P:P,'Weekly Dump'!B:B,C220,'Weekly Dump'!A:A,AB220)</f>
        <v>0</v>
      </c>
      <c r="Y220" s="4">
        <f t="shared" si="22"/>
        <v>0</v>
      </c>
      <c r="Z220" s="41"/>
      <c r="AA220" s="12" t="str">
        <f>iferror(IF(VLOOKUP(C220,'Weekly Dump'!B:B,1,0)=C220,"Yes","Missing"),"")</f>
        <v/>
      </c>
      <c r="AB220" s="66"/>
    </row>
    <row r="221">
      <c r="B221" s="63"/>
      <c r="C221" s="63"/>
      <c r="G221" s="3" t="str">
        <f t="shared" si="26"/>
        <v/>
      </c>
      <c r="I221" s="4">
        <f>SUMIFS('Weekly Dump'!D:D,'Weekly Dump'!B:B,C221)</f>
        <v>0</v>
      </c>
      <c r="J221" s="5">
        <f>SUMIFS('Weekly Dump'!AE:AE,'Weekly Dump'!B:B,C221)</f>
        <v>0</v>
      </c>
      <c r="K221" s="4">
        <f>SUMPRODUCT(
  (TEXT('Weekly Dump'!$A$2:$A1009,"mmm-yy")=TEXT($AB221,"mmm-yy"))*
  ('Weekly Dump'!$B$2:$B1009=$C221)*
  'Weekly Dump'!$D$2:$D1009)</f>
        <v>0</v>
      </c>
      <c r="L221" s="4">
        <f>SUMPRODUCT(
  (TEXT('Weekly Dump'!$A$2:$A1009,"mmm-yy")=TEXT($AB221,"mmm-yy"))*
  ('Weekly Dump'!$B$2:$B1009=$C221)*
  'Weekly Dump'!$E$2:$E1009
)</f>
        <v>0</v>
      </c>
      <c r="M221" s="4">
        <f>SUMPRODUCT(
  (TEXT('Weekly Dump'!$A$2:$A1009,"mmm-yy")=TEXT($AB221,"mmm-yy"))*
  ('Weekly Dump'!$B$2:$B1009=$C221)*
  'Weekly Dump'!$P$2:$P1009
)</f>
        <v>0</v>
      </c>
      <c r="N221" s="39"/>
      <c r="O221" s="40">
        <f>SUMIFS('Weekly Dump'!$D:$D,'Weekly Dump'!$B:$B,$C221,'Weekly Dump'!$A:$A,$AB221)</f>
        <v>0</v>
      </c>
      <c r="P221" s="40">
        <f>SUMIFS('Weekly Dump'!R:R,'Weekly Dump'!B:B,C221,'Weekly Dump'!A:A,AB221)</f>
        <v>0</v>
      </c>
      <c r="Q221" s="40">
        <f t="shared" si="20"/>
        <v>0</v>
      </c>
      <c r="R221" s="41"/>
      <c r="T221" s="4">
        <f>SUMIFS('Weekly Dump'!E:E,'Weekly Dump'!B:B,C221,'Weekly Dump'!A:A,AB221)</f>
        <v>0</v>
      </c>
      <c r="U221" s="3">
        <f t="shared" si="21"/>
        <v>0</v>
      </c>
      <c r="V221" s="42"/>
      <c r="X221" s="4">
        <f>SUMIFS('Weekly Dump'!P:P,'Weekly Dump'!B:B,C221,'Weekly Dump'!A:A,AB221)</f>
        <v>0</v>
      </c>
      <c r="Y221" s="4">
        <f t="shared" si="22"/>
        <v>0</v>
      </c>
      <c r="Z221" s="41"/>
      <c r="AA221" s="12" t="str">
        <f>iferror(IF(VLOOKUP(C221,'Weekly Dump'!B:B,1,0)=C221,"Yes","Missing"),"")</f>
        <v/>
      </c>
      <c r="AB221" s="66"/>
    </row>
    <row r="222">
      <c r="B222" s="63"/>
      <c r="C222" s="63"/>
      <c r="G222" s="3" t="str">
        <f t="shared" si="26"/>
        <v/>
      </c>
      <c r="I222" s="4">
        <f>SUMIFS('Weekly Dump'!D:D,'Weekly Dump'!B:B,C222)</f>
        <v>0</v>
      </c>
      <c r="J222" s="5">
        <f>SUMIFS('Weekly Dump'!AE:AE,'Weekly Dump'!B:B,C222)</f>
        <v>0</v>
      </c>
      <c r="K222" s="4">
        <f>SUMPRODUCT(
  (TEXT('Weekly Dump'!$A$2:$A1009,"mmm-yy")=TEXT($AB222,"mmm-yy"))*
  ('Weekly Dump'!$B$2:$B1009=$C222)*
  'Weekly Dump'!$D$2:$D1009)</f>
        <v>0</v>
      </c>
      <c r="L222" s="4">
        <f>SUMPRODUCT(
  (TEXT('Weekly Dump'!$A$2:$A1009,"mmm-yy")=TEXT($AB222,"mmm-yy"))*
  ('Weekly Dump'!$B$2:$B1009=$C222)*
  'Weekly Dump'!$E$2:$E1009
)</f>
        <v>0</v>
      </c>
      <c r="M222" s="4">
        <f>SUMPRODUCT(
  (TEXT('Weekly Dump'!$A$2:$A1009,"mmm-yy")=TEXT($AB222,"mmm-yy"))*
  ('Weekly Dump'!$B$2:$B1009=$C222)*
  'Weekly Dump'!$P$2:$P1009
)</f>
        <v>0</v>
      </c>
      <c r="N222" s="39"/>
      <c r="O222" s="40">
        <f>SUMIFS('Weekly Dump'!$D:$D,'Weekly Dump'!$B:$B,$C222,'Weekly Dump'!$A:$A,$AB222)</f>
        <v>0</v>
      </c>
      <c r="P222" s="40">
        <f>SUMIFS('Weekly Dump'!R:R,'Weekly Dump'!B:B,C222,'Weekly Dump'!A:A,AB222)</f>
        <v>0</v>
      </c>
      <c r="Q222" s="40">
        <f t="shared" si="20"/>
        <v>0</v>
      </c>
      <c r="R222" s="41"/>
      <c r="T222" s="4">
        <f>SUMIFS('Weekly Dump'!E:E,'Weekly Dump'!B:B,C222,'Weekly Dump'!A:A,AB222)</f>
        <v>0</v>
      </c>
      <c r="U222" s="3">
        <f t="shared" si="21"/>
        <v>0</v>
      </c>
      <c r="V222" s="42"/>
      <c r="X222" s="4">
        <f>SUMIFS('Weekly Dump'!P:P,'Weekly Dump'!B:B,C222,'Weekly Dump'!A:A,AB222)</f>
        <v>0</v>
      </c>
      <c r="Y222" s="4">
        <f t="shared" si="22"/>
        <v>0</v>
      </c>
      <c r="Z222" s="41"/>
      <c r="AA222" s="12" t="str">
        <f>iferror(IF(VLOOKUP(C222,'Weekly Dump'!B:B,1,0)=C222,"Yes","Missing"),"")</f>
        <v/>
      </c>
      <c r="AB222" s="66"/>
    </row>
    <row r="223">
      <c r="B223" s="63"/>
      <c r="C223" s="63"/>
      <c r="G223" s="3" t="str">
        <f t="shared" si="26"/>
        <v/>
      </c>
      <c r="I223" s="4">
        <f>SUMIFS('Weekly Dump'!D:D,'Weekly Dump'!B:B,C223)</f>
        <v>0</v>
      </c>
      <c r="J223" s="5">
        <f>SUMIFS('Weekly Dump'!AE:AE,'Weekly Dump'!B:B,C223)</f>
        <v>0</v>
      </c>
      <c r="K223" s="4">
        <f>SUMPRODUCT(
  (TEXT('Weekly Dump'!$A$2:$A1009,"mmm-yy")=TEXT($AB223,"mmm-yy"))*
  ('Weekly Dump'!$B$2:$B1009=$C223)*
  'Weekly Dump'!$D$2:$D1009)</f>
        <v>0</v>
      </c>
      <c r="L223" s="4">
        <f>SUMPRODUCT(
  (TEXT('Weekly Dump'!$A$2:$A1009,"mmm-yy")=TEXT($AB223,"mmm-yy"))*
  ('Weekly Dump'!$B$2:$B1009=$C223)*
  'Weekly Dump'!$E$2:$E1009
)</f>
        <v>0</v>
      </c>
      <c r="M223" s="4">
        <f>SUMPRODUCT(
  (TEXT('Weekly Dump'!$A$2:$A1009,"mmm-yy")=TEXT($AB223,"mmm-yy"))*
  ('Weekly Dump'!$B$2:$B1009=$C223)*
  'Weekly Dump'!$P$2:$P1009
)</f>
        <v>0</v>
      </c>
      <c r="N223" s="39"/>
      <c r="O223" s="40">
        <f>SUMIFS('Weekly Dump'!$D:$D,'Weekly Dump'!$B:$B,$C223,'Weekly Dump'!$A:$A,$AB223)</f>
        <v>0</v>
      </c>
      <c r="P223" s="40">
        <f>SUMIFS('Weekly Dump'!R:R,'Weekly Dump'!B:B,C223,'Weekly Dump'!A:A,AB223)</f>
        <v>0</v>
      </c>
      <c r="Q223" s="40">
        <f t="shared" si="20"/>
        <v>0</v>
      </c>
      <c r="R223" s="41"/>
      <c r="T223" s="4">
        <f>SUMIFS('Weekly Dump'!E:E,'Weekly Dump'!B:B,C223,'Weekly Dump'!A:A,AB223)</f>
        <v>0</v>
      </c>
      <c r="U223" s="3">
        <f t="shared" si="21"/>
        <v>0</v>
      </c>
      <c r="V223" s="42"/>
      <c r="X223" s="4">
        <f>SUMIFS('Weekly Dump'!P:P,'Weekly Dump'!B:B,C223,'Weekly Dump'!A:A,AB223)</f>
        <v>0</v>
      </c>
      <c r="Y223" s="4">
        <f t="shared" si="22"/>
        <v>0</v>
      </c>
      <c r="Z223" s="41"/>
      <c r="AA223" s="12" t="str">
        <f>iferror(IF(VLOOKUP(C223,'Weekly Dump'!B:B,1,0)=C223,"Yes","Missing"),"")</f>
        <v/>
      </c>
      <c r="AB223" s="66"/>
    </row>
    <row r="224">
      <c r="B224" s="63"/>
      <c r="C224" s="63"/>
      <c r="G224" s="3" t="str">
        <f t="shared" si="26"/>
        <v/>
      </c>
      <c r="I224" s="4">
        <f>SUMIFS('Weekly Dump'!D:D,'Weekly Dump'!B:B,C224)</f>
        <v>0</v>
      </c>
      <c r="J224" s="5">
        <f>SUMIFS('Weekly Dump'!AE:AE,'Weekly Dump'!B:B,C224)</f>
        <v>0</v>
      </c>
      <c r="K224" s="4">
        <f>SUMPRODUCT(
  (TEXT('Weekly Dump'!$A$2:$A1009,"mmm-yy")=TEXT($AB224,"mmm-yy"))*
  ('Weekly Dump'!$B$2:$B1009=$C224)*
  'Weekly Dump'!$D$2:$D1009)</f>
        <v>0</v>
      </c>
      <c r="L224" s="4">
        <f>SUMPRODUCT(
  (TEXT('Weekly Dump'!$A$2:$A1009,"mmm-yy")=TEXT($AB224,"mmm-yy"))*
  ('Weekly Dump'!$B$2:$B1009=$C224)*
  'Weekly Dump'!$E$2:$E1009
)</f>
        <v>0</v>
      </c>
      <c r="M224" s="4">
        <f>SUMPRODUCT(
  (TEXT('Weekly Dump'!$A$2:$A1009,"mmm-yy")=TEXT($AB224,"mmm-yy"))*
  ('Weekly Dump'!$B$2:$B1009=$C224)*
  'Weekly Dump'!$P$2:$P1009
)</f>
        <v>0</v>
      </c>
      <c r="N224" s="39"/>
      <c r="O224" s="40">
        <f>SUMIFS('Weekly Dump'!$D:$D,'Weekly Dump'!$B:$B,$C224,'Weekly Dump'!$A:$A,$AB224)</f>
        <v>0</v>
      </c>
      <c r="P224" s="40">
        <f>SUMIFS('Weekly Dump'!R:R,'Weekly Dump'!B:B,C224,'Weekly Dump'!A:A,AB224)</f>
        <v>0</v>
      </c>
      <c r="Q224" s="40">
        <f t="shared" si="20"/>
        <v>0</v>
      </c>
      <c r="R224" s="41"/>
      <c r="T224" s="4">
        <f>SUMIFS('Weekly Dump'!E:E,'Weekly Dump'!B:B,C224,'Weekly Dump'!A:A,AB224)</f>
        <v>0</v>
      </c>
      <c r="U224" s="3">
        <f t="shared" si="21"/>
        <v>0</v>
      </c>
      <c r="V224" s="42"/>
      <c r="X224" s="4">
        <f>SUMIFS('Weekly Dump'!P:P,'Weekly Dump'!B:B,C224,'Weekly Dump'!A:A,AB224)</f>
        <v>0</v>
      </c>
      <c r="Y224" s="4">
        <f t="shared" si="22"/>
        <v>0</v>
      </c>
      <c r="Z224" s="41"/>
      <c r="AA224" s="12" t="str">
        <f>iferror(IF(VLOOKUP(C224,'Weekly Dump'!B:B,1,0)=C224,"Yes","Missing"),"")</f>
        <v/>
      </c>
      <c r="AB224" s="66"/>
    </row>
    <row r="225">
      <c r="B225" s="63"/>
      <c r="C225" s="63"/>
      <c r="G225" s="3" t="str">
        <f t="shared" si="26"/>
        <v/>
      </c>
      <c r="I225" s="4">
        <f>SUMIFS('Weekly Dump'!D:D,'Weekly Dump'!B:B,C225)</f>
        <v>0</v>
      </c>
      <c r="J225" s="5">
        <f>SUMIFS('Weekly Dump'!AE:AE,'Weekly Dump'!B:B,C225)</f>
        <v>0</v>
      </c>
      <c r="K225" s="4">
        <f>SUMPRODUCT(
  (TEXT('Weekly Dump'!$A$2:$A1009,"mmm-yy")=TEXT($AB225,"mmm-yy"))*
  ('Weekly Dump'!$B$2:$B1009=$C225)*
  'Weekly Dump'!$D$2:$D1009)</f>
        <v>0</v>
      </c>
      <c r="L225" s="4">
        <f>SUMPRODUCT(
  (TEXT('Weekly Dump'!$A$2:$A1009,"mmm-yy")=TEXT($AB225,"mmm-yy"))*
  ('Weekly Dump'!$B$2:$B1009=$C225)*
  'Weekly Dump'!$E$2:$E1009
)</f>
        <v>0</v>
      </c>
      <c r="M225" s="4">
        <f>SUMPRODUCT(
  (TEXT('Weekly Dump'!$A$2:$A1009,"mmm-yy")=TEXT($AB225,"mmm-yy"))*
  ('Weekly Dump'!$B$2:$B1009=$C225)*
  'Weekly Dump'!$P$2:$P1009
)</f>
        <v>0</v>
      </c>
      <c r="N225" s="39"/>
      <c r="O225" s="40">
        <f>SUMIFS('Weekly Dump'!$D:$D,'Weekly Dump'!$B:$B,$C225,'Weekly Dump'!$A:$A,$AB225)</f>
        <v>0</v>
      </c>
      <c r="P225" s="40">
        <f>SUMIFS('Weekly Dump'!R:R,'Weekly Dump'!B:B,C225,'Weekly Dump'!A:A,AB225)</f>
        <v>0</v>
      </c>
      <c r="Q225" s="40">
        <f t="shared" si="20"/>
        <v>0</v>
      </c>
      <c r="R225" s="41"/>
      <c r="T225" s="4">
        <f>SUMIFS('Weekly Dump'!E:E,'Weekly Dump'!B:B,C225,'Weekly Dump'!A:A,AB225)</f>
        <v>0</v>
      </c>
      <c r="U225" s="3">
        <f t="shared" si="21"/>
        <v>0</v>
      </c>
      <c r="V225" s="42"/>
      <c r="X225" s="4">
        <f>SUMIFS('Weekly Dump'!P:P,'Weekly Dump'!B:B,C225,'Weekly Dump'!A:A,AB225)</f>
        <v>0</v>
      </c>
      <c r="Y225" s="4">
        <f t="shared" si="22"/>
        <v>0</v>
      </c>
      <c r="Z225" s="41"/>
      <c r="AA225" s="12" t="str">
        <f>iferror(IF(VLOOKUP(C225,'Weekly Dump'!B:B,1,0)=C225,"Yes","Missing"),"")</f>
        <v/>
      </c>
      <c r="AB225" s="66"/>
    </row>
    <row r="226">
      <c r="B226" s="63"/>
      <c r="C226" s="63"/>
      <c r="G226" s="3" t="str">
        <f t="shared" si="26"/>
        <v/>
      </c>
      <c r="I226" s="4">
        <f>SUMIFS('Weekly Dump'!D:D,'Weekly Dump'!B:B,C226)</f>
        <v>0</v>
      </c>
      <c r="J226" s="5">
        <f>SUMIFS('Weekly Dump'!AE:AE,'Weekly Dump'!B:B,C226)</f>
        <v>0</v>
      </c>
      <c r="K226" s="4">
        <f>SUMPRODUCT(
  (TEXT('Weekly Dump'!$A$2:$A1009,"mmm-yy")=TEXT($AB226,"mmm-yy"))*
  ('Weekly Dump'!$B$2:$B1009=$C226)*
  'Weekly Dump'!$D$2:$D1009)</f>
        <v>0</v>
      </c>
      <c r="L226" s="4">
        <f>SUMPRODUCT(
  (TEXT('Weekly Dump'!$A$2:$A1009,"mmm-yy")=TEXT($AB226,"mmm-yy"))*
  ('Weekly Dump'!$B$2:$B1009=$C226)*
  'Weekly Dump'!$E$2:$E1009
)</f>
        <v>0</v>
      </c>
      <c r="M226" s="4">
        <f>SUMPRODUCT(
  (TEXT('Weekly Dump'!$A$2:$A1009,"mmm-yy")=TEXT($AB226,"mmm-yy"))*
  ('Weekly Dump'!$B$2:$B1009=$C226)*
  'Weekly Dump'!$P$2:$P1009
)</f>
        <v>0</v>
      </c>
      <c r="N226" s="39"/>
      <c r="O226" s="40">
        <f>SUMIFS('Weekly Dump'!$D:$D,'Weekly Dump'!$B:$B,$C226,'Weekly Dump'!$A:$A,$AB226)</f>
        <v>0</v>
      </c>
      <c r="P226" s="40">
        <f>SUMIFS('Weekly Dump'!R:R,'Weekly Dump'!B:B,C226,'Weekly Dump'!A:A,AB226)</f>
        <v>0</v>
      </c>
      <c r="Q226" s="40">
        <f t="shared" si="20"/>
        <v>0</v>
      </c>
      <c r="R226" s="41"/>
      <c r="T226" s="4">
        <f>SUMIFS('Weekly Dump'!E:E,'Weekly Dump'!B:B,C226,'Weekly Dump'!A:A,AB226)</f>
        <v>0</v>
      </c>
      <c r="U226" s="3">
        <f t="shared" si="21"/>
        <v>0</v>
      </c>
      <c r="V226" s="42"/>
      <c r="X226" s="4">
        <f>SUMIFS('Weekly Dump'!P:P,'Weekly Dump'!B:B,C226,'Weekly Dump'!A:A,AB226)</f>
        <v>0</v>
      </c>
      <c r="Y226" s="4">
        <f t="shared" si="22"/>
        <v>0</v>
      </c>
      <c r="Z226" s="41"/>
      <c r="AA226" s="12" t="str">
        <f>iferror(IF(VLOOKUP(C226,'Weekly Dump'!B:B,1,0)=C226,"Yes","Missing"),"")</f>
        <v/>
      </c>
      <c r="AB226" s="66"/>
    </row>
    <row r="227">
      <c r="B227" s="63"/>
      <c r="C227" s="63"/>
      <c r="G227" s="3" t="str">
        <f t="shared" si="26"/>
        <v/>
      </c>
      <c r="I227" s="4">
        <f>SUMIFS('Weekly Dump'!D:D,'Weekly Dump'!B:B,C227)</f>
        <v>0</v>
      </c>
      <c r="J227" s="5">
        <f>SUMIFS('Weekly Dump'!AE:AE,'Weekly Dump'!B:B,C227)</f>
        <v>0</v>
      </c>
      <c r="K227" s="4">
        <f>SUMPRODUCT(
  (TEXT('Weekly Dump'!$A$2:$A1009,"mmm-yy")=TEXT($AB227,"mmm-yy"))*
  ('Weekly Dump'!$B$2:$B1009=$C227)*
  'Weekly Dump'!$D$2:$D1009)</f>
        <v>0</v>
      </c>
      <c r="L227" s="4">
        <f>SUMPRODUCT(
  (TEXT('Weekly Dump'!$A$2:$A1009,"mmm-yy")=TEXT($AB227,"mmm-yy"))*
  ('Weekly Dump'!$B$2:$B1009=$C227)*
  'Weekly Dump'!$E$2:$E1009
)</f>
        <v>0</v>
      </c>
      <c r="M227" s="4">
        <f>SUMPRODUCT(
  (TEXT('Weekly Dump'!$A$2:$A1009,"mmm-yy")=TEXT($AB227,"mmm-yy"))*
  ('Weekly Dump'!$B$2:$B1009=$C227)*
  'Weekly Dump'!$P$2:$P1009
)</f>
        <v>0</v>
      </c>
      <c r="N227" s="39"/>
      <c r="O227" s="40">
        <f>SUMIFS('Weekly Dump'!$D:$D,'Weekly Dump'!$B:$B,$C227,'Weekly Dump'!$A:$A,$AB227)</f>
        <v>0</v>
      </c>
      <c r="P227" s="40">
        <f>SUMIFS('Weekly Dump'!R:R,'Weekly Dump'!B:B,C227,'Weekly Dump'!A:A,AB227)</f>
        <v>0</v>
      </c>
      <c r="Q227" s="40">
        <f t="shared" si="20"/>
        <v>0</v>
      </c>
      <c r="R227" s="41"/>
      <c r="T227" s="4">
        <f>SUMIFS('Weekly Dump'!E:E,'Weekly Dump'!B:B,C227,'Weekly Dump'!A:A,AB227)</f>
        <v>0</v>
      </c>
      <c r="U227" s="3">
        <f t="shared" si="21"/>
        <v>0</v>
      </c>
      <c r="V227" s="42"/>
      <c r="X227" s="4">
        <f>SUMIFS('Weekly Dump'!P:P,'Weekly Dump'!B:B,C227,'Weekly Dump'!A:A,AB227)</f>
        <v>0</v>
      </c>
      <c r="Y227" s="4">
        <f t="shared" si="22"/>
        <v>0</v>
      </c>
      <c r="Z227" s="41"/>
      <c r="AA227" s="12" t="str">
        <f>iferror(IF(VLOOKUP(C227,'Weekly Dump'!B:B,1,0)=C227,"Yes","Missing"),"")</f>
        <v/>
      </c>
      <c r="AB227" s="66"/>
    </row>
    <row r="228">
      <c r="B228" s="63"/>
      <c r="C228" s="63"/>
      <c r="G228" s="3" t="str">
        <f t="shared" si="26"/>
        <v/>
      </c>
      <c r="I228" s="4">
        <f>SUMIFS('Weekly Dump'!D:D,'Weekly Dump'!B:B,C228)</f>
        <v>0</v>
      </c>
      <c r="J228" s="5">
        <f>SUMIFS('Weekly Dump'!AE:AE,'Weekly Dump'!B:B,C228)</f>
        <v>0</v>
      </c>
      <c r="K228" s="4">
        <f>SUMPRODUCT(
  (TEXT('Weekly Dump'!$A$2:$A1009,"mmm-yy")=TEXT($AB228,"mmm-yy"))*
  ('Weekly Dump'!$B$2:$B1009=$C228)*
  'Weekly Dump'!$D$2:$D1009)</f>
        <v>0</v>
      </c>
      <c r="L228" s="4">
        <f>SUMPRODUCT(
  (TEXT('Weekly Dump'!$A$2:$A1009,"mmm-yy")=TEXT($AB228,"mmm-yy"))*
  ('Weekly Dump'!$B$2:$B1009=$C228)*
  'Weekly Dump'!$E$2:$E1009
)</f>
        <v>0</v>
      </c>
      <c r="M228" s="4">
        <f>SUMPRODUCT(
  (TEXT('Weekly Dump'!$A$2:$A1009,"mmm-yy")=TEXT($AB228,"mmm-yy"))*
  ('Weekly Dump'!$B$2:$B1009=$C228)*
  'Weekly Dump'!$P$2:$P1009
)</f>
        <v>0</v>
      </c>
      <c r="N228" s="39"/>
      <c r="O228" s="40">
        <f>SUMIFS('Weekly Dump'!$D:$D,'Weekly Dump'!$B:$B,$C228,'Weekly Dump'!$A:$A,$AB228)</f>
        <v>0</v>
      </c>
      <c r="P228" s="40">
        <f>SUMIFS('Weekly Dump'!R:R,'Weekly Dump'!B:B,C228,'Weekly Dump'!A:A,AB228)</f>
        <v>0</v>
      </c>
      <c r="Q228" s="40">
        <f t="shared" si="20"/>
        <v>0</v>
      </c>
      <c r="R228" s="41"/>
      <c r="T228" s="4">
        <f>SUMIFS('Weekly Dump'!E:E,'Weekly Dump'!B:B,C228,'Weekly Dump'!A:A,AB228)</f>
        <v>0</v>
      </c>
      <c r="U228" s="3">
        <f t="shared" si="21"/>
        <v>0</v>
      </c>
      <c r="V228" s="42"/>
      <c r="X228" s="4">
        <f>SUMIFS('Weekly Dump'!P:P,'Weekly Dump'!B:B,C228,'Weekly Dump'!A:A,AB228)</f>
        <v>0</v>
      </c>
      <c r="Y228" s="4">
        <f t="shared" si="22"/>
        <v>0</v>
      </c>
      <c r="Z228" s="41"/>
      <c r="AA228" s="12" t="str">
        <f>iferror(IF(VLOOKUP(C228,'Weekly Dump'!B:B,1,0)=C228,"Yes","Missing"),"")</f>
        <v/>
      </c>
      <c r="AB228" s="66"/>
    </row>
    <row r="229">
      <c r="B229" s="63"/>
      <c r="C229" s="63"/>
      <c r="G229" s="3" t="str">
        <f t="shared" si="26"/>
        <v/>
      </c>
      <c r="I229" s="4">
        <f>SUMIFS('Weekly Dump'!D:D,'Weekly Dump'!B:B,C229)</f>
        <v>0</v>
      </c>
      <c r="J229" s="5">
        <f>SUMIFS('Weekly Dump'!AE:AE,'Weekly Dump'!B:B,C229)</f>
        <v>0</v>
      </c>
      <c r="K229" s="4">
        <f>SUMPRODUCT(
  (TEXT('Weekly Dump'!$A$2:$A1009,"mmm-yy")=TEXT($AB229,"mmm-yy"))*
  ('Weekly Dump'!$B$2:$B1009=$C229)*
  'Weekly Dump'!$D$2:$D1009)</f>
        <v>0</v>
      </c>
      <c r="L229" s="4">
        <f>SUMPRODUCT(
  (TEXT('Weekly Dump'!$A$2:$A1009,"mmm-yy")=TEXT($AB229,"mmm-yy"))*
  ('Weekly Dump'!$B$2:$B1009=$C229)*
  'Weekly Dump'!$E$2:$E1009
)</f>
        <v>0</v>
      </c>
      <c r="M229" s="4">
        <f>SUMPRODUCT(
  (TEXT('Weekly Dump'!$A$2:$A1009,"mmm-yy")=TEXT($AB229,"mmm-yy"))*
  ('Weekly Dump'!$B$2:$B1009=$C229)*
  'Weekly Dump'!$P$2:$P1009
)</f>
        <v>0</v>
      </c>
      <c r="N229" s="39"/>
      <c r="O229" s="40">
        <f>SUMIFS('Weekly Dump'!$D:$D,'Weekly Dump'!$B:$B,$C229,'Weekly Dump'!$A:$A,$AB229)</f>
        <v>0</v>
      </c>
      <c r="P229" s="40">
        <f>SUMIFS('Weekly Dump'!R:R,'Weekly Dump'!B:B,C229,'Weekly Dump'!A:A,AB229)</f>
        <v>0</v>
      </c>
      <c r="Q229" s="40">
        <f t="shared" si="20"/>
        <v>0</v>
      </c>
      <c r="R229" s="41"/>
      <c r="T229" s="4">
        <f>SUMIFS('Weekly Dump'!E:E,'Weekly Dump'!B:B,C229,'Weekly Dump'!A:A,AB229)</f>
        <v>0</v>
      </c>
      <c r="U229" s="3">
        <f t="shared" si="21"/>
        <v>0</v>
      </c>
      <c r="V229" s="42"/>
      <c r="X229" s="4">
        <f>SUMIFS('Weekly Dump'!P:P,'Weekly Dump'!B:B,C229,'Weekly Dump'!A:A,AB229)</f>
        <v>0</v>
      </c>
      <c r="Y229" s="4">
        <f t="shared" si="22"/>
        <v>0</v>
      </c>
      <c r="Z229" s="41"/>
      <c r="AA229" s="12" t="str">
        <f>iferror(IF(VLOOKUP(C229,'Weekly Dump'!B:B,1,0)=C229,"Yes","Missing"),"")</f>
        <v/>
      </c>
      <c r="AB229" s="66"/>
    </row>
    <row r="230">
      <c r="B230" s="63"/>
      <c r="C230" s="63"/>
      <c r="G230" s="3" t="str">
        <f t="shared" si="26"/>
        <v/>
      </c>
      <c r="I230" s="4">
        <f>SUMIFS('Weekly Dump'!D:D,'Weekly Dump'!B:B,C230)</f>
        <v>0</v>
      </c>
      <c r="J230" s="5">
        <f>SUMIFS('Weekly Dump'!AE:AE,'Weekly Dump'!B:B,C230)</f>
        <v>0</v>
      </c>
      <c r="K230" s="4">
        <f>SUMPRODUCT(
  (TEXT('Weekly Dump'!$A$2:$A1009,"mmm-yy")=TEXT($AB230,"mmm-yy"))*
  ('Weekly Dump'!$B$2:$B1009=$C230)*
  'Weekly Dump'!$D$2:$D1009)</f>
        <v>0</v>
      </c>
      <c r="L230" s="4">
        <f>SUMPRODUCT(
  (TEXT('Weekly Dump'!$A$2:$A1009,"mmm-yy")=TEXT($AB230,"mmm-yy"))*
  ('Weekly Dump'!$B$2:$B1009=$C230)*
  'Weekly Dump'!$E$2:$E1009
)</f>
        <v>0</v>
      </c>
      <c r="M230" s="4">
        <f>SUMPRODUCT(
  (TEXT('Weekly Dump'!$A$2:$A1009,"mmm-yy")=TEXT($AB230,"mmm-yy"))*
  ('Weekly Dump'!$B$2:$B1009=$C230)*
  'Weekly Dump'!$P$2:$P1009
)</f>
        <v>0</v>
      </c>
      <c r="N230" s="39"/>
      <c r="O230" s="40">
        <f>SUMIFS('Weekly Dump'!$D:$D,'Weekly Dump'!$B:$B,$C230,'Weekly Dump'!$A:$A,$AB230)</f>
        <v>0</v>
      </c>
      <c r="P230" s="40">
        <f>SUMIFS('Weekly Dump'!R:R,'Weekly Dump'!B:B,C230,'Weekly Dump'!A:A,AB230)</f>
        <v>0</v>
      </c>
      <c r="Q230" s="40">
        <f t="shared" si="20"/>
        <v>0</v>
      </c>
      <c r="R230" s="41"/>
      <c r="T230" s="4">
        <f>SUMIFS('Weekly Dump'!E:E,'Weekly Dump'!B:B,C230,'Weekly Dump'!A:A,AB230)</f>
        <v>0</v>
      </c>
      <c r="U230" s="3">
        <f t="shared" si="21"/>
        <v>0</v>
      </c>
      <c r="V230" s="42"/>
      <c r="X230" s="4">
        <f>SUMIFS('Weekly Dump'!P:P,'Weekly Dump'!B:B,C230,'Weekly Dump'!A:A,AB230)</f>
        <v>0</v>
      </c>
      <c r="Y230" s="4">
        <f t="shared" si="22"/>
        <v>0</v>
      </c>
      <c r="Z230" s="41"/>
      <c r="AA230" s="12" t="str">
        <f>iferror(IF(VLOOKUP(C230,'Weekly Dump'!B:B,1,0)=C230,"Yes","Missing"),"")</f>
        <v/>
      </c>
      <c r="AB230" s="66"/>
    </row>
    <row r="231">
      <c r="B231" s="63"/>
      <c r="C231" s="63"/>
      <c r="G231" s="3" t="str">
        <f t="shared" si="26"/>
        <v/>
      </c>
      <c r="I231" s="4">
        <f>SUMIFS('Weekly Dump'!D:D,'Weekly Dump'!B:B,C231)</f>
        <v>0</v>
      </c>
      <c r="J231" s="5">
        <f>SUMIFS('Weekly Dump'!AE:AE,'Weekly Dump'!B:B,C231)</f>
        <v>0</v>
      </c>
      <c r="K231" s="4">
        <f>SUMPRODUCT(
  (TEXT('Weekly Dump'!$A$2:$A1009,"mmm-yy")=TEXT($AB231,"mmm-yy"))*
  ('Weekly Dump'!$B$2:$B1009=$C231)*
  'Weekly Dump'!$D$2:$D1009)</f>
        <v>0</v>
      </c>
      <c r="L231" s="4">
        <f>SUMPRODUCT(
  (TEXT('Weekly Dump'!$A$2:$A1009,"mmm-yy")=TEXT($AB231,"mmm-yy"))*
  ('Weekly Dump'!$B$2:$B1009=$C231)*
  'Weekly Dump'!$E$2:$E1009
)</f>
        <v>0</v>
      </c>
      <c r="M231" s="4">
        <f>SUMPRODUCT(
  (TEXT('Weekly Dump'!$A$2:$A1009,"mmm-yy")=TEXT($AB231,"mmm-yy"))*
  ('Weekly Dump'!$B$2:$B1009=$C231)*
  'Weekly Dump'!$P$2:$P1009
)</f>
        <v>0</v>
      </c>
      <c r="N231" s="39"/>
      <c r="O231" s="40">
        <f>SUMIFS('Weekly Dump'!$D:$D,'Weekly Dump'!$B:$B,$C231,'Weekly Dump'!$A:$A,$AB231)</f>
        <v>0</v>
      </c>
      <c r="P231" s="40">
        <f>SUMIFS('Weekly Dump'!R:R,'Weekly Dump'!B:B,C231,'Weekly Dump'!A:A,AB231)</f>
        <v>0</v>
      </c>
      <c r="Q231" s="40">
        <f t="shared" si="20"/>
        <v>0</v>
      </c>
      <c r="R231" s="41"/>
      <c r="T231" s="4">
        <f>SUMIFS('Weekly Dump'!E:E,'Weekly Dump'!B:B,C231,'Weekly Dump'!A:A,AB231)</f>
        <v>0</v>
      </c>
      <c r="U231" s="3">
        <f t="shared" si="21"/>
        <v>0</v>
      </c>
      <c r="V231" s="42"/>
      <c r="X231" s="4">
        <f>SUMIFS('Weekly Dump'!P:P,'Weekly Dump'!B:B,C231,'Weekly Dump'!A:A,AB231)</f>
        <v>0</v>
      </c>
      <c r="Y231" s="4">
        <f t="shared" si="22"/>
        <v>0</v>
      </c>
      <c r="Z231" s="41"/>
      <c r="AA231" s="12" t="str">
        <f>iferror(IF(VLOOKUP(C231,'Weekly Dump'!B:B,1,0)=C231,"Yes","Missing"),"")</f>
        <v/>
      </c>
      <c r="AB231" s="66"/>
    </row>
    <row r="232">
      <c r="B232" s="63"/>
      <c r="C232" s="63"/>
      <c r="G232" s="3" t="str">
        <f t="shared" si="26"/>
        <v/>
      </c>
      <c r="I232" s="4">
        <f>SUMIFS('Weekly Dump'!D:D,'Weekly Dump'!B:B,C232)</f>
        <v>0</v>
      </c>
      <c r="J232" s="5">
        <f>SUMIFS('Weekly Dump'!AE:AE,'Weekly Dump'!B:B,C232)</f>
        <v>0</v>
      </c>
      <c r="K232" s="4">
        <f>SUMPRODUCT(
  (TEXT('Weekly Dump'!$A$2:$A1009,"mmm-yy")=TEXT($AB232,"mmm-yy"))*
  ('Weekly Dump'!$B$2:$B1009=$C232)*
  'Weekly Dump'!$D$2:$D1009)</f>
        <v>0</v>
      </c>
      <c r="L232" s="4">
        <f>SUMPRODUCT(
  (TEXT('Weekly Dump'!$A$2:$A1009,"mmm-yy")=TEXT($AB232,"mmm-yy"))*
  ('Weekly Dump'!$B$2:$B1009=$C232)*
  'Weekly Dump'!$E$2:$E1009
)</f>
        <v>0</v>
      </c>
      <c r="M232" s="4">
        <f>SUMPRODUCT(
  (TEXT('Weekly Dump'!$A$2:$A1009,"mmm-yy")=TEXT($AB232,"mmm-yy"))*
  ('Weekly Dump'!$B$2:$B1009=$C232)*
  'Weekly Dump'!$P$2:$P1009
)</f>
        <v>0</v>
      </c>
      <c r="N232" s="39"/>
      <c r="O232" s="40">
        <f>SUMIFS('Weekly Dump'!$D:$D,'Weekly Dump'!$B:$B,$C232,'Weekly Dump'!$A:$A,$AB232)</f>
        <v>0</v>
      </c>
      <c r="P232" s="40">
        <f>SUMIFS('Weekly Dump'!R:R,'Weekly Dump'!B:B,C232,'Weekly Dump'!A:A,AB232)</f>
        <v>0</v>
      </c>
      <c r="Q232" s="40">
        <f t="shared" si="20"/>
        <v>0</v>
      </c>
      <c r="R232" s="41"/>
      <c r="T232" s="4">
        <f>SUMIFS('Weekly Dump'!E:E,'Weekly Dump'!B:B,C232,'Weekly Dump'!A:A,AB232)</f>
        <v>0</v>
      </c>
      <c r="U232" s="3">
        <f t="shared" si="21"/>
        <v>0</v>
      </c>
      <c r="V232" s="42"/>
      <c r="X232" s="4">
        <f>SUMIFS('Weekly Dump'!P:P,'Weekly Dump'!B:B,C232,'Weekly Dump'!A:A,AB232)</f>
        <v>0</v>
      </c>
      <c r="Y232" s="4">
        <f t="shared" si="22"/>
        <v>0</v>
      </c>
      <c r="Z232" s="41"/>
      <c r="AA232" s="12" t="str">
        <f>iferror(IF(VLOOKUP(C232,'Weekly Dump'!B:B,1,0)=C232,"Yes","Missing"),"")</f>
        <v/>
      </c>
      <c r="AB232" s="66"/>
    </row>
    <row r="233">
      <c r="B233" s="63"/>
      <c r="C233" s="63"/>
      <c r="G233" s="3" t="str">
        <f t="shared" si="26"/>
        <v/>
      </c>
      <c r="I233" s="4">
        <f>SUMIFS('Weekly Dump'!D:D,'Weekly Dump'!B:B,C233)</f>
        <v>0</v>
      </c>
      <c r="J233" s="5">
        <f>SUMIFS('Weekly Dump'!AE:AE,'Weekly Dump'!B:B,C233)</f>
        <v>0</v>
      </c>
      <c r="K233" s="4">
        <f>SUMPRODUCT(
  (TEXT('Weekly Dump'!$A$2:$A1009,"mmm-yy")=TEXT($AB233,"mmm-yy"))*
  ('Weekly Dump'!$B$2:$B1009=$C233)*
  'Weekly Dump'!$D$2:$D1009)</f>
        <v>0</v>
      </c>
      <c r="L233" s="4">
        <f>SUMPRODUCT(
  (TEXT('Weekly Dump'!$A$2:$A1009,"mmm-yy")=TEXT($AB233,"mmm-yy"))*
  ('Weekly Dump'!$B$2:$B1009=$C233)*
  'Weekly Dump'!$E$2:$E1009
)</f>
        <v>0</v>
      </c>
      <c r="M233" s="4">
        <f>SUMPRODUCT(
  (TEXT('Weekly Dump'!$A$2:$A1009,"mmm-yy")=TEXT($AB233,"mmm-yy"))*
  ('Weekly Dump'!$B$2:$B1009=$C233)*
  'Weekly Dump'!$P$2:$P1009
)</f>
        <v>0</v>
      </c>
      <c r="N233" s="39"/>
      <c r="O233" s="40">
        <f>SUMIFS('Weekly Dump'!$D:$D,'Weekly Dump'!$B:$B,$C233,'Weekly Dump'!$A:$A,$AB233)</f>
        <v>0</v>
      </c>
      <c r="P233" s="40">
        <f>SUMIFS('Weekly Dump'!R:R,'Weekly Dump'!B:B,C233,'Weekly Dump'!A:A,AB233)</f>
        <v>0</v>
      </c>
      <c r="Q233" s="40">
        <f t="shared" si="20"/>
        <v>0</v>
      </c>
      <c r="R233" s="41"/>
      <c r="T233" s="4">
        <f>SUMIFS('Weekly Dump'!E:E,'Weekly Dump'!B:B,C233,'Weekly Dump'!A:A,AB233)</f>
        <v>0</v>
      </c>
      <c r="U233" s="3">
        <f t="shared" si="21"/>
        <v>0</v>
      </c>
      <c r="V233" s="42"/>
      <c r="X233" s="4">
        <f>SUMIFS('Weekly Dump'!P:P,'Weekly Dump'!B:B,C233,'Weekly Dump'!A:A,AB233)</f>
        <v>0</v>
      </c>
      <c r="Y233" s="4">
        <f t="shared" si="22"/>
        <v>0</v>
      </c>
      <c r="Z233" s="41"/>
      <c r="AA233" s="12" t="str">
        <f>iferror(IF(VLOOKUP(C233,'Weekly Dump'!B:B,1,0)=C233,"Yes","Missing"),"")</f>
        <v/>
      </c>
      <c r="AB233" s="66"/>
    </row>
    <row r="234">
      <c r="B234" s="63"/>
      <c r="C234" s="63"/>
      <c r="G234" s="3" t="str">
        <f t="shared" si="26"/>
        <v/>
      </c>
      <c r="I234" s="4">
        <f>SUMIFS('Weekly Dump'!D:D,'Weekly Dump'!B:B,C234)</f>
        <v>0</v>
      </c>
      <c r="J234" s="5">
        <f>SUMIFS('Weekly Dump'!AE:AE,'Weekly Dump'!B:B,C234)</f>
        <v>0</v>
      </c>
      <c r="K234" s="4">
        <f>SUMPRODUCT(
  (TEXT('Weekly Dump'!$A$2:$A1009,"mmm-yy")=TEXT($AB234,"mmm-yy"))*
  ('Weekly Dump'!$B$2:$B1009=$C234)*
  'Weekly Dump'!$D$2:$D1009)</f>
        <v>0</v>
      </c>
      <c r="L234" s="4">
        <f>SUMPRODUCT(
  (TEXT('Weekly Dump'!$A$2:$A1009,"mmm-yy")=TEXT($AB234,"mmm-yy"))*
  ('Weekly Dump'!$B$2:$B1009=$C234)*
  'Weekly Dump'!$E$2:$E1009
)</f>
        <v>0</v>
      </c>
      <c r="M234" s="4">
        <f>SUMPRODUCT(
  (TEXT('Weekly Dump'!$A$2:$A1009,"mmm-yy")=TEXT($AB234,"mmm-yy"))*
  ('Weekly Dump'!$B$2:$B1009=$C234)*
  'Weekly Dump'!$P$2:$P1009
)</f>
        <v>0</v>
      </c>
      <c r="N234" s="39"/>
      <c r="O234" s="40">
        <f>SUMIFS('Weekly Dump'!$D:$D,'Weekly Dump'!$B:$B,$C234,'Weekly Dump'!$A:$A,$AB234)</f>
        <v>0</v>
      </c>
      <c r="P234" s="40">
        <f>SUMIFS('Weekly Dump'!R:R,'Weekly Dump'!B:B,C234,'Weekly Dump'!A:A,AB234)</f>
        <v>0</v>
      </c>
      <c r="Q234" s="40">
        <f t="shared" si="20"/>
        <v>0</v>
      </c>
      <c r="R234" s="41"/>
      <c r="T234" s="4">
        <f>SUMIFS('Weekly Dump'!E:E,'Weekly Dump'!B:B,C234,'Weekly Dump'!A:A,AB234)</f>
        <v>0</v>
      </c>
      <c r="U234" s="3">
        <f t="shared" si="21"/>
        <v>0</v>
      </c>
      <c r="V234" s="42"/>
      <c r="X234" s="4">
        <f>SUMIFS('Weekly Dump'!P:P,'Weekly Dump'!B:B,C234,'Weekly Dump'!A:A,AB234)</f>
        <v>0</v>
      </c>
      <c r="Y234" s="4">
        <f t="shared" si="22"/>
        <v>0</v>
      </c>
      <c r="Z234" s="41"/>
      <c r="AA234" s="12" t="str">
        <f>iferror(IF(VLOOKUP(C234,'Weekly Dump'!B:B,1,0)=C234,"Yes","Missing"),"")</f>
        <v/>
      </c>
      <c r="AB234" s="66"/>
    </row>
    <row r="235">
      <c r="B235" s="63"/>
      <c r="C235" s="63"/>
      <c r="G235" s="3" t="str">
        <f t="shared" si="26"/>
        <v/>
      </c>
      <c r="I235" s="4">
        <f>SUMIFS('Weekly Dump'!D:D,'Weekly Dump'!B:B,C235)</f>
        <v>0</v>
      </c>
      <c r="J235" s="5">
        <f>SUMIFS('Weekly Dump'!AE:AE,'Weekly Dump'!B:B,C235)</f>
        <v>0</v>
      </c>
      <c r="K235" s="4">
        <f>SUMPRODUCT(
  (TEXT('Weekly Dump'!$A$2:$A1009,"mmm-yy")=TEXT($AB235,"mmm-yy"))*
  ('Weekly Dump'!$B$2:$B1009=$C235)*
  'Weekly Dump'!$D$2:$D1009)</f>
        <v>0</v>
      </c>
      <c r="L235" s="4">
        <f>SUMPRODUCT(
  (TEXT('Weekly Dump'!$A$2:$A1009,"mmm-yy")=TEXT($AB235,"mmm-yy"))*
  ('Weekly Dump'!$B$2:$B1009=$C235)*
  'Weekly Dump'!$E$2:$E1009
)</f>
        <v>0</v>
      </c>
      <c r="M235" s="4">
        <f>SUMPRODUCT(
  (TEXT('Weekly Dump'!$A$2:$A1009,"mmm-yy")=TEXT($AB235,"mmm-yy"))*
  ('Weekly Dump'!$B$2:$B1009=$C235)*
  'Weekly Dump'!$P$2:$P1009
)</f>
        <v>0</v>
      </c>
      <c r="N235" s="39"/>
      <c r="O235" s="40">
        <f>SUMIFS('Weekly Dump'!$D:$D,'Weekly Dump'!$B:$B,$C235,'Weekly Dump'!$A:$A,$AB235)</f>
        <v>0</v>
      </c>
      <c r="P235" s="40">
        <f>SUMIFS('Weekly Dump'!R:R,'Weekly Dump'!B:B,C235,'Weekly Dump'!A:A,AB235)</f>
        <v>0</v>
      </c>
      <c r="Q235" s="40">
        <f t="shared" si="20"/>
        <v>0</v>
      </c>
      <c r="R235" s="41"/>
      <c r="T235" s="4">
        <f>SUMIFS('Weekly Dump'!E:E,'Weekly Dump'!B:B,C235,'Weekly Dump'!A:A,AB235)</f>
        <v>0</v>
      </c>
      <c r="U235" s="3">
        <f t="shared" si="21"/>
        <v>0</v>
      </c>
      <c r="V235" s="42"/>
      <c r="X235" s="4">
        <f>SUMIFS('Weekly Dump'!P:P,'Weekly Dump'!B:B,C235,'Weekly Dump'!A:A,AB235)</f>
        <v>0</v>
      </c>
      <c r="Y235" s="4">
        <f t="shared" si="22"/>
        <v>0</v>
      </c>
      <c r="Z235" s="41"/>
      <c r="AA235" s="12" t="str">
        <f>iferror(IF(VLOOKUP(C235,'Weekly Dump'!B:B,1,0)=C235,"Yes","Missing"),"")</f>
        <v/>
      </c>
      <c r="AB235" s="66"/>
    </row>
    <row r="236">
      <c r="B236" s="63"/>
      <c r="C236" s="63"/>
      <c r="G236" s="3" t="str">
        <f t="shared" si="26"/>
        <v/>
      </c>
      <c r="I236" s="4">
        <f>SUMIFS('Weekly Dump'!D:D,'Weekly Dump'!B:B,C236)</f>
        <v>0</v>
      </c>
      <c r="J236" s="5">
        <f>SUMIFS('Weekly Dump'!AE:AE,'Weekly Dump'!B:B,C236)</f>
        <v>0</v>
      </c>
      <c r="K236" s="4">
        <f>SUMPRODUCT(
  (TEXT('Weekly Dump'!$A$2:$A1009,"mmm-yy")=TEXT($AB236,"mmm-yy"))*
  ('Weekly Dump'!$B$2:$B1009=$C236)*
  'Weekly Dump'!$D$2:$D1009)</f>
        <v>0</v>
      </c>
      <c r="L236" s="4">
        <f>SUMPRODUCT(
  (TEXT('Weekly Dump'!$A$2:$A1009,"mmm-yy")=TEXT($AB236,"mmm-yy"))*
  ('Weekly Dump'!$B$2:$B1009=$C236)*
  'Weekly Dump'!$E$2:$E1009
)</f>
        <v>0</v>
      </c>
      <c r="M236" s="4">
        <f>SUMPRODUCT(
  (TEXT('Weekly Dump'!$A$2:$A1009,"mmm-yy")=TEXT($AB236,"mmm-yy"))*
  ('Weekly Dump'!$B$2:$B1009=$C236)*
  'Weekly Dump'!$P$2:$P1009
)</f>
        <v>0</v>
      </c>
      <c r="N236" s="39"/>
      <c r="O236" s="40">
        <f>SUMIFS('Weekly Dump'!$D:$D,'Weekly Dump'!$B:$B,$C236,'Weekly Dump'!$A:$A,$AB236)</f>
        <v>0</v>
      </c>
      <c r="P236" s="40">
        <f>SUMIFS('Weekly Dump'!R:R,'Weekly Dump'!B:B,C236,'Weekly Dump'!A:A,AB236)</f>
        <v>0</v>
      </c>
      <c r="Q236" s="40">
        <f t="shared" si="20"/>
        <v>0</v>
      </c>
      <c r="R236" s="41"/>
      <c r="T236" s="4">
        <f>SUMIFS('Weekly Dump'!E:E,'Weekly Dump'!B:B,C236,'Weekly Dump'!A:A,AB236)</f>
        <v>0</v>
      </c>
      <c r="U236" s="3">
        <f t="shared" si="21"/>
        <v>0</v>
      </c>
      <c r="V236" s="42"/>
      <c r="X236" s="4">
        <f>SUMIFS('Weekly Dump'!P:P,'Weekly Dump'!B:B,C236,'Weekly Dump'!A:A,AB236)</f>
        <v>0</v>
      </c>
      <c r="Y236" s="4">
        <f t="shared" si="22"/>
        <v>0</v>
      </c>
      <c r="Z236" s="41"/>
      <c r="AA236" s="12" t="str">
        <f>iferror(IF(VLOOKUP(C236,'Weekly Dump'!B:B,1,0)=C236,"Yes","Missing"),"")</f>
        <v/>
      </c>
      <c r="AB236" s="66"/>
    </row>
    <row r="237">
      <c r="B237" s="63"/>
      <c r="C237" s="63"/>
      <c r="G237" s="3" t="str">
        <f t="shared" si="26"/>
        <v/>
      </c>
      <c r="I237" s="4">
        <f>SUMIFS('Weekly Dump'!D:D,'Weekly Dump'!B:B,C237)</f>
        <v>0</v>
      </c>
      <c r="J237" s="5">
        <f>SUMIFS('Weekly Dump'!AE:AE,'Weekly Dump'!B:B,C237)</f>
        <v>0</v>
      </c>
      <c r="K237" s="4">
        <f>SUMPRODUCT(
  (TEXT('Weekly Dump'!$A$2:$A1009,"mmm-yy")=TEXT($AB237,"mmm-yy"))*
  ('Weekly Dump'!$B$2:$B1009=$C237)*
  'Weekly Dump'!$D$2:$D1009)</f>
        <v>0</v>
      </c>
      <c r="L237" s="4">
        <f>SUMPRODUCT(
  (TEXT('Weekly Dump'!$A$2:$A1009,"mmm-yy")=TEXT($AB237,"mmm-yy"))*
  ('Weekly Dump'!$B$2:$B1009=$C237)*
  'Weekly Dump'!$E$2:$E1009
)</f>
        <v>0</v>
      </c>
      <c r="M237" s="4">
        <f>SUMPRODUCT(
  (TEXT('Weekly Dump'!$A$2:$A1009,"mmm-yy")=TEXT($AB237,"mmm-yy"))*
  ('Weekly Dump'!$B$2:$B1009=$C237)*
  'Weekly Dump'!$P$2:$P1009
)</f>
        <v>0</v>
      </c>
      <c r="N237" s="39"/>
      <c r="O237" s="40">
        <f>SUMIFS('Weekly Dump'!$D:$D,'Weekly Dump'!$B:$B,$C237,'Weekly Dump'!$A:$A,$AB237)</f>
        <v>0</v>
      </c>
      <c r="P237" s="40">
        <f>SUMIFS('Weekly Dump'!R:R,'Weekly Dump'!B:B,C237,'Weekly Dump'!A:A,AB237)</f>
        <v>0</v>
      </c>
      <c r="Q237" s="40">
        <f t="shared" si="20"/>
        <v>0</v>
      </c>
      <c r="R237" s="41"/>
      <c r="T237" s="4">
        <f>SUMIFS('Weekly Dump'!E:E,'Weekly Dump'!B:B,C237,'Weekly Dump'!A:A,AB237)</f>
        <v>0</v>
      </c>
      <c r="U237" s="3">
        <f t="shared" si="21"/>
        <v>0</v>
      </c>
      <c r="V237" s="42"/>
      <c r="X237" s="4">
        <f>SUMIFS('Weekly Dump'!P:P,'Weekly Dump'!B:B,C237,'Weekly Dump'!A:A,AB237)</f>
        <v>0</v>
      </c>
      <c r="Y237" s="4">
        <f t="shared" si="22"/>
        <v>0</v>
      </c>
      <c r="Z237" s="41"/>
      <c r="AA237" s="12" t="str">
        <f>iferror(IF(VLOOKUP(C237,'Weekly Dump'!B:B,1,0)=C237,"Yes","Missing"),"")</f>
        <v/>
      </c>
      <c r="AB237" s="66"/>
    </row>
    <row r="238">
      <c r="B238" s="63"/>
      <c r="C238" s="63"/>
      <c r="G238" s="3" t="str">
        <f t="shared" si="26"/>
        <v/>
      </c>
      <c r="I238" s="4">
        <f>SUMIFS('Weekly Dump'!D:D,'Weekly Dump'!B:B,C238)</f>
        <v>0</v>
      </c>
      <c r="J238" s="5">
        <f>SUMIFS('Weekly Dump'!AE:AE,'Weekly Dump'!B:B,C238)</f>
        <v>0</v>
      </c>
      <c r="K238" s="4">
        <f>SUMPRODUCT(
  (TEXT('Weekly Dump'!$A$2:$A1009,"mmm-yy")=TEXT($AB238,"mmm-yy"))*
  ('Weekly Dump'!$B$2:$B1009=$C238)*
  'Weekly Dump'!$D$2:$D1009)</f>
        <v>0</v>
      </c>
      <c r="L238" s="4">
        <f>SUMPRODUCT(
  (TEXT('Weekly Dump'!$A$2:$A1009,"mmm-yy")=TEXT($AB238,"mmm-yy"))*
  ('Weekly Dump'!$B$2:$B1009=$C238)*
  'Weekly Dump'!$E$2:$E1009
)</f>
        <v>0</v>
      </c>
      <c r="M238" s="4">
        <f>SUMPRODUCT(
  (TEXT('Weekly Dump'!$A$2:$A1009,"mmm-yy")=TEXT($AB238,"mmm-yy"))*
  ('Weekly Dump'!$B$2:$B1009=$C238)*
  'Weekly Dump'!$P$2:$P1009
)</f>
        <v>0</v>
      </c>
      <c r="N238" s="39"/>
      <c r="O238" s="40">
        <f>SUMIFS('Weekly Dump'!$D:$D,'Weekly Dump'!$B:$B,$C238,'Weekly Dump'!$A:$A,$AB238)</f>
        <v>0</v>
      </c>
      <c r="P238" s="40">
        <f>SUMIFS('Weekly Dump'!R:R,'Weekly Dump'!B:B,C238,'Weekly Dump'!A:A,AB238)</f>
        <v>0</v>
      </c>
      <c r="Q238" s="40">
        <f t="shared" si="20"/>
        <v>0</v>
      </c>
      <c r="R238" s="41"/>
      <c r="T238" s="4">
        <f>SUMIFS('Weekly Dump'!E:E,'Weekly Dump'!B:B,C238,'Weekly Dump'!A:A,AB238)</f>
        <v>0</v>
      </c>
      <c r="U238" s="3">
        <f t="shared" si="21"/>
        <v>0</v>
      </c>
      <c r="V238" s="42"/>
      <c r="X238" s="4">
        <f>SUMIFS('Weekly Dump'!P:P,'Weekly Dump'!B:B,C238,'Weekly Dump'!A:A,AB238)</f>
        <v>0</v>
      </c>
      <c r="Y238" s="4">
        <f t="shared" si="22"/>
        <v>0</v>
      </c>
      <c r="Z238" s="41"/>
      <c r="AA238" s="12" t="str">
        <f>iferror(IF(VLOOKUP(C238,'Weekly Dump'!B:B,1,0)=C238,"Yes","Missing"),"")</f>
        <v/>
      </c>
      <c r="AB238" s="66"/>
    </row>
    <row r="239">
      <c r="B239" s="63"/>
      <c r="C239" s="63"/>
      <c r="G239" s="3" t="str">
        <f t="shared" si="26"/>
        <v/>
      </c>
      <c r="I239" s="4">
        <f>SUMIFS('Weekly Dump'!D:D,'Weekly Dump'!B:B,C239)</f>
        <v>0</v>
      </c>
      <c r="J239" s="5">
        <f>SUMIFS('Weekly Dump'!AE:AE,'Weekly Dump'!B:B,C239)</f>
        <v>0</v>
      </c>
      <c r="K239" s="4">
        <f>SUMPRODUCT(
  (TEXT('Weekly Dump'!$A$2:$A1009,"mmm-yy")=TEXT($AB239,"mmm-yy"))*
  ('Weekly Dump'!$B$2:$B1009=$C239)*
  'Weekly Dump'!$D$2:$D1009)</f>
        <v>0</v>
      </c>
      <c r="L239" s="4">
        <f>SUMPRODUCT(
  (TEXT('Weekly Dump'!$A$2:$A1009,"mmm-yy")=TEXT($AB239,"mmm-yy"))*
  ('Weekly Dump'!$B$2:$B1009=$C239)*
  'Weekly Dump'!$E$2:$E1009
)</f>
        <v>0</v>
      </c>
      <c r="M239" s="4">
        <f>SUMPRODUCT(
  (TEXT('Weekly Dump'!$A$2:$A1009,"mmm-yy")=TEXT($AB239,"mmm-yy"))*
  ('Weekly Dump'!$B$2:$B1009=$C239)*
  'Weekly Dump'!$P$2:$P1009
)</f>
        <v>0</v>
      </c>
      <c r="N239" s="39"/>
      <c r="O239" s="40">
        <f>SUMIFS('Weekly Dump'!$D:$D,'Weekly Dump'!$B:$B,$C239,'Weekly Dump'!$A:$A,$AB239)</f>
        <v>0</v>
      </c>
      <c r="P239" s="40">
        <f>SUMIFS('Weekly Dump'!R:R,'Weekly Dump'!B:B,C239,'Weekly Dump'!A:A,AB239)</f>
        <v>0</v>
      </c>
      <c r="Q239" s="40">
        <f t="shared" si="20"/>
        <v>0</v>
      </c>
      <c r="R239" s="41"/>
      <c r="T239" s="4">
        <f>SUMIFS('Weekly Dump'!E:E,'Weekly Dump'!B:B,C239,'Weekly Dump'!A:A,AB239)</f>
        <v>0</v>
      </c>
      <c r="U239" s="3">
        <f t="shared" si="21"/>
        <v>0</v>
      </c>
      <c r="V239" s="42"/>
      <c r="X239" s="4">
        <f>SUMIFS('Weekly Dump'!P:P,'Weekly Dump'!B:B,C239,'Weekly Dump'!A:A,AB239)</f>
        <v>0</v>
      </c>
      <c r="Y239" s="4">
        <f t="shared" si="22"/>
        <v>0</v>
      </c>
      <c r="Z239" s="41"/>
      <c r="AA239" s="12" t="str">
        <f>iferror(IF(VLOOKUP(C239,'Weekly Dump'!B:B,1,0)=C239,"Yes","Missing"),"")</f>
        <v/>
      </c>
      <c r="AB239" s="66"/>
    </row>
    <row r="240">
      <c r="B240" s="63"/>
      <c r="C240" s="63"/>
      <c r="G240" s="3" t="str">
        <f t="shared" si="26"/>
        <v/>
      </c>
      <c r="I240" s="4">
        <f>SUMIFS('Weekly Dump'!D:D,'Weekly Dump'!B:B,C240)</f>
        <v>0</v>
      </c>
      <c r="J240" s="5">
        <f>SUMIFS('Weekly Dump'!AE:AE,'Weekly Dump'!B:B,C240)</f>
        <v>0</v>
      </c>
      <c r="K240" s="4">
        <f>SUMPRODUCT(
  (TEXT('Weekly Dump'!$A$2:$A1009,"mmm-yy")=TEXT($AB240,"mmm-yy"))*
  ('Weekly Dump'!$B$2:$B1009=$C240)*
  'Weekly Dump'!$D$2:$D1009)</f>
        <v>0</v>
      </c>
      <c r="L240" s="4">
        <f>SUMPRODUCT(
  (TEXT('Weekly Dump'!$A$2:$A1009,"mmm-yy")=TEXT($AB240,"mmm-yy"))*
  ('Weekly Dump'!$B$2:$B1009=$C240)*
  'Weekly Dump'!$E$2:$E1009
)</f>
        <v>0</v>
      </c>
      <c r="M240" s="4">
        <f>SUMPRODUCT(
  (TEXT('Weekly Dump'!$A$2:$A1009,"mmm-yy")=TEXT($AB240,"mmm-yy"))*
  ('Weekly Dump'!$B$2:$B1009=$C240)*
  'Weekly Dump'!$P$2:$P1009
)</f>
        <v>0</v>
      </c>
      <c r="N240" s="39"/>
      <c r="O240" s="40">
        <f>SUMIFS('Weekly Dump'!$D:$D,'Weekly Dump'!$B:$B,$C240,'Weekly Dump'!$A:$A,$AB240)</f>
        <v>0</v>
      </c>
      <c r="P240" s="40">
        <f>SUMIFS('Weekly Dump'!R:R,'Weekly Dump'!B:B,C240,'Weekly Dump'!A:A,AB240)</f>
        <v>0</v>
      </c>
      <c r="Q240" s="40">
        <f t="shared" si="20"/>
        <v>0</v>
      </c>
      <c r="R240" s="41"/>
      <c r="T240" s="4">
        <f>SUMIFS('Weekly Dump'!E:E,'Weekly Dump'!B:B,C240,'Weekly Dump'!A:A,AB240)</f>
        <v>0</v>
      </c>
      <c r="U240" s="3">
        <f t="shared" si="21"/>
        <v>0</v>
      </c>
      <c r="V240" s="42"/>
      <c r="X240" s="4">
        <f>SUMIFS('Weekly Dump'!P:P,'Weekly Dump'!B:B,C240,'Weekly Dump'!A:A,AB240)</f>
        <v>0</v>
      </c>
      <c r="Y240" s="4">
        <f t="shared" si="22"/>
        <v>0</v>
      </c>
      <c r="Z240" s="41"/>
      <c r="AA240" s="12" t="str">
        <f>iferror(IF(VLOOKUP(C240,'Weekly Dump'!B:B,1,0)=C240,"Yes","Missing"),"")</f>
        <v/>
      </c>
      <c r="AB240" s="66"/>
    </row>
    <row r="241">
      <c r="B241" s="63"/>
      <c r="C241" s="63"/>
      <c r="G241" s="3" t="str">
        <f t="shared" si="26"/>
        <v/>
      </c>
      <c r="I241" s="4">
        <f>SUMIFS('Weekly Dump'!D:D,'Weekly Dump'!B:B,C241)</f>
        <v>0</v>
      </c>
      <c r="J241" s="5">
        <f>SUMIFS('Weekly Dump'!AE:AE,'Weekly Dump'!B:B,C241)</f>
        <v>0</v>
      </c>
      <c r="K241" s="4">
        <f>SUMPRODUCT(
  (TEXT('Weekly Dump'!$A$2:$A1009,"mmm-yy")=TEXT($AB241,"mmm-yy"))*
  ('Weekly Dump'!$B$2:$B1009=$C241)*
  'Weekly Dump'!$D$2:$D1009)</f>
        <v>0</v>
      </c>
      <c r="L241" s="4">
        <f>SUMPRODUCT(
  (TEXT('Weekly Dump'!$A$2:$A1009,"mmm-yy")=TEXT($AB241,"mmm-yy"))*
  ('Weekly Dump'!$B$2:$B1009=$C241)*
  'Weekly Dump'!$E$2:$E1009
)</f>
        <v>0</v>
      </c>
      <c r="M241" s="4">
        <f>SUMPRODUCT(
  (TEXT('Weekly Dump'!$A$2:$A1009,"mmm-yy")=TEXT($AB241,"mmm-yy"))*
  ('Weekly Dump'!$B$2:$B1009=$C241)*
  'Weekly Dump'!$P$2:$P1009
)</f>
        <v>0</v>
      </c>
      <c r="N241" s="39"/>
      <c r="O241" s="40">
        <f>SUMIFS('Weekly Dump'!$D:$D,'Weekly Dump'!$B:$B,$C241,'Weekly Dump'!$A:$A,$AB241)</f>
        <v>0</v>
      </c>
      <c r="P241" s="40">
        <f>SUMIFS('Weekly Dump'!R:R,'Weekly Dump'!B:B,C241,'Weekly Dump'!A:A,AB241)</f>
        <v>0</v>
      </c>
      <c r="Q241" s="40">
        <f t="shared" si="20"/>
        <v>0</v>
      </c>
      <c r="R241" s="41"/>
      <c r="T241" s="4">
        <f>SUMIFS('Weekly Dump'!E:E,'Weekly Dump'!B:B,C241,'Weekly Dump'!A:A,AB241)</f>
        <v>0</v>
      </c>
      <c r="U241" s="3">
        <f t="shared" si="21"/>
        <v>0</v>
      </c>
      <c r="V241" s="42"/>
      <c r="X241" s="4">
        <f>SUMIFS('Weekly Dump'!P:P,'Weekly Dump'!B:B,C241,'Weekly Dump'!A:A,AB241)</f>
        <v>0</v>
      </c>
      <c r="Y241" s="4">
        <f t="shared" si="22"/>
        <v>0</v>
      </c>
      <c r="Z241" s="41"/>
      <c r="AA241" s="12" t="str">
        <f>iferror(IF(VLOOKUP(C241,'Weekly Dump'!B:B,1,0)=C241,"Yes","Missing"),"")</f>
        <v/>
      </c>
      <c r="AB241" s="66"/>
    </row>
    <row r="242">
      <c r="B242" s="63"/>
      <c r="C242" s="63"/>
      <c r="G242" s="3" t="str">
        <f t="shared" si="26"/>
        <v/>
      </c>
      <c r="I242" s="4">
        <f>SUMIFS('Weekly Dump'!D:D,'Weekly Dump'!B:B,C242)</f>
        <v>0</v>
      </c>
      <c r="J242" s="5">
        <f>SUMIFS('Weekly Dump'!AE:AE,'Weekly Dump'!B:B,C242)</f>
        <v>0</v>
      </c>
      <c r="K242" s="4">
        <f>SUMPRODUCT(
  (TEXT('Weekly Dump'!$A$2:$A1009,"mmm-yy")=TEXT($AB242,"mmm-yy"))*
  ('Weekly Dump'!$B$2:$B1009=$C242)*
  'Weekly Dump'!$D$2:$D1009)</f>
        <v>0</v>
      </c>
      <c r="L242" s="4">
        <f>SUMPRODUCT(
  (TEXT('Weekly Dump'!$A$2:$A1009,"mmm-yy")=TEXT($AB242,"mmm-yy"))*
  ('Weekly Dump'!$B$2:$B1009=$C242)*
  'Weekly Dump'!$E$2:$E1009
)</f>
        <v>0</v>
      </c>
      <c r="M242" s="4">
        <f>SUMPRODUCT(
  (TEXT('Weekly Dump'!$A$2:$A1009,"mmm-yy")=TEXT($AB242,"mmm-yy"))*
  ('Weekly Dump'!$B$2:$B1009=$C242)*
  'Weekly Dump'!$P$2:$P1009
)</f>
        <v>0</v>
      </c>
      <c r="N242" s="39"/>
      <c r="O242" s="40">
        <f>SUMIFS('Weekly Dump'!$D:$D,'Weekly Dump'!$B:$B,$C242,'Weekly Dump'!$A:$A,$AB242)</f>
        <v>0</v>
      </c>
      <c r="P242" s="40">
        <f>SUMIFS('Weekly Dump'!R:R,'Weekly Dump'!B:B,C242,'Weekly Dump'!A:A,AB242)</f>
        <v>0</v>
      </c>
      <c r="Q242" s="40">
        <f t="shared" si="20"/>
        <v>0</v>
      </c>
      <c r="R242" s="41"/>
      <c r="T242" s="4">
        <f>SUMIFS('Weekly Dump'!E:E,'Weekly Dump'!B:B,C242,'Weekly Dump'!A:A,AB242)</f>
        <v>0</v>
      </c>
      <c r="U242" s="3">
        <f t="shared" si="21"/>
        <v>0</v>
      </c>
      <c r="V242" s="42"/>
      <c r="X242" s="4">
        <f>SUMIFS('Weekly Dump'!P:P,'Weekly Dump'!B:B,C242,'Weekly Dump'!A:A,AB242)</f>
        <v>0</v>
      </c>
      <c r="Y242" s="4">
        <f t="shared" si="22"/>
        <v>0</v>
      </c>
      <c r="Z242" s="41"/>
      <c r="AA242" s="12" t="str">
        <f>iferror(IF(VLOOKUP(C242,'Weekly Dump'!B:B,1,0)=C242,"Yes","Missing"),"")</f>
        <v/>
      </c>
      <c r="AB242" s="66"/>
    </row>
    <row r="243">
      <c r="B243" s="63"/>
      <c r="C243" s="63"/>
      <c r="G243" s="3" t="str">
        <f t="shared" si="26"/>
        <v/>
      </c>
      <c r="I243" s="4">
        <f>SUMIFS('Weekly Dump'!D:D,'Weekly Dump'!B:B,C243)</f>
        <v>0</v>
      </c>
      <c r="J243" s="5">
        <f>SUMIFS('Weekly Dump'!AE:AE,'Weekly Dump'!B:B,C243)</f>
        <v>0</v>
      </c>
      <c r="K243" s="4">
        <f>SUMPRODUCT(
  (TEXT('Weekly Dump'!$A$2:$A1009,"mmm-yy")=TEXT($AB243,"mmm-yy"))*
  ('Weekly Dump'!$B$2:$B1009=$C243)*
  'Weekly Dump'!$D$2:$D1009)</f>
        <v>0</v>
      </c>
      <c r="L243" s="4">
        <f>SUMPRODUCT(
  (TEXT('Weekly Dump'!$A$2:$A1009,"mmm-yy")=TEXT($AB243,"mmm-yy"))*
  ('Weekly Dump'!$B$2:$B1009=$C243)*
  'Weekly Dump'!$E$2:$E1009
)</f>
        <v>0</v>
      </c>
      <c r="M243" s="4">
        <f>SUMPRODUCT(
  (TEXT('Weekly Dump'!$A$2:$A1009,"mmm-yy")=TEXT($AB243,"mmm-yy"))*
  ('Weekly Dump'!$B$2:$B1009=$C243)*
  'Weekly Dump'!$P$2:$P1009
)</f>
        <v>0</v>
      </c>
      <c r="N243" s="39"/>
      <c r="O243" s="40">
        <f>SUMIFS('Weekly Dump'!$D:$D,'Weekly Dump'!$B:$B,$C243,'Weekly Dump'!$A:$A,$AB243)</f>
        <v>0</v>
      </c>
      <c r="P243" s="40">
        <f>SUMIFS('Weekly Dump'!R:R,'Weekly Dump'!B:B,C243,'Weekly Dump'!A:A,AB243)</f>
        <v>0</v>
      </c>
      <c r="Q243" s="40">
        <f t="shared" si="20"/>
        <v>0</v>
      </c>
      <c r="R243" s="41"/>
      <c r="T243" s="4">
        <f>SUMIFS('Weekly Dump'!E:E,'Weekly Dump'!B:B,C243,'Weekly Dump'!A:A,AB243)</f>
        <v>0</v>
      </c>
      <c r="U243" s="3">
        <f t="shared" si="21"/>
        <v>0</v>
      </c>
      <c r="V243" s="42"/>
      <c r="X243" s="4">
        <f>SUMIFS('Weekly Dump'!P:P,'Weekly Dump'!B:B,C243,'Weekly Dump'!A:A,AB243)</f>
        <v>0</v>
      </c>
      <c r="Y243" s="4">
        <f t="shared" si="22"/>
        <v>0</v>
      </c>
      <c r="Z243" s="41"/>
      <c r="AA243" s="12" t="str">
        <f>iferror(IF(VLOOKUP(C243,'Weekly Dump'!B:B,1,0)=C243,"Yes","Missing"),"")</f>
        <v/>
      </c>
      <c r="AB243" s="66"/>
    </row>
    <row r="244">
      <c r="B244" s="63"/>
      <c r="C244" s="63"/>
      <c r="G244" s="3" t="str">
        <f t="shared" si="26"/>
        <v/>
      </c>
      <c r="I244" s="4">
        <f>SUMIFS('Weekly Dump'!D:D,'Weekly Dump'!B:B,C244)</f>
        <v>0</v>
      </c>
      <c r="J244" s="5">
        <f>SUMIFS('Weekly Dump'!AE:AE,'Weekly Dump'!B:B,C244)</f>
        <v>0</v>
      </c>
      <c r="K244" s="4">
        <f>SUMPRODUCT(
  (TEXT('Weekly Dump'!$A$2:$A1009,"mmm-yy")=TEXT($AB244,"mmm-yy"))*
  ('Weekly Dump'!$B$2:$B1009=$C244)*
  'Weekly Dump'!$D$2:$D1009)</f>
        <v>0</v>
      </c>
      <c r="L244" s="4">
        <f>SUMPRODUCT(
  (TEXT('Weekly Dump'!$A$2:$A1009,"mmm-yy")=TEXT($AB244,"mmm-yy"))*
  ('Weekly Dump'!$B$2:$B1009=$C244)*
  'Weekly Dump'!$E$2:$E1009
)</f>
        <v>0</v>
      </c>
      <c r="M244" s="4">
        <f>SUMPRODUCT(
  (TEXT('Weekly Dump'!$A$2:$A1009,"mmm-yy")=TEXT($AB244,"mmm-yy"))*
  ('Weekly Dump'!$B$2:$B1009=$C244)*
  'Weekly Dump'!$P$2:$P1009
)</f>
        <v>0</v>
      </c>
      <c r="N244" s="39"/>
      <c r="O244" s="40">
        <f>SUMIFS('Weekly Dump'!$D:$D,'Weekly Dump'!$B:$B,$C244,'Weekly Dump'!$A:$A,$AB244)</f>
        <v>0</v>
      </c>
      <c r="P244" s="40">
        <f>SUMIFS('Weekly Dump'!R:R,'Weekly Dump'!B:B,C244,'Weekly Dump'!A:A,AB244)</f>
        <v>0</v>
      </c>
      <c r="Q244" s="40">
        <f t="shared" si="20"/>
        <v>0</v>
      </c>
      <c r="R244" s="41"/>
      <c r="T244" s="4">
        <f>SUMIFS('Weekly Dump'!E:E,'Weekly Dump'!B:B,C244,'Weekly Dump'!A:A,AB244)</f>
        <v>0</v>
      </c>
      <c r="U244" s="3">
        <f t="shared" si="21"/>
        <v>0</v>
      </c>
      <c r="V244" s="42"/>
      <c r="X244" s="4">
        <f>SUMIFS('Weekly Dump'!P:P,'Weekly Dump'!B:B,C244,'Weekly Dump'!A:A,AB244)</f>
        <v>0</v>
      </c>
      <c r="Y244" s="4">
        <f t="shared" si="22"/>
        <v>0</v>
      </c>
      <c r="Z244" s="41"/>
      <c r="AA244" s="12" t="str">
        <f>iferror(IF(VLOOKUP(C244,'Weekly Dump'!B:B,1,0)=C244,"Yes","Missing"),"")</f>
        <v/>
      </c>
      <c r="AB244" s="66"/>
    </row>
    <row r="245">
      <c r="B245" s="63"/>
      <c r="C245" s="63"/>
      <c r="G245" s="3" t="str">
        <f t="shared" si="26"/>
        <v/>
      </c>
      <c r="I245" s="4">
        <f>SUMIFS('Weekly Dump'!D:D,'Weekly Dump'!B:B,C245)</f>
        <v>0</v>
      </c>
      <c r="J245" s="5">
        <f>SUMIFS('Weekly Dump'!AE:AE,'Weekly Dump'!B:B,C245)</f>
        <v>0</v>
      </c>
      <c r="K245" s="4">
        <f>SUMPRODUCT(
  (TEXT('Weekly Dump'!$A$2:$A1009,"mmm-yy")=TEXT($AB245,"mmm-yy"))*
  ('Weekly Dump'!$B$2:$B1009=$C245)*
  'Weekly Dump'!$D$2:$D1009)</f>
        <v>0</v>
      </c>
      <c r="L245" s="4">
        <f>SUMPRODUCT(
  (TEXT('Weekly Dump'!$A$2:$A1009,"mmm-yy")=TEXT($AB245,"mmm-yy"))*
  ('Weekly Dump'!$B$2:$B1009=$C245)*
  'Weekly Dump'!$E$2:$E1009
)</f>
        <v>0</v>
      </c>
      <c r="M245" s="4">
        <f>SUMPRODUCT(
  (TEXT('Weekly Dump'!$A$2:$A1009,"mmm-yy")=TEXT($AB245,"mmm-yy"))*
  ('Weekly Dump'!$B$2:$B1009=$C245)*
  'Weekly Dump'!$P$2:$P1009
)</f>
        <v>0</v>
      </c>
      <c r="N245" s="39"/>
      <c r="O245" s="40">
        <f>SUMIFS('Weekly Dump'!$D:$D,'Weekly Dump'!$B:$B,$C245,'Weekly Dump'!$A:$A,$AB245)</f>
        <v>0</v>
      </c>
      <c r="P245" s="40">
        <f>SUMIFS('Weekly Dump'!R:R,'Weekly Dump'!B:B,C245,'Weekly Dump'!A:A,AB245)</f>
        <v>0</v>
      </c>
      <c r="Q245" s="40">
        <f t="shared" si="20"/>
        <v>0</v>
      </c>
      <c r="R245" s="41"/>
      <c r="T245" s="4">
        <f>SUMIFS('Weekly Dump'!E:E,'Weekly Dump'!B:B,C245,'Weekly Dump'!A:A,AB245)</f>
        <v>0</v>
      </c>
      <c r="U245" s="3">
        <f t="shared" si="21"/>
        <v>0</v>
      </c>
      <c r="V245" s="42"/>
      <c r="X245" s="4">
        <f>SUMIFS('Weekly Dump'!P:P,'Weekly Dump'!B:B,C245,'Weekly Dump'!A:A,AB245)</f>
        <v>0</v>
      </c>
      <c r="Y245" s="4">
        <f t="shared" si="22"/>
        <v>0</v>
      </c>
      <c r="Z245" s="41"/>
      <c r="AA245" s="12" t="str">
        <f>iferror(IF(VLOOKUP(C245,'Weekly Dump'!B:B,1,0)=C245,"Yes","Missing"),"")</f>
        <v/>
      </c>
      <c r="AB245" s="66"/>
    </row>
    <row r="246">
      <c r="B246" s="63"/>
      <c r="C246" s="63"/>
      <c r="G246" s="3" t="str">
        <f t="shared" si="26"/>
        <v/>
      </c>
      <c r="I246" s="4">
        <f>SUMIFS('Weekly Dump'!D:D,'Weekly Dump'!B:B,C246)</f>
        <v>0</v>
      </c>
      <c r="J246" s="5">
        <f>SUMIFS('Weekly Dump'!AE:AE,'Weekly Dump'!B:B,C246)</f>
        <v>0</v>
      </c>
      <c r="K246" s="4">
        <f>SUMPRODUCT(
  (TEXT('Weekly Dump'!$A$2:$A1009,"mmm-yy")=TEXT($AB246,"mmm-yy"))*
  ('Weekly Dump'!$B$2:$B1009=$C246)*
  'Weekly Dump'!$D$2:$D1009)</f>
        <v>0</v>
      </c>
      <c r="L246" s="4">
        <f>SUMPRODUCT(
  (TEXT('Weekly Dump'!$A$2:$A1009,"mmm-yy")=TEXT($AB246,"mmm-yy"))*
  ('Weekly Dump'!$B$2:$B1009=$C246)*
  'Weekly Dump'!$E$2:$E1009
)</f>
        <v>0</v>
      </c>
      <c r="M246" s="4">
        <f>SUMPRODUCT(
  (TEXT('Weekly Dump'!$A$2:$A1009,"mmm-yy")=TEXT($AB246,"mmm-yy"))*
  ('Weekly Dump'!$B$2:$B1009=$C246)*
  'Weekly Dump'!$P$2:$P1009
)</f>
        <v>0</v>
      </c>
      <c r="N246" s="39"/>
      <c r="O246" s="40">
        <f>SUMIFS('Weekly Dump'!$D:$D,'Weekly Dump'!$B:$B,$C246,'Weekly Dump'!$A:$A,$AB246)</f>
        <v>0</v>
      </c>
      <c r="P246" s="40">
        <f>SUMIFS('Weekly Dump'!R:R,'Weekly Dump'!B:B,C246,'Weekly Dump'!A:A,AB246)</f>
        <v>0</v>
      </c>
      <c r="Q246" s="40">
        <f t="shared" si="20"/>
        <v>0</v>
      </c>
      <c r="R246" s="41"/>
      <c r="T246" s="4">
        <f>SUMIFS('Weekly Dump'!E:E,'Weekly Dump'!B:B,C246,'Weekly Dump'!A:A,AB246)</f>
        <v>0</v>
      </c>
      <c r="U246" s="3">
        <f t="shared" si="21"/>
        <v>0</v>
      </c>
      <c r="V246" s="42"/>
      <c r="X246" s="4">
        <f>SUMIFS('Weekly Dump'!P:P,'Weekly Dump'!B:B,C246,'Weekly Dump'!A:A,AB246)</f>
        <v>0</v>
      </c>
      <c r="Y246" s="4">
        <f t="shared" si="22"/>
        <v>0</v>
      </c>
      <c r="Z246" s="41"/>
      <c r="AA246" s="12" t="str">
        <f>iferror(IF(VLOOKUP(C246,'Weekly Dump'!B:B,1,0)=C246,"Yes","Missing"),"")</f>
        <v/>
      </c>
      <c r="AB246" s="66"/>
    </row>
    <row r="247">
      <c r="B247" s="63"/>
      <c r="C247" s="63"/>
      <c r="G247" s="3" t="str">
        <f t="shared" si="26"/>
        <v/>
      </c>
      <c r="I247" s="4">
        <f>SUMIFS('Weekly Dump'!D:D,'Weekly Dump'!B:B,C247)</f>
        <v>0</v>
      </c>
      <c r="J247" s="5">
        <f>SUMIFS('Weekly Dump'!AE:AE,'Weekly Dump'!B:B,C247)</f>
        <v>0</v>
      </c>
      <c r="K247" s="4">
        <f>SUMPRODUCT(
  (TEXT('Weekly Dump'!$A$2:$A1009,"mmm-yy")=TEXT($AB247,"mmm-yy"))*
  ('Weekly Dump'!$B$2:$B1009=$C247)*
  'Weekly Dump'!$D$2:$D1009)</f>
        <v>0</v>
      </c>
      <c r="L247" s="4">
        <f>SUMPRODUCT(
  (TEXT('Weekly Dump'!$A$2:$A1009,"mmm-yy")=TEXT($AB247,"mmm-yy"))*
  ('Weekly Dump'!$B$2:$B1009=$C247)*
  'Weekly Dump'!$E$2:$E1009
)</f>
        <v>0</v>
      </c>
      <c r="M247" s="4">
        <f>SUMPRODUCT(
  (TEXT('Weekly Dump'!$A$2:$A1009,"mmm-yy")=TEXT($AB247,"mmm-yy"))*
  ('Weekly Dump'!$B$2:$B1009=$C247)*
  'Weekly Dump'!$P$2:$P1009
)</f>
        <v>0</v>
      </c>
      <c r="N247" s="39"/>
      <c r="O247" s="40">
        <f>SUMIFS('Weekly Dump'!$D:$D,'Weekly Dump'!$B:$B,$C247,'Weekly Dump'!$A:$A,$AB247)</f>
        <v>0</v>
      </c>
      <c r="P247" s="40">
        <f>SUMIFS('Weekly Dump'!R:R,'Weekly Dump'!B:B,C247,'Weekly Dump'!A:A,AB247)</f>
        <v>0</v>
      </c>
      <c r="Q247" s="40">
        <f t="shared" si="20"/>
        <v>0</v>
      </c>
      <c r="R247" s="41"/>
      <c r="T247" s="4">
        <f>SUMIFS('Weekly Dump'!E:E,'Weekly Dump'!B:B,C247,'Weekly Dump'!A:A,AB247)</f>
        <v>0</v>
      </c>
      <c r="U247" s="3">
        <f t="shared" si="21"/>
        <v>0</v>
      </c>
      <c r="V247" s="42"/>
      <c r="X247" s="4">
        <f>SUMIFS('Weekly Dump'!P:P,'Weekly Dump'!B:B,C247,'Weekly Dump'!A:A,AB247)</f>
        <v>0</v>
      </c>
      <c r="Y247" s="4">
        <f t="shared" si="22"/>
        <v>0</v>
      </c>
      <c r="Z247" s="41"/>
      <c r="AA247" s="12" t="str">
        <f>iferror(IF(VLOOKUP(C247,'Weekly Dump'!B:B,1,0)=C247,"Yes","Missing"),"")</f>
        <v/>
      </c>
      <c r="AB247" s="66"/>
    </row>
    <row r="248">
      <c r="B248" s="63"/>
      <c r="C248" s="63"/>
      <c r="G248" s="3" t="str">
        <f t="shared" si="26"/>
        <v/>
      </c>
      <c r="I248" s="4">
        <f>SUMIFS('Weekly Dump'!D:D,'Weekly Dump'!B:B,C248)</f>
        <v>0</v>
      </c>
      <c r="J248" s="5">
        <f>SUMIFS('Weekly Dump'!AE:AE,'Weekly Dump'!B:B,C248)</f>
        <v>0</v>
      </c>
      <c r="K248" s="4">
        <f>SUMPRODUCT(
  (TEXT('Weekly Dump'!$A$2:$A1009,"mmm-yy")=TEXT($AB248,"mmm-yy"))*
  ('Weekly Dump'!$B$2:$B1009=$C248)*
  'Weekly Dump'!$D$2:$D1009)</f>
        <v>0</v>
      </c>
      <c r="L248" s="4">
        <f>SUMPRODUCT(
  (TEXT('Weekly Dump'!$A$2:$A1009,"mmm-yy")=TEXT($AB248,"mmm-yy"))*
  ('Weekly Dump'!$B$2:$B1009=$C248)*
  'Weekly Dump'!$E$2:$E1009
)</f>
        <v>0</v>
      </c>
      <c r="M248" s="4">
        <f>SUMPRODUCT(
  (TEXT('Weekly Dump'!$A$2:$A1009,"mmm-yy")=TEXT($AB248,"mmm-yy"))*
  ('Weekly Dump'!$B$2:$B1009=$C248)*
  'Weekly Dump'!$P$2:$P1009
)</f>
        <v>0</v>
      </c>
      <c r="N248" s="39"/>
      <c r="O248" s="40">
        <f>SUMIFS('Weekly Dump'!$D:$D,'Weekly Dump'!$B:$B,$C248,'Weekly Dump'!$A:$A,$AB248)</f>
        <v>0</v>
      </c>
      <c r="P248" s="40">
        <f>SUMIFS('Weekly Dump'!R:R,'Weekly Dump'!B:B,C248,'Weekly Dump'!A:A,AB248)</f>
        <v>0</v>
      </c>
      <c r="Q248" s="40">
        <f t="shared" si="20"/>
        <v>0</v>
      </c>
      <c r="R248" s="41"/>
      <c r="T248" s="4">
        <f>SUMIFS('Weekly Dump'!E:E,'Weekly Dump'!B:B,C248,'Weekly Dump'!A:A,AB248)</f>
        <v>0</v>
      </c>
      <c r="U248" s="3">
        <f t="shared" si="21"/>
        <v>0</v>
      </c>
      <c r="V248" s="42"/>
      <c r="X248" s="4">
        <f>SUMIFS('Weekly Dump'!P:P,'Weekly Dump'!B:B,C248,'Weekly Dump'!A:A,AB248)</f>
        <v>0</v>
      </c>
      <c r="Y248" s="4">
        <f t="shared" si="22"/>
        <v>0</v>
      </c>
      <c r="Z248" s="41"/>
      <c r="AA248" s="12" t="str">
        <f>iferror(IF(VLOOKUP(C248,'Weekly Dump'!B:B,1,0)=C248,"Yes","Missing"),"")</f>
        <v/>
      </c>
      <c r="AB248" s="66"/>
    </row>
    <row r="249">
      <c r="B249" s="63"/>
      <c r="C249" s="63"/>
      <c r="G249" s="3" t="str">
        <f t="shared" si="26"/>
        <v/>
      </c>
      <c r="I249" s="4">
        <f>SUMIFS('Weekly Dump'!D:D,'Weekly Dump'!B:B,C249)</f>
        <v>0</v>
      </c>
      <c r="J249" s="5">
        <f>SUMIFS('Weekly Dump'!AE:AE,'Weekly Dump'!B:B,C249)</f>
        <v>0</v>
      </c>
      <c r="K249" s="4">
        <f>SUMPRODUCT(
  (TEXT('Weekly Dump'!$A$2:$A1009,"mmm-yy")=TEXT($AB249,"mmm-yy"))*
  ('Weekly Dump'!$B$2:$B1009=$C249)*
  'Weekly Dump'!$D$2:$D1009)</f>
        <v>0</v>
      </c>
      <c r="L249" s="4">
        <f>SUMPRODUCT(
  (TEXT('Weekly Dump'!$A$2:$A1009,"mmm-yy")=TEXT($AB249,"mmm-yy"))*
  ('Weekly Dump'!$B$2:$B1009=$C249)*
  'Weekly Dump'!$E$2:$E1009
)</f>
        <v>0</v>
      </c>
      <c r="M249" s="4">
        <f>SUMPRODUCT(
  (TEXT('Weekly Dump'!$A$2:$A1009,"mmm-yy")=TEXT($AB249,"mmm-yy"))*
  ('Weekly Dump'!$B$2:$B1009=$C249)*
  'Weekly Dump'!$P$2:$P1009
)</f>
        <v>0</v>
      </c>
      <c r="N249" s="39"/>
      <c r="O249" s="40">
        <f>SUMIFS('Weekly Dump'!$D:$D,'Weekly Dump'!$B:$B,$C249,'Weekly Dump'!$A:$A,$AB249)</f>
        <v>0</v>
      </c>
      <c r="P249" s="40">
        <f>SUMIFS('Weekly Dump'!R:R,'Weekly Dump'!B:B,C249,'Weekly Dump'!A:A,AB249)</f>
        <v>0</v>
      </c>
      <c r="Q249" s="40">
        <f t="shared" si="20"/>
        <v>0</v>
      </c>
      <c r="R249" s="41"/>
      <c r="T249" s="4">
        <f>SUMIFS('Weekly Dump'!E:E,'Weekly Dump'!B:B,C249,'Weekly Dump'!A:A,AB249)</f>
        <v>0</v>
      </c>
      <c r="U249" s="3">
        <f t="shared" si="21"/>
        <v>0</v>
      </c>
      <c r="V249" s="42"/>
      <c r="X249" s="4">
        <f>SUMIFS('Weekly Dump'!P:P,'Weekly Dump'!B:B,C249,'Weekly Dump'!A:A,AB249)</f>
        <v>0</v>
      </c>
      <c r="Y249" s="4">
        <f t="shared" si="22"/>
        <v>0</v>
      </c>
      <c r="Z249" s="41"/>
      <c r="AA249" s="12" t="str">
        <f>iferror(IF(VLOOKUP(C249,'Weekly Dump'!B:B,1,0)=C249,"Yes","Missing"),"")</f>
        <v/>
      </c>
      <c r="AB249" s="66"/>
    </row>
    <row r="250">
      <c r="B250" s="63"/>
      <c r="C250" s="63"/>
      <c r="G250" s="3" t="str">
        <f t="shared" si="26"/>
        <v/>
      </c>
      <c r="I250" s="4">
        <f>SUMIFS('Weekly Dump'!D:D,'Weekly Dump'!B:B,C250)</f>
        <v>0</v>
      </c>
      <c r="J250" s="5">
        <f>SUMIFS('Weekly Dump'!AE:AE,'Weekly Dump'!B:B,C250)</f>
        <v>0</v>
      </c>
      <c r="K250" s="4">
        <f>SUMPRODUCT(
  (TEXT('Weekly Dump'!$A$2:$A1009,"mmm-yy")=TEXT($AB250,"mmm-yy"))*
  ('Weekly Dump'!$B$2:$B1009=$C250)*
  'Weekly Dump'!$D$2:$D1009)</f>
        <v>0</v>
      </c>
      <c r="L250" s="4">
        <f>SUMPRODUCT(
  (TEXT('Weekly Dump'!$A$2:$A1009,"mmm-yy")=TEXT($AB250,"mmm-yy"))*
  ('Weekly Dump'!$B$2:$B1009=$C250)*
  'Weekly Dump'!$E$2:$E1009
)</f>
        <v>0</v>
      </c>
      <c r="M250" s="4">
        <f>SUMPRODUCT(
  (TEXT('Weekly Dump'!$A$2:$A1009,"mmm-yy")=TEXT($AB250,"mmm-yy"))*
  ('Weekly Dump'!$B$2:$B1009=$C250)*
  'Weekly Dump'!$P$2:$P1009
)</f>
        <v>0</v>
      </c>
      <c r="N250" s="39"/>
      <c r="O250" s="40">
        <f>SUMIFS('Weekly Dump'!$D:$D,'Weekly Dump'!$B:$B,$C250,'Weekly Dump'!$A:$A,$AB250)</f>
        <v>0</v>
      </c>
      <c r="P250" s="40">
        <f>SUMIFS('Weekly Dump'!R:R,'Weekly Dump'!B:B,C250,'Weekly Dump'!A:A,AB250)</f>
        <v>0</v>
      </c>
      <c r="Q250" s="40">
        <f t="shared" si="20"/>
        <v>0</v>
      </c>
      <c r="R250" s="41"/>
      <c r="T250" s="4">
        <f>SUMIFS('Weekly Dump'!E:E,'Weekly Dump'!B:B,C250,'Weekly Dump'!A:A,AB250)</f>
        <v>0</v>
      </c>
      <c r="U250" s="3">
        <f t="shared" si="21"/>
        <v>0</v>
      </c>
      <c r="V250" s="42"/>
      <c r="X250" s="4">
        <f>SUMIFS('Weekly Dump'!P:P,'Weekly Dump'!B:B,C250,'Weekly Dump'!A:A,AB250)</f>
        <v>0</v>
      </c>
      <c r="Y250" s="4">
        <f t="shared" si="22"/>
        <v>0</v>
      </c>
      <c r="Z250" s="41"/>
      <c r="AA250" s="12" t="str">
        <f>iferror(IF(VLOOKUP(C250,'Weekly Dump'!B:B,1,0)=C250,"Yes","Missing"),"")</f>
        <v/>
      </c>
      <c r="AB250" s="66"/>
    </row>
    <row r="251">
      <c r="B251" s="63"/>
      <c r="C251" s="63"/>
      <c r="G251" s="3" t="str">
        <f t="shared" si="26"/>
        <v/>
      </c>
      <c r="I251" s="4">
        <f>SUMIFS('Weekly Dump'!D:D,'Weekly Dump'!B:B,C251)</f>
        <v>0</v>
      </c>
      <c r="J251" s="5">
        <f>SUMIFS('Weekly Dump'!AE:AE,'Weekly Dump'!B:B,C251)</f>
        <v>0</v>
      </c>
      <c r="K251" s="4">
        <f>SUMPRODUCT(
  (TEXT('Weekly Dump'!$A$2:$A1009,"mmm-yy")=TEXT($AB251,"mmm-yy"))*
  ('Weekly Dump'!$B$2:$B1009=$C251)*
  'Weekly Dump'!$D$2:$D1009)</f>
        <v>0</v>
      </c>
      <c r="L251" s="4">
        <f>SUMPRODUCT(
  (TEXT('Weekly Dump'!$A$2:$A1009,"mmm-yy")=TEXT($AB251,"mmm-yy"))*
  ('Weekly Dump'!$B$2:$B1009=$C251)*
  'Weekly Dump'!$E$2:$E1009
)</f>
        <v>0</v>
      </c>
      <c r="M251" s="4">
        <f>SUMPRODUCT(
  (TEXT('Weekly Dump'!$A$2:$A1009,"mmm-yy")=TEXT($AB251,"mmm-yy"))*
  ('Weekly Dump'!$B$2:$B1009=$C251)*
  'Weekly Dump'!$P$2:$P1009
)</f>
        <v>0</v>
      </c>
      <c r="N251" s="39"/>
      <c r="O251" s="40">
        <f>SUMIFS('Weekly Dump'!$D:$D,'Weekly Dump'!$B:$B,$C251,'Weekly Dump'!$A:$A,$AB251)</f>
        <v>0</v>
      </c>
      <c r="P251" s="40">
        <f>SUMIFS('Weekly Dump'!R:R,'Weekly Dump'!B:B,C251,'Weekly Dump'!A:A,AB251)</f>
        <v>0</v>
      </c>
      <c r="Q251" s="40">
        <f t="shared" si="20"/>
        <v>0</v>
      </c>
      <c r="R251" s="41"/>
      <c r="T251" s="4">
        <f>SUMIFS('Weekly Dump'!E:E,'Weekly Dump'!B:B,C251,'Weekly Dump'!A:A,AB251)</f>
        <v>0</v>
      </c>
      <c r="U251" s="3">
        <f t="shared" si="21"/>
        <v>0</v>
      </c>
      <c r="V251" s="42"/>
      <c r="X251" s="4">
        <f>SUMIFS('Weekly Dump'!P:P,'Weekly Dump'!B:B,C251,'Weekly Dump'!A:A,AB251)</f>
        <v>0</v>
      </c>
      <c r="Y251" s="4">
        <f t="shared" si="22"/>
        <v>0</v>
      </c>
      <c r="Z251" s="41"/>
      <c r="AA251" s="12" t="str">
        <f>iferror(IF(VLOOKUP(C251,'Weekly Dump'!B:B,1,0)=C251,"Yes","Missing"),"")</f>
        <v/>
      </c>
      <c r="AB251" s="66"/>
    </row>
    <row r="252">
      <c r="B252" s="63"/>
      <c r="C252" s="63"/>
      <c r="G252" s="3" t="str">
        <f t="shared" si="26"/>
        <v/>
      </c>
      <c r="I252" s="4">
        <f>SUMIFS('Weekly Dump'!D:D,'Weekly Dump'!B:B,C252)</f>
        <v>0</v>
      </c>
      <c r="J252" s="5">
        <f>SUMIFS('Weekly Dump'!AE:AE,'Weekly Dump'!B:B,C252)</f>
        <v>0</v>
      </c>
      <c r="K252" s="4">
        <f>SUMPRODUCT(
  (TEXT('Weekly Dump'!$A$2:$A1009,"mmm-yy")=TEXT($AB252,"mmm-yy"))*
  ('Weekly Dump'!$B$2:$B1009=$C252)*
  'Weekly Dump'!$D$2:$D1009)</f>
        <v>0</v>
      </c>
      <c r="L252" s="4">
        <f>SUMPRODUCT(
  (TEXT('Weekly Dump'!$A$2:$A1009,"mmm-yy")=TEXT($AB252,"mmm-yy"))*
  ('Weekly Dump'!$B$2:$B1009=$C252)*
  'Weekly Dump'!$E$2:$E1009
)</f>
        <v>0</v>
      </c>
      <c r="M252" s="4">
        <f>SUMPRODUCT(
  (TEXT('Weekly Dump'!$A$2:$A1009,"mmm-yy")=TEXT($AB252,"mmm-yy"))*
  ('Weekly Dump'!$B$2:$B1009=$C252)*
  'Weekly Dump'!$P$2:$P1009
)</f>
        <v>0</v>
      </c>
      <c r="N252" s="39"/>
      <c r="O252" s="40">
        <f>SUMIFS('Weekly Dump'!$D:$D,'Weekly Dump'!$B:$B,$C252,'Weekly Dump'!$A:$A,$AB252)</f>
        <v>0</v>
      </c>
      <c r="P252" s="40">
        <f>SUMIFS('Weekly Dump'!R:R,'Weekly Dump'!B:B,C252,'Weekly Dump'!A:A,AB252)</f>
        <v>0</v>
      </c>
      <c r="Q252" s="40">
        <f t="shared" si="20"/>
        <v>0</v>
      </c>
      <c r="R252" s="41"/>
      <c r="T252" s="4">
        <f>SUMIFS('Weekly Dump'!E:E,'Weekly Dump'!B:B,C252,'Weekly Dump'!A:A,AB252)</f>
        <v>0</v>
      </c>
      <c r="U252" s="3">
        <f t="shared" si="21"/>
        <v>0</v>
      </c>
      <c r="V252" s="42"/>
      <c r="X252" s="4">
        <f>SUMIFS('Weekly Dump'!P:P,'Weekly Dump'!B:B,C252,'Weekly Dump'!A:A,AB252)</f>
        <v>0</v>
      </c>
      <c r="Y252" s="4">
        <f t="shared" si="22"/>
        <v>0</v>
      </c>
      <c r="Z252" s="41"/>
      <c r="AA252" s="12" t="str">
        <f>iferror(IF(VLOOKUP(C252,'Weekly Dump'!B:B,1,0)=C252,"Yes","Missing"),"")</f>
        <v/>
      </c>
      <c r="AB252" s="66"/>
    </row>
    <row r="253">
      <c r="B253" s="63"/>
      <c r="C253" s="63"/>
      <c r="G253" s="3" t="str">
        <f t="shared" si="26"/>
        <v/>
      </c>
      <c r="I253" s="4">
        <f>SUMIFS('Weekly Dump'!D:D,'Weekly Dump'!B:B,C253)</f>
        <v>0</v>
      </c>
      <c r="J253" s="5">
        <f>SUMIFS('Weekly Dump'!AE:AE,'Weekly Dump'!B:B,C253)</f>
        <v>0</v>
      </c>
      <c r="K253" s="4">
        <f>SUMPRODUCT(
  (TEXT('Weekly Dump'!$A$2:$A1009,"mmm-yy")=TEXT($AB253,"mmm-yy"))*
  ('Weekly Dump'!$B$2:$B1009=$C253)*
  'Weekly Dump'!$D$2:$D1009)</f>
        <v>0</v>
      </c>
      <c r="L253" s="4">
        <f>SUMPRODUCT(
  (TEXT('Weekly Dump'!$A$2:$A1009,"mmm-yy")=TEXT($AB253,"mmm-yy"))*
  ('Weekly Dump'!$B$2:$B1009=$C253)*
  'Weekly Dump'!$E$2:$E1009
)</f>
        <v>0</v>
      </c>
      <c r="M253" s="4">
        <f>SUMPRODUCT(
  (TEXT('Weekly Dump'!$A$2:$A1009,"mmm-yy")=TEXT($AB253,"mmm-yy"))*
  ('Weekly Dump'!$B$2:$B1009=$C253)*
  'Weekly Dump'!$P$2:$P1009
)</f>
        <v>0</v>
      </c>
      <c r="N253" s="39"/>
      <c r="O253" s="40">
        <f>SUMIFS('Weekly Dump'!$D:$D,'Weekly Dump'!$B:$B,$C253,'Weekly Dump'!$A:$A,$AB253)</f>
        <v>0</v>
      </c>
      <c r="P253" s="40">
        <f>SUMIFS('Weekly Dump'!R:R,'Weekly Dump'!B:B,C253,'Weekly Dump'!A:A,AB253)</f>
        <v>0</v>
      </c>
      <c r="Q253" s="40">
        <f t="shared" si="20"/>
        <v>0</v>
      </c>
      <c r="R253" s="41"/>
      <c r="T253" s="4">
        <f>SUMIFS('Weekly Dump'!E:E,'Weekly Dump'!B:B,C253,'Weekly Dump'!A:A,AB253)</f>
        <v>0</v>
      </c>
      <c r="U253" s="3">
        <f t="shared" si="21"/>
        <v>0</v>
      </c>
      <c r="V253" s="42"/>
      <c r="X253" s="4">
        <f>SUMIFS('Weekly Dump'!P:P,'Weekly Dump'!B:B,C253,'Weekly Dump'!A:A,AB253)</f>
        <v>0</v>
      </c>
      <c r="Y253" s="4">
        <f t="shared" si="22"/>
        <v>0</v>
      </c>
      <c r="Z253" s="41"/>
      <c r="AA253" s="12" t="str">
        <f>iferror(IF(VLOOKUP(C253,'Weekly Dump'!B:B,1,0)=C253,"Yes","Missing"),"")</f>
        <v/>
      </c>
      <c r="AB253" s="66"/>
    </row>
    <row r="254">
      <c r="B254" s="63"/>
      <c r="C254" s="63"/>
      <c r="G254" s="3" t="str">
        <f t="shared" si="26"/>
        <v/>
      </c>
      <c r="I254" s="4">
        <f>SUMIFS('Weekly Dump'!D:D,'Weekly Dump'!B:B,C254)</f>
        <v>0</v>
      </c>
      <c r="J254" s="5">
        <f>SUMIFS('Weekly Dump'!AE:AE,'Weekly Dump'!B:B,C254)</f>
        <v>0</v>
      </c>
      <c r="K254" s="4">
        <f>SUMPRODUCT(
  (TEXT('Weekly Dump'!$A$2:$A1009,"mmm-yy")=TEXT($AB254,"mmm-yy"))*
  ('Weekly Dump'!$B$2:$B1009=$C254)*
  'Weekly Dump'!$D$2:$D1009)</f>
        <v>0</v>
      </c>
      <c r="L254" s="4">
        <f>SUMPRODUCT(
  (TEXT('Weekly Dump'!$A$2:$A1009,"mmm-yy")=TEXT($AB254,"mmm-yy"))*
  ('Weekly Dump'!$B$2:$B1009=$C254)*
  'Weekly Dump'!$E$2:$E1009
)</f>
        <v>0</v>
      </c>
      <c r="M254" s="4">
        <f>SUMPRODUCT(
  (TEXT('Weekly Dump'!$A$2:$A1009,"mmm-yy")=TEXT($AB254,"mmm-yy"))*
  ('Weekly Dump'!$B$2:$B1009=$C254)*
  'Weekly Dump'!$P$2:$P1009
)</f>
        <v>0</v>
      </c>
      <c r="N254" s="39"/>
      <c r="O254" s="40">
        <f>SUMIFS('Weekly Dump'!$D:$D,'Weekly Dump'!$B:$B,$C254,'Weekly Dump'!$A:$A,$AB254)</f>
        <v>0</v>
      </c>
      <c r="P254" s="40">
        <f>SUMIFS('Weekly Dump'!R:R,'Weekly Dump'!B:B,C254,'Weekly Dump'!A:A,AB254)</f>
        <v>0</v>
      </c>
      <c r="Q254" s="40">
        <f t="shared" si="20"/>
        <v>0</v>
      </c>
      <c r="R254" s="41"/>
      <c r="T254" s="4">
        <f>SUMIFS('Weekly Dump'!E:E,'Weekly Dump'!B:B,C254,'Weekly Dump'!A:A,AB254)</f>
        <v>0</v>
      </c>
      <c r="U254" s="3">
        <f t="shared" si="21"/>
        <v>0</v>
      </c>
      <c r="V254" s="42"/>
      <c r="X254" s="4">
        <f>SUMIFS('Weekly Dump'!P:P,'Weekly Dump'!B:B,C254,'Weekly Dump'!A:A,AB254)</f>
        <v>0</v>
      </c>
      <c r="Y254" s="4">
        <f t="shared" si="22"/>
        <v>0</v>
      </c>
      <c r="Z254" s="41"/>
      <c r="AA254" s="12" t="str">
        <f>iferror(IF(VLOOKUP(C254,'Weekly Dump'!B:B,1,0)=C254,"Yes","Missing"),"")</f>
        <v/>
      </c>
      <c r="AB254" s="66"/>
    </row>
    <row r="255">
      <c r="B255" s="63"/>
      <c r="C255" s="63"/>
      <c r="G255" s="3" t="str">
        <f t="shared" si="26"/>
        <v/>
      </c>
      <c r="I255" s="4">
        <f>SUMIFS('Weekly Dump'!D:D,'Weekly Dump'!B:B,C255)</f>
        <v>0</v>
      </c>
      <c r="J255" s="5">
        <f>SUMIFS('Weekly Dump'!AE:AE,'Weekly Dump'!B:B,C255)</f>
        <v>0</v>
      </c>
      <c r="K255" s="4">
        <f>SUMPRODUCT(
  (TEXT('Weekly Dump'!$A$2:$A1009,"mmm-yy")=TEXT($AB255,"mmm-yy"))*
  ('Weekly Dump'!$B$2:$B1009=$C255)*
  'Weekly Dump'!$D$2:$D1009)</f>
        <v>0</v>
      </c>
      <c r="L255" s="4">
        <f>SUMPRODUCT(
  (TEXT('Weekly Dump'!$A$2:$A1009,"mmm-yy")=TEXT($AB255,"mmm-yy"))*
  ('Weekly Dump'!$B$2:$B1009=$C255)*
  'Weekly Dump'!$E$2:$E1009
)</f>
        <v>0</v>
      </c>
      <c r="M255" s="4">
        <f>SUMPRODUCT(
  (TEXT('Weekly Dump'!$A$2:$A1009,"mmm-yy")=TEXT($AB255,"mmm-yy"))*
  ('Weekly Dump'!$B$2:$B1009=$C255)*
  'Weekly Dump'!$P$2:$P1009
)</f>
        <v>0</v>
      </c>
      <c r="N255" s="39"/>
      <c r="O255" s="40">
        <f>SUMIFS('Weekly Dump'!$D:$D,'Weekly Dump'!$B:$B,$C255,'Weekly Dump'!$A:$A,$AB255)</f>
        <v>0</v>
      </c>
      <c r="P255" s="40">
        <f>SUMIFS('Weekly Dump'!R:R,'Weekly Dump'!B:B,C255,'Weekly Dump'!A:A,AB255)</f>
        <v>0</v>
      </c>
      <c r="Q255" s="40">
        <f t="shared" si="20"/>
        <v>0</v>
      </c>
      <c r="R255" s="41"/>
      <c r="T255" s="4">
        <f>SUMIFS('Weekly Dump'!E:E,'Weekly Dump'!B:B,C255,'Weekly Dump'!A:A,AB255)</f>
        <v>0</v>
      </c>
      <c r="U255" s="3">
        <f t="shared" si="21"/>
        <v>0</v>
      </c>
      <c r="V255" s="42"/>
      <c r="X255" s="4">
        <f>SUMIFS('Weekly Dump'!P:P,'Weekly Dump'!B:B,C255,'Weekly Dump'!A:A,AB255)</f>
        <v>0</v>
      </c>
      <c r="Y255" s="4">
        <f t="shared" si="22"/>
        <v>0</v>
      </c>
      <c r="Z255" s="41"/>
      <c r="AA255" s="12" t="str">
        <f>iferror(IF(VLOOKUP(C255,'Weekly Dump'!B:B,1,0)=C255,"Yes","Missing"),"")</f>
        <v/>
      </c>
      <c r="AB255" s="66"/>
    </row>
    <row r="256">
      <c r="B256" s="63"/>
      <c r="C256" s="63"/>
      <c r="G256" s="3" t="str">
        <f t="shared" si="26"/>
        <v/>
      </c>
      <c r="I256" s="4">
        <f>SUMIFS('Weekly Dump'!D:D,'Weekly Dump'!B:B,C256)</f>
        <v>0</v>
      </c>
      <c r="J256" s="5">
        <f>SUMIFS('Weekly Dump'!AE:AE,'Weekly Dump'!B:B,C256)</f>
        <v>0</v>
      </c>
      <c r="K256" s="4">
        <f>SUMPRODUCT(
  (TEXT('Weekly Dump'!$A$2:$A1009,"mmm-yy")=TEXT($AB256,"mmm-yy"))*
  ('Weekly Dump'!$B$2:$B1009=$C256)*
  'Weekly Dump'!$D$2:$D1009)</f>
        <v>0</v>
      </c>
      <c r="L256" s="4">
        <f>SUMPRODUCT(
  (TEXT('Weekly Dump'!$A$2:$A1009,"mmm-yy")=TEXT($AB256,"mmm-yy"))*
  ('Weekly Dump'!$B$2:$B1009=$C256)*
  'Weekly Dump'!$E$2:$E1009
)</f>
        <v>0</v>
      </c>
      <c r="M256" s="4">
        <f>SUMPRODUCT(
  (TEXT('Weekly Dump'!$A$2:$A1009,"mmm-yy")=TEXT($AB256,"mmm-yy"))*
  ('Weekly Dump'!$B$2:$B1009=$C256)*
  'Weekly Dump'!$P$2:$P1009
)</f>
        <v>0</v>
      </c>
      <c r="N256" s="39"/>
      <c r="O256" s="40">
        <f>SUMIFS('Weekly Dump'!$D:$D,'Weekly Dump'!$B:$B,$C256,'Weekly Dump'!$A:$A,$AB256)</f>
        <v>0</v>
      </c>
      <c r="P256" s="40">
        <f>SUMIFS('Weekly Dump'!R:R,'Weekly Dump'!B:B,C256,'Weekly Dump'!A:A,AB256)</f>
        <v>0</v>
      </c>
      <c r="Q256" s="40">
        <f t="shared" si="20"/>
        <v>0</v>
      </c>
      <c r="R256" s="41"/>
      <c r="T256" s="4">
        <f>SUMIFS('Weekly Dump'!E:E,'Weekly Dump'!B:B,C256,'Weekly Dump'!A:A,AB256)</f>
        <v>0</v>
      </c>
      <c r="U256" s="3">
        <f t="shared" si="21"/>
        <v>0</v>
      </c>
      <c r="V256" s="42"/>
      <c r="X256" s="4">
        <f>SUMIFS('Weekly Dump'!P:P,'Weekly Dump'!B:B,C256,'Weekly Dump'!A:A,AB256)</f>
        <v>0</v>
      </c>
      <c r="Y256" s="4">
        <f t="shared" si="22"/>
        <v>0</v>
      </c>
      <c r="Z256" s="41"/>
      <c r="AA256" s="12" t="str">
        <f>iferror(IF(VLOOKUP(C256,'Weekly Dump'!B:B,1,0)=C256,"Yes","Missing"),"")</f>
        <v/>
      </c>
      <c r="AB256" s="66"/>
    </row>
    <row r="257">
      <c r="B257" s="63"/>
      <c r="C257" s="63"/>
      <c r="G257" s="3" t="str">
        <f t="shared" si="26"/>
        <v/>
      </c>
      <c r="I257" s="4">
        <f>SUMIFS('Weekly Dump'!D:D,'Weekly Dump'!B:B,C257)</f>
        <v>0</v>
      </c>
      <c r="J257" s="5">
        <f>SUMIFS('Weekly Dump'!AE:AE,'Weekly Dump'!B:B,C257)</f>
        <v>0</v>
      </c>
      <c r="K257" s="4">
        <f>SUMPRODUCT(
  (TEXT('Weekly Dump'!$A$2:$A1009,"mmm-yy")=TEXT($AB257,"mmm-yy"))*
  ('Weekly Dump'!$B$2:$B1009=$C257)*
  'Weekly Dump'!$D$2:$D1009)</f>
        <v>0</v>
      </c>
      <c r="L257" s="4">
        <f>SUMPRODUCT(
  (TEXT('Weekly Dump'!$A$2:$A1009,"mmm-yy")=TEXT($AB257,"mmm-yy"))*
  ('Weekly Dump'!$B$2:$B1009=$C257)*
  'Weekly Dump'!$E$2:$E1009
)</f>
        <v>0</v>
      </c>
      <c r="M257" s="4">
        <f>SUMPRODUCT(
  (TEXT('Weekly Dump'!$A$2:$A1009,"mmm-yy")=TEXT($AB257,"mmm-yy"))*
  ('Weekly Dump'!$B$2:$B1009=$C257)*
  'Weekly Dump'!$P$2:$P1009
)</f>
        <v>0</v>
      </c>
      <c r="N257" s="39"/>
      <c r="O257" s="40">
        <f>SUMIFS('Weekly Dump'!$D:$D,'Weekly Dump'!$B:$B,$C257,'Weekly Dump'!$A:$A,$AB257)</f>
        <v>0</v>
      </c>
      <c r="P257" s="40">
        <f>SUMIFS('Weekly Dump'!R:R,'Weekly Dump'!B:B,C257,'Weekly Dump'!A:A,AB257)</f>
        <v>0</v>
      </c>
      <c r="Q257" s="40">
        <f t="shared" si="20"/>
        <v>0</v>
      </c>
      <c r="R257" s="41"/>
      <c r="T257" s="4">
        <f>SUMIFS('Weekly Dump'!E:E,'Weekly Dump'!B:B,C257,'Weekly Dump'!A:A,AB257)</f>
        <v>0</v>
      </c>
      <c r="U257" s="3">
        <f t="shared" si="21"/>
        <v>0</v>
      </c>
      <c r="V257" s="42"/>
      <c r="X257" s="4">
        <f>SUMIFS('Weekly Dump'!P:P,'Weekly Dump'!B:B,C257,'Weekly Dump'!A:A,AB257)</f>
        <v>0</v>
      </c>
      <c r="Y257" s="4">
        <f t="shared" si="22"/>
        <v>0</v>
      </c>
      <c r="Z257" s="41"/>
      <c r="AA257" s="12" t="str">
        <f>iferror(IF(VLOOKUP(C257,'Weekly Dump'!B:B,1,0)=C257,"Yes","Missing"),"")</f>
        <v/>
      </c>
      <c r="AB257" s="66"/>
    </row>
    <row r="258">
      <c r="B258" s="63"/>
      <c r="C258" s="63"/>
      <c r="G258" s="3" t="str">
        <f t="shared" si="26"/>
        <v/>
      </c>
      <c r="I258" s="4">
        <f>SUMIFS('Weekly Dump'!D:D,'Weekly Dump'!B:B,C258)</f>
        <v>0</v>
      </c>
      <c r="J258" s="5">
        <f>SUMIFS('Weekly Dump'!AE:AE,'Weekly Dump'!B:B,C258)</f>
        <v>0</v>
      </c>
      <c r="K258" s="4">
        <f>SUMPRODUCT(
  (TEXT('Weekly Dump'!$A$2:$A1009,"mmm-yy")=TEXT($AB258,"mmm-yy"))*
  ('Weekly Dump'!$B$2:$B1009=$C258)*
  'Weekly Dump'!$D$2:$D1009)</f>
        <v>0</v>
      </c>
      <c r="L258" s="4">
        <f>SUMPRODUCT(
  (TEXT('Weekly Dump'!$A$2:$A1009,"mmm-yy")=TEXT($AB258,"mmm-yy"))*
  ('Weekly Dump'!$B$2:$B1009=$C258)*
  'Weekly Dump'!$E$2:$E1009
)</f>
        <v>0</v>
      </c>
      <c r="M258" s="4">
        <f>SUMPRODUCT(
  (TEXT('Weekly Dump'!$A$2:$A1009,"mmm-yy")=TEXT($AB258,"mmm-yy"))*
  ('Weekly Dump'!$B$2:$B1009=$C258)*
  'Weekly Dump'!$P$2:$P1009
)</f>
        <v>0</v>
      </c>
      <c r="N258" s="39"/>
      <c r="O258" s="40">
        <f>SUMIFS('Weekly Dump'!$D:$D,'Weekly Dump'!$B:$B,$C258,'Weekly Dump'!$A:$A,$AB258)</f>
        <v>0</v>
      </c>
      <c r="P258" s="40">
        <f>SUMIFS('Weekly Dump'!R:R,'Weekly Dump'!B:B,C258,'Weekly Dump'!A:A,AB258)</f>
        <v>0</v>
      </c>
      <c r="Q258" s="40">
        <f t="shared" si="20"/>
        <v>0</v>
      </c>
      <c r="R258" s="41"/>
      <c r="T258" s="4">
        <f>SUMIFS('Weekly Dump'!E:E,'Weekly Dump'!B:B,C258,'Weekly Dump'!A:A,AB258)</f>
        <v>0</v>
      </c>
      <c r="U258" s="3">
        <f t="shared" si="21"/>
        <v>0</v>
      </c>
      <c r="V258" s="42"/>
      <c r="X258" s="4">
        <f>SUMIFS('Weekly Dump'!P:P,'Weekly Dump'!B:B,C258,'Weekly Dump'!A:A,AB258)</f>
        <v>0</v>
      </c>
      <c r="Y258" s="4">
        <f t="shared" si="22"/>
        <v>0</v>
      </c>
      <c r="Z258" s="41"/>
      <c r="AA258" s="12" t="str">
        <f>iferror(IF(VLOOKUP(C258,'Weekly Dump'!B:B,1,0)=C258,"Yes","Missing"),"")</f>
        <v/>
      </c>
      <c r="AB258" s="66"/>
    </row>
    <row r="259">
      <c r="B259" s="63"/>
      <c r="C259" s="63"/>
      <c r="G259" s="3" t="str">
        <f t="shared" si="26"/>
        <v/>
      </c>
      <c r="I259" s="4">
        <f>SUMIFS('Weekly Dump'!D:D,'Weekly Dump'!B:B,C259)</f>
        <v>0</v>
      </c>
      <c r="J259" s="5">
        <f>SUMIFS('Weekly Dump'!AE:AE,'Weekly Dump'!B:B,C259)</f>
        <v>0</v>
      </c>
      <c r="K259" s="4">
        <f>SUMPRODUCT(
  (TEXT('Weekly Dump'!$A$2:$A1009,"mmm-yy")=TEXT($AB259,"mmm-yy"))*
  ('Weekly Dump'!$B$2:$B1009=$C259)*
  'Weekly Dump'!$D$2:$D1009)</f>
        <v>0</v>
      </c>
      <c r="L259" s="4">
        <f>SUMPRODUCT(
  (TEXT('Weekly Dump'!$A$2:$A1009,"mmm-yy")=TEXT($AB259,"mmm-yy"))*
  ('Weekly Dump'!$B$2:$B1009=$C259)*
  'Weekly Dump'!$E$2:$E1009
)</f>
        <v>0</v>
      </c>
      <c r="M259" s="4">
        <f>SUMPRODUCT(
  (TEXT('Weekly Dump'!$A$2:$A1009,"mmm-yy")=TEXT($AB259,"mmm-yy"))*
  ('Weekly Dump'!$B$2:$B1009=$C259)*
  'Weekly Dump'!$P$2:$P1009
)</f>
        <v>0</v>
      </c>
      <c r="N259" s="39"/>
      <c r="O259" s="40">
        <f>SUMIFS('Weekly Dump'!$D:$D,'Weekly Dump'!$B:$B,$C259,'Weekly Dump'!$A:$A,$AB259)</f>
        <v>0</v>
      </c>
      <c r="P259" s="40">
        <f>SUMIFS('Weekly Dump'!R:R,'Weekly Dump'!B:B,C259,'Weekly Dump'!A:A,AB259)</f>
        <v>0</v>
      </c>
      <c r="Q259" s="40">
        <f t="shared" si="20"/>
        <v>0</v>
      </c>
      <c r="R259" s="41"/>
      <c r="T259" s="4">
        <f>SUMIFS('Weekly Dump'!E:E,'Weekly Dump'!B:B,C259,'Weekly Dump'!A:A,AB259)</f>
        <v>0</v>
      </c>
      <c r="U259" s="3">
        <f t="shared" si="21"/>
        <v>0</v>
      </c>
      <c r="V259" s="42"/>
      <c r="X259" s="4">
        <f>SUMIFS('Weekly Dump'!P:P,'Weekly Dump'!B:B,C259,'Weekly Dump'!A:A,AB259)</f>
        <v>0</v>
      </c>
      <c r="Y259" s="4">
        <f t="shared" si="22"/>
        <v>0</v>
      </c>
      <c r="Z259" s="41"/>
      <c r="AA259" s="12" t="str">
        <f>iferror(IF(VLOOKUP(C259,'Weekly Dump'!B:B,1,0)=C259,"Yes","Missing"),"")</f>
        <v/>
      </c>
      <c r="AB259" s="66"/>
    </row>
    <row r="260">
      <c r="B260" s="63"/>
      <c r="C260" s="63"/>
      <c r="G260" s="3" t="str">
        <f t="shared" si="26"/>
        <v/>
      </c>
      <c r="I260" s="4">
        <f>SUMIFS('Weekly Dump'!D:D,'Weekly Dump'!B:B,C260)</f>
        <v>0</v>
      </c>
      <c r="J260" s="5">
        <f>SUMIFS('Weekly Dump'!AE:AE,'Weekly Dump'!B:B,C260)</f>
        <v>0</v>
      </c>
      <c r="K260" s="4">
        <f>SUMPRODUCT(
  (TEXT('Weekly Dump'!$A$2:$A1009,"mmm-yy")=TEXT($AB260,"mmm-yy"))*
  ('Weekly Dump'!$B$2:$B1009=$C260)*
  'Weekly Dump'!$D$2:$D1009)</f>
        <v>0</v>
      </c>
      <c r="L260" s="4">
        <f>SUMPRODUCT(
  (TEXT('Weekly Dump'!$A$2:$A1009,"mmm-yy")=TEXT($AB260,"mmm-yy"))*
  ('Weekly Dump'!$B$2:$B1009=$C260)*
  'Weekly Dump'!$E$2:$E1009
)</f>
        <v>0</v>
      </c>
      <c r="M260" s="4">
        <f>SUMPRODUCT(
  (TEXT('Weekly Dump'!$A$2:$A1009,"mmm-yy")=TEXT($AB260,"mmm-yy"))*
  ('Weekly Dump'!$B$2:$B1009=$C260)*
  'Weekly Dump'!$P$2:$P1009
)</f>
        <v>0</v>
      </c>
      <c r="N260" s="39"/>
      <c r="O260" s="40">
        <f>SUMIFS('Weekly Dump'!$D:$D,'Weekly Dump'!$B:$B,$C260,'Weekly Dump'!$A:$A,$AB260)</f>
        <v>0</v>
      </c>
      <c r="P260" s="40">
        <f>SUMIFS('Weekly Dump'!R:R,'Weekly Dump'!B:B,C260,'Weekly Dump'!A:A,AB260)</f>
        <v>0</v>
      </c>
      <c r="Q260" s="40">
        <f t="shared" si="20"/>
        <v>0</v>
      </c>
      <c r="R260" s="41"/>
      <c r="T260" s="4">
        <f>SUMIFS('Weekly Dump'!E:E,'Weekly Dump'!B:B,C260,'Weekly Dump'!A:A,AB260)</f>
        <v>0</v>
      </c>
      <c r="U260" s="3">
        <f t="shared" si="21"/>
        <v>0</v>
      </c>
      <c r="V260" s="42"/>
      <c r="X260" s="4">
        <f>SUMIFS('Weekly Dump'!P:P,'Weekly Dump'!B:B,C260,'Weekly Dump'!A:A,AB260)</f>
        <v>0</v>
      </c>
      <c r="Y260" s="4">
        <f t="shared" si="22"/>
        <v>0</v>
      </c>
      <c r="Z260" s="41"/>
      <c r="AA260" s="12" t="str">
        <f>iferror(IF(VLOOKUP(C260,'Weekly Dump'!B:B,1,0)=C260,"Yes","Missing"),"")</f>
        <v/>
      </c>
      <c r="AB260" s="66"/>
    </row>
    <row r="261">
      <c r="B261" s="63"/>
      <c r="C261" s="63"/>
      <c r="G261" s="3" t="str">
        <f t="shared" si="26"/>
        <v/>
      </c>
      <c r="I261" s="4">
        <f>SUMIFS('Weekly Dump'!D:D,'Weekly Dump'!B:B,C261)</f>
        <v>0</v>
      </c>
      <c r="J261" s="5">
        <f>SUMIFS('Weekly Dump'!AE:AE,'Weekly Dump'!B:B,C261)</f>
        <v>0</v>
      </c>
      <c r="K261" s="4">
        <f>SUMPRODUCT(
  (TEXT('Weekly Dump'!$A$2:$A1009,"mmm-yy")=TEXT($AB261,"mmm-yy"))*
  ('Weekly Dump'!$B$2:$B1009=$C261)*
  'Weekly Dump'!$D$2:$D1009)</f>
        <v>0</v>
      </c>
      <c r="L261" s="4">
        <f>SUMPRODUCT(
  (TEXT('Weekly Dump'!$A$2:$A1009,"mmm-yy")=TEXT($AB261,"mmm-yy"))*
  ('Weekly Dump'!$B$2:$B1009=$C261)*
  'Weekly Dump'!$E$2:$E1009
)</f>
        <v>0</v>
      </c>
      <c r="M261" s="4">
        <f>SUMPRODUCT(
  (TEXT('Weekly Dump'!$A$2:$A1009,"mmm-yy")=TEXT($AB261,"mmm-yy"))*
  ('Weekly Dump'!$B$2:$B1009=$C261)*
  'Weekly Dump'!$P$2:$P1009
)</f>
        <v>0</v>
      </c>
      <c r="N261" s="39"/>
      <c r="O261" s="40">
        <f>SUMIFS('Weekly Dump'!$D:$D,'Weekly Dump'!$B:$B,$C261,'Weekly Dump'!$A:$A,$AB261)</f>
        <v>0</v>
      </c>
      <c r="P261" s="40">
        <f>SUMIFS('Weekly Dump'!R:R,'Weekly Dump'!B:B,C261,'Weekly Dump'!A:A,AB261)</f>
        <v>0</v>
      </c>
      <c r="Q261" s="40">
        <f t="shared" si="20"/>
        <v>0</v>
      </c>
      <c r="R261" s="41"/>
      <c r="T261" s="4">
        <f>SUMIFS('Weekly Dump'!E:E,'Weekly Dump'!B:B,C261,'Weekly Dump'!A:A,AB261)</f>
        <v>0</v>
      </c>
      <c r="U261" s="3">
        <f t="shared" si="21"/>
        <v>0</v>
      </c>
      <c r="V261" s="42"/>
      <c r="X261" s="4">
        <f>SUMIFS('Weekly Dump'!P:P,'Weekly Dump'!B:B,C261,'Weekly Dump'!A:A,AB261)</f>
        <v>0</v>
      </c>
      <c r="Y261" s="4">
        <f t="shared" si="22"/>
        <v>0</v>
      </c>
      <c r="Z261" s="41"/>
      <c r="AA261" s="12" t="str">
        <f>iferror(IF(VLOOKUP(C261,'Weekly Dump'!B:B,1,0)=C261,"Yes","Missing"),"")</f>
        <v/>
      </c>
      <c r="AB261" s="66"/>
    </row>
    <row r="262">
      <c r="B262" s="63"/>
      <c r="C262" s="63"/>
      <c r="G262" s="3" t="str">
        <f t="shared" si="26"/>
        <v/>
      </c>
      <c r="I262" s="4">
        <f>SUMIFS('Weekly Dump'!D:D,'Weekly Dump'!B:B,C262)</f>
        <v>0</v>
      </c>
      <c r="J262" s="5">
        <f>SUMIFS('Weekly Dump'!AE:AE,'Weekly Dump'!B:B,C262)</f>
        <v>0</v>
      </c>
      <c r="K262" s="4">
        <f>SUMPRODUCT(
  (TEXT('Weekly Dump'!$A$2:$A1009,"mmm-yy")=TEXT($AB262,"mmm-yy"))*
  ('Weekly Dump'!$B$2:$B1009=$C262)*
  'Weekly Dump'!$D$2:$D1009)</f>
        <v>0</v>
      </c>
      <c r="L262" s="4">
        <f>SUMPRODUCT(
  (TEXT('Weekly Dump'!$A$2:$A1009,"mmm-yy")=TEXT($AB262,"mmm-yy"))*
  ('Weekly Dump'!$B$2:$B1009=$C262)*
  'Weekly Dump'!$E$2:$E1009
)</f>
        <v>0</v>
      </c>
      <c r="M262" s="4">
        <f>SUMPRODUCT(
  (TEXT('Weekly Dump'!$A$2:$A1009,"mmm-yy")=TEXT($AB262,"mmm-yy"))*
  ('Weekly Dump'!$B$2:$B1009=$C262)*
  'Weekly Dump'!$P$2:$P1009
)</f>
        <v>0</v>
      </c>
      <c r="N262" s="39"/>
      <c r="O262" s="40">
        <f>SUMIFS('Weekly Dump'!$D:$D,'Weekly Dump'!$B:$B,$C262,'Weekly Dump'!$A:$A,$AB262)</f>
        <v>0</v>
      </c>
      <c r="P262" s="40">
        <f>SUMIFS('Weekly Dump'!R:R,'Weekly Dump'!B:B,C262,'Weekly Dump'!A:A,AB262)</f>
        <v>0</v>
      </c>
      <c r="Q262" s="40">
        <f t="shared" si="20"/>
        <v>0</v>
      </c>
      <c r="R262" s="41"/>
      <c r="T262" s="4">
        <f>SUMIFS('Weekly Dump'!E:E,'Weekly Dump'!B:B,C262,'Weekly Dump'!A:A,AB262)</f>
        <v>0</v>
      </c>
      <c r="U262" s="3">
        <f t="shared" si="21"/>
        <v>0</v>
      </c>
      <c r="V262" s="42"/>
      <c r="X262" s="4">
        <f>SUMIFS('Weekly Dump'!P:P,'Weekly Dump'!B:B,C262,'Weekly Dump'!A:A,AB262)</f>
        <v>0</v>
      </c>
      <c r="Y262" s="4">
        <f t="shared" si="22"/>
        <v>0</v>
      </c>
      <c r="Z262" s="41"/>
      <c r="AA262" s="12" t="str">
        <f>iferror(IF(VLOOKUP(C262,'Weekly Dump'!B:B,1,0)=C262,"Yes","Missing"),"")</f>
        <v/>
      </c>
      <c r="AB262" s="66"/>
    </row>
    <row r="263">
      <c r="B263" s="63"/>
      <c r="C263" s="63"/>
      <c r="G263" s="3" t="str">
        <f t="shared" si="26"/>
        <v/>
      </c>
      <c r="I263" s="4">
        <f>SUMIFS('Weekly Dump'!D:D,'Weekly Dump'!B:B,C263)</f>
        <v>0</v>
      </c>
      <c r="J263" s="5">
        <f>SUMIFS('Weekly Dump'!AE:AE,'Weekly Dump'!B:B,C263)</f>
        <v>0</v>
      </c>
      <c r="K263" s="4">
        <f>SUMPRODUCT(
  (TEXT('Weekly Dump'!$A$2:$A1009,"mmm-yy")=TEXT($AB263,"mmm-yy"))*
  ('Weekly Dump'!$B$2:$B1009=$C263)*
  'Weekly Dump'!$D$2:$D1009)</f>
        <v>0</v>
      </c>
      <c r="L263" s="4">
        <f>SUMPRODUCT(
  (TEXT('Weekly Dump'!$A$2:$A1009,"mmm-yy")=TEXT($AB263,"mmm-yy"))*
  ('Weekly Dump'!$B$2:$B1009=$C263)*
  'Weekly Dump'!$E$2:$E1009
)</f>
        <v>0</v>
      </c>
      <c r="M263" s="4">
        <f>SUMPRODUCT(
  (TEXT('Weekly Dump'!$A$2:$A1009,"mmm-yy")=TEXT($AB263,"mmm-yy"))*
  ('Weekly Dump'!$B$2:$B1009=$C263)*
  'Weekly Dump'!$P$2:$P1009
)</f>
        <v>0</v>
      </c>
      <c r="N263" s="39"/>
      <c r="O263" s="40">
        <f>SUMIFS('Weekly Dump'!$D:$D,'Weekly Dump'!$B:$B,$C263,'Weekly Dump'!$A:$A,$AB263)</f>
        <v>0</v>
      </c>
      <c r="P263" s="40">
        <f>SUMIFS('Weekly Dump'!R:R,'Weekly Dump'!B:B,C263,'Weekly Dump'!A:A,AB263)</f>
        <v>0</v>
      </c>
      <c r="Q263" s="40">
        <f t="shared" si="20"/>
        <v>0</v>
      </c>
      <c r="R263" s="41"/>
      <c r="T263" s="4">
        <f>SUMIFS('Weekly Dump'!E:E,'Weekly Dump'!B:B,C263,'Weekly Dump'!A:A,AB263)</f>
        <v>0</v>
      </c>
      <c r="U263" s="3">
        <f t="shared" si="21"/>
        <v>0</v>
      </c>
      <c r="V263" s="42"/>
      <c r="X263" s="4">
        <f>SUMIFS('Weekly Dump'!P:P,'Weekly Dump'!B:B,C263,'Weekly Dump'!A:A,AB263)</f>
        <v>0</v>
      </c>
      <c r="Y263" s="4">
        <f t="shared" si="22"/>
        <v>0</v>
      </c>
      <c r="Z263" s="41"/>
      <c r="AA263" s="12" t="str">
        <f>iferror(IF(VLOOKUP(C263,'Weekly Dump'!B:B,1,0)=C263,"Yes","Missing"),"")</f>
        <v/>
      </c>
      <c r="AB263" s="66"/>
    </row>
    <row r="264">
      <c r="B264" s="63"/>
      <c r="C264" s="63"/>
      <c r="G264" s="3" t="str">
        <f t="shared" si="26"/>
        <v/>
      </c>
      <c r="I264" s="4">
        <f>SUMIFS('Weekly Dump'!D:D,'Weekly Dump'!B:B,C264)</f>
        <v>0</v>
      </c>
      <c r="J264" s="5">
        <f>SUMIFS('Weekly Dump'!AE:AE,'Weekly Dump'!B:B,C264)</f>
        <v>0</v>
      </c>
      <c r="K264" s="4">
        <f>SUMPRODUCT(
  (TEXT('Weekly Dump'!$A$2:$A1009,"mmm-yy")=TEXT($AB264,"mmm-yy"))*
  ('Weekly Dump'!$B$2:$B1009=$C264)*
  'Weekly Dump'!$D$2:$D1009)</f>
        <v>0</v>
      </c>
      <c r="L264" s="4">
        <f>SUMPRODUCT(
  (TEXT('Weekly Dump'!$A$2:$A1009,"mmm-yy")=TEXT($AB264,"mmm-yy"))*
  ('Weekly Dump'!$B$2:$B1009=$C264)*
  'Weekly Dump'!$E$2:$E1009
)</f>
        <v>0</v>
      </c>
      <c r="M264" s="4">
        <f>SUMPRODUCT(
  (TEXT('Weekly Dump'!$A$2:$A1009,"mmm-yy")=TEXT($AB264,"mmm-yy"))*
  ('Weekly Dump'!$B$2:$B1009=$C264)*
  'Weekly Dump'!$P$2:$P1009
)</f>
        <v>0</v>
      </c>
      <c r="N264" s="39"/>
      <c r="O264" s="40">
        <f>SUMIFS('Weekly Dump'!$D:$D,'Weekly Dump'!$B:$B,$C264,'Weekly Dump'!$A:$A,$AB264)</f>
        <v>0</v>
      </c>
      <c r="P264" s="40">
        <f>SUMIFS('Weekly Dump'!R:R,'Weekly Dump'!B:B,C264,'Weekly Dump'!A:A,AB264)</f>
        <v>0</v>
      </c>
      <c r="Q264" s="40">
        <f t="shared" si="20"/>
        <v>0</v>
      </c>
      <c r="R264" s="41"/>
      <c r="T264" s="4">
        <f>SUMIFS('Weekly Dump'!E:E,'Weekly Dump'!B:B,C264,'Weekly Dump'!A:A,AB264)</f>
        <v>0</v>
      </c>
      <c r="U264" s="3">
        <f t="shared" si="21"/>
        <v>0</v>
      </c>
      <c r="V264" s="42"/>
      <c r="X264" s="4">
        <f>SUMIFS('Weekly Dump'!P:P,'Weekly Dump'!B:B,C264,'Weekly Dump'!A:A,AB264)</f>
        <v>0</v>
      </c>
      <c r="Y264" s="4">
        <f t="shared" si="22"/>
        <v>0</v>
      </c>
      <c r="Z264" s="41"/>
      <c r="AA264" s="12" t="str">
        <f>iferror(IF(VLOOKUP(C264,'Weekly Dump'!B:B,1,0)=C264,"Yes","Missing"),"")</f>
        <v/>
      </c>
      <c r="AB264" s="66"/>
    </row>
    <row r="265">
      <c r="B265" s="63"/>
      <c r="C265" s="63"/>
      <c r="G265" s="3" t="str">
        <f t="shared" si="26"/>
        <v/>
      </c>
      <c r="I265" s="4">
        <f>SUMIFS('Weekly Dump'!D:D,'Weekly Dump'!B:B,C265)</f>
        <v>0</v>
      </c>
      <c r="J265" s="5">
        <f>SUMIFS('Weekly Dump'!AE:AE,'Weekly Dump'!B:B,C265)</f>
        <v>0</v>
      </c>
      <c r="K265" s="4">
        <f>SUMPRODUCT(
  (TEXT('Weekly Dump'!$A$2:$A1009,"mmm-yy")=TEXT($AB265,"mmm-yy"))*
  ('Weekly Dump'!$B$2:$B1009=$C265)*
  'Weekly Dump'!$D$2:$D1009)</f>
        <v>0</v>
      </c>
      <c r="L265" s="4">
        <f>SUMPRODUCT(
  (TEXT('Weekly Dump'!$A$2:$A1009,"mmm-yy")=TEXT($AB265,"mmm-yy"))*
  ('Weekly Dump'!$B$2:$B1009=$C265)*
  'Weekly Dump'!$E$2:$E1009
)</f>
        <v>0</v>
      </c>
      <c r="M265" s="4">
        <f>SUMPRODUCT(
  (TEXT('Weekly Dump'!$A$2:$A1009,"mmm-yy")=TEXT($AB265,"mmm-yy"))*
  ('Weekly Dump'!$B$2:$B1009=$C265)*
  'Weekly Dump'!$P$2:$P1009
)</f>
        <v>0</v>
      </c>
      <c r="N265" s="39"/>
      <c r="O265" s="40">
        <f>SUMIFS('Weekly Dump'!$D:$D,'Weekly Dump'!$B:$B,$C265,'Weekly Dump'!$A:$A,$AB265)</f>
        <v>0</v>
      </c>
      <c r="P265" s="40">
        <f>SUMIFS('Weekly Dump'!R:R,'Weekly Dump'!B:B,C265,'Weekly Dump'!A:A,AB265)</f>
        <v>0</v>
      </c>
      <c r="Q265" s="40">
        <f t="shared" si="20"/>
        <v>0</v>
      </c>
      <c r="R265" s="41"/>
      <c r="T265" s="4">
        <f>SUMIFS('Weekly Dump'!E:E,'Weekly Dump'!B:B,C265,'Weekly Dump'!A:A,AB265)</f>
        <v>0</v>
      </c>
      <c r="U265" s="3">
        <f t="shared" si="21"/>
        <v>0</v>
      </c>
      <c r="V265" s="42"/>
      <c r="X265" s="4">
        <f>SUMIFS('Weekly Dump'!P:P,'Weekly Dump'!B:B,C265,'Weekly Dump'!A:A,AB265)</f>
        <v>0</v>
      </c>
      <c r="Y265" s="4">
        <f t="shared" si="22"/>
        <v>0</v>
      </c>
      <c r="Z265" s="41"/>
      <c r="AA265" s="12" t="str">
        <f>iferror(IF(VLOOKUP(C265,'Weekly Dump'!B:B,1,0)=C265,"Yes","Missing"),"")</f>
        <v/>
      </c>
      <c r="AB265" s="66"/>
    </row>
    <row r="266">
      <c r="B266" s="63"/>
      <c r="C266" s="63"/>
      <c r="G266" s="3" t="str">
        <f t="shared" si="26"/>
        <v/>
      </c>
      <c r="I266" s="4">
        <f>SUMIFS('Weekly Dump'!D:D,'Weekly Dump'!B:B,C266)</f>
        <v>0</v>
      </c>
      <c r="J266" s="5">
        <f>SUMIFS('Weekly Dump'!AE:AE,'Weekly Dump'!B:B,C266)</f>
        <v>0</v>
      </c>
      <c r="K266" s="4">
        <f>SUMPRODUCT(
  (TEXT('Weekly Dump'!$A$2:$A1009,"mmm-yy")=TEXT($AB266,"mmm-yy"))*
  ('Weekly Dump'!$B$2:$B1009=$C266)*
  'Weekly Dump'!$D$2:$D1009)</f>
        <v>0</v>
      </c>
      <c r="L266" s="4">
        <f>SUMPRODUCT(
  (TEXT('Weekly Dump'!$A$2:$A1009,"mmm-yy")=TEXT($AB266,"mmm-yy"))*
  ('Weekly Dump'!$B$2:$B1009=$C266)*
  'Weekly Dump'!$E$2:$E1009
)</f>
        <v>0</v>
      </c>
      <c r="M266" s="4">
        <f>SUMPRODUCT(
  (TEXT('Weekly Dump'!$A$2:$A1009,"mmm-yy")=TEXT($AB266,"mmm-yy"))*
  ('Weekly Dump'!$B$2:$B1009=$C266)*
  'Weekly Dump'!$P$2:$P1009
)</f>
        <v>0</v>
      </c>
      <c r="N266" s="39"/>
      <c r="O266" s="40">
        <f>SUMIFS('Weekly Dump'!$D:$D,'Weekly Dump'!$B:$B,$C266,'Weekly Dump'!$A:$A,$AB266)</f>
        <v>0</v>
      </c>
      <c r="P266" s="40">
        <f>SUMIFS('Weekly Dump'!R:R,'Weekly Dump'!B:B,C266,'Weekly Dump'!A:A,AB266)</f>
        <v>0</v>
      </c>
      <c r="Q266" s="40">
        <f t="shared" si="20"/>
        <v>0</v>
      </c>
      <c r="R266" s="41"/>
      <c r="T266" s="4">
        <f>SUMIFS('Weekly Dump'!E:E,'Weekly Dump'!B:B,C266,'Weekly Dump'!A:A,AB266)</f>
        <v>0</v>
      </c>
      <c r="U266" s="3">
        <f t="shared" si="21"/>
        <v>0</v>
      </c>
      <c r="V266" s="42"/>
      <c r="X266" s="4">
        <f>SUMIFS('Weekly Dump'!P:P,'Weekly Dump'!B:B,C266,'Weekly Dump'!A:A,AB266)</f>
        <v>0</v>
      </c>
      <c r="Y266" s="4">
        <f t="shared" si="22"/>
        <v>0</v>
      </c>
      <c r="Z266" s="41"/>
      <c r="AA266" s="12" t="str">
        <f>iferror(IF(VLOOKUP(C266,'Weekly Dump'!B:B,1,0)=C266,"Yes","Missing"),"")</f>
        <v/>
      </c>
      <c r="AB266" s="66"/>
    </row>
    <row r="267">
      <c r="B267" s="63"/>
      <c r="C267" s="63"/>
      <c r="G267" s="3" t="str">
        <f t="shared" si="26"/>
        <v/>
      </c>
      <c r="I267" s="4">
        <f>SUMIFS('Weekly Dump'!D:D,'Weekly Dump'!B:B,C267)</f>
        <v>0</v>
      </c>
      <c r="J267" s="5">
        <f>SUMIFS('Weekly Dump'!AE:AE,'Weekly Dump'!B:B,C267)</f>
        <v>0</v>
      </c>
      <c r="K267" s="4">
        <f>SUMPRODUCT(
  (TEXT('Weekly Dump'!$A$2:$A1009,"mmm-yy")=TEXT($AB267,"mmm-yy"))*
  ('Weekly Dump'!$B$2:$B1009=$C267)*
  'Weekly Dump'!$D$2:$D1009)</f>
        <v>0</v>
      </c>
      <c r="L267" s="4">
        <f>SUMPRODUCT(
  (TEXT('Weekly Dump'!$A$2:$A1009,"mmm-yy")=TEXT($AB267,"mmm-yy"))*
  ('Weekly Dump'!$B$2:$B1009=$C267)*
  'Weekly Dump'!$E$2:$E1009
)</f>
        <v>0</v>
      </c>
      <c r="M267" s="4">
        <f>SUMPRODUCT(
  (TEXT('Weekly Dump'!$A$2:$A1009,"mmm-yy")=TEXT($AB267,"mmm-yy"))*
  ('Weekly Dump'!$B$2:$B1009=$C267)*
  'Weekly Dump'!$P$2:$P1009
)</f>
        <v>0</v>
      </c>
      <c r="N267" s="39"/>
      <c r="O267" s="40">
        <f>SUMIFS('Weekly Dump'!$D:$D,'Weekly Dump'!$B:$B,$C267,'Weekly Dump'!$A:$A,$AB267)</f>
        <v>0</v>
      </c>
      <c r="P267" s="40">
        <f>SUMIFS('Weekly Dump'!R:R,'Weekly Dump'!B:B,C267,'Weekly Dump'!A:A,AB267)</f>
        <v>0</v>
      </c>
      <c r="Q267" s="40">
        <f t="shared" si="20"/>
        <v>0</v>
      </c>
      <c r="R267" s="41"/>
      <c r="T267" s="4">
        <f>SUMIFS('Weekly Dump'!E:E,'Weekly Dump'!B:B,C267,'Weekly Dump'!A:A,AB267)</f>
        <v>0</v>
      </c>
      <c r="U267" s="3">
        <f t="shared" si="21"/>
        <v>0</v>
      </c>
      <c r="V267" s="42"/>
      <c r="X267" s="4">
        <f>SUMIFS('Weekly Dump'!P:P,'Weekly Dump'!B:B,C267,'Weekly Dump'!A:A,AB267)</f>
        <v>0</v>
      </c>
      <c r="Y267" s="4">
        <f t="shared" si="22"/>
        <v>0</v>
      </c>
      <c r="Z267" s="41"/>
      <c r="AA267" s="12" t="str">
        <f>iferror(IF(VLOOKUP(C267,'Weekly Dump'!B:B,1,0)=C267,"Yes","Missing"),"")</f>
        <v/>
      </c>
      <c r="AB267" s="66"/>
    </row>
    <row r="268">
      <c r="B268" s="63"/>
      <c r="C268" s="63"/>
      <c r="G268" s="3" t="str">
        <f t="shared" si="26"/>
        <v/>
      </c>
      <c r="I268" s="4">
        <f>SUMIFS('Weekly Dump'!D:D,'Weekly Dump'!B:B,C268)</f>
        <v>0</v>
      </c>
      <c r="J268" s="5">
        <f>SUMIFS('Weekly Dump'!AE:AE,'Weekly Dump'!B:B,C268)</f>
        <v>0</v>
      </c>
      <c r="K268" s="4">
        <f>SUMPRODUCT(
  (TEXT('Weekly Dump'!$A$2:$A1009,"mmm-yy")=TEXT($AB268,"mmm-yy"))*
  ('Weekly Dump'!$B$2:$B1009=$C268)*
  'Weekly Dump'!$D$2:$D1009)</f>
        <v>0</v>
      </c>
      <c r="L268" s="4">
        <f>SUMPRODUCT(
  (TEXT('Weekly Dump'!$A$2:$A1009,"mmm-yy")=TEXT($AB268,"mmm-yy"))*
  ('Weekly Dump'!$B$2:$B1009=$C268)*
  'Weekly Dump'!$E$2:$E1009
)</f>
        <v>0</v>
      </c>
      <c r="M268" s="4">
        <f>SUMPRODUCT(
  (TEXT('Weekly Dump'!$A$2:$A1009,"mmm-yy")=TEXT($AB268,"mmm-yy"))*
  ('Weekly Dump'!$B$2:$B1009=$C268)*
  'Weekly Dump'!$P$2:$P1009
)</f>
        <v>0</v>
      </c>
      <c r="N268" s="39"/>
      <c r="O268" s="40">
        <f>SUMIFS('Weekly Dump'!$D:$D,'Weekly Dump'!$B:$B,$C268,'Weekly Dump'!$A:$A,$AB268)</f>
        <v>0</v>
      </c>
      <c r="P268" s="40">
        <f>SUMIFS('Weekly Dump'!R:R,'Weekly Dump'!B:B,C268,'Weekly Dump'!A:A,AB268)</f>
        <v>0</v>
      </c>
      <c r="Q268" s="40">
        <f t="shared" si="20"/>
        <v>0</v>
      </c>
      <c r="R268" s="41"/>
      <c r="T268" s="4">
        <f>SUMIFS('Weekly Dump'!E:E,'Weekly Dump'!B:B,C268,'Weekly Dump'!A:A,AB268)</f>
        <v>0</v>
      </c>
      <c r="U268" s="3">
        <f t="shared" si="21"/>
        <v>0</v>
      </c>
      <c r="V268" s="42"/>
      <c r="X268" s="4">
        <f>SUMIFS('Weekly Dump'!P:P,'Weekly Dump'!B:B,C268,'Weekly Dump'!A:A,AB268)</f>
        <v>0</v>
      </c>
      <c r="Y268" s="4">
        <f t="shared" si="22"/>
        <v>0</v>
      </c>
      <c r="Z268" s="41"/>
      <c r="AA268" s="12" t="str">
        <f>iferror(IF(VLOOKUP(C268,'Weekly Dump'!B:B,1,0)=C268,"Yes","Missing"),"")</f>
        <v/>
      </c>
      <c r="AB268" s="66"/>
    </row>
    <row r="269">
      <c r="B269" s="63"/>
      <c r="C269" s="63"/>
      <c r="G269" s="3" t="str">
        <f t="shared" si="26"/>
        <v/>
      </c>
      <c r="I269" s="4">
        <f>SUMIFS('Weekly Dump'!D:D,'Weekly Dump'!B:B,C269)</f>
        <v>0</v>
      </c>
      <c r="J269" s="5">
        <f>SUMIFS('Weekly Dump'!AE:AE,'Weekly Dump'!B:B,C269)</f>
        <v>0</v>
      </c>
      <c r="K269" s="4">
        <f>SUMPRODUCT(
  (TEXT('Weekly Dump'!$A$2:$A1009,"mmm-yy")=TEXT($AB269,"mmm-yy"))*
  ('Weekly Dump'!$B$2:$B1009=$C269)*
  'Weekly Dump'!$D$2:$D1009)</f>
        <v>0</v>
      </c>
      <c r="L269" s="4">
        <f>SUMPRODUCT(
  (TEXT('Weekly Dump'!$A$2:$A1009,"mmm-yy")=TEXT($AB269,"mmm-yy"))*
  ('Weekly Dump'!$B$2:$B1009=$C269)*
  'Weekly Dump'!$E$2:$E1009
)</f>
        <v>0</v>
      </c>
      <c r="M269" s="4">
        <f>SUMPRODUCT(
  (TEXT('Weekly Dump'!$A$2:$A1009,"mmm-yy")=TEXT($AB269,"mmm-yy"))*
  ('Weekly Dump'!$B$2:$B1009=$C269)*
  'Weekly Dump'!$P$2:$P1009
)</f>
        <v>0</v>
      </c>
      <c r="N269" s="39"/>
      <c r="O269" s="40">
        <f>SUMIFS('Weekly Dump'!$D:$D,'Weekly Dump'!$B:$B,$C269,'Weekly Dump'!$A:$A,$AB269)</f>
        <v>0</v>
      </c>
      <c r="P269" s="40">
        <f>SUMIFS('Weekly Dump'!R:R,'Weekly Dump'!B:B,C269,'Weekly Dump'!A:A,AB269)</f>
        <v>0</v>
      </c>
      <c r="Q269" s="40">
        <f t="shared" si="20"/>
        <v>0</v>
      </c>
      <c r="R269" s="41"/>
      <c r="T269" s="4">
        <f>SUMIFS('Weekly Dump'!E:E,'Weekly Dump'!B:B,C269,'Weekly Dump'!A:A,AB269)</f>
        <v>0</v>
      </c>
      <c r="U269" s="3">
        <f t="shared" si="21"/>
        <v>0</v>
      </c>
      <c r="V269" s="42"/>
      <c r="X269" s="4">
        <f>SUMIFS('Weekly Dump'!P:P,'Weekly Dump'!B:B,C269,'Weekly Dump'!A:A,AB269)</f>
        <v>0</v>
      </c>
      <c r="Y269" s="4">
        <f t="shared" si="22"/>
        <v>0</v>
      </c>
      <c r="Z269" s="41"/>
      <c r="AA269" s="12" t="str">
        <f>iferror(IF(VLOOKUP(C269,'Weekly Dump'!B:B,1,0)=C269,"Yes","Missing"),"")</f>
        <v/>
      </c>
      <c r="AB269" s="66"/>
    </row>
    <row r="270">
      <c r="B270" s="63"/>
      <c r="C270" s="63"/>
      <c r="G270" s="3" t="str">
        <f t="shared" si="26"/>
        <v/>
      </c>
      <c r="I270" s="4">
        <f>SUMIFS('Weekly Dump'!D:D,'Weekly Dump'!B:B,C270)</f>
        <v>0</v>
      </c>
      <c r="J270" s="5">
        <f>SUMIFS('Weekly Dump'!AE:AE,'Weekly Dump'!B:B,C270)</f>
        <v>0</v>
      </c>
      <c r="K270" s="4">
        <f>SUMPRODUCT(
  (TEXT('Weekly Dump'!$A$2:$A1009,"mmm-yy")=TEXT($AB270,"mmm-yy"))*
  ('Weekly Dump'!$B$2:$B1009=$C270)*
  'Weekly Dump'!$D$2:$D1009)</f>
        <v>0</v>
      </c>
      <c r="L270" s="4">
        <f>SUMPRODUCT(
  (TEXT('Weekly Dump'!$A$2:$A1009,"mmm-yy")=TEXT($AB270,"mmm-yy"))*
  ('Weekly Dump'!$B$2:$B1009=$C270)*
  'Weekly Dump'!$E$2:$E1009
)</f>
        <v>0</v>
      </c>
      <c r="M270" s="4">
        <f>SUMPRODUCT(
  (TEXT('Weekly Dump'!$A$2:$A1009,"mmm-yy")=TEXT($AB270,"mmm-yy"))*
  ('Weekly Dump'!$B$2:$B1009=$C270)*
  'Weekly Dump'!$P$2:$P1009
)</f>
        <v>0</v>
      </c>
      <c r="N270" s="39"/>
      <c r="O270" s="40">
        <f>SUMIFS('Weekly Dump'!$D:$D,'Weekly Dump'!$B:$B,$C270,'Weekly Dump'!$A:$A,$AB270)</f>
        <v>0</v>
      </c>
      <c r="P270" s="40">
        <f>SUMIFS('Weekly Dump'!R:R,'Weekly Dump'!B:B,C270,'Weekly Dump'!A:A,AB270)</f>
        <v>0</v>
      </c>
      <c r="Q270" s="40">
        <f t="shared" si="20"/>
        <v>0</v>
      </c>
      <c r="R270" s="41"/>
      <c r="T270" s="4">
        <f>SUMIFS('Weekly Dump'!E:E,'Weekly Dump'!B:B,C270,'Weekly Dump'!A:A,AB270)</f>
        <v>0</v>
      </c>
      <c r="U270" s="3">
        <f t="shared" si="21"/>
        <v>0</v>
      </c>
      <c r="V270" s="42"/>
      <c r="X270" s="4">
        <f>SUMIFS('Weekly Dump'!P:P,'Weekly Dump'!B:B,C270,'Weekly Dump'!A:A,AB270)</f>
        <v>0</v>
      </c>
      <c r="Y270" s="4">
        <f t="shared" si="22"/>
        <v>0</v>
      </c>
      <c r="Z270" s="41"/>
      <c r="AA270" s="12" t="str">
        <f>iferror(IF(VLOOKUP(C270,'Weekly Dump'!B:B,1,0)=C270,"Yes","Missing"),"")</f>
        <v/>
      </c>
      <c r="AB270" s="66"/>
    </row>
    <row r="271">
      <c r="B271" s="63"/>
      <c r="C271" s="63"/>
      <c r="G271" s="3" t="str">
        <f t="shared" si="26"/>
        <v/>
      </c>
      <c r="I271" s="4">
        <f>SUMIFS('Weekly Dump'!D:D,'Weekly Dump'!B:B,C271)</f>
        <v>0</v>
      </c>
      <c r="J271" s="5">
        <f>SUMIFS('Weekly Dump'!AE:AE,'Weekly Dump'!B:B,C271)</f>
        <v>0</v>
      </c>
      <c r="K271" s="4">
        <f>SUMPRODUCT(
  (TEXT('Weekly Dump'!$A$2:$A1009,"mmm-yy")=TEXT($AB271,"mmm-yy"))*
  ('Weekly Dump'!$B$2:$B1009=$C271)*
  'Weekly Dump'!$D$2:$D1009)</f>
        <v>0</v>
      </c>
      <c r="L271" s="4">
        <f>SUMPRODUCT(
  (TEXT('Weekly Dump'!$A$2:$A1009,"mmm-yy")=TEXT($AB271,"mmm-yy"))*
  ('Weekly Dump'!$B$2:$B1009=$C271)*
  'Weekly Dump'!$E$2:$E1009
)</f>
        <v>0</v>
      </c>
      <c r="M271" s="4">
        <f>SUMPRODUCT(
  (TEXT('Weekly Dump'!$A$2:$A1009,"mmm-yy")=TEXT($AB271,"mmm-yy"))*
  ('Weekly Dump'!$B$2:$B1009=$C271)*
  'Weekly Dump'!$P$2:$P1009
)</f>
        <v>0</v>
      </c>
      <c r="N271" s="39"/>
      <c r="O271" s="40">
        <f>SUMIFS('Weekly Dump'!$D:$D,'Weekly Dump'!$B:$B,$C271,'Weekly Dump'!$A:$A,$AB271)</f>
        <v>0</v>
      </c>
      <c r="P271" s="40">
        <f>SUMIFS('Weekly Dump'!R:R,'Weekly Dump'!B:B,C271,'Weekly Dump'!A:A,AB271)</f>
        <v>0</v>
      </c>
      <c r="Q271" s="40">
        <f t="shared" si="20"/>
        <v>0</v>
      </c>
      <c r="R271" s="41"/>
      <c r="T271" s="4">
        <f>SUMIFS('Weekly Dump'!E:E,'Weekly Dump'!B:B,C271,'Weekly Dump'!A:A,AB271)</f>
        <v>0</v>
      </c>
      <c r="U271" s="3">
        <f t="shared" si="21"/>
        <v>0</v>
      </c>
      <c r="V271" s="42"/>
      <c r="X271" s="4">
        <f>SUMIFS('Weekly Dump'!P:P,'Weekly Dump'!B:B,C271,'Weekly Dump'!A:A,AB271)</f>
        <v>0</v>
      </c>
      <c r="Y271" s="4">
        <f t="shared" si="22"/>
        <v>0</v>
      </c>
      <c r="Z271" s="41"/>
      <c r="AA271" s="12" t="str">
        <f>iferror(IF(VLOOKUP(C271,'Weekly Dump'!B:B,1,0)=C271,"Yes","Missing"),"")</f>
        <v/>
      </c>
      <c r="AB271" s="66"/>
    </row>
    <row r="272">
      <c r="B272" s="63"/>
      <c r="C272" s="63"/>
      <c r="G272" s="3" t="str">
        <f t="shared" si="26"/>
        <v/>
      </c>
      <c r="I272" s="4">
        <f>SUMIFS('Weekly Dump'!D:D,'Weekly Dump'!B:B,C272)</f>
        <v>0</v>
      </c>
      <c r="J272" s="5">
        <f>SUMIFS('Weekly Dump'!AE:AE,'Weekly Dump'!B:B,C272)</f>
        <v>0</v>
      </c>
      <c r="K272" s="4">
        <f>SUMPRODUCT(
  (TEXT('Weekly Dump'!$A$2:$A1009,"mmm-yy")=TEXT($AB272,"mmm-yy"))*
  ('Weekly Dump'!$B$2:$B1009=$C272)*
  'Weekly Dump'!$D$2:$D1009)</f>
        <v>0</v>
      </c>
      <c r="L272" s="4">
        <f>SUMPRODUCT(
  (TEXT('Weekly Dump'!$A$2:$A1009,"mmm-yy")=TEXT($AB272,"mmm-yy"))*
  ('Weekly Dump'!$B$2:$B1009=$C272)*
  'Weekly Dump'!$E$2:$E1009
)</f>
        <v>0</v>
      </c>
      <c r="M272" s="4">
        <f>SUMPRODUCT(
  (TEXT('Weekly Dump'!$A$2:$A1009,"mmm-yy")=TEXT($AB272,"mmm-yy"))*
  ('Weekly Dump'!$B$2:$B1009=$C272)*
  'Weekly Dump'!$P$2:$P1009
)</f>
        <v>0</v>
      </c>
      <c r="N272" s="39"/>
      <c r="O272" s="40">
        <f>SUMIFS('Weekly Dump'!$D:$D,'Weekly Dump'!$B:$B,$C272,'Weekly Dump'!$A:$A,$AB272)</f>
        <v>0</v>
      </c>
      <c r="P272" s="40">
        <f>SUMIFS('Weekly Dump'!R:R,'Weekly Dump'!B:B,C272,'Weekly Dump'!A:A,AB272)</f>
        <v>0</v>
      </c>
      <c r="Q272" s="40">
        <f t="shared" si="20"/>
        <v>0</v>
      </c>
      <c r="R272" s="41"/>
      <c r="T272" s="4">
        <f>SUMIFS('Weekly Dump'!E:E,'Weekly Dump'!B:B,C272,'Weekly Dump'!A:A,AB272)</f>
        <v>0</v>
      </c>
      <c r="U272" s="3">
        <f t="shared" si="21"/>
        <v>0</v>
      </c>
      <c r="V272" s="42"/>
      <c r="X272" s="4">
        <f>SUMIFS('Weekly Dump'!P:P,'Weekly Dump'!B:B,C272,'Weekly Dump'!A:A,AB272)</f>
        <v>0</v>
      </c>
      <c r="Y272" s="4">
        <f t="shared" si="22"/>
        <v>0</v>
      </c>
      <c r="Z272" s="41"/>
      <c r="AA272" s="12" t="str">
        <f>iferror(IF(VLOOKUP(C272,'Weekly Dump'!B:B,1,0)=C272,"Yes","Missing"),"")</f>
        <v/>
      </c>
      <c r="AB272" s="66"/>
    </row>
    <row r="273">
      <c r="B273" s="63"/>
      <c r="C273" s="63"/>
      <c r="G273" s="3" t="str">
        <f t="shared" si="26"/>
        <v/>
      </c>
      <c r="I273" s="4">
        <f>SUMIFS('Weekly Dump'!D:D,'Weekly Dump'!B:B,C273)</f>
        <v>0</v>
      </c>
      <c r="J273" s="5">
        <f>SUMIFS('Weekly Dump'!AE:AE,'Weekly Dump'!B:B,C273)</f>
        <v>0</v>
      </c>
      <c r="K273" s="4">
        <f>SUMPRODUCT(
  (TEXT('Weekly Dump'!$A$2:$A1009,"mmm-yy")=TEXT($AB273,"mmm-yy"))*
  ('Weekly Dump'!$B$2:$B1009=$C273)*
  'Weekly Dump'!$D$2:$D1009)</f>
        <v>0</v>
      </c>
      <c r="L273" s="4">
        <f>SUMPRODUCT(
  (TEXT('Weekly Dump'!$A$2:$A1009,"mmm-yy")=TEXT($AB273,"mmm-yy"))*
  ('Weekly Dump'!$B$2:$B1009=$C273)*
  'Weekly Dump'!$E$2:$E1009
)</f>
        <v>0</v>
      </c>
      <c r="M273" s="4">
        <f>SUMPRODUCT(
  (TEXT('Weekly Dump'!$A$2:$A1009,"mmm-yy")=TEXT($AB273,"mmm-yy"))*
  ('Weekly Dump'!$B$2:$B1009=$C273)*
  'Weekly Dump'!$P$2:$P1009
)</f>
        <v>0</v>
      </c>
      <c r="N273" s="39"/>
      <c r="O273" s="40">
        <f>SUMIFS('Weekly Dump'!$D:$D,'Weekly Dump'!$B:$B,$C273,'Weekly Dump'!$A:$A,$AB273)</f>
        <v>0</v>
      </c>
      <c r="P273" s="40">
        <f>SUMIFS('Weekly Dump'!R:R,'Weekly Dump'!B:B,C273,'Weekly Dump'!A:A,AB273)</f>
        <v>0</v>
      </c>
      <c r="Q273" s="40">
        <f t="shared" si="20"/>
        <v>0</v>
      </c>
      <c r="R273" s="41"/>
      <c r="T273" s="4">
        <f>SUMIFS('Weekly Dump'!E:E,'Weekly Dump'!B:B,C273,'Weekly Dump'!A:A,AB273)</f>
        <v>0</v>
      </c>
      <c r="U273" s="3">
        <f t="shared" si="21"/>
        <v>0</v>
      </c>
      <c r="V273" s="42"/>
      <c r="X273" s="4">
        <f>SUMIFS('Weekly Dump'!P:P,'Weekly Dump'!B:B,C273,'Weekly Dump'!A:A,AB273)</f>
        <v>0</v>
      </c>
      <c r="Y273" s="4">
        <f t="shared" si="22"/>
        <v>0</v>
      </c>
      <c r="Z273" s="41"/>
      <c r="AA273" s="12" t="str">
        <f>iferror(IF(VLOOKUP(C273,'Weekly Dump'!B:B,1,0)=C273,"Yes","Missing"),"")</f>
        <v/>
      </c>
      <c r="AB273" s="66"/>
    </row>
    <row r="274">
      <c r="B274" s="63"/>
      <c r="C274" s="63"/>
      <c r="G274" s="3" t="str">
        <f t="shared" si="26"/>
        <v/>
      </c>
      <c r="I274" s="4">
        <f>SUMIFS('Weekly Dump'!D:D,'Weekly Dump'!B:B,C274)</f>
        <v>0</v>
      </c>
      <c r="J274" s="5">
        <f>SUMIFS('Weekly Dump'!AE:AE,'Weekly Dump'!B:B,C274)</f>
        <v>0</v>
      </c>
      <c r="K274" s="4">
        <f>SUMPRODUCT(
  (TEXT('Weekly Dump'!$A$2:$A1009,"mmm-yy")=TEXT($AB274,"mmm-yy"))*
  ('Weekly Dump'!$B$2:$B1009=$C274)*
  'Weekly Dump'!$D$2:$D1009)</f>
        <v>0</v>
      </c>
      <c r="L274" s="4">
        <f>SUMPRODUCT(
  (TEXT('Weekly Dump'!$A$2:$A1009,"mmm-yy")=TEXT($AB274,"mmm-yy"))*
  ('Weekly Dump'!$B$2:$B1009=$C274)*
  'Weekly Dump'!$E$2:$E1009
)</f>
        <v>0</v>
      </c>
      <c r="M274" s="4">
        <f>SUMPRODUCT(
  (TEXT('Weekly Dump'!$A$2:$A1009,"mmm-yy")=TEXT($AB274,"mmm-yy"))*
  ('Weekly Dump'!$B$2:$B1009=$C274)*
  'Weekly Dump'!$P$2:$P1009
)</f>
        <v>0</v>
      </c>
      <c r="N274" s="39"/>
      <c r="O274" s="40">
        <f>SUMIFS('Weekly Dump'!$D:$D,'Weekly Dump'!$B:$B,$C274,'Weekly Dump'!$A:$A,$AB274)</f>
        <v>0</v>
      </c>
      <c r="P274" s="40">
        <f>SUMIFS('Weekly Dump'!R:R,'Weekly Dump'!B:B,C274,'Weekly Dump'!A:A,AB274)</f>
        <v>0</v>
      </c>
      <c r="Q274" s="40">
        <f t="shared" si="20"/>
        <v>0</v>
      </c>
      <c r="R274" s="41"/>
      <c r="T274" s="4">
        <f>SUMIFS('Weekly Dump'!E:E,'Weekly Dump'!B:B,C274,'Weekly Dump'!A:A,AB274)</f>
        <v>0</v>
      </c>
      <c r="U274" s="3">
        <f t="shared" si="21"/>
        <v>0</v>
      </c>
      <c r="V274" s="42"/>
      <c r="X274" s="4">
        <f>SUMIFS('Weekly Dump'!P:P,'Weekly Dump'!B:B,C274,'Weekly Dump'!A:A,AB274)</f>
        <v>0</v>
      </c>
      <c r="Y274" s="4">
        <f t="shared" si="22"/>
        <v>0</v>
      </c>
      <c r="Z274" s="41"/>
      <c r="AA274" s="12" t="str">
        <f>iferror(IF(VLOOKUP(C274,'Weekly Dump'!B:B,1,0)=C274,"Yes","Missing"),"")</f>
        <v/>
      </c>
      <c r="AB274" s="66"/>
    </row>
    <row r="275">
      <c r="B275" s="63"/>
      <c r="C275" s="63"/>
      <c r="G275" s="3" t="str">
        <f t="shared" si="26"/>
        <v/>
      </c>
      <c r="I275" s="4">
        <f>SUMIFS('Weekly Dump'!D:D,'Weekly Dump'!B:B,C275)</f>
        <v>0</v>
      </c>
      <c r="J275" s="5">
        <f>SUMIFS('Weekly Dump'!AE:AE,'Weekly Dump'!B:B,C275)</f>
        <v>0</v>
      </c>
      <c r="K275" s="4">
        <f>SUMPRODUCT(
  (TEXT('Weekly Dump'!$A$2:$A1009,"mmm-yy")=TEXT($AB275,"mmm-yy"))*
  ('Weekly Dump'!$B$2:$B1009=$C275)*
  'Weekly Dump'!$D$2:$D1009)</f>
        <v>0</v>
      </c>
      <c r="L275" s="4">
        <f>SUMPRODUCT(
  (TEXT('Weekly Dump'!$A$2:$A1009,"mmm-yy")=TEXT($AB275,"mmm-yy"))*
  ('Weekly Dump'!$B$2:$B1009=$C275)*
  'Weekly Dump'!$E$2:$E1009
)</f>
        <v>0</v>
      </c>
      <c r="M275" s="4">
        <f>SUMPRODUCT(
  (TEXT('Weekly Dump'!$A$2:$A1009,"mmm-yy")=TEXT($AB275,"mmm-yy"))*
  ('Weekly Dump'!$B$2:$B1009=$C275)*
  'Weekly Dump'!$P$2:$P1009
)</f>
        <v>0</v>
      </c>
      <c r="N275" s="39"/>
      <c r="O275" s="40">
        <f>SUMIFS('Weekly Dump'!$D:$D,'Weekly Dump'!$B:$B,$C275,'Weekly Dump'!$A:$A,$AB275)</f>
        <v>0</v>
      </c>
      <c r="P275" s="40">
        <f>SUMIFS('Weekly Dump'!R:R,'Weekly Dump'!B:B,C275,'Weekly Dump'!A:A,AB275)</f>
        <v>0</v>
      </c>
      <c r="Q275" s="40">
        <f t="shared" si="20"/>
        <v>0</v>
      </c>
      <c r="R275" s="41"/>
      <c r="T275" s="4">
        <f>SUMIFS('Weekly Dump'!E:E,'Weekly Dump'!B:B,C275,'Weekly Dump'!A:A,AB275)</f>
        <v>0</v>
      </c>
      <c r="U275" s="3">
        <f t="shared" si="21"/>
        <v>0</v>
      </c>
      <c r="V275" s="42"/>
      <c r="X275" s="4">
        <f>SUMIFS('Weekly Dump'!P:P,'Weekly Dump'!B:B,C275,'Weekly Dump'!A:A,AB275)</f>
        <v>0</v>
      </c>
      <c r="Y275" s="4">
        <f t="shared" si="22"/>
        <v>0</v>
      </c>
      <c r="Z275" s="41"/>
      <c r="AA275" s="12" t="str">
        <f>iferror(IF(VLOOKUP(C275,'Weekly Dump'!B:B,1,0)=C275,"Yes","Missing"),"")</f>
        <v/>
      </c>
      <c r="AB275" s="66"/>
    </row>
    <row r="276">
      <c r="B276" s="63"/>
      <c r="C276" s="63"/>
      <c r="G276" s="3" t="str">
        <f t="shared" si="26"/>
        <v/>
      </c>
      <c r="I276" s="4">
        <f>SUMIFS('Weekly Dump'!D:D,'Weekly Dump'!B:B,C276)</f>
        <v>0</v>
      </c>
      <c r="J276" s="5">
        <f>SUMIFS('Weekly Dump'!AE:AE,'Weekly Dump'!B:B,C276)</f>
        <v>0</v>
      </c>
      <c r="K276" s="4">
        <f>SUMPRODUCT(
  (TEXT('Weekly Dump'!$A$2:$A1009,"mmm-yy")=TEXT($AB276,"mmm-yy"))*
  ('Weekly Dump'!$B$2:$B1009=$C276)*
  'Weekly Dump'!$D$2:$D1009)</f>
        <v>0</v>
      </c>
      <c r="L276" s="4">
        <f>SUMPRODUCT(
  (TEXT('Weekly Dump'!$A$2:$A1009,"mmm-yy")=TEXT($AB276,"mmm-yy"))*
  ('Weekly Dump'!$B$2:$B1009=$C276)*
  'Weekly Dump'!$E$2:$E1009
)</f>
        <v>0</v>
      </c>
      <c r="M276" s="4">
        <f>SUMPRODUCT(
  (TEXT('Weekly Dump'!$A$2:$A1009,"mmm-yy")=TEXT($AB276,"mmm-yy"))*
  ('Weekly Dump'!$B$2:$B1009=$C276)*
  'Weekly Dump'!$P$2:$P1009
)</f>
        <v>0</v>
      </c>
      <c r="N276" s="39"/>
      <c r="O276" s="40">
        <f>SUMIFS('Weekly Dump'!$D:$D,'Weekly Dump'!$B:$B,$C276,'Weekly Dump'!$A:$A,$AB276)</f>
        <v>0</v>
      </c>
      <c r="P276" s="40">
        <f>SUMIFS('Weekly Dump'!R:R,'Weekly Dump'!B:B,C276,'Weekly Dump'!A:A,AB276)</f>
        <v>0</v>
      </c>
      <c r="Q276" s="40">
        <f t="shared" si="20"/>
        <v>0</v>
      </c>
      <c r="R276" s="41"/>
      <c r="T276" s="4">
        <f>SUMIFS('Weekly Dump'!E:E,'Weekly Dump'!B:B,C276,'Weekly Dump'!A:A,AB276)</f>
        <v>0</v>
      </c>
      <c r="U276" s="3">
        <f t="shared" si="21"/>
        <v>0</v>
      </c>
      <c r="V276" s="42"/>
      <c r="X276" s="4">
        <f>SUMIFS('Weekly Dump'!P:P,'Weekly Dump'!B:B,C276,'Weekly Dump'!A:A,AB276)</f>
        <v>0</v>
      </c>
      <c r="Y276" s="4">
        <f t="shared" si="22"/>
        <v>0</v>
      </c>
      <c r="Z276" s="41"/>
      <c r="AA276" s="12" t="str">
        <f>iferror(IF(VLOOKUP(C276,'Weekly Dump'!B:B,1,0)=C276,"Yes","Missing"),"")</f>
        <v/>
      </c>
      <c r="AB276" s="66"/>
    </row>
    <row r="277">
      <c r="B277" s="63"/>
      <c r="C277" s="63"/>
      <c r="G277" s="3" t="str">
        <f t="shared" si="26"/>
        <v/>
      </c>
      <c r="I277" s="4">
        <f>SUMIFS('Weekly Dump'!D:D,'Weekly Dump'!B:B,C277)</f>
        <v>0</v>
      </c>
      <c r="J277" s="5">
        <f>SUMIFS('Weekly Dump'!AE:AE,'Weekly Dump'!B:B,C277)</f>
        <v>0</v>
      </c>
      <c r="K277" s="4">
        <f>SUMPRODUCT(
  (TEXT('Weekly Dump'!$A$2:$A1009,"mmm-yy")=TEXT($AB277,"mmm-yy"))*
  ('Weekly Dump'!$B$2:$B1009=$C277)*
  'Weekly Dump'!$D$2:$D1009)</f>
        <v>0</v>
      </c>
      <c r="L277" s="4">
        <f>SUMPRODUCT(
  (TEXT('Weekly Dump'!$A$2:$A1009,"mmm-yy")=TEXT($AB277,"mmm-yy"))*
  ('Weekly Dump'!$B$2:$B1009=$C277)*
  'Weekly Dump'!$E$2:$E1009
)</f>
        <v>0</v>
      </c>
      <c r="M277" s="4">
        <f>SUMPRODUCT(
  (TEXT('Weekly Dump'!$A$2:$A1009,"mmm-yy")=TEXT($AB277,"mmm-yy"))*
  ('Weekly Dump'!$B$2:$B1009=$C277)*
  'Weekly Dump'!$P$2:$P1009
)</f>
        <v>0</v>
      </c>
      <c r="N277" s="39"/>
      <c r="O277" s="40">
        <f>SUMIFS('Weekly Dump'!$D:$D,'Weekly Dump'!$B:$B,$C277,'Weekly Dump'!$A:$A,$AB277)</f>
        <v>0</v>
      </c>
      <c r="P277" s="40">
        <f>SUMIFS('Weekly Dump'!R:R,'Weekly Dump'!B:B,C277,'Weekly Dump'!A:A,AB277)</f>
        <v>0</v>
      </c>
      <c r="Q277" s="40">
        <f t="shared" si="20"/>
        <v>0</v>
      </c>
      <c r="R277" s="41"/>
      <c r="T277" s="4">
        <f>SUMIFS('Weekly Dump'!E:E,'Weekly Dump'!B:B,C277,'Weekly Dump'!A:A,AB277)</f>
        <v>0</v>
      </c>
      <c r="U277" s="3">
        <f t="shared" si="21"/>
        <v>0</v>
      </c>
      <c r="V277" s="42"/>
      <c r="X277" s="4">
        <f>SUMIFS('Weekly Dump'!P:P,'Weekly Dump'!B:B,C277,'Weekly Dump'!A:A,AB277)</f>
        <v>0</v>
      </c>
      <c r="Y277" s="4">
        <f t="shared" si="22"/>
        <v>0</v>
      </c>
      <c r="Z277" s="41"/>
      <c r="AA277" s="12" t="str">
        <f>iferror(IF(VLOOKUP(C277,'Weekly Dump'!B:B,1,0)=C277,"Yes","Missing"),"")</f>
        <v/>
      </c>
      <c r="AB277" s="66"/>
    </row>
    <row r="278">
      <c r="B278" s="63"/>
      <c r="C278" s="63"/>
      <c r="G278" s="3" t="str">
        <f t="shared" si="26"/>
        <v/>
      </c>
      <c r="I278" s="4">
        <f>SUMIFS('Weekly Dump'!D:D,'Weekly Dump'!B:B,C278)</f>
        <v>0</v>
      </c>
      <c r="J278" s="5">
        <f>SUMIFS('Weekly Dump'!AE:AE,'Weekly Dump'!B:B,C278)</f>
        <v>0</v>
      </c>
      <c r="K278" s="4">
        <f>SUMPRODUCT(
  (TEXT('Weekly Dump'!$A$2:$A1009,"mmm-yy")=TEXT($AB278,"mmm-yy"))*
  ('Weekly Dump'!$B$2:$B1009=$C278)*
  'Weekly Dump'!$D$2:$D1009)</f>
        <v>0</v>
      </c>
      <c r="L278" s="4">
        <f>SUMPRODUCT(
  (TEXT('Weekly Dump'!$A$2:$A1009,"mmm-yy")=TEXT($AB278,"mmm-yy"))*
  ('Weekly Dump'!$B$2:$B1009=$C278)*
  'Weekly Dump'!$E$2:$E1009
)</f>
        <v>0</v>
      </c>
      <c r="M278" s="4">
        <f>SUMPRODUCT(
  (TEXT('Weekly Dump'!$A$2:$A1009,"mmm-yy")=TEXT($AB278,"mmm-yy"))*
  ('Weekly Dump'!$B$2:$B1009=$C278)*
  'Weekly Dump'!$P$2:$P1009
)</f>
        <v>0</v>
      </c>
      <c r="N278" s="39"/>
      <c r="O278" s="40">
        <f>SUMIFS('Weekly Dump'!$D:$D,'Weekly Dump'!$B:$B,$C278,'Weekly Dump'!$A:$A,$AB278)</f>
        <v>0</v>
      </c>
      <c r="P278" s="40">
        <f>SUMIFS('Weekly Dump'!R:R,'Weekly Dump'!B:B,C278,'Weekly Dump'!A:A,AB278)</f>
        <v>0</v>
      </c>
      <c r="Q278" s="40">
        <f t="shared" si="20"/>
        <v>0</v>
      </c>
      <c r="R278" s="41"/>
      <c r="T278" s="4">
        <f>SUMIFS('Weekly Dump'!E:E,'Weekly Dump'!B:B,C278,'Weekly Dump'!A:A,AB278)</f>
        <v>0</v>
      </c>
      <c r="U278" s="3">
        <f t="shared" si="21"/>
        <v>0</v>
      </c>
      <c r="V278" s="42"/>
      <c r="X278" s="4">
        <f>SUMIFS('Weekly Dump'!P:P,'Weekly Dump'!B:B,C278,'Weekly Dump'!A:A,AB278)</f>
        <v>0</v>
      </c>
      <c r="Y278" s="4">
        <f t="shared" si="22"/>
        <v>0</v>
      </c>
      <c r="Z278" s="41"/>
      <c r="AA278" s="12" t="str">
        <f>iferror(IF(VLOOKUP(C278,'Weekly Dump'!B:B,1,0)=C278,"Yes","Missing"),"")</f>
        <v/>
      </c>
      <c r="AB278" s="66"/>
    </row>
    <row r="279">
      <c r="B279" s="63"/>
      <c r="C279" s="63"/>
      <c r="G279" s="3" t="str">
        <f t="shared" si="26"/>
        <v/>
      </c>
      <c r="I279" s="4">
        <f>SUMIFS('Weekly Dump'!D:D,'Weekly Dump'!B:B,C279)</f>
        <v>0</v>
      </c>
      <c r="J279" s="5">
        <f>SUMIFS('Weekly Dump'!AE:AE,'Weekly Dump'!B:B,C279)</f>
        <v>0</v>
      </c>
      <c r="K279" s="4">
        <f>SUMPRODUCT(
  (TEXT('Weekly Dump'!$A$2:$A1009,"mmm-yy")=TEXT($AB279,"mmm-yy"))*
  ('Weekly Dump'!$B$2:$B1009=$C279)*
  'Weekly Dump'!$D$2:$D1009)</f>
        <v>0</v>
      </c>
      <c r="L279" s="4">
        <f>SUMPRODUCT(
  (TEXT('Weekly Dump'!$A$2:$A1009,"mmm-yy")=TEXT($AB279,"mmm-yy"))*
  ('Weekly Dump'!$B$2:$B1009=$C279)*
  'Weekly Dump'!$E$2:$E1009
)</f>
        <v>0</v>
      </c>
      <c r="M279" s="4">
        <f>SUMPRODUCT(
  (TEXT('Weekly Dump'!$A$2:$A1009,"mmm-yy")=TEXT($AB279,"mmm-yy"))*
  ('Weekly Dump'!$B$2:$B1009=$C279)*
  'Weekly Dump'!$P$2:$P1009
)</f>
        <v>0</v>
      </c>
      <c r="N279" s="39"/>
      <c r="O279" s="40">
        <f>SUMIFS('Weekly Dump'!$D:$D,'Weekly Dump'!$B:$B,$C279,'Weekly Dump'!$A:$A,$AB279)</f>
        <v>0</v>
      </c>
      <c r="P279" s="40">
        <f>SUMIFS('Weekly Dump'!R:R,'Weekly Dump'!B:B,C279,'Weekly Dump'!A:A,AB279)</f>
        <v>0</v>
      </c>
      <c r="Q279" s="40">
        <f t="shared" si="20"/>
        <v>0</v>
      </c>
      <c r="R279" s="41"/>
      <c r="T279" s="4">
        <f>SUMIFS('Weekly Dump'!E:E,'Weekly Dump'!B:B,C279,'Weekly Dump'!A:A,AB279)</f>
        <v>0</v>
      </c>
      <c r="U279" s="3">
        <f t="shared" si="21"/>
        <v>0</v>
      </c>
      <c r="V279" s="42"/>
      <c r="X279" s="4">
        <f>SUMIFS('Weekly Dump'!P:P,'Weekly Dump'!B:B,C279,'Weekly Dump'!A:A,AB279)</f>
        <v>0</v>
      </c>
      <c r="Y279" s="4">
        <f t="shared" si="22"/>
        <v>0</v>
      </c>
      <c r="Z279" s="41"/>
      <c r="AA279" s="12" t="str">
        <f>iferror(IF(VLOOKUP(C279,'Weekly Dump'!B:B,1,0)=C279,"Yes","Missing"),"")</f>
        <v/>
      </c>
      <c r="AB279" s="66"/>
    </row>
    <row r="280">
      <c r="B280" s="63"/>
      <c r="C280" s="63"/>
      <c r="G280" s="3" t="str">
        <f t="shared" si="26"/>
        <v/>
      </c>
      <c r="I280" s="4">
        <f>SUMIFS('Weekly Dump'!D:D,'Weekly Dump'!B:B,C280)</f>
        <v>0</v>
      </c>
      <c r="J280" s="5">
        <f>SUMIFS('Weekly Dump'!AE:AE,'Weekly Dump'!B:B,C280)</f>
        <v>0</v>
      </c>
      <c r="K280" s="4">
        <f>SUMPRODUCT(
  (TEXT('Weekly Dump'!$A$2:$A1009,"mmm-yy")=TEXT($AB280,"mmm-yy"))*
  ('Weekly Dump'!$B$2:$B1009=$C280)*
  'Weekly Dump'!$D$2:$D1009)</f>
        <v>0</v>
      </c>
      <c r="L280" s="4">
        <f>SUMPRODUCT(
  (TEXT('Weekly Dump'!$A$2:$A1009,"mmm-yy")=TEXT($AB280,"mmm-yy"))*
  ('Weekly Dump'!$B$2:$B1009=$C280)*
  'Weekly Dump'!$E$2:$E1009
)</f>
        <v>0</v>
      </c>
      <c r="M280" s="4">
        <f>SUMPRODUCT(
  (TEXT('Weekly Dump'!$A$2:$A1009,"mmm-yy")=TEXT($AB280,"mmm-yy"))*
  ('Weekly Dump'!$B$2:$B1009=$C280)*
  'Weekly Dump'!$P$2:$P1009
)</f>
        <v>0</v>
      </c>
      <c r="N280" s="39"/>
      <c r="O280" s="40">
        <f>SUMIFS('Weekly Dump'!$D:$D,'Weekly Dump'!$B:$B,$C280,'Weekly Dump'!$A:$A,$AB280)</f>
        <v>0</v>
      </c>
      <c r="P280" s="40">
        <f>SUMIFS('Weekly Dump'!R:R,'Weekly Dump'!B:B,C280,'Weekly Dump'!A:A,AB280)</f>
        <v>0</v>
      </c>
      <c r="Q280" s="40">
        <f t="shared" si="20"/>
        <v>0</v>
      </c>
      <c r="R280" s="41"/>
      <c r="T280" s="4">
        <f>SUMIFS('Weekly Dump'!E:E,'Weekly Dump'!B:B,C280,'Weekly Dump'!A:A,AB280)</f>
        <v>0</v>
      </c>
      <c r="U280" s="3">
        <f t="shared" si="21"/>
        <v>0</v>
      </c>
      <c r="V280" s="42"/>
      <c r="X280" s="4">
        <f>SUMIFS('Weekly Dump'!P:P,'Weekly Dump'!B:B,C280,'Weekly Dump'!A:A,AB280)</f>
        <v>0</v>
      </c>
      <c r="Y280" s="4">
        <f t="shared" si="22"/>
        <v>0</v>
      </c>
      <c r="Z280" s="41"/>
      <c r="AA280" s="12" t="str">
        <f>iferror(IF(VLOOKUP(C280,'Weekly Dump'!B:B,1,0)=C280,"Yes","Missing"),"")</f>
        <v/>
      </c>
      <c r="AB280" s="66"/>
    </row>
    <row r="281">
      <c r="B281" s="63"/>
      <c r="C281" s="63"/>
      <c r="G281" s="3" t="str">
        <f t="shared" si="26"/>
        <v/>
      </c>
      <c r="I281" s="4">
        <f>SUMIFS('Weekly Dump'!D:D,'Weekly Dump'!B:B,C281)</f>
        <v>0</v>
      </c>
      <c r="J281" s="5">
        <f>SUMIFS('Weekly Dump'!AE:AE,'Weekly Dump'!B:B,C281)</f>
        <v>0</v>
      </c>
      <c r="K281" s="4">
        <f>SUMPRODUCT(
  (TEXT('Weekly Dump'!$A$2:$A1009,"mmm-yy")=TEXT($AB281,"mmm-yy"))*
  ('Weekly Dump'!$B$2:$B1009=$C281)*
  'Weekly Dump'!$D$2:$D1009)</f>
        <v>0</v>
      </c>
      <c r="L281" s="4">
        <f>SUMPRODUCT(
  (TEXT('Weekly Dump'!$A$2:$A1009,"mmm-yy")=TEXT($AB281,"mmm-yy"))*
  ('Weekly Dump'!$B$2:$B1009=$C281)*
  'Weekly Dump'!$E$2:$E1009
)</f>
        <v>0</v>
      </c>
      <c r="M281" s="4">
        <f>SUMPRODUCT(
  (TEXT('Weekly Dump'!$A$2:$A1009,"mmm-yy")=TEXT($AB281,"mmm-yy"))*
  ('Weekly Dump'!$B$2:$B1009=$C281)*
  'Weekly Dump'!$P$2:$P1009
)</f>
        <v>0</v>
      </c>
      <c r="N281" s="39"/>
      <c r="O281" s="40">
        <f>SUMIFS('Weekly Dump'!$D:$D,'Weekly Dump'!$B:$B,$C281,'Weekly Dump'!$A:$A,$AB281)</f>
        <v>0</v>
      </c>
      <c r="P281" s="40">
        <f>SUMIFS('Weekly Dump'!R:R,'Weekly Dump'!B:B,C281,'Weekly Dump'!A:A,AB281)</f>
        <v>0</v>
      </c>
      <c r="Q281" s="40">
        <f t="shared" si="20"/>
        <v>0</v>
      </c>
      <c r="R281" s="41"/>
      <c r="T281" s="4">
        <f>SUMIFS('Weekly Dump'!E:E,'Weekly Dump'!B:B,C281,'Weekly Dump'!A:A,AB281)</f>
        <v>0</v>
      </c>
      <c r="U281" s="3">
        <f t="shared" si="21"/>
        <v>0</v>
      </c>
      <c r="V281" s="42"/>
      <c r="X281" s="4">
        <f>SUMIFS('Weekly Dump'!P:P,'Weekly Dump'!B:B,C281,'Weekly Dump'!A:A,AB281)</f>
        <v>0</v>
      </c>
      <c r="Y281" s="4">
        <f t="shared" si="22"/>
        <v>0</v>
      </c>
      <c r="Z281" s="41"/>
      <c r="AA281" s="12" t="str">
        <f>iferror(IF(VLOOKUP(C281,'Weekly Dump'!B:B,1,0)=C281,"Yes","Missing"),"")</f>
        <v/>
      </c>
      <c r="AB281" s="66"/>
    </row>
    <row r="282">
      <c r="B282" s="63"/>
      <c r="C282" s="63"/>
      <c r="G282" s="3" t="str">
        <f t="shared" si="26"/>
        <v/>
      </c>
      <c r="I282" s="4">
        <f>SUMIFS('Weekly Dump'!D:D,'Weekly Dump'!B:B,C282)</f>
        <v>0</v>
      </c>
      <c r="J282" s="5">
        <f>SUMIFS('Weekly Dump'!AE:AE,'Weekly Dump'!B:B,C282)</f>
        <v>0</v>
      </c>
      <c r="K282" s="4">
        <f>SUMPRODUCT(
  (TEXT('Weekly Dump'!$A$2:$A1009,"mmm-yy")=TEXT($AB282,"mmm-yy"))*
  ('Weekly Dump'!$B$2:$B1009=$C282)*
  'Weekly Dump'!$D$2:$D1009)</f>
        <v>0</v>
      </c>
      <c r="L282" s="4">
        <f>SUMPRODUCT(
  (TEXT('Weekly Dump'!$A$2:$A1009,"mmm-yy")=TEXT($AB282,"mmm-yy"))*
  ('Weekly Dump'!$B$2:$B1009=$C282)*
  'Weekly Dump'!$E$2:$E1009
)</f>
        <v>0</v>
      </c>
      <c r="M282" s="4">
        <f>SUMPRODUCT(
  (TEXT('Weekly Dump'!$A$2:$A1009,"mmm-yy")=TEXT($AB282,"mmm-yy"))*
  ('Weekly Dump'!$B$2:$B1009=$C282)*
  'Weekly Dump'!$P$2:$P1009
)</f>
        <v>0</v>
      </c>
      <c r="N282" s="39"/>
      <c r="O282" s="40">
        <f>SUMIFS('Weekly Dump'!$D:$D,'Weekly Dump'!$B:$B,$C282,'Weekly Dump'!$A:$A,$AB282)</f>
        <v>0</v>
      </c>
      <c r="P282" s="40">
        <f>SUMIFS('Weekly Dump'!R:R,'Weekly Dump'!B:B,C282,'Weekly Dump'!A:A,AB282)</f>
        <v>0</v>
      </c>
      <c r="Q282" s="40">
        <f t="shared" si="20"/>
        <v>0</v>
      </c>
      <c r="R282" s="41"/>
      <c r="T282" s="4">
        <f>SUMIFS('Weekly Dump'!E:E,'Weekly Dump'!B:B,C282,'Weekly Dump'!A:A,AB282)</f>
        <v>0</v>
      </c>
      <c r="U282" s="3">
        <f t="shared" si="21"/>
        <v>0</v>
      </c>
      <c r="V282" s="42"/>
      <c r="X282" s="4">
        <f>SUMIFS('Weekly Dump'!P:P,'Weekly Dump'!B:B,C282,'Weekly Dump'!A:A,AB282)</f>
        <v>0</v>
      </c>
      <c r="Y282" s="4">
        <f t="shared" si="22"/>
        <v>0</v>
      </c>
      <c r="Z282" s="41"/>
      <c r="AA282" s="12" t="str">
        <f>iferror(IF(VLOOKUP(C282,'Weekly Dump'!B:B,1,0)=C282,"Yes","Missing"),"")</f>
        <v/>
      </c>
      <c r="AB282" s="66"/>
    </row>
    <row r="283">
      <c r="B283" s="63"/>
      <c r="C283" s="63"/>
      <c r="G283" s="3" t="str">
        <f t="shared" si="26"/>
        <v/>
      </c>
      <c r="I283" s="4">
        <f>SUMIFS('Weekly Dump'!D:D,'Weekly Dump'!B:B,C283)</f>
        <v>0</v>
      </c>
      <c r="J283" s="5">
        <f>SUMIFS('Weekly Dump'!AE:AE,'Weekly Dump'!B:B,C283)</f>
        <v>0</v>
      </c>
      <c r="K283" s="4">
        <f>SUMPRODUCT(
  (TEXT('Weekly Dump'!$A$2:$A1009,"mmm-yy")=TEXT($AB283,"mmm-yy"))*
  ('Weekly Dump'!$B$2:$B1009=$C283)*
  'Weekly Dump'!$D$2:$D1009)</f>
        <v>0</v>
      </c>
      <c r="L283" s="4">
        <f>SUMPRODUCT(
  (TEXT('Weekly Dump'!$A$2:$A1009,"mmm-yy")=TEXT($AB283,"mmm-yy"))*
  ('Weekly Dump'!$B$2:$B1009=$C283)*
  'Weekly Dump'!$E$2:$E1009
)</f>
        <v>0</v>
      </c>
      <c r="M283" s="4">
        <f>SUMPRODUCT(
  (TEXT('Weekly Dump'!$A$2:$A1009,"mmm-yy")=TEXT($AB283,"mmm-yy"))*
  ('Weekly Dump'!$B$2:$B1009=$C283)*
  'Weekly Dump'!$P$2:$P1009
)</f>
        <v>0</v>
      </c>
      <c r="N283" s="39"/>
      <c r="O283" s="40">
        <f>SUMIFS('Weekly Dump'!$D:$D,'Weekly Dump'!$B:$B,$C283,'Weekly Dump'!$A:$A,$AB283)</f>
        <v>0</v>
      </c>
      <c r="P283" s="40">
        <f>SUMIFS('Weekly Dump'!R:R,'Weekly Dump'!B:B,C283,'Weekly Dump'!A:A,AB283)</f>
        <v>0</v>
      </c>
      <c r="Q283" s="40">
        <f t="shared" si="20"/>
        <v>0</v>
      </c>
      <c r="R283" s="41"/>
      <c r="T283" s="4">
        <f>SUMIFS('Weekly Dump'!E:E,'Weekly Dump'!B:B,C283,'Weekly Dump'!A:A,AB283)</f>
        <v>0</v>
      </c>
      <c r="U283" s="3">
        <f t="shared" si="21"/>
        <v>0</v>
      </c>
      <c r="V283" s="42"/>
      <c r="X283" s="4">
        <f>SUMIFS('Weekly Dump'!P:P,'Weekly Dump'!B:B,C283,'Weekly Dump'!A:A,AB283)</f>
        <v>0</v>
      </c>
      <c r="Y283" s="4">
        <f t="shared" si="22"/>
        <v>0</v>
      </c>
      <c r="Z283" s="41"/>
      <c r="AA283" s="12" t="str">
        <f>iferror(IF(VLOOKUP(C283,'Weekly Dump'!B:B,1,0)=C283,"Yes","Missing"),"")</f>
        <v/>
      </c>
      <c r="AB283" s="66"/>
    </row>
    <row r="284">
      <c r="B284" s="63"/>
      <c r="C284" s="63"/>
      <c r="G284" s="3" t="str">
        <f t="shared" si="26"/>
        <v/>
      </c>
      <c r="I284" s="4">
        <f>SUMIFS('Weekly Dump'!D:D,'Weekly Dump'!B:B,C284)</f>
        <v>0</v>
      </c>
      <c r="J284" s="5">
        <f>SUMIFS('Weekly Dump'!AE:AE,'Weekly Dump'!B:B,C284)</f>
        <v>0</v>
      </c>
      <c r="K284" s="4">
        <f>SUMPRODUCT(
  (TEXT('Weekly Dump'!$A$2:$A1009,"mmm-yy")=TEXT($AB284,"mmm-yy"))*
  ('Weekly Dump'!$B$2:$B1009=$C284)*
  'Weekly Dump'!$D$2:$D1009)</f>
        <v>0</v>
      </c>
      <c r="L284" s="4">
        <f>SUMPRODUCT(
  (TEXT('Weekly Dump'!$A$2:$A1009,"mmm-yy")=TEXT($AB284,"mmm-yy"))*
  ('Weekly Dump'!$B$2:$B1009=$C284)*
  'Weekly Dump'!$E$2:$E1009
)</f>
        <v>0</v>
      </c>
      <c r="M284" s="4">
        <f>SUMPRODUCT(
  (TEXT('Weekly Dump'!$A$2:$A1009,"mmm-yy")=TEXT($AB284,"mmm-yy"))*
  ('Weekly Dump'!$B$2:$B1009=$C284)*
  'Weekly Dump'!$P$2:$P1009
)</f>
        <v>0</v>
      </c>
      <c r="N284" s="39"/>
      <c r="O284" s="40">
        <f>SUMIFS('Weekly Dump'!$D:$D,'Weekly Dump'!$B:$B,$C284,'Weekly Dump'!$A:$A,$AB284)</f>
        <v>0</v>
      </c>
      <c r="P284" s="40">
        <f>SUMIFS('Weekly Dump'!R:R,'Weekly Dump'!B:B,C284,'Weekly Dump'!A:A,AB284)</f>
        <v>0</v>
      </c>
      <c r="Q284" s="40">
        <f t="shared" si="20"/>
        <v>0</v>
      </c>
      <c r="R284" s="41"/>
      <c r="T284" s="4">
        <f>SUMIFS('Weekly Dump'!E:E,'Weekly Dump'!B:B,C284,'Weekly Dump'!A:A,AB284)</f>
        <v>0</v>
      </c>
      <c r="U284" s="3">
        <f t="shared" si="21"/>
        <v>0</v>
      </c>
      <c r="V284" s="42"/>
      <c r="X284" s="4">
        <f>SUMIFS('Weekly Dump'!P:P,'Weekly Dump'!B:B,C284,'Weekly Dump'!A:A,AB284)</f>
        <v>0</v>
      </c>
      <c r="Y284" s="4">
        <f t="shared" si="22"/>
        <v>0</v>
      </c>
      <c r="Z284" s="41"/>
      <c r="AA284" s="12" t="str">
        <f>iferror(IF(VLOOKUP(C284,'Weekly Dump'!B:B,1,0)=C284,"Yes","Missing"),"")</f>
        <v/>
      </c>
      <c r="AB284" s="66"/>
    </row>
    <row r="285">
      <c r="B285" s="63"/>
      <c r="C285" s="63"/>
      <c r="G285" s="3" t="str">
        <f t="shared" si="26"/>
        <v/>
      </c>
      <c r="I285" s="4">
        <f>SUMIFS('Weekly Dump'!D:D,'Weekly Dump'!B:B,C285)</f>
        <v>0</v>
      </c>
      <c r="J285" s="5">
        <f>SUMIFS('Weekly Dump'!AE:AE,'Weekly Dump'!B:B,C285)</f>
        <v>0</v>
      </c>
      <c r="K285" s="4">
        <f>SUMPRODUCT(
  (TEXT('Weekly Dump'!$A$2:$A1009,"mmm-yy")=TEXT($AB285,"mmm-yy"))*
  ('Weekly Dump'!$B$2:$B1009=$C285)*
  'Weekly Dump'!$D$2:$D1009)</f>
        <v>0</v>
      </c>
      <c r="L285" s="4">
        <f>SUMPRODUCT(
  (TEXT('Weekly Dump'!$A$2:$A1009,"mmm-yy")=TEXT($AB285,"mmm-yy"))*
  ('Weekly Dump'!$B$2:$B1009=$C285)*
  'Weekly Dump'!$E$2:$E1009
)</f>
        <v>0</v>
      </c>
      <c r="M285" s="4">
        <f>SUMPRODUCT(
  (TEXT('Weekly Dump'!$A$2:$A1009,"mmm-yy")=TEXT($AB285,"mmm-yy"))*
  ('Weekly Dump'!$B$2:$B1009=$C285)*
  'Weekly Dump'!$P$2:$P1009
)</f>
        <v>0</v>
      </c>
      <c r="N285" s="39"/>
      <c r="O285" s="40">
        <f>SUMIFS('Weekly Dump'!$D:$D,'Weekly Dump'!$B:$B,$C285,'Weekly Dump'!$A:$A,$AB285)</f>
        <v>0</v>
      </c>
      <c r="P285" s="40">
        <f>SUMIFS('Weekly Dump'!R:R,'Weekly Dump'!B:B,C285,'Weekly Dump'!A:A,AB285)</f>
        <v>0</v>
      </c>
      <c r="Q285" s="40">
        <f t="shared" si="20"/>
        <v>0</v>
      </c>
      <c r="R285" s="41"/>
      <c r="T285" s="4">
        <f>SUMIFS('Weekly Dump'!E:E,'Weekly Dump'!B:B,C285,'Weekly Dump'!A:A,AB285)</f>
        <v>0</v>
      </c>
      <c r="U285" s="3">
        <f t="shared" si="21"/>
        <v>0</v>
      </c>
      <c r="V285" s="42"/>
      <c r="X285" s="4">
        <f>SUMIFS('Weekly Dump'!P:P,'Weekly Dump'!B:B,C285,'Weekly Dump'!A:A,AB285)</f>
        <v>0</v>
      </c>
      <c r="Y285" s="4">
        <f t="shared" si="22"/>
        <v>0</v>
      </c>
      <c r="Z285" s="41"/>
      <c r="AA285" s="12" t="str">
        <f>iferror(IF(VLOOKUP(C285,'Weekly Dump'!B:B,1,0)=C285,"Yes","Missing"),"")</f>
        <v/>
      </c>
      <c r="AB285" s="66"/>
    </row>
    <row r="286">
      <c r="B286" s="63"/>
      <c r="C286" s="63"/>
      <c r="G286" s="3" t="str">
        <f t="shared" si="26"/>
        <v/>
      </c>
      <c r="I286" s="4">
        <f>SUMIFS('Weekly Dump'!D:D,'Weekly Dump'!B:B,C286)</f>
        <v>0</v>
      </c>
      <c r="J286" s="5">
        <f>SUMIFS('Weekly Dump'!AE:AE,'Weekly Dump'!B:B,C286)</f>
        <v>0</v>
      </c>
      <c r="K286" s="4">
        <f>SUMPRODUCT(
  (TEXT('Weekly Dump'!$A$2:$A1009,"mmm-yy")=TEXT($AB286,"mmm-yy"))*
  ('Weekly Dump'!$B$2:$B1009=$C286)*
  'Weekly Dump'!$D$2:$D1009)</f>
        <v>0</v>
      </c>
      <c r="L286" s="4">
        <f>SUMPRODUCT(
  (TEXT('Weekly Dump'!$A$2:$A1009,"mmm-yy")=TEXT($AB286,"mmm-yy"))*
  ('Weekly Dump'!$B$2:$B1009=$C286)*
  'Weekly Dump'!$E$2:$E1009
)</f>
        <v>0</v>
      </c>
      <c r="M286" s="4">
        <f>SUMPRODUCT(
  (TEXT('Weekly Dump'!$A$2:$A1009,"mmm-yy")=TEXT($AB286,"mmm-yy"))*
  ('Weekly Dump'!$B$2:$B1009=$C286)*
  'Weekly Dump'!$P$2:$P1009
)</f>
        <v>0</v>
      </c>
      <c r="N286" s="39"/>
      <c r="O286" s="40">
        <f>SUMIFS('Weekly Dump'!$D:$D,'Weekly Dump'!$B:$B,$C286,'Weekly Dump'!$A:$A,$AB286)</f>
        <v>0</v>
      </c>
      <c r="P286" s="40">
        <f>SUMIFS('Weekly Dump'!R:R,'Weekly Dump'!B:B,C286,'Weekly Dump'!A:A,AB286)</f>
        <v>0</v>
      </c>
      <c r="Q286" s="40">
        <f t="shared" si="20"/>
        <v>0</v>
      </c>
      <c r="R286" s="41"/>
      <c r="T286" s="4">
        <f>SUMIFS('Weekly Dump'!E:E,'Weekly Dump'!B:B,C286,'Weekly Dump'!A:A,AB286)</f>
        <v>0</v>
      </c>
      <c r="U286" s="3">
        <f t="shared" si="21"/>
        <v>0</v>
      </c>
      <c r="V286" s="42"/>
      <c r="X286" s="4">
        <f>SUMIFS('Weekly Dump'!P:P,'Weekly Dump'!B:B,C286,'Weekly Dump'!A:A,AB286)</f>
        <v>0</v>
      </c>
      <c r="Y286" s="4">
        <f t="shared" si="22"/>
        <v>0</v>
      </c>
      <c r="Z286" s="41"/>
      <c r="AA286" s="12" t="str">
        <f>iferror(IF(VLOOKUP(C286,'Weekly Dump'!B:B,1,0)=C286,"Yes","Missing"),"")</f>
        <v/>
      </c>
      <c r="AB286" s="66"/>
    </row>
    <row r="287">
      <c r="B287" s="63"/>
      <c r="C287" s="63"/>
      <c r="G287" s="3" t="str">
        <f t="shared" si="26"/>
        <v/>
      </c>
      <c r="I287" s="4">
        <f>SUMIFS('Weekly Dump'!D:D,'Weekly Dump'!B:B,C287)</f>
        <v>0</v>
      </c>
      <c r="J287" s="5">
        <f>SUMIFS('Weekly Dump'!AE:AE,'Weekly Dump'!B:B,C287)</f>
        <v>0</v>
      </c>
      <c r="K287" s="4">
        <f>SUMPRODUCT(
  (TEXT('Weekly Dump'!$A$2:$A1009,"mmm-yy")=TEXT($AB287,"mmm-yy"))*
  ('Weekly Dump'!$B$2:$B1009=$C287)*
  'Weekly Dump'!$D$2:$D1009)</f>
        <v>0</v>
      </c>
      <c r="L287" s="4">
        <f>SUMPRODUCT(
  (TEXT('Weekly Dump'!$A$2:$A1009,"mmm-yy")=TEXT($AB287,"mmm-yy"))*
  ('Weekly Dump'!$B$2:$B1009=$C287)*
  'Weekly Dump'!$E$2:$E1009
)</f>
        <v>0</v>
      </c>
      <c r="M287" s="4">
        <f>SUMPRODUCT(
  (TEXT('Weekly Dump'!$A$2:$A1009,"mmm-yy")=TEXT($AB287,"mmm-yy"))*
  ('Weekly Dump'!$B$2:$B1009=$C287)*
  'Weekly Dump'!$P$2:$P1009
)</f>
        <v>0</v>
      </c>
      <c r="N287" s="39"/>
      <c r="O287" s="40">
        <f>SUMIFS('Weekly Dump'!$D:$D,'Weekly Dump'!$B:$B,$C287,'Weekly Dump'!$A:$A,$AB287)</f>
        <v>0</v>
      </c>
      <c r="P287" s="40">
        <f>SUMIFS('Weekly Dump'!R:R,'Weekly Dump'!B:B,C287,'Weekly Dump'!A:A,AB287)</f>
        <v>0</v>
      </c>
      <c r="Q287" s="40">
        <f t="shared" si="20"/>
        <v>0</v>
      </c>
      <c r="R287" s="41"/>
      <c r="T287" s="4">
        <f>SUMIFS('Weekly Dump'!E:E,'Weekly Dump'!B:B,C287,'Weekly Dump'!A:A,AB287)</f>
        <v>0</v>
      </c>
      <c r="U287" s="3">
        <f t="shared" si="21"/>
        <v>0</v>
      </c>
      <c r="V287" s="42"/>
      <c r="X287" s="4">
        <f>SUMIFS('Weekly Dump'!P:P,'Weekly Dump'!B:B,C287,'Weekly Dump'!A:A,AB287)</f>
        <v>0</v>
      </c>
      <c r="Y287" s="4">
        <f t="shared" si="22"/>
        <v>0</v>
      </c>
      <c r="Z287" s="41"/>
      <c r="AA287" s="12" t="str">
        <f>iferror(IF(VLOOKUP(C287,'Weekly Dump'!B:B,1,0)=C287,"Yes","Missing"),"")</f>
        <v/>
      </c>
      <c r="AB287" s="66"/>
    </row>
    <row r="288">
      <c r="B288" s="63"/>
      <c r="C288" s="63"/>
      <c r="G288" s="3" t="str">
        <f t="shared" si="26"/>
        <v/>
      </c>
      <c r="I288" s="4">
        <f>SUMIFS('Weekly Dump'!D:D,'Weekly Dump'!B:B,C288)</f>
        <v>0</v>
      </c>
      <c r="J288" s="5">
        <f>SUMIFS('Weekly Dump'!AE:AE,'Weekly Dump'!B:B,C288)</f>
        <v>0</v>
      </c>
      <c r="K288" s="4">
        <f>SUMPRODUCT(
  (TEXT('Weekly Dump'!$A$2:$A1009,"mmm-yy")=TEXT($AB288,"mmm-yy"))*
  ('Weekly Dump'!$B$2:$B1009=$C288)*
  'Weekly Dump'!$D$2:$D1009)</f>
        <v>0</v>
      </c>
      <c r="L288" s="4">
        <f>SUMPRODUCT(
  (TEXT('Weekly Dump'!$A$2:$A1009,"mmm-yy")=TEXT($AB288,"mmm-yy"))*
  ('Weekly Dump'!$B$2:$B1009=$C288)*
  'Weekly Dump'!$E$2:$E1009
)</f>
        <v>0</v>
      </c>
      <c r="M288" s="4">
        <f>SUMPRODUCT(
  (TEXT('Weekly Dump'!$A$2:$A1009,"mmm-yy")=TEXT($AB288,"mmm-yy"))*
  ('Weekly Dump'!$B$2:$B1009=$C288)*
  'Weekly Dump'!$P$2:$P1009
)</f>
        <v>0</v>
      </c>
      <c r="N288" s="39"/>
      <c r="O288" s="40">
        <f>SUMIFS('Weekly Dump'!$D:$D,'Weekly Dump'!$B:$B,$C288,'Weekly Dump'!$A:$A,$AB288)</f>
        <v>0</v>
      </c>
      <c r="P288" s="40">
        <f>SUMIFS('Weekly Dump'!R:R,'Weekly Dump'!B:B,C288,'Weekly Dump'!A:A,AB288)</f>
        <v>0</v>
      </c>
      <c r="Q288" s="40">
        <f t="shared" si="20"/>
        <v>0</v>
      </c>
      <c r="R288" s="41"/>
      <c r="T288" s="4">
        <f>SUMIFS('Weekly Dump'!E:E,'Weekly Dump'!B:B,C288,'Weekly Dump'!A:A,AB288)</f>
        <v>0</v>
      </c>
      <c r="U288" s="3">
        <f t="shared" si="21"/>
        <v>0</v>
      </c>
      <c r="V288" s="42"/>
      <c r="X288" s="4">
        <f>SUMIFS('Weekly Dump'!P:P,'Weekly Dump'!B:B,C288,'Weekly Dump'!A:A,AB288)</f>
        <v>0</v>
      </c>
      <c r="Y288" s="4">
        <f t="shared" si="22"/>
        <v>0</v>
      </c>
      <c r="Z288" s="41"/>
      <c r="AA288" s="12" t="str">
        <f>iferror(IF(VLOOKUP(C288,'Weekly Dump'!B:B,1,0)=C288,"Yes","Missing"),"")</f>
        <v/>
      </c>
      <c r="AB288" s="66"/>
    </row>
    <row r="289">
      <c r="B289" s="63"/>
      <c r="C289" s="63"/>
      <c r="G289" s="3" t="str">
        <f t="shared" si="26"/>
        <v/>
      </c>
      <c r="I289" s="4">
        <f>SUMIFS('Weekly Dump'!D:D,'Weekly Dump'!B:B,C289)</f>
        <v>0</v>
      </c>
      <c r="J289" s="5">
        <f>SUMIFS('Weekly Dump'!AE:AE,'Weekly Dump'!B:B,C289)</f>
        <v>0</v>
      </c>
      <c r="K289" s="4">
        <f>SUMPRODUCT(
  (TEXT('Weekly Dump'!$A$2:$A1009,"mmm-yy")=TEXT($AB289,"mmm-yy"))*
  ('Weekly Dump'!$B$2:$B1009=$C289)*
  'Weekly Dump'!$D$2:$D1009)</f>
        <v>0</v>
      </c>
      <c r="L289" s="4">
        <f>SUMPRODUCT(
  (TEXT('Weekly Dump'!$A$2:$A1009,"mmm-yy")=TEXT($AB289,"mmm-yy"))*
  ('Weekly Dump'!$B$2:$B1009=$C289)*
  'Weekly Dump'!$E$2:$E1009
)</f>
        <v>0</v>
      </c>
      <c r="M289" s="4">
        <f>SUMPRODUCT(
  (TEXT('Weekly Dump'!$A$2:$A1009,"mmm-yy")=TEXT($AB289,"mmm-yy"))*
  ('Weekly Dump'!$B$2:$B1009=$C289)*
  'Weekly Dump'!$P$2:$P1009
)</f>
        <v>0</v>
      </c>
      <c r="N289" s="39"/>
      <c r="O289" s="40">
        <f>SUMIFS('Weekly Dump'!$D:$D,'Weekly Dump'!$B:$B,$C289,'Weekly Dump'!$A:$A,$AB289)</f>
        <v>0</v>
      </c>
      <c r="P289" s="40">
        <f>SUMIFS('Weekly Dump'!R:R,'Weekly Dump'!B:B,C289,'Weekly Dump'!A:A,AB289)</f>
        <v>0</v>
      </c>
      <c r="Q289" s="40">
        <f t="shared" si="20"/>
        <v>0</v>
      </c>
      <c r="R289" s="41"/>
      <c r="T289" s="4">
        <f>SUMIFS('Weekly Dump'!E:E,'Weekly Dump'!B:B,C289,'Weekly Dump'!A:A,AB289)</f>
        <v>0</v>
      </c>
      <c r="U289" s="3">
        <f t="shared" si="21"/>
        <v>0</v>
      </c>
      <c r="V289" s="42"/>
      <c r="X289" s="4">
        <f>SUMIFS('Weekly Dump'!P:P,'Weekly Dump'!B:B,C289,'Weekly Dump'!A:A,AB289)</f>
        <v>0</v>
      </c>
      <c r="Y289" s="4">
        <f t="shared" si="22"/>
        <v>0</v>
      </c>
      <c r="Z289" s="41"/>
      <c r="AA289" s="12" t="str">
        <f>iferror(IF(VLOOKUP(C289,'Weekly Dump'!B:B,1,0)=C289,"Yes","Missing"),"")</f>
        <v/>
      </c>
      <c r="AB289" s="66"/>
    </row>
    <row r="290">
      <c r="B290" s="63"/>
      <c r="C290" s="63"/>
      <c r="G290" s="3" t="str">
        <f t="shared" si="26"/>
        <v/>
      </c>
      <c r="I290" s="4">
        <f>SUMIFS('Weekly Dump'!D:D,'Weekly Dump'!B:B,C290)</f>
        <v>0</v>
      </c>
      <c r="J290" s="5">
        <f>SUMIFS('Weekly Dump'!AE:AE,'Weekly Dump'!B:B,C290)</f>
        <v>0</v>
      </c>
      <c r="K290" s="4">
        <f>SUMPRODUCT(
  (TEXT('Weekly Dump'!$A$2:$A1009,"mmm-yy")=TEXT($AB290,"mmm-yy"))*
  ('Weekly Dump'!$B$2:$B1009=$C290)*
  'Weekly Dump'!$D$2:$D1009)</f>
        <v>0</v>
      </c>
      <c r="L290" s="4">
        <f>SUMPRODUCT(
  (TEXT('Weekly Dump'!$A$2:$A1009,"mmm-yy")=TEXT($AB290,"mmm-yy"))*
  ('Weekly Dump'!$B$2:$B1009=$C290)*
  'Weekly Dump'!$E$2:$E1009
)</f>
        <v>0</v>
      </c>
      <c r="M290" s="4">
        <f>SUMPRODUCT(
  (TEXT('Weekly Dump'!$A$2:$A1009,"mmm-yy")=TEXT($AB290,"mmm-yy"))*
  ('Weekly Dump'!$B$2:$B1009=$C290)*
  'Weekly Dump'!$P$2:$P1009
)</f>
        <v>0</v>
      </c>
      <c r="N290" s="39"/>
      <c r="O290" s="40">
        <f>SUMIFS('Weekly Dump'!$D:$D,'Weekly Dump'!$B:$B,$C290,'Weekly Dump'!$A:$A,$AB290)</f>
        <v>0</v>
      </c>
      <c r="P290" s="40">
        <f>SUMIFS('Weekly Dump'!R:R,'Weekly Dump'!B:B,C290,'Weekly Dump'!A:A,AB290)</f>
        <v>0</v>
      </c>
      <c r="Q290" s="40">
        <f t="shared" si="20"/>
        <v>0</v>
      </c>
      <c r="R290" s="41"/>
      <c r="T290" s="4">
        <f>SUMIFS('Weekly Dump'!E:E,'Weekly Dump'!B:B,C290,'Weekly Dump'!A:A,AB290)</f>
        <v>0</v>
      </c>
      <c r="U290" s="3">
        <f t="shared" si="21"/>
        <v>0</v>
      </c>
      <c r="V290" s="42"/>
      <c r="X290" s="4">
        <f>SUMIFS('Weekly Dump'!P:P,'Weekly Dump'!B:B,C290,'Weekly Dump'!A:A,AB290)</f>
        <v>0</v>
      </c>
      <c r="Y290" s="4">
        <f t="shared" si="22"/>
        <v>0</v>
      </c>
      <c r="Z290" s="41"/>
      <c r="AA290" s="12" t="str">
        <f>iferror(IF(VLOOKUP(C290,'Weekly Dump'!B:B,1,0)=C290,"Yes","Missing"),"")</f>
        <v/>
      </c>
      <c r="AB290" s="66"/>
    </row>
    <row r="291">
      <c r="B291" s="63"/>
      <c r="C291" s="63"/>
      <c r="G291" s="3" t="str">
        <f t="shared" si="26"/>
        <v/>
      </c>
      <c r="I291" s="4">
        <f>SUMIFS('Weekly Dump'!D:D,'Weekly Dump'!B:B,C291)</f>
        <v>0</v>
      </c>
      <c r="J291" s="5">
        <f>SUMIFS('Weekly Dump'!AE:AE,'Weekly Dump'!B:B,C291)</f>
        <v>0</v>
      </c>
      <c r="K291" s="4">
        <f>SUMPRODUCT(
  (TEXT('Weekly Dump'!$A$2:$A1009,"mmm-yy")=TEXT($AB291,"mmm-yy"))*
  ('Weekly Dump'!$B$2:$B1009=$C291)*
  'Weekly Dump'!$D$2:$D1009)</f>
        <v>0</v>
      </c>
      <c r="L291" s="4">
        <f>SUMPRODUCT(
  (TEXT('Weekly Dump'!$A$2:$A1009,"mmm-yy")=TEXT($AB291,"mmm-yy"))*
  ('Weekly Dump'!$B$2:$B1009=$C291)*
  'Weekly Dump'!$E$2:$E1009
)</f>
        <v>0</v>
      </c>
      <c r="M291" s="4">
        <f>SUMPRODUCT(
  (TEXT('Weekly Dump'!$A$2:$A1009,"mmm-yy")=TEXT($AB291,"mmm-yy"))*
  ('Weekly Dump'!$B$2:$B1009=$C291)*
  'Weekly Dump'!$P$2:$P1009
)</f>
        <v>0</v>
      </c>
      <c r="N291" s="39"/>
      <c r="O291" s="40">
        <f>SUMIFS('Weekly Dump'!$D:$D,'Weekly Dump'!$B:$B,$C291,'Weekly Dump'!$A:$A,$AB291)</f>
        <v>0</v>
      </c>
      <c r="P291" s="40">
        <f>SUMIFS('Weekly Dump'!R:R,'Weekly Dump'!B:B,C291,'Weekly Dump'!A:A,AB291)</f>
        <v>0</v>
      </c>
      <c r="Q291" s="40">
        <f t="shared" si="20"/>
        <v>0</v>
      </c>
      <c r="R291" s="41"/>
      <c r="T291" s="4">
        <f>SUMIFS('Weekly Dump'!E:E,'Weekly Dump'!B:B,C291,'Weekly Dump'!A:A,AB291)</f>
        <v>0</v>
      </c>
      <c r="U291" s="3">
        <f t="shared" si="21"/>
        <v>0</v>
      </c>
      <c r="V291" s="42"/>
      <c r="X291" s="4">
        <f>SUMIFS('Weekly Dump'!P:P,'Weekly Dump'!B:B,C291,'Weekly Dump'!A:A,AB291)</f>
        <v>0</v>
      </c>
      <c r="Y291" s="4">
        <f t="shared" si="22"/>
        <v>0</v>
      </c>
      <c r="Z291" s="41"/>
      <c r="AA291" s="12" t="str">
        <f>iferror(IF(VLOOKUP(C291,'Weekly Dump'!B:B,1,0)=C291,"Yes","Missing"),"")</f>
        <v/>
      </c>
      <c r="AB291" s="66"/>
    </row>
    <row r="292">
      <c r="B292" s="63"/>
      <c r="C292" s="63"/>
      <c r="G292" s="3" t="str">
        <f t="shared" si="26"/>
        <v/>
      </c>
      <c r="I292" s="4">
        <f>SUMIFS('Weekly Dump'!D:D,'Weekly Dump'!B:B,C292)</f>
        <v>0</v>
      </c>
      <c r="J292" s="5">
        <f>SUMIFS('Weekly Dump'!AE:AE,'Weekly Dump'!B:B,C292)</f>
        <v>0</v>
      </c>
      <c r="K292" s="4">
        <f>SUMPRODUCT(
  (TEXT('Weekly Dump'!$A$2:$A1009,"mmm-yy")=TEXT($AB292,"mmm-yy"))*
  ('Weekly Dump'!$B$2:$B1009=$C292)*
  'Weekly Dump'!$D$2:$D1009)</f>
        <v>0</v>
      </c>
      <c r="L292" s="4">
        <f>SUMPRODUCT(
  (TEXT('Weekly Dump'!$A$2:$A1009,"mmm-yy")=TEXT($AB292,"mmm-yy"))*
  ('Weekly Dump'!$B$2:$B1009=$C292)*
  'Weekly Dump'!$E$2:$E1009
)</f>
        <v>0</v>
      </c>
      <c r="M292" s="4">
        <f>SUMPRODUCT(
  (TEXT('Weekly Dump'!$A$2:$A1009,"mmm-yy")=TEXT($AB292,"mmm-yy"))*
  ('Weekly Dump'!$B$2:$B1009=$C292)*
  'Weekly Dump'!$P$2:$P1009
)</f>
        <v>0</v>
      </c>
      <c r="N292" s="39"/>
      <c r="O292" s="40">
        <f>SUMIFS('Weekly Dump'!$D:$D,'Weekly Dump'!$B:$B,$C292,'Weekly Dump'!$A:$A,$AB292)</f>
        <v>0</v>
      </c>
      <c r="P292" s="40">
        <f>SUMIFS('Weekly Dump'!R:R,'Weekly Dump'!B:B,C292,'Weekly Dump'!A:A,AB292)</f>
        <v>0</v>
      </c>
      <c r="Q292" s="40">
        <f t="shared" si="20"/>
        <v>0</v>
      </c>
      <c r="R292" s="41"/>
      <c r="T292" s="4">
        <f>SUMIFS('Weekly Dump'!E:E,'Weekly Dump'!B:B,C292,'Weekly Dump'!A:A,AB292)</f>
        <v>0</v>
      </c>
      <c r="U292" s="3">
        <f t="shared" si="21"/>
        <v>0</v>
      </c>
      <c r="V292" s="42"/>
      <c r="X292" s="4">
        <f>SUMIFS('Weekly Dump'!P:P,'Weekly Dump'!B:B,C292,'Weekly Dump'!A:A,AB292)</f>
        <v>0</v>
      </c>
      <c r="Y292" s="4">
        <f t="shared" si="22"/>
        <v>0</v>
      </c>
      <c r="Z292" s="41"/>
      <c r="AA292" s="12" t="str">
        <f>iferror(IF(VLOOKUP(C292,'Weekly Dump'!B:B,1,0)=C292,"Yes","Missing"),"")</f>
        <v/>
      </c>
      <c r="AB292" s="66"/>
    </row>
    <row r="293">
      <c r="B293" s="63"/>
      <c r="C293" s="63"/>
      <c r="G293" s="3" t="str">
        <f t="shared" si="26"/>
        <v/>
      </c>
      <c r="I293" s="4">
        <f>SUMIFS('Weekly Dump'!D:D,'Weekly Dump'!B:B,C293)</f>
        <v>0</v>
      </c>
      <c r="J293" s="5">
        <f>SUMIFS('Weekly Dump'!AE:AE,'Weekly Dump'!B:B,C293)</f>
        <v>0</v>
      </c>
      <c r="K293" s="4">
        <f>SUMPRODUCT(
  (TEXT('Weekly Dump'!$A$2:$A1009,"mmm-yy")=TEXT($AB293,"mmm-yy"))*
  ('Weekly Dump'!$B$2:$B1009=$C293)*
  'Weekly Dump'!$D$2:$D1009)</f>
        <v>0</v>
      </c>
      <c r="L293" s="4">
        <f>SUMPRODUCT(
  (TEXT('Weekly Dump'!$A$2:$A1009,"mmm-yy")=TEXT($AB293,"mmm-yy"))*
  ('Weekly Dump'!$B$2:$B1009=$C293)*
  'Weekly Dump'!$E$2:$E1009
)</f>
        <v>0</v>
      </c>
      <c r="M293" s="4">
        <f>SUMPRODUCT(
  (TEXT('Weekly Dump'!$A$2:$A1009,"mmm-yy")=TEXT($AB293,"mmm-yy"))*
  ('Weekly Dump'!$B$2:$B1009=$C293)*
  'Weekly Dump'!$P$2:$P1009
)</f>
        <v>0</v>
      </c>
      <c r="N293" s="39"/>
      <c r="O293" s="40">
        <f>SUMIFS('Weekly Dump'!$D:$D,'Weekly Dump'!$B:$B,$C293,'Weekly Dump'!$A:$A,$AB293)</f>
        <v>0</v>
      </c>
      <c r="P293" s="40">
        <f>SUMIFS('Weekly Dump'!R:R,'Weekly Dump'!B:B,C293,'Weekly Dump'!A:A,AB293)</f>
        <v>0</v>
      </c>
      <c r="Q293" s="40">
        <f t="shared" si="20"/>
        <v>0</v>
      </c>
      <c r="R293" s="41"/>
      <c r="T293" s="4">
        <f>SUMIFS('Weekly Dump'!E:E,'Weekly Dump'!B:B,C293,'Weekly Dump'!A:A,AB293)</f>
        <v>0</v>
      </c>
      <c r="U293" s="3">
        <f t="shared" si="21"/>
        <v>0</v>
      </c>
      <c r="V293" s="42"/>
      <c r="X293" s="4">
        <f>SUMIFS('Weekly Dump'!P:P,'Weekly Dump'!B:B,C293,'Weekly Dump'!A:A,AB293)</f>
        <v>0</v>
      </c>
      <c r="Y293" s="4">
        <f t="shared" si="22"/>
        <v>0</v>
      </c>
      <c r="Z293" s="41"/>
      <c r="AA293" s="12" t="str">
        <f>iferror(IF(VLOOKUP(C293,'Weekly Dump'!B:B,1,0)=C293,"Yes","Missing"),"")</f>
        <v/>
      </c>
      <c r="AB293" s="66"/>
    </row>
    <row r="294">
      <c r="B294" s="63"/>
      <c r="C294" s="63"/>
      <c r="G294" s="3" t="str">
        <f t="shared" si="26"/>
        <v/>
      </c>
      <c r="I294" s="4">
        <f>SUMIFS('Weekly Dump'!D:D,'Weekly Dump'!B:B,C294)</f>
        <v>0</v>
      </c>
      <c r="J294" s="5">
        <f>SUMIFS('Weekly Dump'!AE:AE,'Weekly Dump'!B:B,C294)</f>
        <v>0</v>
      </c>
      <c r="K294" s="4">
        <f>SUMPRODUCT(
  (TEXT('Weekly Dump'!$A$2:$A1009,"mmm-yy")=TEXT($AB294,"mmm-yy"))*
  ('Weekly Dump'!$B$2:$B1009=$C294)*
  'Weekly Dump'!$D$2:$D1009)</f>
        <v>0</v>
      </c>
      <c r="L294" s="4">
        <f>SUMPRODUCT(
  (TEXT('Weekly Dump'!$A$2:$A1009,"mmm-yy")=TEXT($AB294,"mmm-yy"))*
  ('Weekly Dump'!$B$2:$B1009=$C294)*
  'Weekly Dump'!$E$2:$E1009
)</f>
        <v>0</v>
      </c>
      <c r="M294" s="4">
        <f>SUMPRODUCT(
  (TEXT('Weekly Dump'!$A$2:$A1009,"mmm-yy")=TEXT($AB294,"mmm-yy"))*
  ('Weekly Dump'!$B$2:$B1009=$C294)*
  'Weekly Dump'!$P$2:$P1009
)</f>
        <v>0</v>
      </c>
      <c r="N294" s="39"/>
      <c r="O294" s="40">
        <f>SUMIFS('Weekly Dump'!$D:$D,'Weekly Dump'!$B:$B,$C294,'Weekly Dump'!$A:$A,$AB294)</f>
        <v>0</v>
      </c>
      <c r="P294" s="40">
        <f>SUMIFS('Weekly Dump'!R:R,'Weekly Dump'!B:B,C294,'Weekly Dump'!A:A,AB294)</f>
        <v>0</v>
      </c>
      <c r="Q294" s="40">
        <f t="shared" si="20"/>
        <v>0</v>
      </c>
      <c r="R294" s="41"/>
      <c r="T294" s="4">
        <f>SUMIFS('Weekly Dump'!E:E,'Weekly Dump'!B:B,C294,'Weekly Dump'!A:A,AB294)</f>
        <v>0</v>
      </c>
      <c r="U294" s="3">
        <f t="shared" si="21"/>
        <v>0</v>
      </c>
      <c r="V294" s="42"/>
      <c r="X294" s="4">
        <f>SUMIFS('Weekly Dump'!P:P,'Weekly Dump'!B:B,C294,'Weekly Dump'!A:A,AB294)</f>
        <v>0</v>
      </c>
      <c r="Y294" s="4">
        <f t="shared" si="22"/>
        <v>0</v>
      </c>
      <c r="Z294" s="41"/>
      <c r="AA294" s="12" t="str">
        <f>iferror(IF(VLOOKUP(C294,'Weekly Dump'!B:B,1,0)=C294,"Yes","Missing"),"")</f>
        <v/>
      </c>
      <c r="AB294" s="66"/>
    </row>
    <row r="295">
      <c r="B295" s="63"/>
      <c r="C295" s="63"/>
      <c r="G295" s="3" t="str">
        <f t="shared" si="26"/>
        <v/>
      </c>
      <c r="I295" s="4">
        <f>SUMIFS('Weekly Dump'!D:D,'Weekly Dump'!B:B,C295)</f>
        <v>0</v>
      </c>
      <c r="J295" s="5">
        <f>SUMIFS('Weekly Dump'!AE:AE,'Weekly Dump'!B:B,C295)</f>
        <v>0</v>
      </c>
      <c r="K295" s="4">
        <f>SUMPRODUCT(
  (TEXT('Weekly Dump'!$A$2:$A1009,"mmm-yy")=TEXT($AB295,"mmm-yy"))*
  ('Weekly Dump'!$B$2:$B1009=$C295)*
  'Weekly Dump'!$D$2:$D1009)</f>
        <v>0</v>
      </c>
      <c r="L295" s="4">
        <f>SUMPRODUCT(
  (TEXT('Weekly Dump'!$A$2:$A1009,"mmm-yy")=TEXT($AB295,"mmm-yy"))*
  ('Weekly Dump'!$B$2:$B1009=$C295)*
  'Weekly Dump'!$E$2:$E1009
)</f>
        <v>0</v>
      </c>
      <c r="M295" s="4">
        <f>SUMPRODUCT(
  (TEXT('Weekly Dump'!$A$2:$A1009,"mmm-yy")=TEXT($AB295,"mmm-yy"))*
  ('Weekly Dump'!$B$2:$B1009=$C295)*
  'Weekly Dump'!$P$2:$P1009
)</f>
        <v>0</v>
      </c>
      <c r="N295" s="39"/>
      <c r="O295" s="40">
        <f>SUMIFS('Weekly Dump'!$D:$D,'Weekly Dump'!$B:$B,$C295,'Weekly Dump'!$A:$A,$AB295)</f>
        <v>0</v>
      </c>
      <c r="P295" s="40">
        <f>SUMIFS('Weekly Dump'!R:R,'Weekly Dump'!B:B,C295,'Weekly Dump'!A:A,AB295)</f>
        <v>0</v>
      </c>
      <c r="Q295" s="40">
        <f t="shared" si="20"/>
        <v>0</v>
      </c>
      <c r="R295" s="41"/>
      <c r="T295" s="4">
        <f>SUMIFS('Weekly Dump'!E:E,'Weekly Dump'!B:B,C295,'Weekly Dump'!A:A,AB295)</f>
        <v>0</v>
      </c>
      <c r="U295" s="3">
        <f t="shared" si="21"/>
        <v>0</v>
      </c>
      <c r="V295" s="42"/>
      <c r="X295" s="4">
        <f>SUMIFS('Weekly Dump'!P:P,'Weekly Dump'!B:B,C295,'Weekly Dump'!A:A,AB295)</f>
        <v>0</v>
      </c>
      <c r="Y295" s="4">
        <f t="shared" si="22"/>
        <v>0</v>
      </c>
      <c r="Z295" s="41"/>
      <c r="AA295" s="12" t="str">
        <f>iferror(IF(VLOOKUP(C295,'Weekly Dump'!B:B,1,0)=C295,"Yes","Missing"),"")</f>
        <v/>
      </c>
      <c r="AB295" s="66"/>
    </row>
    <row r="296">
      <c r="B296" s="63"/>
      <c r="C296" s="63"/>
      <c r="G296" s="3" t="str">
        <f t="shared" si="26"/>
        <v/>
      </c>
      <c r="I296" s="4">
        <f>SUMIFS('Weekly Dump'!D:D,'Weekly Dump'!B:B,C296)</f>
        <v>0</v>
      </c>
      <c r="J296" s="5">
        <f>SUMIFS('Weekly Dump'!AE:AE,'Weekly Dump'!B:B,C296)</f>
        <v>0</v>
      </c>
      <c r="K296" s="4">
        <f>SUMPRODUCT(
  (TEXT('Weekly Dump'!$A$2:$A1009,"mmm-yy")=TEXT($AB296,"mmm-yy"))*
  ('Weekly Dump'!$B$2:$B1009=$C296)*
  'Weekly Dump'!$D$2:$D1009)</f>
        <v>0</v>
      </c>
      <c r="L296" s="4">
        <f>SUMPRODUCT(
  (TEXT('Weekly Dump'!$A$2:$A1009,"mmm-yy")=TEXT($AB296,"mmm-yy"))*
  ('Weekly Dump'!$B$2:$B1009=$C296)*
  'Weekly Dump'!$E$2:$E1009
)</f>
        <v>0</v>
      </c>
      <c r="M296" s="4">
        <f>SUMPRODUCT(
  (TEXT('Weekly Dump'!$A$2:$A1009,"mmm-yy")=TEXT($AB296,"mmm-yy"))*
  ('Weekly Dump'!$B$2:$B1009=$C296)*
  'Weekly Dump'!$P$2:$P1009
)</f>
        <v>0</v>
      </c>
      <c r="N296" s="39"/>
      <c r="O296" s="40">
        <f>SUMIFS('Weekly Dump'!$D:$D,'Weekly Dump'!$B:$B,$C296,'Weekly Dump'!$A:$A,$AB296)</f>
        <v>0</v>
      </c>
      <c r="P296" s="40">
        <f>SUMIFS('Weekly Dump'!R:R,'Weekly Dump'!B:B,C296,'Weekly Dump'!A:A,AB296)</f>
        <v>0</v>
      </c>
      <c r="Q296" s="40">
        <f t="shared" si="20"/>
        <v>0</v>
      </c>
      <c r="R296" s="41"/>
      <c r="T296" s="4">
        <f>SUMIFS('Weekly Dump'!E:E,'Weekly Dump'!B:B,C296,'Weekly Dump'!A:A,AB296)</f>
        <v>0</v>
      </c>
      <c r="U296" s="3">
        <f t="shared" si="21"/>
        <v>0</v>
      </c>
      <c r="V296" s="42"/>
      <c r="X296" s="4">
        <f>SUMIFS('Weekly Dump'!P:P,'Weekly Dump'!B:B,C296,'Weekly Dump'!A:A,AB296)</f>
        <v>0</v>
      </c>
      <c r="Y296" s="4">
        <f t="shared" si="22"/>
        <v>0</v>
      </c>
      <c r="Z296" s="41"/>
      <c r="AA296" s="12" t="str">
        <f>iferror(IF(VLOOKUP(C296,'Weekly Dump'!B:B,1,0)=C296,"Yes","Missing"),"")</f>
        <v/>
      </c>
      <c r="AB296" s="66"/>
    </row>
    <row r="297">
      <c r="B297" s="63"/>
      <c r="C297" s="63"/>
      <c r="G297" s="3" t="str">
        <f t="shared" si="26"/>
        <v/>
      </c>
      <c r="I297" s="4">
        <f>SUMIFS('Weekly Dump'!D:D,'Weekly Dump'!B:B,C297)</f>
        <v>0</v>
      </c>
      <c r="J297" s="5">
        <f>SUMIFS('Weekly Dump'!AE:AE,'Weekly Dump'!B:B,C297)</f>
        <v>0</v>
      </c>
      <c r="K297" s="4">
        <f>SUMPRODUCT(
  (TEXT('Weekly Dump'!$A$2:$A1009,"mmm-yy")=TEXT($AB297,"mmm-yy"))*
  ('Weekly Dump'!$B$2:$B1009=$C297)*
  'Weekly Dump'!$D$2:$D1009)</f>
        <v>0</v>
      </c>
      <c r="L297" s="4">
        <f>SUMPRODUCT(
  (TEXT('Weekly Dump'!$A$2:$A1009,"mmm-yy")=TEXT($AB297,"mmm-yy"))*
  ('Weekly Dump'!$B$2:$B1009=$C297)*
  'Weekly Dump'!$E$2:$E1009
)</f>
        <v>0</v>
      </c>
      <c r="M297" s="4">
        <f>SUMPRODUCT(
  (TEXT('Weekly Dump'!$A$2:$A1009,"mmm-yy")=TEXT($AB297,"mmm-yy"))*
  ('Weekly Dump'!$B$2:$B1009=$C297)*
  'Weekly Dump'!$P$2:$P1009
)</f>
        <v>0</v>
      </c>
      <c r="N297" s="39"/>
      <c r="O297" s="40">
        <f>SUMIFS('Weekly Dump'!$D:$D,'Weekly Dump'!$B:$B,$C297,'Weekly Dump'!$A:$A,$AB297)</f>
        <v>0</v>
      </c>
      <c r="P297" s="40">
        <f>SUMIFS('Weekly Dump'!R:R,'Weekly Dump'!B:B,C297,'Weekly Dump'!A:A,AB297)</f>
        <v>0</v>
      </c>
      <c r="Q297" s="40">
        <f t="shared" si="20"/>
        <v>0</v>
      </c>
      <c r="R297" s="41"/>
      <c r="T297" s="4">
        <f>SUMIFS('Weekly Dump'!E:E,'Weekly Dump'!B:B,C297,'Weekly Dump'!A:A,AB297)</f>
        <v>0</v>
      </c>
      <c r="U297" s="3">
        <f t="shared" si="21"/>
        <v>0</v>
      </c>
      <c r="V297" s="42"/>
      <c r="X297" s="4">
        <f>SUMIFS('Weekly Dump'!P:P,'Weekly Dump'!B:B,C297,'Weekly Dump'!A:A,AB297)</f>
        <v>0</v>
      </c>
      <c r="Y297" s="4">
        <f t="shared" si="22"/>
        <v>0</v>
      </c>
      <c r="Z297" s="41"/>
      <c r="AA297" s="12" t="str">
        <f>iferror(IF(VLOOKUP(C297,'Weekly Dump'!B:B,1,0)=C297,"Yes","Missing"),"")</f>
        <v/>
      </c>
      <c r="AB297" s="66"/>
    </row>
    <row r="298">
      <c r="B298" s="63"/>
      <c r="C298" s="63"/>
      <c r="G298" s="3" t="str">
        <f t="shared" si="26"/>
        <v/>
      </c>
      <c r="I298" s="4">
        <f>SUMIFS('Weekly Dump'!D:D,'Weekly Dump'!B:B,C298)</f>
        <v>0</v>
      </c>
      <c r="J298" s="5">
        <f>SUMIFS('Weekly Dump'!AE:AE,'Weekly Dump'!B:B,C298)</f>
        <v>0</v>
      </c>
      <c r="K298" s="4">
        <f>SUMPRODUCT(
  (TEXT('Weekly Dump'!$A$2:$A1009,"mmm-yy")=TEXT($AB298,"mmm-yy"))*
  ('Weekly Dump'!$B$2:$B1009=$C298)*
  'Weekly Dump'!$D$2:$D1009)</f>
        <v>0</v>
      </c>
      <c r="L298" s="4">
        <f>SUMPRODUCT(
  (TEXT('Weekly Dump'!$A$2:$A1009,"mmm-yy")=TEXT($AB298,"mmm-yy"))*
  ('Weekly Dump'!$B$2:$B1009=$C298)*
  'Weekly Dump'!$E$2:$E1009
)</f>
        <v>0</v>
      </c>
      <c r="M298" s="4">
        <f>SUMPRODUCT(
  (TEXT('Weekly Dump'!$A$2:$A1009,"mmm-yy")=TEXT($AB298,"mmm-yy"))*
  ('Weekly Dump'!$B$2:$B1009=$C298)*
  'Weekly Dump'!$P$2:$P1009
)</f>
        <v>0</v>
      </c>
      <c r="N298" s="39"/>
      <c r="O298" s="40">
        <f>SUMIFS('Weekly Dump'!$D:$D,'Weekly Dump'!$B:$B,$C298,'Weekly Dump'!$A:$A,$AB298)</f>
        <v>0</v>
      </c>
      <c r="P298" s="40">
        <f>SUMIFS('Weekly Dump'!R:R,'Weekly Dump'!B:B,C298,'Weekly Dump'!A:A,AB298)</f>
        <v>0</v>
      </c>
      <c r="Q298" s="40">
        <f t="shared" si="20"/>
        <v>0</v>
      </c>
      <c r="R298" s="41"/>
      <c r="T298" s="4">
        <f>SUMIFS('Weekly Dump'!E:E,'Weekly Dump'!B:B,C298,'Weekly Dump'!A:A,AB298)</f>
        <v>0</v>
      </c>
      <c r="U298" s="3">
        <f t="shared" si="21"/>
        <v>0</v>
      </c>
      <c r="V298" s="42"/>
      <c r="X298" s="4">
        <f>SUMIFS('Weekly Dump'!P:P,'Weekly Dump'!B:B,C298,'Weekly Dump'!A:A,AB298)</f>
        <v>0</v>
      </c>
      <c r="Y298" s="4">
        <f t="shared" si="22"/>
        <v>0</v>
      </c>
      <c r="Z298" s="41"/>
      <c r="AA298" s="12" t="str">
        <f>iferror(IF(VLOOKUP(C298,'Weekly Dump'!B:B,1,0)=C298,"Yes","Missing"),"")</f>
        <v/>
      </c>
      <c r="AB298" s="66"/>
    </row>
    <row r="299">
      <c r="B299" s="63"/>
      <c r="C299" s="63"/>
      <c r="G299" s="3" t="str">
        <f t="shared" si="26"/>
        <v/>
      </c>
      <c r="I299" s="4">
        <f>SUMIFS('Weekly Dump'!D:D,'Weekly Dump'!B:B,C299)</f>
        <v>0</v>
      </c>
      <c r="J299" s="5">
        <f>SUMIFS('Weekly Dump'!AE:AE,'Weekly Dump'!B:B,C299)</f>
        <v>0</v>
      </c>
      <c r="K299" s="4">
        <f>SUMPRODUCT(
  (TEXT('Weekly Dump'!$A$2:$A1009,"mmm-yy")=TEXT($AB299,"mmm-yy"))*
  ('Weekly Dump'!$B$2:$B1009=$C299)*
  'Weekly Dump'!$D$2:$D1009)</f>
        <v>0</v>
      </c>
      <c r="L299" s="4">
        <f>SUMPRODUCT(
  (TEXT('Weekly Dump'!$A$2:$A1009,"mmm-yy")=TEXT($AB299,"mmm-yy"))*
  ('Weekly Dump'!$B$2:$B1009=$C299)*
  'Weekly Dump'!$E$2:$E1009
)</f>
        <v>0</v>
      </c>
      <c r="M299" s="4">
        <f>SUMPRODUCT(
  (TEXT('Weekly Dump'!$A$2:$A1009,"mmm-yy")=TEXT($AB299,"mmm-yy"))*
  ('Weekly Dump'!$B$2:$B1009=$C299)*
  'Weekly Dump'!$P$2:$P1009
)</f>
        <v>0</v>
      </c>
      <c r="N299" s="39"/>
      <c r="O299" s="40">
        <f>SUMIFS('Weekly Dump'!$D:$D,'Weekly Dump'!$B:$B,$C299,'Weekly Dump'!$A:$A,$AB299)</f>
        <v>0</v>
      </c>
      <c r="P299" s="40">
        <f>SUMIFS('Weekly Dump'!R:R,'Weekly Dump'!B:B,C299,'Weekly Dump'!A:A,AB299)</f>
        <v>0</v>
      </c>
      <c r="Q299" s="40">
        <f t="shared" si="20"/>
        <v>0</v>
      </c>
      <c r="R299" s="41"/>
      <c r="T299" s="4">
        <f>SUMIFS('Weekly Dump'!E:E,'Weekly Dump'!B:B,C299,'Weekly Dump'!A:A,AB299)</f>
        <v>0</v>
      </c>
      <c r="U299" s="3">
        <f t="shared" si="21"/>
        <v>0</v>
      </c>
      <c r="V299" s="42"/>
      <c r="X299" s="4">
        <f>SUMIFS('Weekly Dump'!P:P,'Weekly Dump'!B:B,C299,'Weekly Dump'!A:A,AB299)</f>
        <v>0</v>
      </c>
      <c r="Y299" s="4">
        <f t="shared" si="22"/>
        <v>0</v>
      </c>
      <c r="Z299" s="41"/>
      <c r="AA299" s="12" t="str">
        <f>iferror(IF(VLOOKUP(C299,'Weekly Dump'!B:B,1,0)=C299,"Yes","Missing"),"")</f>
        <v/>
      </c>
      <c r="AB299" s="66"/>
    </row>
    <row r="300">
      <c r="B300" s="63"/>
      <c r="C300" s="63"/>
      <c r="G300" s="3" t="str">
        <f t="shared" si="26"/>
        <v/>
      </c>
      <c r="I300" s="4">
        <f>SUMIFS('Weekly Dump'!D:D,'Weekly Dump'!B:B,C300)</f>
        <v>0</v>
      </c>
      <c r="J300" s="5">
        <f>SUMIFS('Weekly Dump'!AE:AE,'Weekly Dump'!B:B,C300)</f>
        <v>0</v>
      </c>
      <c r="K300" s="4">
        <f>SUMPRODUCT(
  (TEXT('Weekly Dump'!$A$2:$A1009,"mmm-yy")=TEXT($AB300,"mmm-yy"))*
  ('Weekly Dump'!$B$2:$B1009=$C300)*
  'Weekly Dump'!$D$2:$D1009)</f>
        <v>0</v>
      </c>
      <c r="L300" s="4">
        <f>SUMPRODUCT(
  (TEXT('Weekly Dump'!$A$2:$A1009,"mmm-yy")=TEXT($AB300,"mmm-yy"))*
  ('Weekly Dump'!$B$2:$B1009=$C300)*
  'Weekly Dump'!$E$2:$E1009
)</f>
        <v>0</v>
      </c>
      <c r="M300" s="4">
        <f>SUMPRODUCT(
  (TEXT('Weekly Dump'!$A$2:$A1009,"mmm-yy")=TEXT($AB300,"mmm-yy"))*
  ('Weekly Dump'!$B$2:$B1009=$C300)*
  'Weekly Dump'!$P$2:$P1009
)</f>
        <v>0</v>
      </c>
      <c r="N300" s="39"/>
      <c r="O300" s="40">
        <f>SUMIFS('Weekly Dump'!$D:$D,'Weekly Dump'!$B:$B,$C300,'Weekly Dump'!$A:$A,$AB300)</f>
        <v>0</v>
      </c>
      <c r="P300" s="40">
        <f>SUMIFS('Weekly Dump'!R:R,'Weekly Dump'!B:B,C300,'Weekly Dump'!A:A,AB300)</f>
        <v>0</v>
      </c>
      <c r="Q300" s="40">
        <f t="shared" si="20"/>
        <v>0</v>
      </c>
      <c r="R300" s="41"/>
      <c r="T300" s="4">
        <f>SUMIFS('Weekly Dump'!E:E,'Weekly Dump'!B:B,C300,'Weekly Dump'!A:A,AB300)</f>
        <v>0</v>
      </c>
      <c r="U300" s="3">
        <f t="shared" si="21"/>
        <v>0</v>
      </c>
      <c r="V300" s="42"/>
      <c r="X300" s="4">
        <f>SUMIFS('Weekly Dump'!P:P,'Weekly Dump'!B:B,C300,'Weekly Dump'!A:A,AB300)</f>
        <v>0</v>
      </c>
      <c r="Y300" s="4">
        <f t="shared" si="22"/>
        <v>0</v>
      </c>
      <c r="Z300" s="41"/>
      <c r="AA300" s="12" t="str">
        <f>iferror(IF(VLOOKUP(C300,'Weekly Dump'!B:B,1,0)=C300,"Yes","Missing"),"")</f>
        <v/>
      </c>
      <c r="AB300" s="66"/>
    </row>
    <row r="301">
      <c r="B301" s="63"/>
      <c r="C301" s="63"/>
      <c r="G301" s="3" t="str">
        <f t="shared" si="26"/>
        <v/>
      </c>
      <c r="I301" s="4">
        <f>SUMIFS('Weekly Dump'!D:D,'Weekly Dump'!B:B,C301)</f>
        <v>0</v>
      </c>
      <c r="J301" s="5">
        <f>SUMIFS('Weekly Dump'!AE:AE,'Weekly Dump'!B:B,C301)</f>
        <v>0</v>
      </c>
      <c r="K301" s="4">
        <f>SUMPRODUCT(
  (TEXT('Weekly Dump'!$A$2:$A1009,"mmm-yy")=TEXT($AB301,"mmm-yy"))*
  ('Weekly Dump'!$B$2:$B1009=$C301)*
  'Weekly Dump'!$D$2:$D1009)</f>
        <v>0</v>
      </c>
      <c r="L301" s="4">
        <f>SUMPRODUCT(
  (TEXT('Weekly Dump'!$A$2:$A1009,"mmm-yy")=TEXT($AB301,"mmm-yy"))*
  ('Weekly Dump'!$B$2:$B1009=$C301)*
  'Weekly Dump'!$E$2:$E1009
)</f>
        <v>0</v>
      </c>
      <c r="M301" s="4">
        <f>SUMPRODUCT(
  (TEXT('Weekly Dump'!$A$2:$A1009,"mmm-yy")=TEXT($AB301,"mmm-yy"))*
  ('Weekly Dump'!$B$2:$B1009=$C301)*
  'Weekly Dump'!$P$2:$P1009
)</f>
        <v>0</v>
      </c>
      <c r="N301" s="39"/>
      <c r="O301" s="40">
        <f>SUMIFS('Weekly Dump'!$D:$D,'Weekly Dump'!$B:$B,$C301,'Weekly Dump'!$A:$A,$AB301)</f>
        <v>0</v>
      </c>
      <c r="P301" s="40">
        <f>SUMIFS('Weekly Dump'!R:R,'Weekly Dump'!B:B,C301,'Weekly Dump'!A:A,AB301)</f>
        <v>0</v>
      </c>
      <c r="Q301" s="40">
        <f t="shared" si="20"/>
        <v>0</v>
      </c>
      <c r="R301" s="41"/>
      <c r="T301" s="4">
        <f>SUMIFS('Weekly Dump'!E:E,'Weekly Dump'!B:B,C301,'Weekly Dump'!A:A,AB301)</f>
        <v>0</v>
      </c>
      <c r="U301" s="3">
        <f t="shared" si="21"/>
        <v>0</v>
      </c>
      <c r="V301" s="42"/>
      <c r="X301" s="4">
        <f>SUMIFS('Weekly Dump'!P:P,'Weekly Dump'!B:B,C301,'Weekly Dump'!A:A,AB301)</f>
        <v>0</v>
      </c>
      <c r="Y301" s="4">
        <f t="shared" si="22"/>
        <v>0</v>
      </c>
      <c r="Z301" s="41"/>
      <c r="AA301" s="12" t="str">
        <f>iferror(IF(VLOOKUP(C301,'Weekly Dump'!B:B,1,0)=C301,"Yes","Missing"),"")</f>
        <v/>
      </c>
      <c r="AB301" s="66"/>
    </row>
    <row r="302">
      <c r="B302" s="63"/>
      <c r="C302" s="63"/>
      <c r="G302" s="3" t="str">
        <f t="shared" si="26"/>
        <v/>
      </c>
      <c r="I302" s="4">
        <f>SUMIFS('Weekly Dump'!D:D,'Weekly Dump'!B:B,C302)</f>
        <v>0</v>
      </c>
      <c r="J302" s="5">
        <f>SUMIFS('Weekly Dump'!AE:AE,'Weekly Dump'!B:B,C302)</f>
        <v>0</v>
      </c>
      <c r="K302" s="4">
        <f>SUMPRODUCT(
  (TEXT('Weekly Dump'!$A$2:$A1009,"mmm-yy")=TEXT($AB302,"mmm-yy"))*
  ('Weekly Dump'!$B$2:$B1009=$C302)*
  'Weekly Dump'!$D$2:$D1009)</f>
        <v>0</v>
      </c>
      <c r="L302" s="4">
        <f>SUMPRODUCT(
  (TEXT('Weekly Dump'!$A$2:$A1009,"mmm-yy")=TEXT($AB302,"mmm-yy"))*
  ('Weekly Dump'!$B$2:$B1009=$C302)*
  'Weekly Dump'!$E$2:$E1009
)</f>
        <v>0</v>
      </c>
      <c r="M302" s="4">
        <f>SUMPRODUCT(
  (TEXT('Weekly Dump'!$A$2:$A1009,"mmm-yy")=TEXT($AB302,"mmm-yy"))*
  ('Weekly Dump'!$B$2:$B1009=$C302)*
  'Weekly Dump'!$P$2:$P1009
)</f>
        <v>0</v>
      </c>
      <c r="N302" s="39"/>
      <c r="O302" s="40">
        <f>SUMIFS('Weekly Dump'!$D:$D,'Weekly Dump'!$B:$B,$C302,'Weekly Dump'!$A:$A,$AB302)</f>
        <v>0</v>
      </c>
      <c r="P302" s="40">
        <f>SUMIFS('Weekly Dump'!R:R,'Weekly Dump'!B:B,C302,'Weekly Dump'!A:A,AB302)</f>
        <v>0</v>
      </c>
      <c r="Q302" s="40">
        <f t="shared" si="20"/>
        <v>0</v>
      </c>
      <c r="R302" s="41"/>
      <c r="T302" s="4">
        <f>SUMIFS('Weekly Dump'!E:E,'Weekly Dump'!B:B,C302,'Weekly Dump'!A:A,AB302)</f>
        <v>0</v>
      </c>
      <c r="U302" s="3">
        <f t="shared" si="21"/>
        <v>0</v>
      </c>
      <c r="V302" s="42"/>
      <c r="X302" s="4">
        <f>SUMIFS('Weekly Dump'!P:P,'Weekly Dump'!B:B,C302,'Weekly Dump'!A:A,AB302)</f>
        <v>0</v>
      </c>
      <c r="Y302" s="4">
        <f t="shared" si="22"/>
        <v>0</v>
      </c>
      <c r="Z302" s="41"/>
      <c r="AA302" s="12" t="str">
        <f>iferror(IF(VLOOKUP(C302,'Weekly Dump'!B:B,1,0)=C302,"Yes","Missing"),"")</f>
        <v/>
      </c>
      <c r="AB302" s="66"/>
    </row>
    <row r="303">
      <c r="B303" s="63"/>
      <c r="C303" s="63"/>
      <c r="G303" s="3" t="str">
        <f t="shared" si="26"/>
        <v/>
      </c>
      <c r="I303" s="4">
        <f>SUMIFS('Weekly Dump'!D:D,'Weekly Dump'!B:B,C303)</f>
        <v>0</v>
      </c>
      <c r="J303" s="5">
        <f>SUMIFS('Weekly Dump'!AE:AE,'Weekly Dump'!B:B,C303)</f>
        <v>0</v>
      </c>
      <c r="K303" s="4">
        <f>SUMPRODUCT(
  (TEXT('Weekly Dump'!$A$2:$A1009,"mmm-yy")=TEXT($AB303,"mmm-yy"))*
  ('Weekly Dump'!$B$2:$B1009=$C303)*
  'Weekly Dump'!$D$2:$D1009)</f>
        <v>0</v>
      </c>
      <c r="L303" s="4">
        <f>SUMPRODUCT(
  (TEXT('Weekly Dump'!$A$2:$A1009,"mmm-yy")=TEXT($AB303,"mmm-yy"))*
  ('Weekly Dump'!$B$2:$B1009=$C303)*
  'Weekly Dump'!$E$2:$E1009
)</f>
        <v>0</v>
      </c>
      <c r="M303" s="4">
        <f>SUMPRODUCT(
  (TEXT('Weekly Dump'!$A$2:$A1009,"mmm-yy")=TEXT($AB303,"mmm-yy"))*
  ('Weekly Dump'!$B$2:$B1009=$C303)*
  'Weekly Dump'!$P$2:$P1009
)</f>
        <v>0</v>
      </c>
      <c r="N303" s="39"/>
      <c r="O303" s="40">
        <f>SUMIFS('Weekly Dump'!$D:$D,'Weekly Dump'!$B:$B,$C303,'Weekly Dump'!$A:$A,$AB303)</f>
        <v>0</v>
      </c>
      <c r="P303" s="40">
        <f>SUMIFS('Weekly Dump'!R:R,'Weekly Dump'!B:B,C303,'Weekly Dump'!A:A,AB303)</f>
        <v>0</v>
      </c>
      <c r="Q303" s="40">
        <f t="shared" si="20"/>
        <v>0</v>
      </c>
      <c r="R303" s="41"/>
      <c r="T303" s="4">
        <f>SUMIFS('Weekly Dump'!E:E,'Weekly Dump'!B:B,C303,'Weekly Dump'!A:A,AB303)</f>
        <v>0</v>
      </c>
      <c r="U303" s="3">
        <f t="shared" si="21"/>
        <v>0</v>
      </c>
      <c r="V303" s="42"/>
      <c r="X303" s="4">
        <f>SUMIFS('Weekly Dump'!P:P,'Weekly Dump'!B:B,C303,'Weekly Dump'!A:A,AB303)</f>
        <v>0</v>
      </c>
      <c r="Y303" s="4">
        <f t="shared" si="22"/>
        <v>0</v>
      </c>
      <c r="Z303" s="41"/>
      <c r="AA303" s="12" t="str">
        <f>iferror(IF(VLOOKUP(C303,'Weekly Dump'!B:B,1,0)=C303,"Yes","Missing"),"")</f>
        <v/>
      </c>
      <c r="AB303" s="66"/>
    </row>
    <row r="304">
      <c r="B304" s="63"/>
      <c r="C304" s="63"/>
      <c r="G304" s="3" t="str">
        <f t="shared" si="26"/>
        <v/>
      </c>
      <c r="I304" s="4">
        <f>SUMIFS('Weekly Dump'!D:D,'Weekly Dump'!B:B,C304)</f>
        <v>0</v>
      </c>
      <c r="J304" s="5">
        <f>SUMIFS('Weekly Dump'!AE:AE,'Weekly Dump'!B:B,C304)</f>
        <v>0</v>
      </c>
      <c r="K304" s="4">
        <f>SUMPRODUCT(
  (TEXT('Weekly Dump'!$A$2:$A1009,"mmm-yy")=TEXT($AB304,"mmm-yy"))*
  ('Weekly Dump'!$B$2:$B1009=$C304)*
  'Weekly Dump'!$D$2:$D1009)</f>
        <v>0</v>
      </c>
      <c r="L304" s="4">
        <f>SUMPRODUCT(
  (TEXT('Weekly Dump'!$A$2:$A1009,"mmm-yy")=TEXT($AB304,"mmm-yy"))*
  ('Weekly Dump'!$B$2:$B1009=$C304)*
  'Weekly Dump'!$E$2:$E1009
)</f>
        <v>0</v>
      </c>
      <c r="M304" s="4">
        <f>SUMPRODUCT(
  (TEXT('Weekly Dump'!$A$2:$A1009,"mmm-yy")=TEXT($AB304,"mmm-yy"))*
  ('Weekly Dump'!$B$2:$B1009=$C304)*
  'Weekly Dump'!$P$2:$P1009
)</f>
        <v>0</v>
      </c>
      <c r="N304" s="39"/>
      <c r="O304" s="40">
        <f>SUMIFS('Weekly Dump'!$D:$D,'Weekly Dump'!$B:$B,$C304,'Weekly Dump'!$A:$A,$AB304)</f>
        <v>0</v>
      </c>
      <c r="P304" s="40">
        <f>SUMIFS('Weekly Dump'!R:R,'Weekly Dump'!B:B,C304,'Weekly Dump'!A:A,AB304)</f>
        <v>0</v>
      </c>
      <c r="Q304" s="40">
        <f t="shared" si="20"/>
        <v>0</v>
      </c>
      <c r="R304" s="41"/>
      <c r="T304" s="4">
        <f>SUMIFS('Weekly Dump'!E:E,'Weekly Dump'!B:B,C304,'Weekly Dump'!A:A,AB304)</f>
        <v>0</v>
      </c>
      <c r="U304" s="3">
        <f t="shared" si="21"/>
        <v>0</v>
      </c>
      <c r="V304" s="42"/>
      <c r="X304" s="4">
        <f>SUMIFS('Weekly Dump'!P:P,'Weekly Dump'!B:B,C304,'Weekly Dump'!A:A,AB304)</f>
        <v>0</v>
      </c>
      <c r="Y304" s="4">
        <f t="shared" si="22"/>
        <v>0</v>
      </c>
      <c r="Z304" s="41"/>
      <c r="AA304" s="12" t="str">
        <f>iferror(IF(VLOOKUP(C304,'Weekly Dump'!B:B,1,0)=C304,"Yes","Missing"),"")</f>
        <v/>
      </c>
      <c r="AB304" s="66"/>
    </row>
    <row r="305">
      <c r="B305" s="63"/>
      <c r="C305" s="63"/>
      <c r="G305" s="3" t="str">
        <f t="shared" si="26"/>
        <v/>
      </c>
      <c r="I305" s="4">
        <f>SUMIFS('Weekly Dump'!D:D,'Weekly Dump'!B:B,C305)</f>
        <v>0</v>
      </c>
      <c r="J305" s="5">
        <f>SUMIFS('Weekly Dump'!AE:AE,'Weekly Dump'!B:B,C305)</f>
        <v>0</v>
      </c>
      <c r="K305" s="4">
        <f>SUMPRODUCT(
  (TEXT('Weekly Dump'!$A$2:$A1009,"mmm-yy")=TEXT($AB305,"mmm-yy"))*
  ('Weekly Dump'!$B$2:$B1009=$C305)*
  'Weekly Dump'!$D$2:$D1009)</f>
        <v>0</v>
      </c>
      <c r="L305" s="4">
        <f>SUMPRODUCT(
  (TEXT('Weekly Dump'!$A$2:$A1009,"mmm-yy")=TEXT($AB305,"mmm-yy"))*
  ('Weekly Dump'!$B$2:$B1009=$C305)*
  'Weekly Dump'!$E$2:$E1009
)</f>
        <v>0</v>
      </c>
      <c r="M305" s="4">
        <f>SUMPRODUCT(
  (TEXT('Weekly Dump'!$A$2:$A1009,"mmm-yy")=TEXT($AB305,"mmm-yy"))*
  ('Weekly Dump'!$B$2:$B1009=$C305)*
  'Weekly Dump'!$P$2:$P1009
)</f>
        <v>0</v>
      </c>
      <c r="N305" s="39"/>
      <c r="O305" s="40">
        <f>SUMIFS('Weekly Dump'!$D:$D,'Weekly Dump'!$B:$B,$C305,'Weekly Dump'!$A:$A,$AB305)</f>
        <v>0</v>
      </c>
      <c r="P305" s="40">
        <f>SUMIFS('Weekly Dump'!R:R,'Weekly Dump'!B:B,C305,'Weekly Dump'!A:A,AB305)</f>
        <v>0</v>
      </c>
      <c r="Q305" s="40">
        <f t="shared" si="20"/>
        <v>0</v>
      </c>
      <c r="R305" s="41"/>
      <c r="T305" s="4">
        <f>SUMIFS('Weekly Dump'!E:E,'Weekly Dump'!B:B,C305,'Weekly Dump'!A:A,AB305)</f>
        <v>0</v>
      </c>
      <c r="U305" s="3">
        <f t="shared" si="21"/>
        <v>0</v>
      </c>
      <c r="V305" s="42"/>
      <c r="X305" s="4">
        <f>SUMIFS('Weekly Dump'!P:P,'Weekly Dump'!B:B,C305,'Weekly Dump'!A:A,AB305)</f>
        <v>0</v>
      </c>
      <c r="Y305" s="4">
        <f t="shared" si="22"/>
        <v>0</v>
      </c>
      <c r="Z305" s="41"/>
      <c r="AA305" s="12" t="str">
        <f>iferror(IF(VLOOKUP(C305,'Weekly Dump'!B:B,1,0)=C305,"Yes","Missing"),"")</f>
        <v/>
      </c>
      <c r="AB305" s="66"/>
    </row>
    <row r="306">
      <c r="B306" s="63"/>
      <c r="C306" s="63"/>
      <c r="G306" s="3" t="str">
        <f t="shared" si="26"/>
        <v/>
      </c>
      <c r="I306" s="4">
        <f>SUMIFS('Weekly Dump'!D:D,'Weekly Dump'!B:B,C306)</f>
        <v>0</v>
      </c>
      <c r="J306" s="5">
        <f>SUMIFS('Weekly Dump'!AE:AE,'Weekly Dump'!B:B,C306)</f>
        <v>0</v>
      </c>
      <c r="K306" s="4">
        <f>SUMPRODUCT(
  (TEXT('Weekly Dump'!$A$2:$A1009,"mmm-yy")=TEXT($AB306,"mmm-yy"))*
  ('Weekly Dump'!$B$2:$B1009=$C306)*
  'Weekly Dump'!$D$2:$D1009)</f>
        <v>0</v>
      </c>
      <c r="L306" s="4">
        <f>SUMPRODUCT(
  (TEXT('Weekly Dump'!$A$2:$A1009,"mmm-yy")=TEXT($AB306,"mmm-yy"))*
  ('Weekly Dump'!$B$2:$B1009=$C306)*
  'Weekly Dump'!$E$2:$E1009
)</f>
        <v>0</v>
      </c>
      <c r="M306" s="4">
        <f>SUMPRODUCT(
  (TEXT('Weekly Dump'!$A$2:$A1009,"mmm-yy")=TEXT($AB306,"mmm-yy"))*
  ('Weekly Dump'!$B$2:$B1009=$C306)*
  'Weekly Dump'!$P$2:$P1009
)</f>
        <v>0</v>
      </c>
      <c r="N306" s="39"/>
      <c r="O306" s="40">
        <f>SUMIFS('Weekly Dump'!$D:$D,'Weekly Dump'!$B:$B,$C306,'Weekly Dump'!$A:$A,$AB306)</f>
        <v>0</v>
      </c>
      <c r="P306" s="40">
        <f>SUMIFS('Weekly Dump'!R:R,'Weekly Dump'!B:B,C306,'Weekly Dump'!A:A,AB306)</f>
        <v>0</v>
      </c>
      <c r="Q306" s="40">
        <f t="shared" si="20"/>
        <v>0</v>
      </c>
      <c r="R306" s="41"/>
      <c r="T306" s="4">
        <f>SUMIFS('Weekly Dump'!E:E,'Weekly Dump'!B:B,C306,'Weekly Dump'!A:A,AB306)</f>
        <v>0</v>
      </c>
      <c r="U306" s="3">
        <f t="shared" si="21"/>
        <v>0</v>
      </c>
      <c r="V306" s="42"/>
      <c r="X306" s="4">
        <f>SUMIFS('Weekly Dump'!P:P,'Weekly Dump'!B:B,C306,'Weekly Dump'!A:A,AB306)</f>
        <v>0</v>
      </c>
      <c r="Y306" s="4">
        <f t="shared" si="22"/>
        <v>0</v>
      </c>
      <c r="Z306" s="41"/>
      <c r="AA306" s="12" t="str">
        <f>iferror(IF(VLOOKUP(C306,'Weekly Dump'!B:B,1,0)=C306,"Yes","Missing"),"")</f>
        <v/>
      </c>
      <c r="AB306" s="66"/>
    </row>
    <row r="307">
      <c r="B307" s="63"/>
      <c r="C307" s="63"/>
      <c r="G307" s="3" t="str">
        <f t="shared" si="26"/>
        <v/>
      </c>
      <c r="I307" s="4">
        <f>SUMIFS('Weekly Dump'!D:D,'Weekly Dump'!B:B,C307)</f>
        <v>0</v>
      </c>
      <c r="J307" s="5">
        <f>SUMIFS('Weekly Dump'!AE:AE,'Weekly Dump'!B:B,C307)</f>
        <v>0</v>
      </c>
      <c r="K307" s="4">
        <f>SUMPRODUCT(
  (TEXT('Weekly Dump'!$A$2:$A1009,"mmm-yy")=TEXT($AB307,"mmm-yy"))*
  ('Weekly Dump'!$B$2:$B1009=$C307)*
  'Weekly Dump'!$D$2:$D1009)</f>
        <v>0</v>
      </c>
      <c r="L307" s="4">
        <f>SUMPRODUCT(
  (TEXT('Weekly Dump'!$A$2:$A1009,"mmm-yy")=TEXT($AB307,"mmm-yy"))*
  ('Weekly Dump'!$B$2:$B1009=$C307)*
  'Weekly Dump'!$E$2:$E1009
)</f>
        <v>0</v>
      </c>
      <c r="M307" s="4">
        <f>SUMPRODUCT(
  (TEXT('Weekly Dump'!$A$2:$A1009,"mmm-yy")=TEXT($AB307,"mmm-yy"))*
  ('Weekly Dump'!$B$2:$B1009=$C307)*
  'Weekly Dump'!$P$2:$P1009
)</f>
        <v>0</v>
      </c>
      <c r="N307" s="39"/>
      <c r="O307" s="40">
        <f>SUMIFS('Weekly Dump'!$D:$D,'Weekly Dump'!$B:$B,$C307,'Weekly Dump'!$A:$A,$AB307)</f>
        <v>0</v>
      </c>
      <c r="P307" s="40">
        <f>SUMIFS('Weekly Dump'!R:R,'Weekly Dump'!B:B,C307,'Weekly Dump'!A:A,AB307)</f>
        <v>0</v>
      </c>
      <c r="Q307" s="40">
        <f t="shared" si="20"/>
        <v>0</v>
      </c>
      <c r="R307" s="41"/>
      <c r="T307" s="4">
        <f>SUMIFS('Weekly Dump'!E:E,'Weekly Dump'!B:B,C307,'Weekly Dump'!A:A,AB307)</f>
        <v>0</v>
      </c>
      <c r="U307" s="3">
        <f t="shared" si="21"/>
        <v>0</v>
      </c>
      <c r="V307" s="42"/>
      <c r="X307" s="4">
        <f>SUMIFS('Weekly Dump'!P:P,'Weekly Dump'!B:B,C307,'Weekly Dump'!A:A,AB307)</f>
        <v>0</v>
      </c>
      <c r="Y307" s="4">
        <f t="shared" si="22"/>
        <v>0</v>
      </c>
      <c r="Z307" s="41"/>
      <c r="AA307" s="12" t="str">
        <f>iferror(IF(VLOOKUP(C307,'Weekly Dump'!B:B,1,0)=C307,"Yes","Missing"),"")</f>
        <v/>
      </c>
      <c r="AB307" s="66"/>
    </row>
    <row r="308">
      <c r="B308" s="63"/>
      <c r="C308" s="63"/>
      <c r="G308" s="3" t="str">
        <f t="shared" si="26"/>
        <v/>
      </c>
      <c r="I308" s="4">
        <f>SUMIFS('Weekly Dump'!D:D,'Weekly Dump'!B:B,C308)</f>
        <v>0</v>
      </c>
      <c r="J308" s="5">
        <f>SUMIFS('Weekly Dump'!AE:AE,'Weekly Dump'!B:B,C308)</f>
        <v>0</v>
      </c>
      <c r="K308" s="4">
        <f>SUMPRODUCT(
  (TEXT('Weekly Dump'!$A$2:$A1009,"mmm-yy")=TEXT($AB308,"mmm-yy"))*
  ('Weekly Dump'!$B$2:$B1009=$C308)*
  'Weekly Dump'!$D$2:$D1009)</f>
        <v>0</v>
      </c>
      <c r="L308" s="4">
        <f>SUMPRODUCT(
  (TEXT('Weekly Dump'!$A$2:$A1009,"mmm-yy")=TEXT($AB308,"mmm-yy"))*
  ('Weekly Dump'!$B$2:$B1009=$C308)*
  'Weekly Dump'!$E$2:$E1009
)</f>
        <v>0</v>
      </c>
      <c r="M308" s="4">
        <f>SUMPRODUCT(
  (TEXT('Weekly Dump'!$A$2:$A1009,"mmm-yy")=TEXT($AB308,"mmm-yy"))*
  ('Weekly Dump'!$B$2:$B1009=$C308)*
  'Weekly Dump'!$P$2:$P1009
)</f>
        <v>0</v>
      </c>
      <c r="N308" s="39"/>
      <c r="O308" s="40">
        <f>SUMIFS('Weekly Dump'!$D:$D,'Weekly Dump'!$B:$B,$C308,'Weekly Dump'!$A:$A,$AB308)</f>
        <v>0</v>
      </c>
      <c r="P308" s="40">
        <f>SUMIFS('Weekly Dump'!R:R,'Weekly Dump'!B:B,C308,'Weekly Dump'!A:A,AB308)</f>
        <v>0</v>
      </c>
      <c r="Q308" s="40">
        <f t="shared" si="20"/>
        <v>0</v>
      </c>
      <c r="R308" s="41"/>
      <c r="T308" s="4">
        <f>SUMIFS('Weekly Dump'!E:E,'Weekly Dump'!B:B,C308,'Weekly Dump'!A:A,AB308)</f>
        <v>0</v>
      </c>
      <c r="U308" s="3">
        <f t="shared" si="21"/>
        <v>0</v>
      </c>
      <c r="V308" s="42"/>
      <c r="X308" s="4">
        <f>SUMIFS('Weekly Dump'!P:P,'Weekly Dump'!B:B,C308,'Weekly Dump'!A:A,AB308)</f>
        <v>0</v>
      </c>
      <c r="Y308" s="4">
        <f t="shared" si="22"/>
        <v>0</v>
      </c>
      <c r="Z308" s="41"/>
      <c r="AA308" s="12" t="str">
        <f>iferror(IF(VLOOKUP(C308,'Weekly Dump'!B:B,1,0)=C308,"Yes","Missing"),"")</f>
        <v/>
      </c>
      <c r="AB308" s="66"/>
    </row>
    <row r="309">
      <c r="B309" s="63"/>
      <c r="C309" s="63"/>
      <c r="G309" s="3" t="str">
        <f t="shared" si="26"/>
        <v/>
      </c>
      <c r="I309" s="4">
        <f>SUMIFS('Weekly Dump'!D:D,'Weekly Dump'!B:B,C309)</f>
        <v>0</v>
      </c>
      <c r="J309" s="5">
        <f>SUMIFS('Weekly Dump'!AE:AE,'Weekly Dump'!B:B,C309)</f>
        <v>0</v>
      </c>
      <c r="K309" s="4">
        <f>SUMPRODUCT(
  (TEXT('Weekly Dump'!$A$2:$A1009,"mmm-yy")=TEXT($AB309,"mmm-yy"))*
  ('Weekly Dump'!$B$2:$B1009=$C309)*
  'Weekly Dump'!$D$2:$D1009)</f>
        <v>0</v>
      </c>
      <c r="L309" s="4">
        <f>SUMPRODUCT(
  (TEXT('Weekly Dump'!$A$2:$A1009,"mmm-yy")=TEXT($AB309,"mmm-yy"))*
  ('Weekly Dump'!$B$2:$B1009=$C309)*
  'Weekly Dump'!$E$2:$E1009
)</f>
        <v>0</v>
      </c>
      <c r="M309" s="4">
        <f>SUMPRODUCT(
  (TEXT('Weekly Dump'!$A$2:$A1009,"mmm-yy")=TEXT($AB309,"mmm-yy"))*
  ('Weekly Dump'!$B$2:$B1009=$C309)*
  'Weekly Dump'!$P$2:$P1009
)</f>
        <v>0</v>
      </c>
      <c r="N309" s="39"/>
      <c r="O309" s="40">
        <f>SUMIFS('Weekly Dump'!$D:$D,'Weekly Dump'!$B:$B,$C309,'Weekly Dump'!$A:$A,$AB309)</f>
        <v>0</v>
      </c>
      <c r="P309" s="40">
        <f>SUMIFS('Weekly Dump'!R:R,'Weekly Dump'!B:B,C309,'Weekly Dump'!A:A,AB309)</f>
        <v>0</v>
      </c>
      <c r="Q309" s="40">
        <f t="shared" si="20"/>
        <v>0</v>
      </c>
      <c r="R309" s="41"/>
      <c r="T309" s="4">
        <f>SUMIFS('Weekly Dump'!E:E,'Weekly Dump'!B:B,C309,'Weekly Dump'!A:A,AB309)</f>
        <v>0</v>
      </c>
      <c r="U309" s="3">
        <f t="shared" si="21"/>
        <v>0</v>
      </c>
      <c r="V309" s="42"/>
      <c r="X309" s="4">
        <f>SUMIFS('Weekly Dump'!P:P,'Weekly Dump'!B:B,C309,'Weekly Dump'!A:A,AB309)</f>
        <v>0</v>
      </c>
      <c r="Y309" s="4">
        <f t="shared" si="22"/>
        <v>0</v>
      </c>
      <c r="Z309" s="41"/>
      <c r="AA309" s="12" t="str">
        <f>iferror(IF(VLOOKUP(C309,'Weekly Dump'!B:B,1,0)=C309,"Yes","Missing"),"")</f>
        <v/>
      </c>
      <c r="AB309" s="66"/>
    </row>
    <row r="310">
      <c r="B310" s="63"/>
      <c r="C310" s="63"/>
      <c r="G310" s="3" t="str">
        <f t="shared" si="26"/>
        <v/>
      </c>
      <c r="I310" s="4">
        <f>SUMIFS('Weekly Dump'!D:D,'Weekly Dump'!B:B,C310)</f>
        <v>0</v>
      </c>
      <c r="J310" s="5">
        <f>SUMIFS('Weekly Dump'!AE:AE,'Weekly Dump'!B:B,C310)</f>
        <v>0</v>
      </c>
      <c r="K310" s="4">
        <f>SUMPRODUCT(
  (TEXT('Weekly Dump'!$A$2:$A1009,"mmm-yy")=TEXT($AB310,"mmm-yy"))*
  ('Weekly Dump'!$B$2:$B1009=$C310)*
  'Weekly Dump'!$D$2:$D1009)</f>
        <v>0</v>
      </c>
      <c r="L310" s="4">
        <f>SUMPRODUCT(
  (TEXT('Weekly Dump'!$A$2:$A1009,"mmm-yy")=TEXT($AB310,"mmm-yy"))*
  ('Weekly Dump'!$B$2:$B1009=$C310)*
  'Weekly Dump'!$E$2:$E1009
)</f>
        <v>0</v>
      </c>
      <c r="M310" s="4">
        <f>SUMPRODUCT(
  (TEXT('Weekly Dump'!$A$2:$A1009,"mmm-yy")=TEXT($AB310,"mmm-yy"))*
  ('Weekly Dump'!$B$2:$B1009=$C310)*
  'Weekly Dump'!$P$2:$P1009
)</f>
        <v>0</v>
      </c>
      <c r="N310" s="39"/>
      <c r="O310" s="40">
        <f>SUMIFS('Weekly Dump'!$D:$D,'Weekly Dump'!$B:$B,$C310,'Weekly Dump'!$A:$A,$AB310)</f>
        <v>0</v>
      </c>
      <c r="P310" s="40">
        <f>SUMIFS('Weekly Dump'!R:R,'Weekly Dump'!B:B,C310,'Weekly Dump'!A:A,AB310)</f>
        <v>0</v>
      </c>
      <c r="Q310" s="40">
        <f t="shared" si="20"/>
        <v>0</v>
      </c>
      <c r="R310" s="41"/>
      <c r="T310" s="4">
        <f>SUMIFS('Weekly Dump'!E:E,'Weekly Dump'!B:B,C310,'Weekly Dump'!A:A,AB310)</f>
        <v>0</v>
      </c>
      <c r="U310" s="3">
        <f t="shared" si="21"/>
        <v>0</v>
      </c>
      <c r="V310" s="42"/>
      <c r="X310" s="4">
        <f>SUMIFS('Weekly Dump'!P:P,'Weekly Dump'!B:B,C310,'Weekly Dump'!A:A,AB310)</f>
        <v>0</v>
      </c>
      <c r="Y310" s="4">
        <f t="shared" si="22"/>
        <v>0</v>
      </c>
      <c r="Z310" s="41"/>
      <c r="AA310" s="12" t="str">
        <f>iferror(IF(VLOOKUP(C310,'Weekly Dump'!B:B,1,0)=C310,"Yes","Missing"),"")</f>
        <v/>
      </c>
      <c r="AB310" s="66"/>
    </row>
    <row r="311">
      <c r="B311" s="63"/>
      <c r="C311" s="63"/>
      <c r="G311" s="3" t="str">
        <f t="shared" si="26"/>
        <v/>
      </c>
      <c r="I311" s="4">
        <f>SUMIFS('Weekly Dump'!D:D,'Weekly Dump'!B:B,C311)</f>
        <v>0</v>
      </c>
      <c r="J311" s="5">
        <f>SUMIFS('Weekly Dump'!AE:AE,'Weekly Dump'!B:B,C311)</f>
        <v>0</v>
      </c>
      <c r="K311" s="4">
        <f>SUMPRODUCT(
  (TEXT('Weekly Dump'!$A$2:$A1009,"mmm-yy")=TEXT($AB311,"mmm-yy"))*
  ('Weekly Dump'!$B$2:$B1009=$C311)*
  'Weekly Dump'!$D$2:$D1009)</f>
        <v>0</v>
      </c>
      <c r="L311" s="4">
        <f>SUMPRODUCT(
  (TEXT('Weekly Dump'!$A$2:$A1009,"mmm-yy")=TEXT($AB311,"mmm-yy"))*
  ('Weekly Dump'!$B$2:$B1009=$C311)*
  'Weekly Dump'!$E$2:$E1009
)</f>
        <v>0</v>
      </c>
      <c r="M311" s="4">
        <f>SUMPRODUCT(
  (TEXT('Weekly Dump'!$A$2:$A1009,"mmm-yy")=TEXT($AB311,"mmm-yy"))*
  ('Weekly Dump'!$B$2:$B1009=$C311)*
  'Weekly Dump'!$P$2:$P1009
)</f>
        <v>0</v>
      </c>
      <c r="N311" s="39"/>
      <c r="O311" s="40">
        <f>SUMIFS('Weekly Dump'!$D:$D,'Weekly Dump'!$B:$B,$C311,'Weekly Dump'!$A:$A,$AB311)</f>
        <v>0</v>
      </c>
      <c r="P311" s="40">
        <f>SUMIFS('Weekly Dump'!R:R,'Weekly Dump'!B:B,C311,'Weekly Dump'!A:A,AB311)</f>
        <v>0</v>
      </c>
      <c r="Q311" s="40">
        <f t="shared" si="20"/>
        <v>0</v>
      </c>
      <c r="R311" s="41"/>
      <c r="T311" s="4">
        <f>SUMIFS('Weekly Dump'!E:E,'Weekly Dump'!B:B,C311,'Weekly Dump'!A:A,AB311)</f>
        <v>0</v>
      </c>
      <c r="U311" s="3">
        <f t="shared" si="21"/>
        <v>0</v>
      </c>
      <c r="V311" s="42"/>
      <c r="X311" s="4">
        <f>SUMIFS('Weekly Dump'!P:P,'Weekly Dump'!B:B,C311,'Weekly Dump'!A:A,AB311)</f>
        <v>0</v>
      </c>
      <c r="Y311" s="4">
        <f t="shared" si="22"/>
        <v>0</v>
      </c>
      <c r="Z311" s="41"/>
      <c r="AA311" s="12" t="str">
        <f>iferror(IF(VLOOKUP(C311,'Weekly Dump'!B:B,1,0)=C311,"Yes","Missing"),"")</f>
        <v/>
      </c>
      <c r="AB311" s="66"/>
    </row>
    <row r="312">
      <c r="B312" s="63"/>
      <c r="C312" s="63"/>
      <c r="G312" s="3" t="str">
        <f t="shared" si="26"/>
        <v/>
      </c>
      <c r="I312" s="4">
        <f>SUMIFS('Weekly Dump'!D:D,'Weekly Dump'!B:B,C312)</f>
        <v>0</v>
      </c>
      <c r="J312" s="5">
        <f>SUMIFS('Weekly Dump'!AE:AE,'Weekly Dump'!B:B,C312)</f>
        <v>0</v>
      </c>
      <c r="K312" s="4">
        <f>SUMPRODUCT(
  (TEXT('Weekly Dump'!$A$2:$A1009,"mmm-yy")=TEXT($AB312,"mmm-yy"))*
  ('Weekly Dump'!$B$2:$B1009=$C312)*
  'Weekly Dump'!$D$2:$D1009)</f>
        <v>0</v>
      </c>
      <c r="L312" s="4">
        <f>SUMPRODUCT(
  (TEXT('Weekly Dump'!$A$2:$A1009,"mmm-yy")=TEXT($AB312,"mmm-yy"))*
  ('Weekly Dump'!$B$2:$B1009=$C312)*
  'Weekly Dump'!$E$2:$E1009
)</f>
        <v>0</v>
      </c>
      <c r="M312" s="4">
        <f>SUMPRODUCT(
  (TEXT('Weekly Dump'!$A$2:$A1009,"mmm-yy")=TEXT($AB312,"mmm-yy"))*
  ('Weekly Dump'!$B$2:$B1009=$C312)*
  'Weekly Dump'!$P$2:$P1009
)</f>
        <v>0</v>
      </c>
      <c r="N312" s="39"/>
      <c r="O312" s="40">
        <f>SUMIFS('Weekly Dump'!$D:$D,'Weekly Dump'!$B:$B,$C312,'Weekly Dump'!$A:$A,$AB312)</f>
        <v>0</v>
      </c>
      <c r="P312" s="40">
        <f>SUMIFS('Weekly Dump'!R:R,'Weekly Dump'!B:B,C312,'Weekly Dump'!A:A,AB312)</f>
        <v>0</v>
      </c>
      <c r="Q312" s="40">
        <f t="shared" si="20"/>
        <v>0</v>
      </c>
      <c r="R312" s="41"/>
      <c r="T312" s="4">
        <f>SUMIFS('Weekly Dump'!E:E,'Weekly Dump'!B:B,C312,'Weekly Dump'!A:A,AB312)</f>
        <v>0</v>
      </c>
      <c r="U312" s="3">
        <f t="shared" si="21"/>
        <v>0</v>
      </c>
      <c r="V312" s="42"/>
      <c r="X312" s="4">
        <f>SUMIFS('Weekly Dump'!P:P,'Weekly Dump'!B:B,C312,'Weekly Dump'!A:A,AB312)</f>
        <v>0</v>
      </c>
      <c r="Y312" s="4">
        <f t="shared" si="22"/>
        <v>0</v>
      </c>
      <c r="Z312" s="41"/>
      <c r="AA312" s="12" t="str">
        <f>iferror(IF(VLOOKUP(C312,'Weekly Dump'!B:B,1,0)=C312,"Yes","Missing"),"")</f>
        <v/>
      </c>
      <c r="AB312" s="66"/>
    </row>
    <row r="313">
      <c r="B313" s="63"/>
      <c r="C313" s="63"/>
      <c r="G313" s="3" t="str">
        <f t="shared" si="26"/>
        <v/>
      </c>
      <c r="I313" s="4">
        <f>SUMIFS('Weekly Dump'!D:D,'Weekly Dump'!B:B,C313)</f>
        <v>0</v>
      </c>
      <c r="J313" s="5">
        <f>SUMIFS('Weekly Dump'!AE:AE,'Weekly Dump'!B:B,C313)</f>
        <v>0</v>
      </c>
      <c r="K313" s="4">
        <f>SUMPRODUCT(
  (TEXT('Weekly Dump'!$A$2:$A1009,"mmm-yy")=TEXT($AB313,"mmm-yy"))*
  ('Weekly Dump'!$B$2:$B1009=$C313)*
  'Weekly Dump'!$D$2:$D1009)</f>
        <v>0</v>
      </c>
      <c r="L313" s="4">
        <f>SUMPRODUCT(
  (TEXT('Weekly Dump'!$A$2:$A1009,"mmm-yy")=TEXT($AB313,"mmm-yy"))*
  ('Weekly Dump'!$B$2:$B1009=$C313)*
  'Weekly Dump'!$E$2:$E1009
)</f>
        <v>0</v>
      </c>
      <c r="M313" s="4">
        <f>SUMPRODUCT(
  (TEXT('Weekly Dump'!$A$2:$A1009,"mmm-yy")=TEXT($AB313,"mmm-yy"))*
  ('Weekly Dump'!$B$2:$B1009=$C313)*
  'Weekly Dump'!$P$2:$P1009
)</f>
        <v>0</v>
      </c>
      <c r="N313" s="39"/>
      <c r="O313" s="40">
        <f>SUMIFS('Weekly Dump'!$D:$D,'Weekly Dump'!$B:$B,$C313,'Weekly Dump'!$A:$A,$AB313)</f>
        <v>0</v>
      </c>
      <c r="P313" s="40">
        <f>SUMIFS('Weekly Dump'!R:R,'Weekly Dump'!B:B,C313,'Weekly Dump'!A:A,AB313)</f>
        <v>0</v>
      </c>
      <c r="Q313" s="40">
        <f t="shared" si="20"/>
        <v>0</v>
      </c>
      <c r="R313" s="41"/>
      <c r="T313" s="4">
        <f>SUMIFS('Weekly Dump'!E:E,'Weekly Dump'!B:B,C313,'Weekly Dump'!A:A,AB313)</f>
        <v>0</v>
      </c>
      <c r="U313" s="3">
        <f t="shared" si="21"/>
        <v>0</v>
      </c>
      <c r="V313" s="42"/>
      <c r="X313" s="4">
        <f>SUMIFS('Weekly Dump'!P:P,'Weekly Dump'!B:B,C313,'Weekly Dump'!A:A,AB313)</f>
        <v>0</v>
      </c>
      <c r="Y313" s="4">
        <f t="shared" si="22"/>
        <v>0</v>
      </c>
      <c r="Z313" s="41"/>
      <c r="AA313" s="12" t="str">
        <f>iferror(IF(VLOOKUP(C313,'Weekly Dump'!B:B,1,0)=C313,"Yes","Missing"),"")</f>
        <v/>
      </c>
      <c r="AB313" s="66"/>
    </row>
    <row r="314">
      <c r="B314" s="63"/>
      <c r="C314" s="63"/>
      <c r="G314" s="3" t="str">
        <f t="shared" si="26"/>
        <v/>
      </c>
      <c r="I314" s="4">
        <f>SUMIFS('Weekly Dump'!D:D,'Weekly Dump'!B:B,C314)</f>
        <v>0</v>
      </c>
      <c r="J314" s="5">
        <f>SUMIFS('Weekly Dump'!AE:AE,'Weekly Dump'!B:B,C314)</f>
        <v>0</v>
      </c>
      <c r="K314" s="4">
        <f>SUMPRODUCT(
  (TEXT('Weekly Dump'!$A$2:$A1009,"mmm-yy")=TEXT($AB314,"mmm-yy"))*
  ('Weekly Dump'!$B$2:$B1009=$C314)*
  'Weekly Dump'!$D$2:$D1009)</f>
        <v>0</v>
      </c>
      <c r="L314" s="4">
        <f>SUMPRODUCT(
  (TEXT('Weekly Dump'!$A$2:$A1009,"mmm-yy")=TEXT($AB314,"mmm-yy"))*
  ('Weekly Dump'!$B$2:$B1009=$C314)*
  'Weekly Dump'!$E$2:$E1009
)</f>
        <v>0</v>
      </c>
      <c r="M314" s="4">
        <f>SUMPRODUCT(
  (TEXT('Weekly Dump'!$A$2:$A1009,"mmm-yy")=TEXT($AB314,"mmm-yy"))*
  ('Weekly Dump'!$B$2:$B1009=$C314)*
  'Weekly Dump'!$P$2:$P1009
)</f>
        <v>0</v>
      </c>
      <c r="N314" s="39"/>
      <c r="O314" s="40">
        <f>SUMIFS('Weekly Dump'!$D:$D,'Weekly Dump'!$B:$B,$C314,'Weekly Dump'!$A:$A,$AB314)</f>
        <v>0</v>
      </c>
      <c r="P314" s="40">
        <f>SUMIFS('Weekly Dump'!R:R,'Weekly Dump'!B:B,C314,'Weekly Dump'!A:A,AB314)</f>
        <v>0</v>
      </c>
      <c r="Q314" s="40">
        <f t="shared" si="20"/>
        <v>0</v>
      </c>
      <c r="R314" s="41"/>
      <c r="T314" s="4">
        <f>SUMIFS('Weekly Dump'!E:E,'Weekly Dump'!B:B,C314,'Weekly Dump'!A:A,AB314)</f>
        <v>0</v>
      </c>
      <c r="U314" s="3">
        <f t="shared" si="21"/>
        <v>0</v>
      </c>
      <c r="V314" s="42"/>
      <c r="X314" s="4">
        <f>SUMIFS('Weekly Dump'!P:P,'Weekly Dump'!B:B,C314,'Weekly Dump'!A:A,AB314)</f>
        <v>0</v>
      </c>
      <c r="Y314" s="4">
        <f t="shared" si="22"/>
        <v>0</v>
      </c>
      <c r="Z314" s="41"/>
      <c r="AA314" s="12" t="str">
        <f>iferror(IF(VLOOKUP(C314,'Weekly Dump'!B:B,1,0)=C314,"Yes","Missing"),"")</f>
        <v/>
      </c>
      <c r="AB314" s="66"/>
    </row>
    <row r="315">
      <c r="B315" s="63"/>
      <c r="C315" s="63"/>
      <c r="G315" s="3" t="str">
        <f t="shared" si="26"/>
        <v/>
      </c>
      <c r="I315" s="4">
        <f>SUMIFS('Weekly Dump'!D:D,'Weekly Dump'!B:B,C315)</f>
        <v>0</v>
      </c>
      <c r="J315" s="5">
        <f>SUMIFS('Weekly Dump'!AE:AE,'Weekly Dump'!B:B,C315)</f>
        <v>0</v>
      </c>
      <c r="K315" s="4">
        <f>SUMPRODUCT(
  (TEXT('Weekly Dump'!$A$2:$A1009,"mmm-yy")=TEXT($AB315,"mmm-yy"))*
  ('Weekly Dump'!$B$2:$B1009=$C315)*
  'Weekly Dump'!$D$2:$D1009)</f>
        <v>0</v>
      </c>
      <c r="L315" s="4">
        <f>SUMPRODUCT(
  (TEXT('Weekly Dump'!$A$2:$A1009,"mmm-yy")=TEXT($AB315,"mmm-yy"))*
  ('Weekly Dump'!$B$2:$B1009=$C315)*
  'Weekly Dump'!$E$2:$E1009
)</f>
        <v>0</v>
      </c>
      <c r="M315" s="4">
        <f>SUMPRODUCT(
  (TEXT('Weekly Dump'!$A$2:$A1009,"mmm-yy")=TEXT($AB315,"mmm-yy"))*
  ('Weekly Dump'!$B$2:$B1009=$C315)*
  'Weekly Dump'!$P$2:$P1009
)</f>
        <v>0</v>
      </c>
      <c r="N315" s="39"/>
      <c r="O315" s="40">
        <f>SUMIFS('Weekly Dump'!$D:$D,'Weekly Dump'!$B:$B,$C315,'Weekly Dump'!$A:$A,$AB315)</f>
        <v>0</v>
      </c>
      <c r="P315" s="40">
        <f>SUMIFS('Weekly Dump'!R:R,'Weekly Dump'!B:B,C315,'Weekly Dump'!A:A,AB315)</f>
        <v>0</v>
      </c>
      <c r="Q315" s="40">
        <f t="shared" si="20"/>
        <v>0</v>
      </c>
      <c r="R315" s="41"/>
      <c r="T315" s="4">
        <f>SUMIFS('Weekly Dump'!E:E,'Weekly Dump'!B:B,C315,'Weekly Dump'!A:A,AB315)</f>
        <v>0</v>
      </c>
      <c r="U315" s="3">
        <f t="shared" si="21"/>
        <v>0</v>
      </c>
      <c r="V315" s="42"/>
      <c r="X315" s="4">
        <f>SUMIFS('Weekly Dump'!P:P,'Weekly Dump'!B:B,C315,'Weekly Dump'!A:A,AB315)</f>
        <v>0</v>
      </c>
      <c r="Y315" s="4">
        <f t="shared" si="22"/>
        <v>0</v>
      </c>
      <c r="Z315" s="41"/>
      <c r="AA315" s="12" t="str">
        <f>iferror(IF(VLOOKUP(C315,'Weekly Dump'!B:B,1,0)=C315,"Yes","Missing"),"")</f>
        <v/>
      </c>
      <c r="AB315" s="66"/>
    </row>
    <row r="316">
      <c r="B316" s="63"/>
      <c r="C316" s="63"/>
      <c r="G316" s="3" t="str">
        <f t="shared" si="26"/>
        <v/>
      </c>
      <c r="I316" s="4">
        <f>SUMIFS('Weekly Dump'!D:D,'Weekly Dump'!B:B,C316)</f>
        <v>0</v>
      </c>
      <c r="J316" s="5">
        <f>SUMIFS('Weekly Dump'!AE:AE,'Weekly Dump'!B:B,C316)</f>
        <v>0</v>
      </c>
      <c r="K316" s="4">
        <f>SUMPRODUCT(
  (TEXT('Weekly Dump'!$A$2:$A1009,"mmm-yy")=TEXT($AB316,"mmm-yy"))*
  ('Weekly Dump'!$B$2:$B1009=$C316)*
  'Weekly Dump'!$D$2:$D1009)</f>
        <v>0</v>
      </c>
      <c r="L316" s="4">
        <f>SUMPRODUCT(
  (TEXT('Weekly Dump'!$A$2:$A1009,"mmm-yy")=TEXT($AB316,"mmm-yy"))*
  ('Weekly Dump'!$B$2:$B1009=$C316)*
  'Weekly Dump'!$E$2:$E1009
)</f>
        <v>0</v>
      </c>
      <c r="M316" s="4">
        <f>SUMPRODUCT(
  (TEXT('Weekly Dump'!$A$2:$A1009,"mmm-yy")=TEXT($AB316,"mmm-yy"))*
  ('Weekly Dump'!$B$2:$B1009=$C316)*
  'Weekly Dump'!$P$2:$P1009
)</f>
        <v>0</v>
      </c>
      <c r="N316" s="39"/>
      <c r="O316" s="40">
        <f>SUMIFS('Weekly Dump'!$D:$D,'Weekly Dump'!$B:$B,$C316,'Weekly Dump'!$A:$A,$AB316)</f>
        <v>0</v>
      </c>
      <c r="P316" s="40">
        <f>SUMIFS('Weekly Dump'!R:R,'Weekly Dump'!B:B,C316,'Weekly Dump'!A:A,AB316)</f>
        <v>0</v>
      </c>
      <c r="Q316" s="40">
        <f t="shared" si="20"/>
        <v>0</v>
      </c>
      <c r="R316" s="41"/>
      <c r="T316" s="4">
        <f>SUMIFS('Weekly Dump'!E:E,'Weekly Dump'!B:B,C316,'Weekly Dump'!A:A,AB316)</f>
        <v>0</v>
      </c>
      <c r="U316" s="3">
        <f t="shared" si="21"/>
        <v>0</v>
      </c>
      <c r="V316" s="42"/>
      <c r="X316" s="4">
        <f>SUMIFS('Weekly Dump'!P:P,'Weekly Dump'!B:B,C316,'Weekly Dump'!A:A,AB316)</f>
        <v>0</v>
      </c>
      <c r="Y316" s="4">
        <f t="shared" si="22"/>
        <v>0</v>
      </c>
      <c r="Z316" s="41"/>
      <c r="AA316" s="12" t="str">
        <f>iferror(IF(VLOOKUP(C316,'Weekly Dump'!B:B,1,0)=C316,"Yes","Missing"),"")</f>
        <v/>
      </c>
      <c r="AB316" s="66"/>
    </row>
    <row r="317">
      <c r="B317" s="63"/>
      <c r="C317" s="63"/>
      <c r="G317" s="3" t="str">
        <f t="shared" si="26"/>
        <v/>
      </c>
      <c r="I317" s="4">
        <f>SUMIFS('Weekly Dump'!D:D,'Weekly Dump'!B:B,C317)</f>
        <v>0</v>
      </c>
      <c r="J317" s="5">
        <f>SUMIFS('Weekly Dump'!AE:AE,'Weekly Dump'!B:B,C317)</f>
        <v>0</v>
      </c>
      <c r="K317" s="4">
        <f>SUMPRODUCT(
  (TEXT('Weekly Dump'!$A$2:$A1009,"mmm-yy")=TEXT($AB317,"mmm-yy"))*
  ('Weekly Dump'!$B$2:$B1009=$C317)*
  'Weekly Dump'!$D$2:$D1009)</f>
        <v>0</v>
      </c>
      <c r="L317" s="4">
        <f>SUMPRODUCT(
  (TEXT('Weekly Dump'!$A$2:$A1009,"mmm-yy")=TEXT($AB317,"mmm-yy"))*
  ('Weekly Dump'!$B$2:$B1009=$C317)*
  'Weekly Dump'!$E$2:$E1009
)</f>
        <v>0</v>
      </c>
      <c r="M317" s="4">
        <f>SUMPRODUCT(
  (TEXT('Weekly Dump'!$A$2:$A1009,"mmm-yy")=TEXT($AB317,"mmm-yy"))*
  ('Weekly Dump'!$B$2:$B1009=$C317)*
  'Weekly Dump'!$P$2:$P1009
)</f>
        <v>0</v>
      </c>
      <c r="N317" s="39"/>
      <c r="O317" s="40">
        <f>SUMIFS('Weekly Dump'!$D:$D,'Weekly Dump'!$B:$B,$C317,'Weekly Dump'!$A:$A,$AB317)</f>
        <v>0</v>
      </c>
      <c r="P317" s="40">
        <f>SUMIFS('Weekly Dump'!R:R,'Weekly Dump'!B:B,C317,'Weekly Dump'!A:A,AB317)</f>
        <v>0</v>
      </c>
      <c r="Q317" s="40">
        <f t="shared" si="20"/>
        <v>0</v>
      </c>
      <c r="R317" s="41"/>
      <c r="T317" s="4">
        <f>SUMIFS('Weekly Dump'!E:E,'Weekly Dump'!B:B,C317,'Weekly Dump'!A:A,AB317)</f>
        <v>0</v>
      </c>
      <c r="U317" s="3">
        <f t="shared" si="21"/>
        <v>0</v>
      </c>
      <c r="V317" s="42"/>
      <c r="X317" s="4">
        <f>SUMIFS('Weekly Dump'!P:P,'Weekly Dump'!B:B,C317,'Weekly Dump'!A:A,AB317)</f>
        <v>0</v>
      </c>
      <c r="Y317" s="4">
        <f t="shared" si="22"/>
        <v>0</v>
      </c>
      <c r="Z317" s="41"/>
      <c r="AA317" s="12" t="str">
        <f>iferror(IF(VLOOKUP(C317,'Weekly Dump'!B:B,1,0)=C317,"Yes","Missing"),"")</f>
        <v/>
      </c>
      <c r="AB317" s="66"/>
    </row>
    <row r="318">
      <c r="B318" s="63"/>
      <c r="C318" s="63"/>
      <c r="G318" s="3" t="str">
        <f t="shared" si="26"/>
        <v/>
      </c>
      <c r="I318" s="4">
        <f>SUMIFS('Weekly Dump'!D:D,'Weekly Dump'!B:B,C318)</f>
        <v>0</v>
      </c>
      <c r="J318" s="5">
        <f>SUMIFS('Weekly Dump'!AE:AE,'Weekly Dump'!B:B,C318)</f>
        <v>0</v>
      </c>
      <c r="K318" s="4">
        <f>SUMPRODUCT(
  (TEXT('Weekly Dump'!$A$2:$A1009,"mmm-yy")=TEXT($AB318,"mmm-yy"))*
  ('Weekly Dump'!$B$2:$B1009=$C318)*
  'Weekly Dump'!$D$2:$D1009)</f>
        <v>0</v>
      </c>
      <c r="L318" s="4">
        <f>SUMPRODUCT(
  (TEXT('Weekly Dump'!$A$2:$A1009,"mmm-yy")=TEXT($AB318,"mmm-yy"))*
  ('Weekly Dump'!$B$2:$B1009=$C318)*
  'Weekly Dump'!$E$2:$E1009
)</f>
        <v>0</v>
      </c>
      <c r="M318" s="4">
        <f>SUMPRODUCT(
  (TEXT('Weekly Dump'!$A$2:$A1009,"mmm-yy")=TEXT($AB318,"mmm-yy"))*
  ('Weekly Dump'!$B$2:$B1009=$C318)*
  'Weekly Dump'!$P$2:$P1009
)</f>
        <v>0</v>
      </c>
      <c r="N318" s="39"/>
      <c r="O318" s="40">
        <f>SUMIFS('Weekly Dump'!$D:$D,'Weekly Dump'!$B:$B,$C318,'Weekly Dump'!$A:$A,$AB318)</f>
        <v>0</v>
      </c>
      <c r="P318" s="40">
        <f>SUMIFS('Weekly Dump'!R:R,'Weekly Dump'!B:B,C318,'Weekly Dump'!A:A,AB318)</f>
        <v>0</v>
      </c>
      <c r="Q318" s="40">
        <f t="shared" si="20"/>
        <v>0</v>
      </c>
      <c r="R318" s="41"/>
      <c r="T318" s="4">
        <f>SUMIFS('Weekly Dump'!E:E,'Weekly Dump'!B:B,C318,'Weekly Dump'!A:A,AB318)</f>
        <v>0</v>
      </c>
      <c r="U318" s="3">
        <f t="shared" si="21"/>
        <v>0</v>
      </c>
      <c r="V318" s="42"/>
      <c r="X318" s="4">
        <f>SUMIFS('Weekly Dump'!P:P,'Weekly Dump'!B:B,C318,'Weekly Dump'!A:A,AB318)</f>
        <v>0</v>
      </c>
      <c r="Y318" s="4">
        <f t="shared" si="22"/>
        <v>0</v>
      </c>
      <c r="Z318" s="41"/>
      <c r="AA318" s="12" t="str">
        <f>iferror(IF(VLOOKUP(C318,'Weekly Dump'!B:B,1,0)=C318,"Yes","Missing"),"")</f>
        <v/>
      </c>
      <c r="AB318" s="66"/>
    </row>
    <row r="319">
      <c r="B319" s="63"/>
      <c r="C319" s="63"/>
      <c r="G319" s="3" t="str">
        <f t="shared" si="26"/>
        <v/>
      </c>
      <c r="I319" s="4">
        <f>SUMIFS('Weekly Dump'!D:D,'Weekly Dump'!B:B,C319)</f>
        <v>0</v>
      </c>
      <c r="J319" s="5">
        <f>SUMIFS('Weekly Dump'!AE:AE,'Weekly Dump'!B:B,C319)</f>
        <v>0</v>
      </c>
      <c r="K319" s="4">
        <f>SUMPRODUCT(
  (TEXT('Weekly Dump'!$A$2:$A1009,"mmm-yy")=TEXT($AB319,"mmm-yy"))*
  ('Weekly Dump'!$B$2:$B1009=$C319)*
  'Weekly Dump'!$D$2:$D1009)</f>
        <v>0</v>
      </c>
      <c r="L319" s="4">
        <f>SUMPRODUCT(
  (TEXT('Weekly Dump'!$A$2:$A1009,"mmm-yy")=TEXT($AB319,"mmm-yy"))*
  ('Weekly Dump'!$B$2:$B1009=$C319)*
  'Weekly Dump'!$E$2:$E1009
)</f>
        <v>0</v>
      </c>
      <c r="M319" s="4">
        <f>SUMPRODUCT(
  (TEXT('Weekly Dump'!$A$2:$A1009,"mmm-yy")=TEXT($AB319,"mmm-yy"))*
  ('Weekly Dump'!$B$2:$B1009=$C319)*
  'Weekly Dump'!$P$2:$P1009
)</f>
        <v>0</v>
      </c>
      <c r="N319" s="39"/>
      <c r="O319" s="40">
        <f>SUMIFS('Weekly Dump'!$D:$D,'Weekly Dump'!$B:$B,$C319,'Weekly Dump'!$A:$A,$AB319)</f>
        <v>0</v>
      </c>
      <c r="P319" s="40">
        <f>SUMIFS('Weekly Dump'!R:R,'Weekly Dump'!B:B,C319,'Weekly Dump'!A:A,AB319)</f>
        <v>0</v>
      </c>
      <c r="Q319" s="40">
        <f t="shared" si="20"/>
        <v>0</v>
      </c>
      <c r="R319" s="41"/>
      <c r="T319" s="4">
        <f>SUMIFS('Weekly Dump'!E:E,'Weekly Dump'!B:B,C319,'Weekly Dump'!A:A,AB319)</f>
        <v>0</v>
      </c>
      <c r="U319" s="3">
        <f t="shared" si="21"/>
        <v>0</v>
      </c>
      <c r="V319" s="42"/>
      <c r="X319" s="4">
        <f>SUMIFS('Weekly Dump'!P:P,'Weekly Dump'!B:B,C319,'Weekly Dump'!A:A,AB319)</f>
        <v>0</v>
      </c>
      <c r="Y319" s="4">
        <f t="shared" si="22"/>
        <v>0</v>
      </c>
      <c r="Z319" s="41"/>
      <c r="AA319" s="12" t="str">
        <f>iferror(IF(VLOOKUP(C319,'Weekly Dump'!B:B,1,0)=C319,"Yes","Missing"),"")</f>
        <v/>
      </c>
      <c r="AB319" s="66"/>
    </row>
    <row r="320">
      <c r="B320" s="63"/>
      <c r="C320" s="63"/>
      <c r="G320" s="3" t="str">
        <f t="shared" si="26"/>
        <v/>
      </c>
      <c r="I320" s="4">
        <f>SUMIFS('Weekly Dump'!D:D,'Weekly Dump'!B:B,C320)</f>
        <v>0</v>
      </c>
      <c r="J320" s="5">
        <f>SUMIFS('Weekly Dump'!AE:AE,'Weekly Dump'!B:B,C320)</f>
        <v>0</v>
      </c>
      <c r="K320" s="4">
        <f>SUMPRODUCT(
  (TEXT('Weekly Dump'!$A$2:$A1009,"mmm-yy")=TEXT($AB320,"mmm-yy"))*
  ('Weekly Dump'!$B$2:$B1009=$C320)*
  'Weekly Dump'!$D$2:$D1009)</f>
        <v>0</v>
      </c>
      <c r="L320" s="4">
        <f>SUMPRODUCT(
  (TEXT('Weekly Dump'!$A$2:$A1009,"mmm-yy")=TEXT($AB320,"mmm-yy"))*
  ('Weekly Dump'!$B$2:$B1009=$C320)*
  'Weekly Dump'!$E$2:$E1009
)</f>
        <v>0</v>
      </c>
      <c r="M320" s="4">
        <f>SUMPRODUCT(
  (TEXT('Weekly Dump'!$A$2:$A1009,"mmm-yy")=TEXT($AB320,"mmm-yy"))*
  ('Weekly Dump'!$B$2:$B1009=$C320)*
  'Weekly Dump'!$P$2:$P1009
)</f>
        <v>0</v>
      </c>
      <c r="N320" s="39"/>
      <c r="O320" s="40">
        <f>SUMIFS('Weekly Dump'!$D:$D,'Weekly Dump'!$B:$B,$C320,'Weekly Dump'!$A:$A,$AB320)</f>
        <v>0</v>
      </c>
      <c r="P320" s="40">
        <f>SUMIFS('Weekly Dump'!R:R,'Weekly Dump'!B:B,C320,'Weekly Dump'!A:A,AB320)</f>
        <v>0</v>
      </c>
      <c r="Q320" s="40">
        <f t="shared" si="20"/>
        <v>0</v>
      </c>
      <c r="R320" s="41"/>
      <c r="T320" s="4">
        <f>SUMIFS('Weekly Dump'!E:E,'Weekly Dump'!B:B,C320,'Weekly Dump'!A:A,AB320)</f>
        <v>0</v>
      </c>
      <c r="U320" s="3">
        <f t="shared" si="21"/>
        <v>0</v>
      </c>
      <c r="V320" s="42"/>
      <c r="X320" s="4">
        <f>SUMIFS('Weekly Dump'!P:P,'Weekly Dump'!B:B,C320,'Weekly Dump'!A:A,AB320)</f>
        <v>0</v>
      </c>
      <c r="Y320" s="4">
        <f t="shared" si="22"/>
        <v>0</v>
      </c>
      <c r="Z320" s="41"/>
      <c r="AA320" s="12" t="str">
        <f>iferror(IF(VLOOKUP(C320,'Weekly Dump'!B:B,1,0)=C320,"Yes","Missing"),"")</f>
        <v/>
      </c>
      <c r="AB320" s="66"/>
    </row>
    <row r="321">
      <c r="B321" s="63"/>
      <c r="C321" s="63"/>
      <c r="G321" s="3" t="str">
        <f t="shared" si="26"/>
        <v/>
      </c>
      <c r="I321" s="4">
        <f>SUMIFS('Weekly Dump'!D:D,'Weekly Dump'!B:B,C321)</f>
        <v>0</v>
      </c>
      <c r="J321" s="5">
        <f>SUMIFS('Weekly Dump'!AE:AE,'Weekly Dump'!B:B,C321)</f>
        <v>0</v>
      </c>
      <c r="K321" s="4">
        <f>SUMPRODUCT(
  (TEXT('Weekly Dump'!$A$2:$A1009,"mmm-yy")=TEXT($AB321,"mmm-yy"))*
  ('Weekly Dump'!$B$2:$B1009=$C321)*
  'Weekly Dump'!$D$2:$D1009)</f>
        <v>0</v>
      </c>
      <c r="L321" s="4">
        <f>SUMPRODUCT(
  (TEXT('Weekly Dump'!$A$2:$A1009,"mmm-yy")=TEXT($AB321,"mmm-yy"))*
  ('Weekly Dump'!$B$2:$B1009=$C321)*
  'Weekly Dump'!$E$2:$E1009
)</f>
        <v>0</v>
      </c>
      <c r="M321" s="4">
        <f>SUMPRODUCT(
  (TEXT('Weekly Dump'!$A$2:$A1009,"mmm-yy")=TEXT($AB321,"mmm-yy"))*
  ('Weekly Dump'!$B$2:$B1009=$C321)*
  'Weekly Dump'!$P$2:$P1009
)</f>
        <v>0</v>
      </c>
      <c r="N321" s="39"/>
      <c r="O321" s="40">
        <f>SUMIFS('Weekly Dump'!$D:$D,'Weekly Dump'!$B:$B,$C321,'Weekly Dump'!$A:$A,$AB321)</f>
        <v>0</v>
      </c>
      <c r="P321" s="40">
        <f>SUMIFS('Weekly Dump'!R:R,'Weekly Dump'!B:B,C321,'Weekly Dump'!A:A,AB321)</f>
        <v>0</v>
      </c>
      <c r="Q321" s="40">
        <f t="shared" si="20"/>
        <v>0</v>
      </c>
      <c r="R321" s="41"/>
      <c r="T321" s="4">
        <f>SUMIFS('Weekly Dump'!E:E,'Weekly Dump'!B:B,C321,'Weekly Dump'!A:A,AB321)</f>
        <v>0</v>
      </c>
      <c r="U321" s="3">
        <f t="shared" si="21"/>
        <v>0</v>
      </c>
      <c r="V321" s="42"/>
      <c r="X321" s="4">
        <f>SUMIFS('Weekly Dump'!P:P,'Weekly Dump'!B:B,C321,'Weekly Dump'!A:A,AB321)</f>
        <v>0</v>
      </c>
      <c r="Y321" s="4">
        <f t="shared" si="22"/>
        <v>0</v>
      </c>
      <c r="Z321" s="41"/>
      <c r="AA321" s="12" t="str">
        <f>iferror(IF(VLOOKUP(C321,'Weekly Dump'!B:B,1,0)=C321,"Yes","Missing"),"")</f>
        <v/>
      </c>
      <c r="AB321" s="66"/>
    </row>
    <row r="322">
      <c r="B322" s="63"/>
      <c r="C322" s="63"/>
      <c r="G322" s="3" t="str">
        <f t="shared" si="26"/>
        <v/>
      </c>
      <c r="I322" s="4">
        <f>SUMIFS('Weekly Dump'!D:D,'Weekly Dump'!B:B,C322)</f>
        <v>0</v>
      </c>
      <c r="J322" s="5">
        <f>SUMIFS('Weekly Dump'!AE:AE,'Weekly Dump'!B:B,C322)</f>
        <v>0</v>
      </c>
      <c r="K322" s="4">
        <f>SUMPRODUCT(
  (TEXT('Weekly Dump'!$A$2:$A1009,"mmm-yy")=TEXT($AB322,"mmm-yy"))*
  ('Weekly Dump'!$B$2:$B1009=$C322)*
  'Weekly Dump'!$D$2:$D1009)</f>
        <v>0</v>
      </c>
      <c r="L322" s="4">
        <f>SUMPRODUCT(
  (TEXT('Weekly Dump'!$A$2:$A1009,"mmm-yy")=TEXT($AB322,"mmm-yy"))*
  ('Weekly Dump'!$B$2:$B1009=$C322)*
  'Weekly Dump'!$E$2:$E1009
)</f>
        <v>0</v>
      </c>
      <c r="M322" s="4">
        <f>SUMPRODUCT(
  (TEXT('Weekly Dump'!$A$2:$A1009,"mmm-yy")=TEXT($AB322,"mmm-yy"))*
  ('Weekly Dump'!$B$2:$B1009=$C322)*
  'Weekly Dump'!$P$2:$P1009
)</f>
        <v>0</v>
      </c>
      <c r="N322" s="39"/>
      <c r="O322" s="40">
        <f>SUMIFS('Weekly Dump'!$D:$D,'Weekly Dump'!$B:$B,$C322,'Weekly Dump'!$A:$A,$AB322)</f>
        <v>0</v>
      </c>
      <c r="P322" s="40">
        <f>SUMIFS('Weekly Dump'!R:R,'Weekly Dump'!B:B,C322,'Weekly Dump'!A:A,AB322)</f>
        <v>0</v>
      </c>
      <c r="Q322" s="40">
        <f t="shared" si="20"/>
        <v>0</v>
      </c>
      <c r="R322" s="41"/>
      <c r="T322" s="4">
        <f>SUMIFS('Weekly Dump'!E:E,'Weekly Dump'!B:B,C322,'Weekly Dump'!A:A,AB322)</f>
        <v>0</v>
      </c>
      <c r="U322" s="3">
        <f t="shared" si="21"/>
        <v>0</v>
      </c>
      <c r="V322" s="42"/>
      <c r="X322" s="4">
        <f>SUMIFS('Weekly Dump'!P:P,'Weekly Dump'!B:B,C322,'Weekly Dump'!A:A,AB322)</f>
        <v>0</v>
      </c>
      <c r="Y322" s="4">
        <f t="shared" si="22"/>
        <v>0</v>
      </c>
      <c r="Z322" s="41"/>
      <c r="AA322" s="12" t="str">
        <f>iferror(IF(VLOOKUP(C322,'Weekly Dump'!B:B,1,0)=C322,"Yes","Missing"),"")</f>
        <v/>
      </c>
      <c r="AB322" s="66"/>
    </row>
    <row r="323">
      <c r="B323" s="63"/>
      <c r="C323" s="63"/>
      <c r="G323" s="3" t="str">
        <f t="shared" si="26"/>
        <v/>
      </c>
      <c r="I323" s="4">
        <f>SUMIFS('Weekly Dump'!D:D,'Weekly Dump'!B:B,C323)</f>
        <v>0</v>
      </c>
      <c r="J323" s="5">
        <f>SUMIFS('Weekly Dump'!AE:AE,'Weekly Dump'!B:B,C323)</f>
        <v>0</v>
      </c>
      <c r="K323" s="4">
        <f>SUMPRODUCT(
  (TEXT('Weekly Dump'!$A$2:$A1009,"mmm-yy")=TEXT($AB323,"mmm-yy"))*
  ('Weekly Dump'!$B$2:$B1009=$C323)*
  'Weekly Dump'!$D$2:$D1009)</f>
        <v>0</v>
      </c>
      <c r="L323" s="4">
        <f>SUMPRODUCT(
  (TEXT('Weekly Dump'!$A$2:$A1009,"mmm-yy")=TEXT($AB323,"mmm-yy"))*
  ('Weekly Dump'!$B$2:$B1009=$C323)*
  'Weekly Dump'!$E$2:$E1009
)</f>
        <v>0</v>
      </c>
      <c r="M323" s="4">
        <f>SUMPRODUCT(
  (TEXT('Weekly Dump'!$A$2:$A1009,"mmm-yy")=TEXT($AB323,"mmm-yy"))*
  ('Weekly Dump'!$B$2:$B1009=$C323)*
  'Weekly Dump'!$P$2:$P1009
)</f>
        <v>0</v>
      </c>
      <c r="N323" s="39"/>
      <c r="O323" s="40">
        <f>SUMIFS('Weekly Dump'!$D:$D,'Weekly Dump'!$B:$B,$C323,'Weekly Dump'!$A:$A,$AB323)</f>
        <v>0</v>
      </c>
      <c r="P323" s="40">
        <f>SUMIFS('Weekly Dump'!R:R,'Weekly Dump'!B:B,C323,'Weekly Dump'!A:A,AB323)</f>
        <v>0</v>
      </c>
      <c r="Q323" s="40">
        <f t="shared" si="20"/>
        <v>0</v>
      </c>
      <c r="R323" s="41"/>
      <c r="T323" s="4">
        <f>SUMIFS('Weekly Dump'!E:E,'Weekly Dump'!B:B,C323,'Weekly Dump'!A:A,AB323)</f>
        <v>0</v>
      </c>
      <c r="U323" s="3">
        <f t="shared" si="21"/>
        <v>0</v>
      </c>
      <c r="V323" s="42"/>
      <c r="X323" s="4">
        <f>SUMIFS('Weekly Dump'!P:P,'Weekly Dump'!B:B,C323,'Weekly Dump'!A:A,AB323)</f>
        <v>0</v>
      </c>
      <c r="Y323" s="4">
        <f t="shared" si="22"/>
        <v>0</v>
      </c>
      <c r="Z323" s="41"/>
      <c r="AA323" s="12" t="str">
        <f>iferror(IF(VLOOKUP(C323,'Weekly Dump'!B:B,1,0)=C323,"Yes","Missing"),"")</f>
        <v/>
      </c>
      <c r="AB323" s="66"/>
    </row>
    <row r="324">
      <c r="B324" s="63"/>
      <c r="C324" s="63"/>
      <c r="G324" s="3" t="str">
        <f t="shared" si="26"/>
        <v/>
      </c>
      <c r="I324" s="4">
        <f>SUMIFS('Weekly Dump'!D:D,'Weekly Dump'!B:B,C324)</f>
        <v>0</v>
      </c>
      <c r="J324" s="5">
        <f>SUMIFS('Weekly Dump'!AE:AE,'Weekly Dump'!B:B,C324)</f>
        <v>0</v>
      </c>
      <c r="K324" s="4">
        <f>SUMPRODUCT(
  (TEXT('Weekly Dump'!$A$2:$A1009,"mmm-yy")=TEXT($AB324,"mmm-yy"))*
  ('Weekly Dump'!$B$2:$B1009=$C324)*
  'Weekly Dump'!$D$2:$D1009)</f>
        <v>0</v>
      </c>
      <c r="L324" s="4">
        <f>SUMPRODUCT(
  (TEXT('Weekly Dump'!$A$2:$A1009,"mmm-yy")=TEXT($AB324,"mmm-yy"))*
  ('Weekly Dump'!$B$2:$B1009=$C324)*
  'Weekly Dump'!$E$2:$E1009
)</f>
        <v>0</v>
      </c>
      <c r="M324" s="4">
        <f>SUMPRODUCT(
  (TEXT('Weekly Dump'!$A$2:$A1009,"mmm-yy")=TEXT($AB324,"mmm-yy"))*
  ('Weekly Dump'!$B$2:$B1009=$C324)*
  'Weekly Dump'!$P$2:$P1009
)</f>
        <v>0</v>
      </c>
      <c r="N324" s="39"/>
      <c r="O324" s="40">
        <f>SUMIFS('Weekly Dump'!$D:$D,'Weekly Dump'!$B:$B,$C324,'Weekly Dump'!$A:$A,$AB324)</f>
        <v>0</v>
      </c>
      <c r="P324" s="40">
        <f>SUMIFS('Weekly Dump'!R:R,'Weekly Dump'!B:B,C324,'Weekly Dump'!A:A,AB324)</f>
        <v>0</v>
      </c>
      <c r="Q324" s="40">
        <f t="shared" si="20"/>
        <v>0</v>
      </c>
      <c r="R324" s="41"/>
      <c r="T324" s="4">
        <f>SUMIFS('Weekly Dump'!E:E,'Weekly Dump'!B:B,C324,'Weekly Dump'!A:A,AB324)</f>
        <v>0</v>
      </c>
      <c r="U324" s="3">
        <f t="shared" si="21"/>
        <v>0</v>
      </c>
      <c r="V324" s="42"/>
      <c r="X324" s="4">
        <f>SUMIFS('Weekly Dump'!P:P,'Weekly Dump'!B:B,C324,'Weekly Dump'!A:A,AB324)</f>
        <v>0</v>
      </c>
      <c r="Y324" s="4">
        <f t="shared" si="22"/>
        <v>0</v>
      </c>
      <c r="Z324" s="41"/>
      <c r="AA324" s="12" t="str">
        <f>iferror(IF(VLOOKUP(C324,'Weekly Dump'!B:B,1,0)=C324,"Yes","Missing"),"")</f>
        <v/>
      </c>
      <c r="AB324" s="66"/>
    </row>
    <row r="325">
      <c r="B325" s="63"/>
      <c r="C325" s="63"/>
      <c r="G325" s="3" t="str">
        <f t="shared" si="26"/>
        <v/>
      </c>
      <c r="I325" s="4">
        <f>SUMIFS('Weekly Dump'!D:D,'Weekly Dump'!B:B,C325)</f>
        <v>0</v>
      </c>
      <c r="J325" s="5">
        <f>SUMIFS('Weekly Dump'!AE:AE,'Weekly Dump'!B:B,C325)</f>
        <v>0</v>
      </c>
      <c r="K325" s="4">
        <f>SUMPRODUCT(
  (TEXT('Weekly Dump'!$A$2:$A1009,"mmm-yy")=TEXT($AB325,"mmm-yy"))*
  ('Weekly Dump'!$B$2:$B1009=$C325)*
  'Weekly Dump'!$D$2:$D1009)</f>
        <v>0</v>
      </c>
      <c r="L325" s="4">
        <f>SUMPRODUCT(
  (TEXT('Weekly Dump'!$A$2:$A1009,"mmm-yy")=TEXT($AB325,"mmm-yy"))*
  ('Weekly Dump'!$B$2:$B1009=$C325)*
  'Weekly Dump'!$E$2:$E1009
)</f>
        <v>0</v>
      </c>
      <c r="M325" s="4">
        <f>SUMPRODUCT(
  (TEXT('Weekly Dump'!$A$2:$A1009,"mmm-yy")=TEXT($AB325,"mmm-yy"))*
  ('Weekly Dump'!$B$2:$B1009=$C325)*
  'Weekly Dump'!$P$2:$P1009
)</f>
        <v>0</v>
      </c>
      <c r="N325" s="39"/>
      <c r="O325" s="40">
        <f>SUMIFS('Weekly Dump'!$D:$D,'Weekly Dump'!$B:$B,$C325,'Weekly Dump'!$A:$A,$AB325)</f>
        <v>0</v>
      </c>
      <c r="P325" s="40">
        <f>SUMIFS('Weekly Dump'!R:R,'Weekly Dump'!B:B,C325,'Weekly Dump'!A:A,AB325)</f>
        <v>0</v>
      </c>
      <c r="Q325" s="40">
        <f t="shared" si="20"/>
        <v>0</v>
      </c>
      <c r="R325" s="41"/>
      <c r="T325" s="4">
        <f>SUMIFS('Weekly Dump'!E:E,'Weekly Dump'!B:B,C325,'Weekly Dump'!A:A,AB325)</f>
        <v>0</v>
      </c>
      <c r="U325" s="3">
        <f t="shared" si="21"/>
        <v>0</v>
      </c>
      <c r="V325" s="42"/>
      <c r="X325" s="4">
        <f>SUMIFS('Weekly Dump'!P:P,'Weekly Dump'!B:B,C325,'Weekly Dump'!A:A,AB325)</f>
        <v>0</v>
      </c>
      <c r="Y325" s="4">
        <f t="shared" si="22"/>
        <v>0</v>
      </c>
      <c r="Z325" s="41"/>
      <c r="AA325" s="12" t="str">
        <f>iferror(IF(VLOOKUP(C325,'Weekly Dump'!B:B,1,0)=C325,"Yes","Missing"),"")</f>
        <v/>
      </c>
      <c r="AB325" s="66"/>
    </row>
    <row r="326">
      <c r="B326" s="63"/>
      <c r="C326" s="63"/>
      <c r="G326" s="3" t="str">
        <f t="shared" si="26"/>
        <v/>
      </c>
      <c r="I326" s="4">
        <f>SUMIFS('Weekly Dump'!D:D,'Weekly Dump'!B:B,C326)</f>
        <v>0</v>
      </c>
      <c r="J326" s="5">
        <f>SUMIFS('Weekly Dump'!AE:AE,'Weekly Dump'!B:B,C326)</f>
        <v>0</v>
      </c>
      <c r="K326" s="4">
        <f>SUMPRODUCT(
  (TEXT('Weekly Dump'!$A$2:$A1009,"mmm-yy")=TEXT($AB326,"mmm-yy"))*
  ('Weekly Dump'!$B$2:$B1009=$C326)*
  'Weekly Dump'!$D$2:$D1009)</f>
        <v>0</v>
      </c>
      <c r="L326" s="4">
        <f>SUMPRODUCT(
  (TEXT('Weekly Dump'!$A$2:$A1009,"mmm-yy")=TEXT($AB326,"mmm-yy"))*
  ('Weekly Dump'!$B$2:$B1009=$C326)*
  'Weekly Dump'!$E$2:$E1009
)</f>
        <v>0</v>
      </c>
      <c r="M326" s="4">
        <f>SUMPRODUCT(
  (TEXT('Weekly Dump'!$A$2:$A1009,"mmm-yy")=TEXT($AB326,"mmm-yy"))*
  ('Weekly Dump'!$B$2:$B1009=$C326)*
  'Weekly Dump'!$P$2:$P1009
)</f>
        <v>0</v>
      </c>
      <c r="N326" s="39"/>
      <c r="O326" s="40">
        <f>SUMIFS('Weekly Dump'!$D:$D,'Weekly Dump'!$B:$B,$C326,'Weekly Dump'!$A:$A,$AB326)</f>
        <v>0</v>
      </c>
      <c r="P326" s="40">
        <f>SUMIFS('Weekly Dump'!R:R,'Weekly Dump'!B:B,C326,'Weekly Dump'!A:A,AB326)</f>
        <v>0</v>
      </c>
      <c r="Q326" s="40">
        <f t="shared" si="20"/>
        <v>0</v>
      </c>
      <c r="R326" s="41"/>
      <c r="T326" s="4">
        <f>SUMIFS('Weekly Dump'!E:E,'Weekly Dump'!B:B,C326,'Weekly Dump'!A:A,AB326)</f>
        <v>0</v>
      </c>
      <c r="U326" s="3">
        <f t="shared" si="21"/>
        <v>0</v>
      </c>
      <c r="V326" s="42"/>
      <c r="X326" s="4">
        <f>SUMIFS('Weekly Dump'!P:P,'Weekly Dump'!B:B,C326,'Weekly Dump'!A:A,AB326)</f>
        <v>0</v>
      </c>
      <c r="Y326" s="4">
        <f t="shared" si="22"/>
        <v>0</v>
      </c>
      <c r="Z326" s="41"/>
      <c r="AA326" s="12" t="str">
        <f>iferror(IF(VLOOKUP(C326,'Weekly Dump'!B:B,1,0)=C326,"Yes","Missing"),"")</f>
        <v/>
      </c>
      <c r="AB326" s="66"/>
    </row>
    <row r="327">
      <c r="B327" s="63"/>
      <c r="C327" s="63"/>
      <c r="G327" s="3" t="str">
        <f t="shared" si="26"/>
        <v/>
      </c>
      <c r="I327" s="4">
        <f>SUMIFS('Weekly Dump'!D:D,'Weekly Dump'!B:B,C327)</f>
        <v>0</v>
      </c>
      <c r="J327" s="5">
        <f>SUMIFS('Weekly Dump'!AE:AE,'Weekly Dump'!B:B,C327)</f>
        <v>0</v>
      </c>
      <c r="K327" s="4">
        <f>SUMPRODUCT(
  (TEXT('Weekly Dump'!$A$2:$A1009,"mmm-yy")=TEXT($AB327,"mmm-yy"))*
  ('Weekly Dump'!$B$2:$B1009=$C327)*
  'Weekly Dump'!$D$2:$D1009)</f>
        <v>0</v>
      </c>
      <c r="L327" s="4">
        <f>SUMPRODUCT(
  (TEXT('Weekly Dump'!$A$2:$A1009,"mmm-yy")=TEXT($AB327,"mmm-yy"))*
  ('Weekly Dump'!$B$2:$B1009=$C327)*
  'Weekly Dump'!$E$2:$E1009
)</f>
        <v>0</v>
      </c>
      <c r="M327" s="4">
        <f>SUMPRODUCT(
  (TEXT('Weekly Dump'!$A$2:$A1009,"mmm-yy")=TEXT($AB327,"mmm-yy"))*
  ('Weekly Dump'!$B$2:$B1009=$C327)*
  'Weekly Dump'!$P$2:$P1009
)</f>
        <v>0</v>
      </c>
      <c r="N327" s="39"/>
      <c r="O327" s="40">
        <f>SUMIFS('Weekly Dump'!$D:$D,'Weekly Dump'!$B:$B,$C327,'Weekly Dump'!$A:$A,$AB327)</f>
        <v>0</v>
      </c>
      <c r="P327" s="40">
        <f>SUMIFS('Weekly Dump'!R:R,'Weekly Dump'!B:B,C327,'Weekly Dump'!A:A,AB327)</f>
        <v>0</v>
      </c>
      <c r="Q327" s="40">
        <f t="shared" si="20"/>
        <v>0</v>
      </c>
      <c r="R327" s="41"/>
      <c r="T327" s="4">
        <f>SUMIFS('Weekly Dump'!E:E,'Weekly Dump'!B:B,C327,'Weekly Dump'!A:A,AB327)</f>
        <v>0</v>
      </c>
      <c r="U327" s="3">
        <f t="shared" si="21"/>
        <v>0</v>
      </c>
      <c r="V327" s="42"/>
      <c r="X327" s="4">
        <f>SUMIFS('Weekly Dump'!P:P,'Weekly Dump'!B:B,C327,'Weekly Dump'!A:A,AB327)</f>
        <v>0</v>
      </c>
      <c r="Y327" s="4">
        <f t="shared" si="22"/>
        <v>0</v>
      </c>
      <c r="Z327" s="41"/>
      <c r="AA327" s="12" t="str">
        <f>iferror(IF(VLOOKUP(C327,'Weekly Dump'!B:B,1,0)=C327,"Yes","Missing"),"")</f>
        <v/>
      </c>
      <c r="AB327" s="66"/>
    </row>
    <row r="328">
      <c r="B328" s="63"/>
      <c r="C328" s="63"/>
      <c r="G328" s="3" t="str">
        <f t="shared" si="26"/>
        <v/>
      </c>
      <c r="I328" s="4">
        <f>SUMIFS('Weekly Dump'!D:D,'Weekly Dump'!B:B,C328)</f>
        <v>0</v>
      </c>
      <c r="J328" s="5">
        <f>SUMIFS('Weekly Dump'!AE:AE,'Weekly Dump'!B:B,C328)</f>
        <v>0</v>
      </c>
      <c r="K328" s="4">
        <f>SUMPRODUCT(
  (TEXT('Weekly Dump'!$A$2:$A1009,"mmm-yy")=TEXT($AB328,"mmm-yy"))*
  ('Weekly Dump'!$B$2:$B1009=$C328)*
  'Weekly Dump'!$D$2:$D1009)</f>
        <v>0</v>
      </c>
      <c r="L328" s="4">
        <f>SUMPRODUCT(
  (TEXT('Weekly Dump'!$A$2:$A1009,"mmm-yy")=TEXT($AB328,"mmm-yy"))*
  ('Weekly Dump'!$B$2:$B1009=$C328)*
  'Weekly Dump'!$E$2:$E1009
)</f>
        <v>0</v>
      </c>
      <c r="M328" s="4">
        <f>SUMPRODUCT(
  (TEXT('Weekly Dump'!$A$2:$A1009,"mmm-yy")=TEXT($AB328,"mmm-yy"))*
  ('Weekly Dump'!$B$2:$B1009=$C328)*
  'Weekly Dump'!$P$2:$P1009
)</f>
        <v>0</v>
      </c>
      <c r="N328" s="39"/>
      <c r="O328" s="40">
        <f>SUMIFS('Weekly Dump'!$D:$D,'Weekly Dump'!$B:$B,$C328,'Weekly Dump'!$A:$A,$AB328)</f>
        <v>0</v>
      </c>
      <c r="P328" s="40">
        <f>SUMIFS('Weekly Dump'!R:R,'Weekly Dump'!B:B,C328,'Weekly Dump'!A:A,AB328)</f>
        <v>0</v>
      </c>
      <c r="Q328" s="40">
        <f t="shared" si="20"/>
        <v>0</v>
      </c>
      <c r="R328" s="41"/>
      <c r="T328" s="4">
        <f>SUMIFS('Weekly Dump'!E:E,'Weekly Dump'!B:B,C328,'Weekly Dump'!A:A,AB328)</f>
        <v>0</v>
      </c>
      <c r="U328" s="3">
        <f t="shared" si="21"/>
        <v>0</v>
      </c>
      <c r="V328" s="42"/>
      <c r="X328" s="4">
        <f>SUMIFS('Weekly Dump'!P:P,'Weekly Dump'!B:B,C328,'Weekly Dump'!A:A,AB328)</f>
        <v>0</v>
      </c>
      <c r="Y328" s="4">
        <f t="shared" si="22"/>
        <v>0</v>
      </c>
      <c r="Z328" s="41"/>
      <c r="AA328" s="12" t="str">
        <f>iferror(IF(VLOOKUP(C328,'Weekly Dump'!B:B,1,0)=C328,"Yes","Missing"),"")</f>
        <v/>
      </c>
      <c r="AB328" s="66"/>
    </row>
    <row r="329">
      <c r="B329" s="63"/>
      <c r="C329" s="63"/>
      <c r="G329" s="3" t="str">
        <f t="shared" si="26"/>
        <v/>
      </c>
      <c r="I329" s="4">
        <f>SUMIFS('Weekly Dump'!D:D,'Weekly Dump'!B:B,C329)</f>
        <v>0</v>
      </c>
      <c r="J329" s="5">
        <f>SUMIFS('Weekly Dump'!AE:AE,'Weekly Dump'!B:B,C329)</f>
        <v>0</v>
      </c>
      <c r="K329" s="4">
        <f>SUMPRODUCT(
  (TEXT('Weekly Dump'!$A$2:$A1009,"mmm-yy")=TEXT($AB329,"mmm-yy"))*
  ('Weekly Dump'!$B$2:$B1009=$C329)*
  'Weekly Dump'!$D$2:$D1009)</f>
        <v>0</v>
      </c>
      <c r="L329" s="4">
        <f>SUMPRODUCT(
  (TEXT('Weekly Dump'!$A$2:$A1009,"mmm-yy")=TEXT($AB329,"mmm-yy"))*
  ('Weekly Dump'!$B$2:$B1009=$C329)*
  'Weekly Dump'!$E$2:$E1009
)</f>
        <v>0</v>
      </c>
      <c r="M329" s="4">
        <f>SUMPRODUCT(
  (TEXT('Weekly Dump'!$A$2:$A1009,"mmm-yy")=TEXT($AB329,"mmm-yy"))*
  ('Weekly Dump'!$B$2:$B1009=$C329)*
  'Weekly Dump'!$P$2:$P1009
)</f>
        <v>0</v>
      </c>
      <c r="N329" s="39"/>
      <c r="O329" s="40">
        <f>SUMIFS('Weekly Dump'!$D:$D,'Weekly Dump'!$B:$B,$C329,'Weekly Dump'!$A:$A,$AB329)</f>
        <v>0</v>
      </c>
      <c r="P329" s="40">
        <f>SUMIFS('Weekly Dump'!R:R,'Weekly Dump'!B:B,C329,'Weekly Dump'!A:A,AB329)</f>
        <v>0</v>
      </c>
      <c r="Q329" s="40">
        <f t="shared" si="20"/>
        <v>0</v>
      </c>
      <c r="R329" s="41"/>
      <c r="T329" s="4">
        <f>SUMIFS('Weekly Dump'!E:E,'Weekly Dump'!B:B,C329,'Weekly Dump'!A:A,AB329)</f>
        <v>0</v>
      </c>
      <c r="U329" s="3">
        <f t="shared" si="21"/>
        <v>0</v>
      </c>
      <c r="V329" s="42"/>
      <c r="X329" s="4">
        <f>SUMIFS('Weekly Dump'!P:P,'Weekly Dump'!B:B,C329,'Weekly Dump'!A:A,AB329)</f>
        <v>0</v>
      </c>
      <c r="Y329" s="4">
        <f t="shared" si="22"/>
        <v>0</v>
      </c>
      <c r="Z329" s="41"/>
      <c r="AA329" s="12" t="str">
        <f>iferror(IF(VLOOKUP(C329,'Weekly Dump'!B:B,1,0)=C329,"Yes","Missing"),"")</f>
        <v/>
      </c>
      <c r="AB329" s="66"/>
    </row>
    <row r="330">
      <c r="B330" s="63"/>
      <c r="C330" s="63"/>
      <c r="G330" s="3" t="str">
        <f t="shared" si="26"/>
        <v/>
      </c>
      <c r="I330" s="4">
        <f>SUMIFS('Weekly Dump'!D:D,'Weekly Dump'!B:B,C330)</f>
        <v>0</v>
      </c>
      <c r="J330" s="5">
        <f>SUMIFS('Weekly Dump'!AE:AE,'Weekly Dump'!B:B,C330)</f>
        <v>0</v>
      </c>
      <c r="K330" s="4">
        <f>SUMPRODUCT(
  (TEXT('Weekly Dump'!$A$2:$A1009,"mmm-yy")=TEXT($AB330,"mmm-yy"))*
  ('Weekly Dump'!$B$2:$B1009=$C330)*
  'Weekly Dump'!$D$2:$D1009)</f>
        <v>0</v>
      </c>
      <c r="L330" s="4">
        <f>SUMPRODUCT(
  (TEXT('Weekly Dump'!$A$2:$A1009,"mmm-yy")=TEXT($AB330,"mmm-yy"))*
  ('Weekly Dump'!$B$2:$B1009=$C330)*
  'Weekly Dump'!$E$2:$E1009
)</f>
        <v>0</v>
      </c>
      <c r="M330" s="4">
        <f>SUMPRODUCT(
  (TEXT('Weekly Dump'!$A$2:$A1009,"mmm-yy")=TEXT($AB330,"mmm-yy"))*
  ('Weekly Dump'!$B$2:$B1009=$C330)*
  'Weekly Dump'!$P$2:$P1009
)</f>
        <v>0</v>
      </c>
      <c r="N330" s="39"/>
      <c r="O330" s="40">
        <f>SUMIFS('Weekly Dump'!$D:$D,'Weekly Dump'!$B:$B,$C330,'Weekly Dump'!$A:$A,$AB330)</f>
        <v>0</v>
      </c>
      <c r="P330" s="40">
        <f>SUMIFS('Weekly Dump'!R:R,'Weekly Dump'!B:B,C330,'Weekly Dump'!A:A,AB330)</f>
        <v>0</v>
      </c>
      <c r="Q330" s="40">
        <f t="shared" si="20"/>
        <v>0</v>
      </c>
      <c r="R330" s="41"/>
      <c r="T330" s="4">
        <f>SUMIFS('Weekly Dump'!E:E,'Weekly Dump'!B:B,C330,'Weekly Dump'!A:A,AB330)</f>
        <v>0</v>
      </c>
      <c r="U330" s="3">
        <f t="shared" si="21"/>
        <v>0</v>
      </c>
      <c r="V330" s="42"/>
      <c r="X330" s="4">
        <f>SUMIFS('Weekly Dump'!P:P,'Weekly Dump'!B:B,C330,'Weekly Dump'!A:A,AB330)</f>
        <v>0</v>
      </c>
      <c r="Y330" s="4">
        <f t="shared" si="22"/>
        <v>0</v>
      </c>
      <c r="Z330" s="41"/>
      <c r="AA330" s="12" t="str">
        <f>iferror(IF(VLOOKUP(C330,'Weekly Dump'!B:B,1,0)=C330,"Yes","Missing"),"")</f>
        <v/>
      </c>
      <c r="AB330" s="66"/>
    </row>
    <row r="331">
      <c r="B331" s="63"/>
      <c r="C331" s="63"/>
      <c r="G331" s="3" t="str">
        <f t="shared" si="26"/>
        <v/>
      </c>
      <c r="I331" s="4">
        <f>SUMIFS('Weekly Dump'!D:D,'Weekly Dump'!B:B,C331)</f>
        <v>0</v>
      </c>
      <c r="J331" s="5">
        <f>SUMIFS('Weekly Dump'!AE:AE,'Weekly Dump'!B:B,C331)</f>
        <v>0</v>
      </c>
      <c r="K331" s="4">
        <f>SUMPRODUCT(
  (TEXT('Weekly Dump'!$A$2:$A1009,"mmm-yy")=TEXT($AB331,"mmm-yy"))*
  ('Weekly Dump'!$B$2:$B1009=$C331)*
  'Weekly Dump'!$D$2:$D1009)</f>
        <v>0</v>
      </c>
      <c r="L331" s="4">
        <f>SUMPRODUCT(
  (TEXT('Weekly Dump'!$A$2:$A1009,"mmm-yy")=TEXT($AB331,"mmm-yy"))*
  ('Weekly Dump'!$B$2:$B1009=$C331)*
  'Weekly Dump'!$E$2:$E1009
)</f>
        <v>0</v>
      </c>
      <c r="M331" s="4">
        <f>SUMPRODUCT(
  (TEXT('Weekly Dump'!$A$2:$A1009,"mmm-yy")=TEXT($AB331,"mmm-yy"))*
  ('Weekly Dump'!$B$2:$B1009=$C331)*
  'Weekly Dump'!$P$2:$P1009
)</f>
        <v>0</v>
      </c>
      <c r="N331" s="39"/>
      <c r="O331" s="40">
        <f>SUMIFS('Weekly Dump'!$D:$D,'Weekly Dump'!$B:$B,$C331,'Weekly Dump'!$A:$A,$AB331)</f>
        <v>0</v>
      </c>
      <c r="P331" s="40">
        <f>SUMIFS('Weekly Dump'!R:R,'Weekly Dump'!B:B,C331,'Weekly Dump'!A:A,AB331)</f>
        <v>0</v>
      </c>
      <c r="Q331" s="40">
        <f t="shared" si="20"/>
        <v>0</v>
      </c>
      <c r="R331" s="41"/>
      <c r="T331" s="4">
        <f>SUMIFS('Weekly Dump'!E:E,'Weekly Dump'!B:B,C331,'Weekly Dump'!A:A,AB331)</f>
        <v>0</v>
      </c>
      <c r="U331" s="3">
        <f t="shared" si="21"/>
        <v>0</v>
      </c>
      <c r="V331" s="42"/>
      <c r="X331" s="4">
        <f>SUMIFS('Weekly Dump'!P:P,'Weekly Dump'!B:B,C331,'Weekly Dump'!A:A,AB331)</f>
        <v>0</v>
      </c>
      <c r="Y331" s="4">
        <f t="shared" si="22"/>
        <v>0</v>
      </c>
      <c r="Z331" s="41"/>
      <c r="AA331" s="12" t="str">
        <f>iferror(IF(VLOOKUP(C331,'Weekly Dump'!B:B,1,0)=C331,"Yes","Missing"),"")</f>
        <v/>
      </c>
      <c r="AB331" s="66"/>
    </row>
    <row r="332">
      <c r="B332" s="63"/>
      <c r="C332" s="63"/>
      <c r="G332" s="3" t="str">
        <f t="shared" si="26"/>
        <v/>
      </c>
      <c r="I332" s="4">
        <f>SUMIFS('Weekly Dump'!D:D,'Weekly Dump'!B:B,C332)</f>
        <v>0</v>
      </c>
      <c r="J332" s="5">
        <f>SUMIFS('Weekly Dump'!AE:AE,'Weekly Dump'!B:B,C332)</f>
        <v>0</v>
      </c>
      <c r="K332" s="4">
        <f>SUMPRODUCT(
  (TEXT('Weekly Dump'!$A$2:$A1009,"mmm-yy")=TEXT($AB332,"mmm-yy"))*
  ('Weekly Dump'!$B$2:$B1009=$C332)*
  'Weekly Dump'!$D$2:$D1009)</f>
        <v>0</v>
      </c>
      <c r="L332" s="4">
        <f>SUMPRODUCT(
  (TEXT('Weekly Dump'!$A$2:$A1009,"mmm-yy")=TEXT($AB332,"mmm-yy"))*
  ('Weekly Dump'!$B$2:$B1009=$C332)*
  'Weekly Dump'!$E$2:$E1009
)</f>
        <v>0</v>
      </c>
      <c r="M332" s="4">
        <f>SUMPRODUCT(
  (TEXT('Weekly Dump'!$A$2:$A1009,"mmm-yy")=TEXT($AB332,"mmm-yy"))*
  ('Weekly Dump'!$B$2:$B1009=$C332)*
  'Weekly Dump'!$P$2:$P1009
)</f>
        <v>0</v>
      </c>
      <c r="N332" s="39"/>
      <c r="O332" s="40">
        <f>SUMIFS('Weekly Dump'!$D:$D,'Weekly Dump'!$B:$B,$C332,'Weekly Dump'!$A:$A,$AB332)</f>
        <v>0</v>
      </c>
      <c r="P332" s="40">
        <f>SUMIFS('Weekly Dump'!R:R,'Weekly Dump'!B:B,C332,'Weekly Dump'!A:A,AB332)</f>
        <v>0</v>
      </c>
      <c r="Q332" s="40">
        <f t="shared" si="20"/>
        <v>0</v>
      </c>
      <c r="R332" s="41"/>
      <c r="T332" s="4">
        <f>SUMIFS('Weekly Dump'!E:E,'Weekly Dump'!B:B,C332,'Weekly Dump'!A:A,AB332)</f>
        <v>0</v>
      </c>
      <c r="U332" s="3">
        <f t="shared" si="21"/>
        <v>0</v>
      </c>
      <c r="V332" s="42"/>
      <c r="X332" s="4">
        <f>SUMIFS('Weekly Dump'!P:P,'Weekly Dump'!B:B,C332,'Weekly Dump'!A:A,AB332)</f>
        <v>0</v>
      </c>
      <c r="Y332" s="4">
        <f t="shared" si="22"/>
        <v>0</v>
      </c>
      <c r="Z332" s="41"/>
      <c r="AA332" s="12" t="str">
        <f>iferror(IF(VLOOKUP(C332,'Weekly Dump'!B:B,1,0)=C332,"Yes","Missing"),"")</f>
        <v/>
      </c>
      <c r="AB332" s="66"/>
    </row>
    <row r="333">
      <c r="B333" s="63"/>
      <c r="C333" s="63"/>
      <c r="G333" s="3" t="str">
        <f t="shared" si="26"/>
        <v/>
      </c>
      <c r="I333" s="4">
        <f>SUMIFS('Weekly Dump'!D:D,'Weekly Dump'!B:B,C333)</f>
        <v>0</v>
      </c>
      <c r="J333" s="5">
        <f>SUMIFS('Weekly Dump'!AE:AE,'Weekly Dump'!B:B,C333)</f>
        <v>0</v>
      </c>
      <c r="K333" s="4">
        <f>SUMPRODUCT(
  (TEXT('Weekly Dump'!$A$2:$A1009,"mmm-yy")=TEXT($AB333,"mmm-yy"))*
  ('Weekly Dump'!$B$2:$B1009=$C333)*
  'Weekly Dump'!$D$2:$D1009)</f>
        <v>0</v>
      </c>
      <c r="L333" s="4">
        <f>SUMPRODUCT(
  (TEXT('Weekly Dump'!$A$2:$A1009,"mmm-yy")=TEXT($AB333,"mmm-yy"))*
  ('Weekly Dump'!$B$2:$B1009=$C333)*
  'Weekly Dump'!$E$2:$E1009
)</f>
        <v>0</v>
      </c>
      <c r="M333" s="4">
        <f>SUMPRODUCT(
  (TEXT('Weekly Dump'!$A$2:$A1009,"mmm-yy")=TEXT($AB333,"mmm-yy"))*
  ('Weekly Dump'!$B$2:$B1009=$C333)*
  'Weekly Dump'!$P$2:$P1009
)</f>
        <v>0</v>
      </c>
      <c r="N333" s="39"/>
      <c r="O333" s="40">
        <f>SUMIFS('Weekly Dump'!$D:$D,'Weekly Dump'!$B:$B,$C333,'Weekly Dump'!$A:$A,$AB333)</f>
        <v>0</v>
      </c>
      <c r="P333" s="40">
        <f>SUMIFS('Weekly Dump'!R:R,'Weekly Dump'!B:B,C333,'Weekly Dump'!A:A,AB333)</f>
        <v>0</v>
      </c>
      <c r="Q333" s="40">
        <f t="shared" si="20"/>
        <v>0</v>
      </c>
      <c r="R333" s="41"/>
      <c r="T333" s="4">
        <f>SUMIFS('Weekly Dump'!E:E,'Weekly Dump'!B:B,C333,'Weekly Dump'!A:A,AB333)</f>
        <v>0</v>
      </c>
      <c r="U333" s="3">
        <f t="shared" si="21"/>
        <v>0</v>
      </c>
      <c r="V333" s="42"/>
      <c r="X333" s="4">
        <f>SUMIFS('Weekly Dump'!P:P,'Weekly Dump'!B:B,C333,'Weekly Dump'!A:A,AB333)</f>
        <v>0</v>
      </c>
      <c r="Y333" s="4">
        <f t="shared" si="22"/>
        <v>0</v>
      </c>
      <c r="Z333" s="41"/>
      <c r="AA333" s="12" t="str">
        <f>iferror(IF(VLOOKUP(C333,'Weekly Dump'!B:B,1,0)=C333,"Yes","Missing"),"")</f>
        <v/>
      </c>
      <c r="AB333" s="66"/>
    </row>
    <row r="334">
      <c r="B334" s="63"/>
      <c r="C334" s="63"/>
      <c r="G334" s="3" t="str">
        <f t="shared" si="26"/>
        <v/>
      </c>
      <c r="I334" s="4">
        <f>SUMIFS('Weekly Dump'!D:D,'Weekly Dump'!B:B,C334)</f>
        <v>0</v>
      </c>
      <c r="J334" s="5">
        <f>SUMIFS('Weekly Dump'!AE:AE,'Weekly Dump'!B:B,C334)</f>
        <v>0</v>
      </c>
      <c r="K334" s="4">
        <f>SUMPRODUCT(
  (TEXT('Weekly Dump'!$A$2:$A1009,"mmm-yy")=TEXT($AB334,"mmm-yy"))*
  ('Weekly Dump'!$B$2:$B1009=$C334)*
  'Weekly Dump'!$D$2:$D1009)</f>
        <v>0</v>
      </c>
      <c r="L334" s="4">
        <f>SUMPRODUCT(
  (TEXT('Weekly Dump'!$A$2:$A1009,"mmm-yy")=TEXT($AB334,"mmm-yy"))*
  ('Weekly Dump'!$B$2:$B1009=$C334)*
  'Weekly Dump'!$E$2:$E1009
)</f>
        <v>0</v>
      </c>
      <c r="M334" s="4">
        <f>SUMPRODUCT(
  (TEXT('Weekly Dump'!$A$2:$A1009,"mmm-yy")=TEXT($AB334,"mmm-yy"))*
  ('Weekly Dump'!$B$2:$B1009=$C334)*
  'Weekly Dump'!$P$2:$P1009
)</f>
        <v>0</v>
      </c>
      <c r="N334" s="39"/>
      <c r="O334" s="40">
        <f>SUMIFS('Weekly Dump'!$D:$D,'Weekly Dump'!$B:$B,$C334,'Weekly Dump'!$A:$A,$AB334)</f>
        <v>0</v>
      </c>
      <c r="P334" s="40">
        <f>SUMIFS('Weekly Dump'!R:R,'Weekly Dump'!B:B,C334,'Weekly Dump'!A:A,AB334)</f>
        <v>0</v>
      </c>
      <c r="Q334" s="40">
        <f t="shared" si="20"/>
        <v>0</v>
      </c>
      <c r="R334" s="41"/>
      <c r="T334" s="4">
        <f>SUMIFS('Weekly Dump'!E:E,'Weekly Dump'!B:B,C334,'Weekly Dump'!A:A,AB334)</f>
        <v>0</v>
      </c>
      <c r="U334" s="3">
        <f t="shared" si="21"/>
        <v>0</v>
      </c>
      <c r="V334" s="42"/>
      <c r="X334" s="4">
        <f>SUMIFS('Weekly Dump'!P:P,'Weekly Dump'!B:B,C334,'Weekly Dump'!A:A,AB334)</f>
        <v>0</v>
      </c>
      <c r="Y334" s="4">
        <f t="shared" si="22"/>
        <v>0</v>
      </c>
      <c r="Z334" s="41"/>
      <c r="AA334" s="12" t="str">
        <f>iferror(IF(VLOOKUP(C334,'Weekly Dump'!B:B,1,0)=C334,"Yes","Missing"),"")</f>
        <v/>
      </c>
      <c r="AB334" s="66"/>
    </row>
    <row r="335">
      <c r="B335" s="63"/>
      <c r="C335" s="63"/>
      <c r="G335" s="3" t="str">
        <f t="shared" si="26"/>
        <v/>
      </c>
      <c r="I335" s="4">
        <f>SUMIFS('Weekly Dump'!D:D,'Weekly Dump'!B:B,C335)</f>
        <v>0</v>
      </c>
      <c r="J335" s="5">
        <f>SUMIFS('Weekly Dump'!AE:AE,'Weekly Dump'!B:B,C335)</f>
        <v>0</v>
      </c>
      <c r="K335" s="4">
        <f>SUMPRODUCT(
  (TEXT('Weekly Dump'!$A$2:$A1009,"mmm-yy")=TEXT($AB335,"mmm-yy"))*
  ('Weekly Dump'!$B$2:$B1009=$C335)*
  'Weekly Dump'!$D$2:$D1009)</f>
        <v>0</v>
      </c>
      <c r="L335" s="4">
        <f>SUMPRODUCT(
  (TEXT('Weekly Dump'!$A$2:$A1009,"mmm-yy")=TEXT($AB335,"mmm-yy"))*
  ('Weekly Dump'!$B$2:$B1009=$C335)*
  'Weekly Dump'!$E$2:$E1009
)</f>
        <v>0</v>
      </c>
      <c r="M335" s="4">
        <f>SUMPRODUCT(
  (TEXT('Weekly Dump'!$A$2:$A1009,"mmm-yy")=TEXT($AB335,"mmm-yy"))*
  ('Weekly Dump'!$B$2:$B1009=$C335)*
  'Weekly Dump'!$P$2:$P1009
)</f>
        <v>0</v>
      </c>
      <c r="N335" s="39"/>
      <c r="O335" s="40">
        <f>SUMIFS('Weekly Dump'!$D:$D,'Weekly Dump'!$B:$B,$C335,'Weekly Dump'!$A:$A,$AB335)</f>
        <v>0</v>
      </c>
      <c r="P335" s="40">
        <f>SUMIFS('Weekly Dump'!R:R,'Weekly Dump'!B:B,C335,'Weekly Dump'!A:A,AB335)</f>
        <v>0</v>
      </c>
      <c r="Q335" s="40">
        <f t="shared" si="20"/>
        <v>0</v>
      </c>
      <c r="R335" s="41"/>
      <c r="T335" s="4">
        <f>SUMIFS('Weekly Dump'!E:E,'Weekly Dump'!B:B,C335,'Weekly Dump'!A:A,AB335)</f>
        <v>0</v>
      </c>
      <c r="U335" s="3">
        <f t="shared" si="21"/>
        <v>0</v>
      </c>
      <c r="V335" s="42"/>
      <c r="X335" s="4">
        <f>SUMIFS('Weekly Dump'!P:P,'Weekly Dump'!B:B,C335,'Weekly Dump'!A:A,AB335)</f>
        <v>0</v>
      </c>
      <c r="Y335" s="4">
        <f t="shared" si="22"/>
        <v>0</v>
      </c>
      <c r="Z335" s="41"/>
      <c r="AA335" s="12" t="str">
        <f>iferror(IF(VLOOKUP(C335,'Weekly Dump'!B:B,1,0)=C335,"Yes","Missing"),"")</f>
        <v/>
      </c>
      <c r="AB335" s="66"/>
    </row>
    <row r="336">
      <c r="B336" s="63"/>
      <c r="C336" s="63"/>
      <c r="G336" s="3" t="str">
        <f t="shared" si="26"/>
        <v/>
      </c>
      <c r="I336" s="4">
        <f>SUMIFS('Weekly Dump'!D:D,'Weekly Dump'!B:B,C336)</f>
        <v>0</v>
      </c>
      <c r="J336" s="5">
        <f>SUMIFS('Weekly Dump'!AE:AE,'Weekly Dump'!B:B,C336)</f>
        <v>0</v>
      </c>
      <c r="K336" s="4">
        <f>SUMPRODUCT(
  (TEXT('Weekly Dump'!$A$2:$A1009,"mmm-yy")=TEXT($AB336,"mmm-yy"))*
  ('Weekly Dump'!$B$2:$B1009=$C336)*
  'Weekly Dump'!$D$2:$D1009)</f>
        <v>0</v>
      </c>
      <c r="L336" s="4">
        <f>SUMPRODUCT(
  (TEXT('Weekly Dump'!$A$2:$A1009,"mmm-yy")=TEXT($AB336,"mmm-yy"))*
  ('Weekly Dump'!$B$2:$B1009=$C336)*
  'Weekly Dump'!$E$2:$E1009
)</f>
        <v>0</v>
      </c>
      <c r="M336" s="4">
        <f>SUMPRODUCT(
  (TEXT('Weekly Dump'!$A$2:$A1009,"mmm-yy")=TEXT($AB336,"mmm-yy"))*
  ('Weekly Dump'!$B$2:$B1009=$C336)*
  'Weekly Dump'!$P$2:$P1009
)</f>
        <v>0</v>
      </c>
      <c r="N336" s="39"/>
      <c r="O336" s="40">
        <f>SUMIFS('Weekly Dump'!$D:$D,'Weekly Dump'!$B:$B,$C336,'Weekly Dump'!$A:$A,$AB336)</f>
        <v>0</v>
      </c>
      <c r="P336" s="40">
        <f>SUMIFS('Weekly Dump'!R:R,'Weekly Dump'!B:B,C336,'Weekly Dump'!A:A,AB336)</f>
        <v>0</v>
      </c>
      <c r="Q336" s="40">
        <f t="shared" si="20"/>
        <v>0</v>
      </c>
      <c r="R336" s="41"/>
      <c r="T336" s="4">
        <f>SUMIFS('Weekly Dump'!E:E,'Weekly Dump'!B:B,C336,'Weekly Dump'!A:A,AB336)</f>
        <v>0</v>
      </c>
      <c r="U336" s="3">
        <f t="shared" si="21"/>
        <v>0</v>
      </c>
      <c r="V336" s="42"/>
      <c r="X336" s="4">
        <f>SUMIFS('Weekly Dump'!P:P,'Weekly Dump'!B:B,C336,'Weekly Dump'!A:A,AB336)</f>
        <v>0</v>
      </c>
      <c r="Y336" s="4">
        <f t="shared" si="22"/>
        <v>0</v>
      </c>
      <c r="Z336" s="41"/>
      <c r="AA336" s="12" t="str">
        <f>iferror(IF(VLOOKUP(C336,'Weekly Dump'!B:B,1,0)=C336,"Yes","Missing"),"")</f>
        <v/>
      </c>
      <c r="AB336" s="66"/>
    </row>
    <row r="337">
      <c r="B337" s="63"/>
      <c r="C337" s="63"/>
      <c r="G337" s="3" t="str">
        <f t="shared" si="26"/>
        <v/>
      </c>
      <c r="I337" s="4">
        <f>SUMIFS('Weekly Dump'!D:D,'Weekly Dump'!B:B,C337)</f>
        <v>0</v>
      </c>
      <c r="J337" s="5">
        <f>SUMIFS('Weekly Dump'!AE:AE,'Weekly Dump'!B:B,C337)</f>
        <v>0</v>
      </c>
      <c r="K337" s="4">
        <f>SUMPRODUCT(
  (TEXT('Weekly Dump'!$A$2:$A1009,"mmm-yy")=TEXT($AB337,"mmm-yy"))*
  ('Weekly Dump'!$B$2:$B1009=$C337)*
  'Weekly Dump'!$D$2:$D1009)</f>
        <v>0</v>
      </c>
      <c r="L337" s="4">
        <f>SUMPRODUCT(
  (TEXT('Weekly Dump'!$A$2:$A1009,"mmm-yy")=TEXT($AB337,"mmm-yy"))*
  ('Weekly Dump'!$B$2:$B1009=$C337)*
  'Weekly Dump'!$E$2:$E1009
)</f>
        <v>0</v>
      </c>
      <c r="M337" s="4">
        <f>SUMPRODUCT(
  (TEXT('Weekly Dump'!$A$2:$A1009,"mmm-yy")=TEXT($AB337,"mmm-yy"))*
  ('Weekly Dump'!$B$2:$B1009=$C337)*
  'Weekly Dump'!$P$2:$P1009
)</f>
        <v>0</v>
      </c>
      <c r="N337" s="39"/>
      <c r="O337" s="40">
        <f>SUMIFS('Weekly Dump'!$D:$D,'Weekly Dump'!$B:$B,$C337,'Weekly Dump'!$A:$A,$AB337)</f>
        <v>0</v>
      </c>
      <c r="P337" s="40">
        <f>SUMIFS('Weekly Dump'!R:R,'Weekly Dump'!B:B,C337,'Weekly Dump'!A:A,AB337)</f>
        <v>0</v>
      </c>
      <c r="Q337" s="40">
        <f t="shared" si="20"/>
        <v>0</v>
      </c>
      <c r="R337" s="41"/>
      <c r="T337" s="4">
        <f>SUMIFS('Weekly Dump'!E:E,'Weekly Dump'!B:B,C337,'Weekly Dump'!A:A,AB337)</f>
        <v>0</v>
      </c>
      <c r="U337" s="3">
        <f t="shared" si="21"/>
        <v>0</v>
      </c>
      <c r="V337" s="42"/>
      <c r="X337" s="4">
        <f>SUMIFS('Weekly Dump'!P:P,'Weekly Dump'!B:B,C337,'Weekly Dump'!A:A,AB337)</f>
        <v>0</v>
      </c>
      <c r="Y337" s="4">
        <f t="shared" si="22"/>
        <v>0</v>
      </c>
      <c r="Z337" s="41"/>
      <c r="AA337" s="12" t="str">
        <f>iferror(IF(VLOOKUP(C337,'Weekly Dump'!B:B,1,0)=C337,"Yes","Missing"),"")</f>
        <v/>
      </c>
      <c r="AB337" s="66"/>
    </row>
    <row r="338">
      <c r="B338" s="63"/>
      <c r="C338" s="63"/>
      <c r="G338" s="3" t="str">
        <f t="shared" si="26"/>
        <v/>
      </c>
      <c r="I338" s="4">
        <f>SUMIFS('Weekly Dump'!D:D,'Weekly Dump'!B:B,C338)</f>
        <v>0</v>
      </c>
      <c r="J338" s="5">
        <f>SUMIFS('Weekly Dump'!AE:AE,'Weekly Dump'!B:B,C338)</f>
        <v>0</v>
      </c>
      <c r="K338" s="4">
        <f>SUMPRODUCT(
  (TEXT('Weekly Dump'!$A$2:$A1009,"mmm-yy")=TEXT($AB338,"mmm-yy"))*
  ('Weekly Dump'!$B$2:$B1009=$C338)*
  'Weekly Dump'!$D$2:$D1009)</f>
        <v>0</v>
      </c>
      <c r="L338" s="4">
        <f>SUMPRODUCT(
  (TEXT('Weekly Dump'!$A$2:$A1009,"mmm-yy")=TEXT($AB338,"mmm-yy"))*
  ('Weekly Dump'!$B$2:$B1009=$C338)*
  'Weekly Dump'!$E$2:$E1009
)</f>
        <v>0</v>
      </c>
      <c r="M338" s="4">
        <f>SUMPRODUCT(
  (TEXT('Weekly Dump'!$A$2:$A1009,"mmm-yy")=TEXT($AB338,"mmm-yy"))*
  ('Weekly Dump'!$B$2:$B1009=$C338)*
  'Weekly Dump'!$P$2:$P1009
)</f>
        <v>0</v>
      </c>
      <c r="N338" s="39"/>
      <c r="O338" s="40">
        <f>SUMIFS('Weekly Dump'!$D:$D,'Weekly Dump'!$B:$B,$C338,'Weekly Dump'!$A:$A,$AB338)</f>
        <v>0</v>
      </c>
      <c r="P338" s="40">
        <f>SUMIFS('Weekly Dump'!R:R,'Weekly Dump'!B:B,C338,'Weekly Dump'!A:A,AB338)</f>
        <v>0</v>
      </c>
      <c r="Q338" s="40">
        <f t="shared" si="20"/>
        <v>0</v>
      </c>
      <c r="R338" s="41"/>
      <c r="T338" s="4">
        <f>SUMIFS('Weekly Dump'!E:E,'Weekly Dump'!B:B,C338,'Weekly Dump'!A:A,AB338)</f>
        <v>0</v>
      </c>
      <c r="U338" s="3">
        <f t="shared" si="21"/>
        <v>0</v>
      </c>
      <c r="V338" s="42"/>
      <c r="X338" s="4">
        <f>SUMIFS('Weekly Dump'!P:P,'Weekly Dump'!B:B,C338,'Weekly Dump'!A:A,AB338)</f>
        <v>0</v>
      </c>
      <c r="Y338" s="4">
        <f t="shared" si="22"/>
        <v>0</v>
      </c>
      <c r="Z338" s="41"/>
      <c r="AA338" s="12" t="str">
        <f>iferror(IF(VLOOKUP(C338,'Weekly Dump'!B:B,1,0)=C338,"Yes","Missing"),"")</f>
        <v/>
      </c>
      <c r="AB338" s="66"/>
    </row>
    <row r="339">
      <c r="B339" s="63"/>
      <c r="C339" s="63"/>
      <c r="G339" s="3" t="str">
        <f t="shared" si="26"/>
        <v/>
      </c>
      <c r="I339" s="4">
        <f>SUMIFS('Weekly Dump'!D:D,'Weekly Dump'!B:B,C339)</f>
        <v>0</v>
      </c>
      <c r="J339" s="5">
        <f>SUMIFS('Weekly Dump'!AE:AE,'Weekly Dump'!B:B,C339)</f>
        <v>0</v>
      </c>
      <c r="K339" s="4">
        <f>SUMPRODUCT(
  (TEXT('Weekly Dump'!$A$2:$A1009,"mmm-yy")=TEXT($AB339,"mmm-yy"))*
  ('Weekly Dump'!$B$2:$B1009=$C339)*
  'Weekly Dump'!$D$2:$D1009)</f>
        <v>0</v>
      </c>
      <c r="L339" s="4">
        <f>SUMPRODUCT(
  (TEXT('Weekly Dump'!$A$2:$A1009,"mmm-yy")=TEXT($AB339,"mmm-yy"))*
  ('Weekly Dump'!$B$2:$B1009=$C339)*
  'Weekly Dump'!$E$2:$E1009
)</f>
        <v>0</v>
      </c>
      <c r="M339" s="4">
        <f>SUMPRODUCT(
  (TEXT('Weekly Dump'!$A$2:$A1009,"mmm-yy")=TEXT($AB339,"mmm-yy"))*
  ('Weekly Dump'!$B$2:$B1009=$C339)*
  'Weekly Dump'!$P$2:$P1009
)</f>
        <v>0</v>
      </c>
      <c r="N339" s="39"/>
      <c r="O339" s="40">
        <f>SUMIFS('Weekly Dump'!$D:$D,'Weekly Dump'!$B:$B,$C339,'Weekly Dump'!$A:$A,$AB339)</f>
        <v>0</v>
      </c>
      <c r="P339" s="40">
        <f>SUMIFS('Weekly Dump'!R:R,'Weekly Dump'!B:B,C339,'Weekly Dump'!A:A,AB339)</f>
        <v>0</v>
      </c>
      <c r="Q339" s="40">
        <f t="shared" si="20"/>
        <v>0</v>
      </c>
      <c r="R339" s="41"/>
      <c r="T339" s="4">
        <f>SUMIFS('Weekly Dump'!E:E,'Weekly Dump'!B:B,C339,'Weekly Dump'!A:A,AB339)</f>
        <v>0</v>
      </c>
      <c r="U339" s="3">
        <f t="shared" si="21"/>
        <v>0</v>
      </c>
      <c r="V339" s="42"/>
      <c r="X339" s="4">
        <f>SUMIFS('Weekly Dump'!P:P,'Weekly Dump'!B:B,C339,'Weekly Dump'!A:A,AB339)</f>
        <v>0</v>
      </c>
      <c r="Y339" s="4">
        <f t="shared" si="22"/>
        <v>0</v>
      </c>
      <c r="Z339" s="41"/>
      <c r="AA339" s="12" t="str">
        <f>iferror(IF(VLOOKUP(C339,'Weekly Dump'!B:B,1,0)=C339,"Yes","Missing"),"")</f>
        <v/>
      </c>
      <c r="AB339" s="66"/>
    </row>
    <row r="340">
      <c r="B340" s="63"/>
      <c r="C340" s="63"/>
      <c r="G340" s="3" t="str">
        <f t="shared" si="26"/>
        <v/>
      </c>
      <c r="I340" s="4">
        <f>SUMIFS('Weekly Dump'!D:D,'Weekly Dump'!B:B,C340)</f>
        <v>0</v>
      </c>
      <c r="J340" s="5">
        <f>SUMIFS('Weekly Dump'!AE:AE,'Weekly Dump'!B:B,C340)</f>
        <v>0</v>
      </c>
      <c r="K340" s="4">
        <f>SUMPRODUCT(
  (TEXT('Weekly Dump'!$A$2:$A1009,"mmm-yy")=TEXT($AB340,"mmm-yy"))*
  ('Weekly Dump'!$B$2:$B1009=$C340)*
  'Weekly Dump'!$D$2:$D1009)</f>
        <v>0</v>
      </c>
      <c r="L340" s="4">
        <f>SUMPRODUCT(
  (TEXT('Weekly Dump'!$A$2:$A1009,"mmm-yy")=TEXT($AB340,"mmm-yy"))*
  ('Weekly Dump'!$B$2:$B1009=$C340)*
  'Weekly Dump'!$E$2:$E1009
)</f>
        <v>0</v>
      </c>
      <c r="M340" s="4">
        <f>SUMPRODUCT(
  (TEXT('Weekly Dump'!$A$2:$A1009,"mmm-yy")=TEXT($AB340,"mmm-yy"))*
  ('Weekly Dump'!$B$2:$B1009=$C340)*
  'Weekly Dump'!$P$2:$P1009
)</f>
        <v>0</v>
      </c>
      <c r="N340" s="39"/>
      <c r="O340" s="40">
        <f>SUMIFS('Weekly Dump'!$D:$D,'Weekly Dump'!$B:$B,$C340,'Weekly Dump'!$A:$A,$AB340)</f>
        <v>0</v>
      </c>
      <c r="P340" s="40">
        <f>SUMIFS('Weekly Dump'!R:R,'Weekly Dump'!B:B,C340,'Weekly Dump'!A:A,AB340)</f>
        <v>0</v>
      </c>
      <c r="Q340" s="40">
        <f t="shared" si="20"/>
        <v>0</v>
      </c>
      <c r="R340" s="41"/>
      <c r="T340" s="4">
        <f>SUMIFS('Weekly Dump'!E:E,'Weekly Dump'!B:B,C340,'Weekly Dump'!A:A,AB340)</f>
        <v>0</v>
      </c>
      <c r="U340" s="3">
        <f t="shared" si="21"/>
        <v>0</v>
      </c>
      <c r="V340" s="42"/>
      <c r="X340" s="4">
        <f>SUMIFS('Weekly Dump'!P:P,'Weekly Dump'!B:B,C340,'Weekly Dump'!A:A,AB340)</f>
        <v>0</v>
      </c>
      <c r="Y340" s="4">
        <f t="shared" si="22"/>
        <v>0</v>
      </c>
      <c r="Z340" s="41"/>
      <c r="AA340" s="12" t="str">
        <f>iferror(IF(VLOOKUP(C340,'Weekly Dump'!B:B,1,0)=C340,"Yes","Missing"),"")</f>
        <v/>
      </c>
      <c r="AB340" s="66"/>
    </row>
    <row r="341">
      <c r="B341" s="63"/>
      <c r="C341" s="63"/>
      <c r="G341" s="3" t="str">
        <f t="shared" si="26"/>
        <v/>
      </c>
      <c r="I341" s="4">
        <f>SUMIFS('Weekly Dump'!D:D,'Weekly Dump'!B:B,C341)</f>
        <v>0</v>
      </c>
      <c r="J341" s="5">
        <f>SUMIFS('Weekly Dump'!AE:AE,'Weekly Dump'!B:B,C341)</f>
        <v>0</v>
      </c>
      <c r="K341" s="4">
        <f>SUMPRODUCT(
  (TEXT('Weekly Dump'!$A$2:$A1009,"mmm-yy")=TEXT($AB341,"mmm-yy"))*
  ('Weekly Dump'!$B$2:$B1009=$C341)*
  'Weekly Dump'!$D$2:$D1009)</f>
        <v>0</v>
      </c>
      <c r="L341" s="4">
        <f>SUMPRODUCT(
  (TEXT('Weekly Dump'!$A$2:$A1009,"mmm-yy")=TEXT($AB341,"mmm-yy"))*
  ('Weekly Dump'!$B$2:$B1009=$C341)*
  'Weekly Dump'!$E$2:$E1009
)</f>
        <v>0</v>
      </c>
      <c r="M341" s="4">
        <f>SUMPRODUCT(
  (TEXT('Weekly Dump'!$A$2:$A1009,"mmm-yy")=TEXT($AB341,"mmm-yy"))*
  ('Weekly Dump'!$B$2:$B1009=$C341)*
  'Weekly Dump'!$P$2:$P1009
)</f>
        <v>0</v>
      </c>
      <c r="N341" s="39"/>
      <c r="O341" s="40">
        <f>SUMIFS('Weekly Dump'!$D:$D,'Weekly Dump'!$B:$B,$C341,'Weekly Dump'!$A:$A,$AB341)</f>
        <v>0</v>
      </c>
      <c r="P341" s="40">
        <f>SUMIFS('Weekly Dump'!R:R,'Weekly Dump'!B:B,C341,'Weekly Dump'!A:A,AB341)</f>
        <v>0</v>
      </c>
      <c r="Q341" s="40">
        <f t="shared" si="20"/>
        <v>0</v>
      </c>
      <c r="R341" s="41"/>
      <c r="T341" s="4">
        <f>SUMIFS('Weekly Dump'!E:E,'Weekly Dump'!B:B,C341,'Weekly Dump'!A:A,AB341)</f>
        <v>0</v>
      </c>
      <c r="U341" s="3">
        <f t="shared" si="21"/>
        <v>0</v>
      </c>
      <c r="V341" s="42"/>
      <c r="X341" s="4">
        <f>SUMIFS('Weekly Dump'!P:P,'Weekly Dump'!B:B,C341,'Weekly Dump'!A:A,AB341)</f>
        <v>0</v>
      </c>
      <c r="Y341" s="4">
        <f t="shared" si="22"/>
        <v>0</v>
      </c>
      <c r="Z341" s="41"/>
      <c r="AA341" s="12" t="str">
        <f>iferror(IF(VLOOKUP(C341,'Weekly Dump'!B:B,1,0)=C341,"Yes","Missing"),"")</f>
        <v/>
      </c>
      <c r="AB341" s="66"/>
    </row>
    <row r="342">
      <c r="B342" s="63"/>
      <c r="C342" s="63"/>
      <c r="G342" s="3" t="str">
        <f t="shared" si="26"/>
        <v/>
      </c>
      <c r="I342" s="4">
        <f>SUMIFS('Weekly Dump'!D:D,'Weekly Dump'!B:B,C342)</f>
        <v>0</v>
      </c>
      <c r="J342" s="5">
        <f>SUMIFS('Weekly Dump'!AE:AE,'Weekly Dump'!B:B,C342)</f>
        <v>0</v>
      </c>
      <c r="K342" s="4">
        <f>SUMPRODUCT(
  (TEXT('Weekly Dump'!$A$2:$A1009,"mmm-yy")=TEXT($AB342,"mmm-yy"))*
  ('Weekly Dump'!$B$2:$B1009=$C342)*
  'Weekly Dump'!$D$2:$D1009)</f>
        <v>0</v>
      </c>
      <c r="L342" s="4">
        <f>SUMPRODUCT(
  (TEXT('Weekly Dump'!$A$2:$A1009,"mmm-yy")=TEXT($AB342,"mmm-yy"))*
  ('Weekly Dump'!$B$2:$B1009=$C342)*
  'Weekly Dump'!$E$2:$E1009
)</f>
        <v>0</v>
      </c>
      <c r="M342" s="4">
        <f>SUMPRODUCT(
  (TEXT('Weekly Dump'!$A$2:$A1009,"mmm-yy")=TEXT($AB342,"mmm-yy"))*
  ('Weekly Dump'!$B$2:$B1009=$C342)*
  'Weekly Dump'!$P$2:$P1009
)</f>
        <v>0</v>
      </c>
      <c r="N342" s="39"/>
      <c r="O342" s="40">
        <f>SUMIFS('Weekly Dump'!$D:$D,'Weekly Dump'!$B:$B,$C342,'Weekly Dump'!$A:$A,$AB342)</f>
        <v>0</v>
      </c>
      <c r="P342" s="40">
        <f>SUMIFS('Weekly Dump'!R:R,'Weekly Dump'!B:B,C342,'Weekly Dump'!A:A,AB342)</f>
        <v>0</v>
      </c>
      <c r="Q342" s="40">
        <f t="shared" si="20"/>
        <v>0</v>
      </c>
      <c r="R342" s="41"/>
      <c r="T342" s="4">
        <f>SUMIFS('Weekly Dump'!E:E,'Weekly Dump'!B:B,C342,'Weekly Dump'!A:A,AB342)</f>
        <v>0</v>
      </c>
      <c r="U342" s="3">
        <f t="shared" si="21"/>
        <v>0</v>
      </c>
      <c r="V342" s="42"/>
      <c r="X342" s="4">
        <f>SUMIFS('Weekly Dump'!P:P,'Weekly Dump'!B:B,C342,'Weekly Dump'!A:A,AB342)</f>
        <v>0</v>
      </c>
      <c r="Y342" s="4">
        <f t="shared" si="22"/>
        <v>0</v>
      </c>
      <c r="Z342" s="41"/>
      <c r="AA342" s="12" t="str">
        <f>iferror(IF(VLOOKUP(C342,'Weekly Dump'!B:B,1,0)=C342,"Yes","Missing"),"")</f>
        <v/>
      </c>
      <c r="AB342" s="66"/>
    </row>
    <row r="343">
      <c r="B343" s="63"/>
      <c r="C343" s="63"/>
      <c r="G343" s="3" t="str">
        <f t="shared" si="26"/>
        <v/>
      </c>
      <c r="I343" s="4">
        <f>SUMIFS('Weekly Dump'!D:D,'Weekly Dump'!B:B,C343)</f>
        <v>0</v>
      </c>
      <c r="J343" s="5">
        <f>SUMIFS('Weekly Dump'!AE:AE,'Weekly Dump'!B:B,C343)</f>
        <v>0</v>
      </c>
      <c r="K343" s="4">
        <f>SUMPRODUCT(
  (TEXT('Weekly Dump'!$A$2:$A1009,"mmm-yy")=TEXT($AB343,"mmm-yy"))*
  ('Weekly Dump'!$B$2:$B1009=$C343)*
  'Weekly Dump'!$D$2:$D1009)</f>
        <v>0</v>
      </c>
      <c r="L343" s="4">
        <f>SUMPRODUCT(
  (TEXT('Weekly Dump'!$A$2:$A1009,"mmm-yy")=TEXT($AB343,"mmm-yy"))*
  ('Weekly Dump'!$B$2:$B1009=$C343)*
  'Weekly Dump'!$E$2:$E1009
)</f>
        <v>0</v>
      </c>
      <c r="M343" s="4">
        <f>SUMPRODUCT(
  (TEXT('Weekly Dump'!$A$2:$A1009,"mmm-yy")=TEXT($AB343,"mmm-yy"))*
  ('Weekly Dump'!$B$2:$B1009=$C343)*
  'Weekly Dump'!$P$2:$P1009
)</f>
        <v>0</v>
      </c>
      <c r="N343" s="39"/>
      <c r="O343" s="40">
        <f>SUMIFS('Weekly Dump'!$D:$D,'Weekly Dump'!$B:$B,$C343,'Weekly Dump'!$A:$A,$AB343)</f>
        <v>0</v>
      </c>
      <c r="P343" s="40">
        <f>SUMIFS('Weekly Dump'!R:R,'Weekly Dump'!B:B,C343,'Weekly Dump'!A:A,AB343)</f>
        <v>0</v>
      </c>
      <c r="Q343" s="40">
        <f t="shared" si="20"/>
        <v>0</v>
      </c>
      <c r="R343" s="41"/>
      <c r="T343" s="4">
        <f>SUMIFS('Weekly Dump'!E:E,'Weekly Dump'!B:B,C343,'Weekly Dump'!A:A,AB343)</f>
        <v>0</v>
      </c>
      <c r="U343" s="3">
        <f t="shared" si="21"/>
        <v>0</v>
      </c>
      <c r="V343" s="42"/>
      <c r="X343" s="4">
        <f>SUMIFS('Weekly Dump'!P:P,'Weekly Dump'!B:B,C343,'Weekly Dump'!A:A,AB343)</f>
        <v>0</v>
      </c>
      <c r="Y343" s="4">
        <f t="shared" si="22"/>
        <v>0</v>
      </c>
      <c r="Z343" s="41"/>
      <c r="AA343" s="12" t="str">
        <f>iferror(IF(VLOOKUP(C343,'Weekly Dump'!B:B,1,0)=C343,"Yes","Missing"),"")</f>
        <v/>
      </c>
      <c r="AB343" s="66"/>
    </row>
    <row r="344">
      <c r="B344" s="63"/>
      <c r="C344" s="63"/>
      <c r="G344" s="3" t="str">
        <f t="shared" si="26"/>
        <v/>
      </c>
      <c r="I344" s="4">
        <f>SUMIFS('Weekly Dump'!D:D,'Weekly Dump'!B:B,C344)</f>
        <v>0</v>
      </c>
      <c r="J344" s="5">
        <f>SUMIFS('Weekly Dump'!AE:AE,'Weekly Dump'!B:B,C344)</f>
        <v>0</v>
      </c>
      <c r="K344" s="4">
        <f>SUMPRODUCT(
  (TEXT('Weekly Dump'!$A$2:$A1009,"mmm-yy")=TEXT($AB344,"mmm-yy"))*
  ('Weekly Dump'!$B$2:$B1009=$C344)*
  'Weekly Dump'!$D$2:$D1009)</f>
        <v>0</v>
      </c>
      <c r="L344" s="4">
        <f>SUMPRODUCT(
  (TEXT('Weekly Dump'!$A$2:$A1009,"mmm-yy")=TEXT($AB344,"mmm-yy"))*
  ('Weekly Dump'!$B$2:$B1009=$C344)*
  'Weekly Dump'!$E$2:$E1009
)</f>
        <v>0</v>
      </c>
      <c r="M344" s="4">
        <f>SUMPRODUCT(
  (TEXT('Weekly Dump'!$A$2:$A1009,"mmm-yy")=TEXT($AB344,"mmm-yy"))*
  ('Weekly Dump'!$B$2:$B1009=$C344)*
  'Weekly Dump'!$P$2:$P1009
)</f>
        <v>0</v>
      </c>
      <c r="N344" s="39"/>
      <c r="O344" s="40">
        <f>SUMIFS('Weekly Dump'!$D:$D,'Weekly Dump'!$B:$B,$C344,'Weekly Dump'!$A:$A,$AB344)</f>
        <v>0</v>
      </c>
      <c r="P344" s="40">
        <f>SUMIFS('Weekly Dump'!R:R,'Weekly Dump'!B:B,C344,'Weekly Dump'!A:A,AB344)</f>
        <v>0</v>
      </c>
      <c r="Q344" s="40">
        <f t="shared" si="20"/>
        <v>0</v>
      </c>
      <c r="R344" s="41"/>
      <c r="T344" s="4">
        <f>SUMIFS('Weekly Dump'!E:E,'Weekly Dump'!B:B,C344,'Weekly Dump'!A:A,AB344)</f>
        <v>0</v>
      </c>
      <c r="U344" s="3">
        <f t="shared" si="21"/>
        <v>0</v>
      </c>
      <c r="V344" s="42"/>
      <c r="X344" s="4">
        <f>SUMIFS('Weekly Dump'!P:P,'Weekly Dump'!B:B,C344,'Weekly Dump'!A:A,AB344)</f>
        <v>0</v>
      </c>
      <c r="Y344" s="4">
        <f t="shared" si="22"/>
        <v>0</v>
      </c>
      <c r="Z344" s="41"/>
      <c r="AA344" s="12" t="str">
        <f>iferror(IF(VLOOKUP(C344,'Weekly Dump'!B:B,1,0)=C344,"Yes","Missing"),"")</f>
        <v/>
      </c>
      <c r="AB344" s="66"/>
    </row>
    <row r="345">
      <c r="B345" s="63"/>
      <c r="C345" s="63"/>
      <c r="G345" s="3" t="str">
        <f t="shared" si="26"/>
        <v/>
      </c>
      <c r="I345" s="4">
        <f>SUMIFS('Weekly Dump'!D:D,'Weekly Dump'!B:B,C345)</f>
        <v>0</v>
      </c>
      <c r="J345" s="5">
        <f>SUMIFS('Weekly Dump'!AE:AE,'Weekly Dump'!B:B,C345)</f>
        <v>0</v>
      </c>
      <c r="K345" s="4">
        <f>SUMPRODUCT(
  (TEXT('Weekly Dump'!$A$2:$A1009,"mmm-yy")=TEXT($AB345,"mmm-yy"))*
  ('Weekly Dump'!$B$2:$B1009=$C345)*
  'Weekly Dump'!$D$2:$D1009)</f>
        <v>0</v>
      </c>
      <c r="L345" s="4">
        <f>SUMPRODUCT(
  (TEXT('Weekly Dump'!$A$2:$A1009,"mmm-yy")=TEXT($AB345,"mmm-yy"))*
  ('Weekly Dump'!$B$2:$B1009=$C345)*
  'Weekly Dump'!$E$2:$E1009
)</f>
        <v>0</v>
      </c>
      <c r="M345" s="4">
        <f>SUMPRODUCT(
  (TEXT('Weekly Dump'!$A$2:$A1009,"mmm-yy")=TEXT($AB345,"mmm-yy"))*
  ('Weekly Dump'!$B$2:$B1009=$C345)*
  'Weekly Dump'!$P$2:$P1009
)</f>
        <v>0</v>
      </c>
      <c r="N345" s="39"/>
      <c r="O345" s="40">
        <f>SUMIFS('Weekly Dump'!$D:$D,'Weekly Dump'!$B:$B,$C345,'Weekly Dump'!$A:$A,$AB345)</f>
        <v>0</v>
      </c>
      <c r="P345" s="40">
        <f>SUMIFS('Weekly Dump'!R:R,'Weekly Dump'!B:B,C345,'Weekly Dump'!A:A,AB345)</f>
        <v>0</v>
      </c>
      <c r="Q345" s="40">
        <f t="shared" si="20"/>
        <v>0</v>
      </c>
      <c r="R345" s="41"/>
      <c r="T345" s="4">
        <f>SUMIFS('Weekly Dump'!E:E,'Weekly Dump'!B:B,C345,'Weekly Dump'!A:A,AB345)</f>
        <v>0</v>
      </c>
      <c r="U345" s="3">
        <f t="shared" si="21"/>
        <v>0</v>
      </c>
      <c r="V345" s="42"/>
      <c r="X345" s="4">
        <f>SUMIFS('Weekly Dump'!P:P,'Weekly Dump'!B:B,C345,'Weekly Dump'!A:A,AB345)</f>
        <v>0</v>
      </c>
      <c r="Y345" s="4">
        <f t="shared" si="22"/>
        <v>0</v>
      </c>
      <c r="Z345" s="41"/>
      <c r="AA345" s="12" t="str">
        <f>iferror(IF(VLOOKUP(C345,'Weekly Dump'!B:B,1,0)=C345,"Yes","Missing"),"")</f>
        <v/>
      </c>
      <c r="AB345" s="66"/>
    </row>
    <row r="346">
      <c r="B346" s="63"/>
      <c r="C346" s="63"/>
      <c r="G346" s="3" t="str">
        <f t="shared" si="26"/>
        <v/>
      </c>
      <c r="I346" s="4">
        <f>SUMIFS('Weekly Dump'!D:D,'Weekly Dump'!B:B,C346)</f>
        <v>0</v>
      </c>
      <c r="J346" s="5">
        <f>SUMIFS('Weekly Dump'!AE:AE,'Weekly Dump'!B:B,C346)</f>
        <v>0</v>
      </c>
      <c r="K346" s="4">
        <f>SUMPRODUCT(
  (TEXT('Weekly Dump'!$A$2:$A1009,"mmm-yy")=TEXT($AB346,"mmm-yy"))*
  ('Weekly Dump'!$B$2:$B1009=$C346)*
  'Weekly Dump'!$D$2:$D1009)</f>
        <v>0</v>
      </c>
      <c r="L346" s="4">
        <f>SUMPRODUCT(
  (TEXT('Weekly Dump'!$A$2:$A1009,"mmm-yy")=TEXT($AB346,"mmm-yy"))*
  ('Weekly Dump'!$B$2:$B1009=$C346)*
  'Weekly Dump'!$E$2:$E1009
)</f>
        <v>0</v>
      </c>
      <c r="M346" s="4">
        <f>SUMPRODUCT(
  (TEXT('Weekly Dump'!$A$2:$A1009,"mmm-yy")=TEXT($AB346,"mmm-yy"))*
  ('Weekly Dump'!$B$2:$B1009=$C346)*
  'Weekly Dump'!$P$2:$P1009
)</f>
        <v>0</v>
      </c>
      <c r="N346" s="39"/>
      <c r="O346" s="40">
        <f>SUMIFS('Weekly Dump'!$D:$D,'Weekly Dump'!$B:$B,$C346,'Weekly Dump'!$A:$A,$AB346)</f>
        <v>0</v>
      </c>
      <c r="P346" s="40">
        <f>SUMIFS('Weekly Dump'!R:R,'Weekly Dump'!B:B,C346,'Weekly Dump'!A:A,AB346)</f>
        <v>0</v>
      </c>
      <c r="Q346" s="40">
        <f t="shared" si="20"/>
        <v>0</v>
      </c>
      <c r="R346" s="41"/>
      <c r="T346" s="4">
        <f>SUMIFS('Weekly Dump'!E:E,'Weekly Dump'!B:B,C346,'Weekly Dump'!A:A,AB346)</f>
        <v>0</v>
      </c>
      <c r="U346" s="3">
        <f t="shared" si="21"/>
        <v>0</v>
      </c>
      <c r="V346" s="42"/>
      <c r="X346" s="4">
        <f>SUMIFS('Weekly Dump'!P:P,'Weekly Dump'!B:B,C346,'Weekly Dump'!A:A,AB346)</f>
        <v>0</v>
      </c>
      <c r="Y346" s="4">
        <f t="shared" si="22"/>
        <v>0</v>
      </c>
      <c r="Z346" s="41"/>
      <c r="AA346" s="12" t="str">
        <f>iferror(IF(VLOOKUP(C346,'Weekly Dump'!B:B,1,0)=C346,"Yes","Missing"),"")</f>
        <v/>
      </c>
      <c r="AB346" s="66"/>
    </row>
    <row r="347">
      <c r="B347" s="63"/>
      <c r="C347" s="63"/>
      <c r="G347" s="3" t="str">
        <f t="shared" si="26"/>
        <v/>
      </c>
      <c r="I347" s="4">
        <f>SUMIFS('Weekly Dump'!D:D,'Weekly Dump'!B:B,C347)</f>
        <v>0</v>
      </c>
      <c r="J347" s="5">
        <f>SUMIFS('Weekly Dump'!AE:AE,'Weekly Dump'!B:B,C347)</f>
        <v>0</v>
      </c>
      <c r="K347" s="4">
        <f>SUMPRODUCT(
  (TEXT('Weekly Dump'!$A$2:$A1009,"mmm-yy")=TEXT($AB347,"mmm-yy"))*
  ('Weekly Dump'!$B$2:$B1009=$C347)*
  'Weekly Dump'!$D$2:$D1009)</f>
        <v>0</v>
      </c>
      <c r="L347" s="4">
        <f>SUMPRODUCT(
  (TEXT('Weekly Dump'!$A$2:$A1009,"mmm-yy")=TEXT($AB347,"mmm-yy"))*
  ('Weekly Dump'!$B$2:$B1009=$C347)*
  'Weekly Dump'!$E$2:$E1009
)</f>
        <v>0</v>
      </c>
      <c r="M347" s="4">
        <f>SUMPRODUCT(
  (TEXT('Weekly Dump'!$A$2:$A1009,"mmm-yy")=TEXT($AB347,"mmm-yy"))*
  ('Weekly Dump'!$B$2:$B1009=$C347)*
  'Weekly Dump'!$P$2:$P1009
)</f>
        <v>0</v>
      </c>
      <c r="N347" s="39"/>
      <c r="O347" s="40">
        <f>SUMIFS('Weekly Dump'!$D:$D,'Weekly Dump'!$B:$B,$C347,'Weekly Dump'!$A:$A,$AB347)</f>
        <v>0</v>
      </c>
      <c r="P347" s="40">
        <f>SUMIFS('Weekly Dump'!R:R,'Weekly Dump'!B:B,C347,'Weekly Dump'!A:A,AB347)</f>
        <v>0</v>
      </c>
      <c r="Q347" s="40">
        <f t="shared" si="20"/>
        <v>0</v>
      </c>
      <c r="R347" s="41"/>
      <c r="T347" s="4">
        <f>SUMIFS('Weekly Dump'!E:E,'Weekly Dump'!B:B,C347,'Weekly Dump'!A:A,AB347)</f>
        <v>0</v>
      </c>
      <c r="U347" s="3">
        <f t="shared" si="21"/>
        <v>0</v>
      </c>
      <c r="V347" s="42"/>
      <c r="X347" s="4">
        <f>SUMIFS('Weekly Dump'!P:P,'Weekly Dump'!B:B,C347,'Weekly Dump'!A:A,AB347)</f>
        <v>0</v>
      </c>
      <c r="Y347" s="4">
        <f t="shared" si="22"/>
        <v>0</v>
      </c>
      <c r="Z347" s="41"/>
      <c r="AA347" s="12" t="str">
        <f>iferror(IF(VLOOKUP(C347,'Weekly Dump'!B:B,1,0)=C347,"Yes","Missing"),"")</f>
        <v/>
      </c>
      <c r="AB347" s="66"/>
    </row>
    <row r="348">
      <c r="B348" s="63"/>
      <c r="C348" s="63"/>
      <c r="G348" s="3" t="str">
        <f t="shared" si="26"/>
        <v/>
      </c>
      <c r="I348" s="4">
        <f>SUMIFS('Weekly Dump'!D:D,'Weekly Dump'!B:B,C348)</f>
        <v>0</v>
      </c>
      <c r="J348" s="5">
        <f>SUMIFS('Weekly Dump'!AE:AE,'Weekly Dump'!B:B,C348)</f>
        <v>0</v>
      </c>
      <c r="K348" s="4">
        <f>SUMPRODUCT(
  (TEXT('Weekly Dump'!$A$2:$A1009,"mmm-yy")=TEXT($AB348,"mmm-yy"))*
  ('Weekly Dump'!$B$2:$B1009=$C348)*
  'Weekly Dump'!$D$2:$D1009)</f>
        <v>0</v>
      </c>
      <c r="L348" s="4">
        <f>SUMPRODUCT(
  (TEXT('Weekly Dump'!$A$2:$A1009,"mmm-yy")=TEXT($AB348,"mmm-yy"))*
  ('Weekly Dump'!$B$2:$B1009=$C348)*
  'Weekly Dump'!$E$2:$E1009
)</f>
        <v>0</v>
      </c>
      <c r="M348" s="4">
        <f>SUMPRODUCT(
  (TEXT('Weekly Dump'!$A$2:$A1009,"mmm-yy")=TEXT($AB348,"mmm-yy"))*
  ('Weekly Dump'!$B$2:$B1009=$C348)*
  'Weekly Dump'!$P$2:$P1009
)</f>
        <v>0</v>
      </c>
      <c r="N348" s="39"/>
      <c r="O348" s="40">
        <f>SUMIFS('Weekly Dump'!$D:$D,'Weekly Dump'!$B:$B,$C348,'Weekly Dump'!$A:$A,$AB348)</f>
        <v>0</v>
      </c>
      <c r="P348" s="40">
        <f>SUMIFS('Weekly Dump'!R:R,'Weekly Dump'!B:B,C348,'Weekly Dump'!A:A,AB348)</f>
        <v>0</v>
      </c>
      <c r="Q348" s="40">
        <f t="shared" si="20"/>
        <v>0</v>
      </c>
      <c r="R348" s="41"/>
      <c r="T348" s="4">
        <f>SUMIFS('Weekly Dump'!E:E,'Weekly Dump'!B:B,C348,'Weekly Dump'!A:A,AB348)</f>
        <v>0</v>
      </c>
      <c r="U348" s="3">
        <f t="shared" si="21"/>
        <v>0</v>
      </c>
      <c r="V348" s="42"/>
      <c r="X348" s="4">
        <f>SUMIFS('Weekly Dump'!P:P,'Weekly Dump'!B:B,C348,'Weekly Dump'!A:A,AB348)</f>
        <v>0</v>
      </c>
      <c r="Y348" s="4">
        <f t="shared" si="22"/>
        <v>0</v>
      </c>
      <c r="Z348" s="41"/>
      <c r="AA348" s="12" t="str">
        <f>iferror(IF(VLOOKUP(C348,'Weekly Dump'!B:B,1,0)=C348,"Yes","Missing"),"")</f>
        <v/>
      </c>
      <c r="AB348" s="66"/>
    </row>
    <row r="349">
      <c r="B349" s="63"/>
      <c r="C349" s="63"/>
      <c r="G349" s="3" t="str">
        <f t="shared" si="26"/>
        <v/>
      </c>
      <c r="I349" s="4">
        <f>SUMIFS('Weekly Dump'!D:D,'Weekly Dump'!B:B,C349)</f>
        <v>0</v>
      </c>
      <c r="J349" s="5">
        <f>SUMIFS('Weekly Dump'!AE:AE,'Weekly Dump'!B:B,C349)</f>
        <v>0</v>
      </c>
      <c r="K349" s="4">
        <f>SUMPRODUCT(
  (TEXT('Weekly Dump'!$A$2:$A1009,"mmm-yy")=TEXT($AB349,"mmm-yy"))*
  ('Weekly Dump'!$B$2:$B1009=$C349)*
  'Weekly Dump'!$D$2:$D1009)</f>
        <v>0</v>
      </c>
      <c r="L349" s="4">
        <f>SUMPRODUCT(
  (TEXT('Weekly Dump'!$A$2:$A1009,"mmm-yy")=TEXT($AB349,"mmm-yy"))*
  ('Weekly Dump'!$B$2:$B1009=$C349)*
  'Weekly Dump'!$E$2:$E1009
)</f>
        <v>0</v>
      </c>
      <c r="M349" s="4">
        <f>SUMPRODUCT(
  (TEXT('Weekly Dump'!$A$2:$A1009,"mmm-yy")=TEXT($AB349,"mmm-yy"))*
  ('Weekly Dump'!$B$2:$B1009=$C349)*
  'Weekly Dump'!$P$2:$P1009
)</f>
        <v>0</v>
      </c>
      <c r="N349" s="39"/>
      <c r="O349" s="40">
        <f>SUMIFS('Weekly Dump'!$D:$D,'Weekly Dump'!$B:$B,$C349,'Weekly Dump'!$A:$A,$AB349)</f>
        <v>0</v>
      </c>
      <c r="P349" s="40">
        <f>SUMIFS('Weekly Dump'!R:R,'Weekly Dump'!B:B,C349,'Weekly Dump'!A:A,AB349)</f>
        <v>0</v>
      </c>
      <c r="Q349" s="40">
        <f t="shared" si="20"/>
        <v>0</v>
      </c>
      <c r="R349" s="41"/>
      <c r="T349" s="4">
        <f>SUMIFS('Weekly Dump'!E:E,'Weekly Dump'!B:B,C349,'Weekly Dump'!A:A,AB349)</f>
        <v>0</v>
      </c>
      <c r="U349" s="3">
        <f t="shared" si="21"/>
        <v>0</v>
      </c>
      <c r="V349" s="42"/>
      <c r="X349" s="4">
        <f>SUMIFS('Weekly Dump'!P:P,'Weekly Dump'!B:B,C349,'Weekly Dump'!A:A,AB349)</f>
        <v>0</v>
      </c>
      <c r="Y349" s="4">
        <f t="shared" si="22"/>
        <v>0</v>
      </c>
      <c r="Z349" s="41"/>
      <c r="AA349" s="12" t="str">
        <f>iferror(IF(VLOOKUP(C349,'Weekly Dump'!B:B,1,0)=C349,"Yes","Missing"),"")</f>
        <v/>
      </c>
      <c r="AB349" s="66"/>
    </row>
    <row r="350">
      <c r="B350" s="63"/>
      <c r="C350" s="63"/>
      <c r="G350" s="3" t="str">
        <f t="shared" si="26"/>
        <v/>
      </c>
      <c r="I350" s="4">
        <f>SUMIFS('Weekly Dump'!D:D,'Weekly Dump'!B:B,C350)</f>
        <v>0</v>
      </c>
      <c r="J350" s="5">
        <f>SUMIFS('Weekly Dump'!AE:AE,'Weekly Dump'!B:B,C350)</f>
        <v>0</v>
      </c>
      <c r="K350" s="4">
        <f>SUMPRODUCT(
  (TEXT('Weekly Dump'!$A$2:$A1009,"mmm-yy")=TEXT($AB350,"mmm-yy"))*
  ('Weekly Dump'!$B$2:$B1009=$C350)*
  'Weekly Dump'!$D$2:$D1009)</f>
        <v>0</v>
      </c>
      <c r="L350" s="4">
        <f>SUMPRODUCT(
  (TEXT('Weekly Dump'!$A$2:$A1009,"mmm-yy")=TEXT($AB350,"mmm-yy"))*
  ('Weekly Dump'!$B$2:$B1009=$C350)*
  'Weekly Dump'!$E$2:$E1009
)</f>
        <v>0</v>
      </c>
      <c r="M350" s="4">
        <f>SUMPRODUCT(
  (TEXT('Weekly Dump'!$A$2:$A1009,"mmm-yy")=TEXT($AB350,"mmm-yy"))*
  ('Weekly Dump'!$B$2:$B1009=$C350)*
  'Weekly Dump'!$P$2:$P1009
)</f>
        <v>0</v>
      </c>
      <c r="N350" s="39"/>
      <c r="O350" s="40">
        <f>SUMIFS('Weekly Dump'!$D:$D,'Weekly Dump'!$B:$B,$C350,'Weekly Dump'!$A:$A,$AB350)</f>
        <v>0</v>
      </c>
      <c r="P350" s="40">
        <f>SUMIFS('Weekly Dump'!R:R,'Weekly Dump'!B:B,C350,'Weekly Dump'!A:A,AB350)</f>
        <v>0</v>
      </c>
      <c r="Q350" s="40">
        <f t="shared" si="20"/>
        <v>0</v>
      </c>
      <c r="R350" s="41"/>
      <c r="T350" s="4">
        <f>SUMIFS('Weekly Dump'!E:E,'Weekly Dump'!B:B,C350,'Weekly Dump'!A:A,AB350)</f>
        <v>0</v>
      </c>
      <c r="U350" s="3">
        <f t="shared" si="21"/>
        <v>0</v>
      </c>
      <c r="V350" s="42"/>
      <c r="X350" s="4">
        <f>SUMIFS('Weekly Dump'!P:P,'Weekly Dump'!B:B,C350,'Weekly Dump'!A:A,AB350)</f>
        <v>0</v>
      </c>
      <c r="Y350" s="4">
        <f t="shared" si="22"/>
        <v>0</v>
      </c>
      <c r="Z350" s="41"/>
      <c r="AA350" s="12" t="str">
        <f>iferror(IF(VLOOKUP(C350,'Weekly Dump'!B:B,1,0)=C350,"Yes","Missing"),"")</f>
        <v/>
      </c>
      <c r="AB350" s="66"/>
    </row>
    <row r="351">
      <c r="B351" s="63"/>
      <c r="C351" s="63"/>
      <c r="G351" s="3" t="str">
        <f t="shared" si="26"/>
        <v/>
      </c>
      <c r="I351" s="4">
        <f>SUMIFS('Weekly Dump'!D:D,'Weekly Dump'!B:B,C351)</f>
        <v>0</v>
      </c>
      <c r="J351" s="5">
        <f>SUMIFS('Weekly Dump'!AE:AE,'Weekly Dump'!B:B,C351)</f>
        <v>0</v>
      </c>
      <c r="K351" s="4">
        <f>SUMPRODUCT(
  (TEXT('Weekly Dump'!$A$2:$A1009,"mmm-yy")=TEXT($AB351,"mmm-yy"))*
  ('Weekly Dump'!$B$2:$B1009=$C351)*
  'Weekly Dump'!$D$2:$D1009)</f>
        <v>0</v>
      </c>
      <c r="L351" s="4">
        <f>SUMPRODUCT(
  (TEXT('Weekly Dump'!$A$2:$A1009,"mmm-yy")=TEXT($AB351,"mmm-yy"))*
  ('Weekly Dump'!$B$2:$B1009=$C351)*
  'Weekly Dump'!$E$2:$E1009
)</f>
        <v>0</v>
      </c>
      <c r="M351" s="4">
        <f>SUMPRODUCT(
  (TEXT('Weekly Dump'!$A$2:$A1009,"mmm-yy")=TEXT($AB351,"mmm-yy"))*
  ('Weekly Dump'!$B$2:$B1009=$C351)*
  'Weekly Dump'!$P$2:$P1009
)</f>
        <v>0</v>
      </c>
      <c r="N351" s="39"/>
      <c r="O351" s="40">
        <f>SUMIFS('Weekly Dump'!$D:$D,'Weekly Dump'!$B:$B,$C351,'Weekly Dump'!$A:$A,$AB351)</f>
        <v>0</v>
      </c>
      <c r="P351" s="40">
        <f>SUMIFS('Weekly Dump'!R:R,'Weekly Dump'!B:B,C351,'Weekly Dump'!A:A,AB351)</f>
        <v>0</v>
      </c>
      <c r="Q351" s="40">
        <f t="shared" si="20"/>
        <v>0</v>
      </c>
      <c r="R351" s="41"/>
      <c r="T351" s="4">
        <f>SUMIFS('Weekly Dump'!E:E,'Weekly Dump'!B:B,C351,'Weekly Dump'!A:A,AB351)</f>
        <v>0</v>
      </c>
      <c r="U351" s="3">
        <f t="shared" si="21"/>
        <v>0</v>
      </c>
      <c r="V351" s="42"/>
      <c r="X351" s="4">
        <f>SUMIFS('Weekly Dump'!P:P,'Weekly Dump'!B:B,C351,'Weekly Dump'!A:A,AB351)</f>
        <v>0</v>
      </c>
      <c r="Y351" s="4">
        <f t="shared" si="22"/>
        <v>0</v>
      </c>
      <c r="Z351" s="41"/>
      <c r="AA351" s="12" t="str">
        <f>iferror(IF(VLOOKUP(C351,'Weekly Dump'!B:B,1,0)=C351,"Yes","Missing"),"")</f>
        <v/>
      </c>
      <c r="AB351" s="66"/>
    </row>
    <row r="352">
      <c r="B352" s="63"/>
      <c r="C352" s="63"/>
      <c r="G352" s="3" t="str">
        <f t="shared" si="26"/>
        <v/>
      </c>
      <c r="I352" s="4">
        <f>SUMIFS('Weekly Dump'!D:D,'Weekly Dump'!B:B,C352)</f>
        <v>0</v>
      </c>
      <c r="J352" s="5">
        <f>SUMIFS('Weekly Dump'!AE:AE,'Weekly Dump'!B:B,C352)</f>
        <v>0</v>
      </c>
      <c r="K352" s="4">
        <f>SUMPRODUCT(
  (TEXT('Weekly Dump'!$A$2:$A1009,"mmm-yy")=TEXT($AB352,"mmm-yy"))*
  ('Weekly Dump'!$B$2:$B1009=$C352)*
  'Weekly Dump'!$D$2:$D1009)</f>
        <v>0</v>
      </c>
      <c r="L352" s="4">
        <f>SUMPRODUCT(
  (TEXT('Weekly Dump'!$A$2:$A1009,"mmm-yy")=TEXT($AB352,"mmm-yy"))*
  ('Weekly Dump'!$B$2:$B1009=$C352)*
  'Weekly Dump'!$E$2:$E1009
)</f>
        <v>0</v>
      </c>
      <c r="M352" s="4">
        <f>SUMPRODUCT(
  (TEXT('Weekly Dump'!$A$2:$A1009,"mmm-yy")=TEXT($AB352,"mmm-yy"))*
  ('Weekly Dump'!$B$2:$B1009=$C352)*
  'Weekly Dump'!$P$2:$P1009
)</f>
        <v>0</v>
      </c>
      <c r="N352" s="39"/>
      <c r="O352" s="40">
        <f>SUMIFS('Weekly Dump'!$D:$D,'Weekly Dump'!$B:$B,$C352,'Weekly Dump'!$A:$A,$AB352)</f>
        <v>0</v>
      </c>
      <c r="P352" s="40">
        <f>SUMIFS('Weekly Dump'!R:R,'Weekly Dump'!B:B,C352,'Weekly Dump'!A:A,AB352)</f>
        <v>0</v>
      </c>
      <c r="Q352" s="40">
        <f t="shared" si="20"/>
        <v>0</v>
      </c>
      <c r="R352" s="41"/>
      <c r="T352" s="4">
        <f>SUMIFS('Weekly Dump'!E:E,'Weekly Dump'!B:B,C352,'Weekly Dump'!A:A,AB352)</f>
        <v>0</v>
      </c>
      <c r="U352" s="3">
        <f t="shared" si="21"/>
        <v>0</v>
      </c>
      <c r="V352" s="42"/>
      <c r="X352" s="4">
        <f>SUMIFS('Weekly Dump'!P:P,'Weekly Dump'!B:B,C352,'Weekly Dump'!A:A,AB352)</f>
        <v>0</v>
      </c>
      <c r="Y352" s="4">
        <f t="shared" si="22"/>
        <v>0</v>
      </c>
      <c r="Z352" s="41"/>
      <c r="AA352" s="12" t="str">
        <f>iferror(IF(VLOOKUP(C352,'Weekly Dump'!B:B,1,0)=C352,"Yes","Missing"),"")</f>
        <v/>
      </c>
      <c r="AB352" s="66"/>
    </row>
    <row r="353">
      <c r="B353" s="63"/>
      <c r="C353" s="63"/>
      <c r="G353" s="3" t="str">
        <f t="shared" si="26"/>
        <v/>
      </c>
      <c r="I353" s="4">
        <f>SUMIFS('Weekly Dump'!D:D,'Weekly Dump'!B:B,C353)</f>
        <v>0</v>
      </c>
      <c r="J353" s="5">
        <f>SUMIFS('Weekly Dump'!AE:AE,'Weekly Dump'!B:B,C353)</f>
        <v>0</v>
      </c>
      <c r="K353" s="4">
        <f>SUMPRODUCT(
  (TEXT('Weekly Dump'!$A$2:$A1009,"mmm-yy")=TEXT($AB353,"mmm-yy"))*
  ('Weekly Dump'!$B$2:$B1009=$C353)*
  'Weekly Dump'!$D$2:$D1009)</f>
        <v>0</v>
      </c>
      <c r="L353" s="4">
        <f>SUMPRODUCT(
  (TEXT('Weekly Dump'!$A$2:$A1009,"mmm-yy")=TEXT($AB353,"mmm-yy"))*
  ('Weekly Dump'!$B$2:$B1009=$C353)*
  'Weekly Dump'!$E$2:$E1009
)</f>
        <v>0</v>
      </c>
      <c r="M353" s="4">
        <f>SUMPRODUCT(
  (TEXT('Weekly Dump'!$A$2:$A1009,"mmm-yy")=TEXT($AB353,"mmm-yy"))*
  ('Weekly Dump'!$B$2:$B1009=$C353)*
  'Weekly Dump'!$P$2:$P1009
)</f>
        <v>0</v>
      </c>
      <c r="N353" s="39"/>
      <c r="O353" s="40">
        <f>SUMIFS('Weekly Dump'!$D:$D,'Weekly Dump'!$B:$B,$C353,'Weekly Dump'!$A:$A,$AB353)</f>
        <v>0</v>
      </c>
      <c r="P353" s="40">
        <f>SUMIFS('Weekly Dump'!R:R,'Weekly Dump'!B:B,C353,'Weekly Dump'!A:A,AB353)</f>
        <v>0</v>
      </c>
      <c r="Q353" s="40">
        <f t="shared" si="20"/>
        <v>0</v>
      </c>
      <c r="R353" s="41"/>
      <c r="T353" s="4">
        <f>SUMIFS('Weekly Dump'!E:E,'Weekly Dump'!B:B,C353,'Weekly Dump'!A:A,AB353)</f>
        <v>0</v>
      </c>
      <c r="U353" s="3">
        <f t="shared" si="21"/>
        <v>0</v>
      </c>
      <c r="V353" s="42"/>
      <c r="X353" s="4">
        <f>SUMIFS('Weekly Dump'!P:P,'Weekly Dump'!B:B,C353,'Weekly Dump'!A:A,AB353)</f>
        <v>0</v>
      </c>
      <c r="Y353" s="4">
        <f t="shared" si="22"/>
        <v>0</v>
      </c>
      <c r="Z353" s="41"/>
      <c r="AA353" s="12" t="str">
        <f>iferror(IF(VLOOKUP(C353,'Weekly Dump'!B:B,1,0)=C353,"Yes","Missing"),"")</f>
        <v/>
      </c>
      <c r="AB353" s="66"/>
    </row>
    <row r="354">
      <c r="B354" s="63"/>
      <c r="C354" s="63"/>
      <c r="G354" s="3" t="str">
        <f t="shared" si="26"/>
        <v/>
      </c>
      <c r="I354" s="4">
        <f>SUMIFS('Weekly Dump'!D:D,'Weekly Dump'!B:B,C354)</f>
        <v>0</v>
      </c>
      <c r="J354" s="5">
        <f>SUMIFS('Weekly Dump'!AE:AE,'Weekly Dump'!B:B,C354)</f>
        <v>0</v>
      </c>
      <c r="K354" s="4">
        <f>SUMPRODUCT(
  (TEXT('Weekly Dump'!$A$2:$A1009,"mmm-yy")=TEXT($AB354,"mmm-yy"))*
  ('Weekly Dump'!$B$2:$B1009=$C354)*
  'Weekly Dump'!$D$2:$D1009)</f>
        <v>0</v>
      </c>
      <c r="L354" s="4">
        <f>SUMPRODUCT(
  (TEXT('Weekly Dump'!$A$2:$A1009,"mmm-yy")=TEXT($AB354,"mmm-yy"))*
  ('Weekly Dump'!$B$2:$B1009=$C354)*
  'Weekly Dump'!$E$2:$E1009
)</f>
        <v>0</v>
      </c>
      <c r="M354" s="4">
        <f>SUMPRODUCT(
  (TEXT('Weekly Dump'!$A$2:$A1009,"mmm-yy")=TEXT($AB354,"mmm-yy"))*
  ('Weekly Dump'!$B$2:$B1009=$C354)*
  'Weekly Dump'!$P$2:$P1009
)</f>
        <v>0</v>
      </c>
      <c r="N354" s="39"/>
      <c r="O354" s="40">
        <f>SUMIFS('Weekly Dump'!$D:$D,'Weekly Dump'!$B:$B,$C354,'Weekly Dump'!$A:$A,$AB354)</f>
        <v>0</v>
      </c>
      <c r="P354" s="40">
        <f>SUMIFS('Weekly Dump'!R:R,'Weekly Dump'!B:B,C354,'Weekly Dump'!A:A,AB354)</f>
        <v>0</v>
      </c>
      <c r="Q354" s="40">
        <f t="shared" si="20"/>
        <v>0</v>
      </c>
      <c r="R354" s="41"/>
      <c r="T354" s="4">
        <f>SUMIFS('Weekly Dump'!E:E,'Weekly Dump'!B:B,C354,'Weekly Dump'!A:A,AB354)</f>
        <v>0</v>
      </c>
      <c r="U354" s="3">
        <f t="shared" si="21"/>
        <v>0</v>
      </c>
      <c r="V354" s="42"/>
      <c r="X354" s="4">
        <f>SUMIFS('Weekly Dump'!P:P,'Weekly Dump'!B:B,C354,'Weekly Dump'!A:A,AB354)</f>
        <v>0</v>
      </c>
      <c r="Y354" s="4">
        <f t="shared" si="22"/>
        <v>0</v>
      </c>
      <c r="Z354" s="41"/>
      <c r="AA354" s="12" t="str">
        <f>iferror(IF(VLOOKUP(C354,'Weekly Dump'!B:B,1,0)=C354,"Yes","Missing"),"")</f>
        <v/>
      </c>
      <c r="AB354" s="66"/>
    </row>
    <row r="355">
      <c r="B355" s="63"/>
      <c r="C355" s="63"/>
      <c r="G355" s="3" t="str">
        <f t="shared" si="26"/>
        <v/>
      </c>
      <c r="I355" s="4">
        <f>SUMIFS('Weekly Dump'!D:D,'Weekly Dump'!B:B,C355)</f>
        <v>0</v>
      </c>
      <c r="J355" s="5">
        <f>SUMIFS('Weekly Dump'!AE:AE,'Weekly Dump'!B:B,C355)</f>
        <v>0</v>
      </c>
      <c r="K355" s="4">
        <f>SUMPRODUCT(
  (TEXT('Weekly Dump'!$A$2:$A1009,"mmm-yy")=TEXT($AB355,"mmm-yy"))*
  ('Weekly Dump'!$B$2:$B1009=$C355)*
  'Weekly Dump'!$D$2:$D1009)</f>
        <v>0</v>
      </c>
      <c r="L355" s="4">
        <f>SUMPRODUCT(
  (TEXT('Weekly Dump'!$A$2:$A1009,"mmm-yy")=TEXT($AB355,"mmm-yy"))*
  ('Weekly Dump'!$B$2:$B1009=$C355)*
  'Weekly Dump'!$E$2:$E1009
)</f>
        <v>0</v>
      </c>
      <c r="M355" s="4">
        <f>SUMPRODUCT(
  (TEXT('Weekly Dump'!$A$2:$A1009,"mmm-yy")=TEXT($AB355,"mmm-yy"))*
  ('Weekly Dump'!$B$2:$B1009=$C355)*
  'Weekly Dump'!$P$2:$P1009
)</f>
        <v>0</v>
      </c>
      <c r="N355" s="39"/>
      <c r="O355" s="40">
        <f>SUMIFS('Weekly Dump'!$D:$D,'Weekly Dump'!$B:$B,$C355,'Weekly Dump'!$A:$A,$AB355)</f>
        <v>0</v>
      </c>
      <c r="P355" s="40">
        <f>SUMIFS('Weekly Dump'!R:R,'Weekly Dump'!B:B,C355,'Weekly Dump'!A:A,AB355)</f>
        <v>0</v>
      </c>
      <c r="Q355" s="40">
        <f t="shared" si="20"/>
        <v>0</v>
      </c>
      <c r="R355" s="41"/>
      <c r="T355" s="4">
        <f>SUMIFS('Weekly Dump'!E:E,'Weekly Dump'!B:B,C355,'Weekly Dump'!A:A,AB355)</f>
        <v>0</v>
      </c>
      <c r="U355" s="3">
        <f t="shared" si="21"/>
        <v>0</v>
      </c>
      <c r="V355" s="42"/>
      <c r="X355" s="4">
        <f>SUMIFS('Weekly Dump'!P:P,'Weekly Dump'!B:B,C355,'Weekly Dump'!A:A,AB355)</f>
        <v>0</v>
      </c>
      <c r="Y355" s="4">
        <f t="shared" si="22"/>
        <v>0</v>
      </c>
      <c r="Z355" s="41"/>
      <c r="AA355" s="12" t="str">
        <f>iferror(IF(VLOOKUP(C355,'Weekly Dump'!B:B,1,0)=C355,"Yes","Missing"),"")</f>
        <v/>
      </c>
      <c r="AB355" s="66"/>
    </row>
    <row r="356">
      <c r="B356" s="63"/>
      <c r="C356" s="63"/>
      <c r="G356" s="3" t="str">
        <f t="shared" si="26"/>
        <v/>
      </c>
      <c r="I356" s="4">
        <f>SUMIFS('Weekly Dump'!D:D,'Weekly Dump'!B:B,C356)</f>
        <v>0</v>
      </c>
      <c r="J356" s="5">
        <f>SUMIFS('Weekly Dump'!AE:AE,'Weekly Dump'!B:B,C356)</f>
        <v>0</v>
      </c>
      <c r="K356" s="4">
        <f>SUMPRODUCT(
  (TEXT('Weekly Dump'!$A$2:$A1009,"mmm-yy")=TEXT($AB356,"mmm-yy"))*
  ('Weekly Dump'!$B$2:$B1009=$C356)*
  'Weekly Dump'!$D$2:$D1009)</f>
        <v>0</v>
      </c>
      <c r="L356" s="4">
        <f>SUMPRODUCT(
  (TEXT('Weekly Dump'!$A$2:$A1009,"mmm-yy")=TEXT($AB356,"mmm-yy"))*
  ('Weekly Dump'!$B$2:$B1009=$C356)*
  'Weekly Dump'!$E$2:$E1009
)</f>
        <v>0</v>
      </c>
      <c r="M356" s="4">
        <f>SUMPRODUCT(
  (TEXT('Weekly Dump'!$A$2:$A1009,"mmm-yy")=TEXT($AB356,"mmm-yy"))*
  ('Weekly Dump'!$B$2:$B1009=$C356)*
  'Weekly Dump'!$P$2:$P1009
)</f>
        <v>0</v>
      </c>
      <c r="N356" s="39"/>
      <c r="O356" s="40">
        <f>SUMIFS('Weekly Dump'!$D:$D,'Weekly Dump'!$B:$B,$C356,'Weekly Dump'!$A:$A,$AB356)</f>
        <v>0</v>
      </c>
      <c r="P356" s="40">
        <f>SUMIFS('Weekly Dump'!R:R,'Weekly Dump'!B:B,C356,'Weekly Dump'!A:A,AB356)</f>
        <v>0</v>
      </c>
      <c r="Q356" s="40">
        <f t="shared" si="20"/>
        <v>0</v>
      </c>
      <c r="R356" s="41"/>
      <c r="T356" s="4">
        <f>SUMIFS('Weekly Dump'!E:E,'Weekly Dump'!B:B,C356,'Weekly Dump'!A:A,AB356)</f>
        <v>0</v>
      </c>
      <c r="U356" s="3">
        <f t="shared" si="21"/>
        <v>0</v>
      </c>
      <c r="V356" s="42"/>
      <c r="X356" s="4">
        <f>SUMIFS('Weekly Dump'!P:P,'Weekly Dump'!B:B,C356,'Weekly Dump'!A:A,AB356)</f>
        <v>0</v>
      </c>
      <c r="Y356" s="4">
        <f t="shared" si="22"/>
        <v>0</v>
      </c>
      <c r="Z356" s="41"/>
      <c r="AA356" s="12" t="str">
        <f>iferror(IF(VLOOKUP(C356,'Weekly Dump'!B:B,1,0)=C356,"Yes","Missing"),"")</f>
        <v/>
      </c>
      <c r="AB356" s="66"/>
    </row>
    <row r="357">
      <c r="B357" s="63"/>
      <c r="C357" s="63"/>
      <c r="G357" s="3" t="str">
        <f t="shared" si="26"/>
        <v/>
      </c>
      <c r="I357" s="4">
        <f>SUMIFS('Weekly Dump'!D:D,'Weekly Dump'!B:B,C357)</f>
        <v>0</v>
      </c>
      <c r="J357" s="5">
        <f>SUMIFS('Weekly Dump'!AE:AE,'Weekly Dump'!B:B,C357)</f>
        <v>0</v>
      </c>
      <c r="K357" s="4">
        <f>SUMPRODUCT(
  (TEXT('Weekly Dump'!$A$2:$A1009,"mmm-yy")=TEXT($AB357,"mmm-yy"))*
  ('Weekly Dump'!$B$2:$B1009=$C357)*
  'Weekly Dump'!$D$2:$D1009)</f>
        <v>0</v>
      </c>
      <c r="L357" s="4">
        <f>SUMPRODUCT(
  (TEXT('Weekly Dump'!$A$2:$A1009,"mmm-yy")=TEXT($AB357,"mmm-yy"))*
  ('Weekly Dump'!$B$2:$B1009=$C357)*
  'Weekly Dump'!$E$2:$E1009
)</f>
        <v>0</v>
      </c>
      <c r="M357" s="4">
        <f>SUMPRODUCT(
  (TEXT('Weekly Dump'!$A$2:$A1009,"mmm-yy")=TEXT($AB357,"mmm-yy"))*
  ('Weekly Dump'!$B$2:$B1009=$C357)*
  'Weekly Dump'!$P$2:$P1009
)</f>
        <v>0</v>
      </c>
      <c r="N357" s="39"/>
      <c r="O357" s="40">
        <f>SUMIFS('Weekly Dump'!$D:$D,'Weekly Dump'!$B:$B,$C357,'Weekly Dump'!$A:$A,$AB357)</f>
        <v>0</v>
      </c>
      <c r="P357" s="40">
        <f>SUMIFS('Weekly Dump'!R:R,'Weekly Dump'!B:B,C357,'Weekly Dump'!A:A,AB357)</f>
        <v>0</v>
      </c>
      <c r="Q357" s="40">
        <f t="shared" si="20"/>
        <v>0</v>
      </c>
      <c r="R357" s="41"/>
      <c r="T357" s="4">
        <f>SUMIFS('Weekly Dump'!E:E,'Weekly Dump'!B:B,C357,'Weekly Dump'!A:A,AB357)</f>
        <v>0</v>
      </c>
      <c r="U357" s="3">
        <f t="shared" si="21"/>
        <v>0</v>
      </c>
      <c r="V357" s="42"/>
      <c r="X357" s="4">
        <f>SUMIFS('Weekly Dump'!P:P,'Weekly Dump'!B:B,C357,'Weekly Dump'!A:A,AB357)</f>
        <v>0</v>
      </c>
      <c r="Y357" s="4">
        <f t="shared" si="22"/>
        <v>0</v>
      </c>
      <c r="Z357" s="41"/>
      <c r="AA357" s="12" t="str">
        <f>iferror(IF(VLOOKUP(C357,'Weekly Dump'!B:B,1,0)=C357,"Yes","Missing"),"")</f>
        <v/>
      </c>
      <c r="AB357" s="66"/>
    </row>
    <row r="358">
      <c r="B358" s="63"/>
      <c r="C358" s="63"/>
      <c r="G358" s="3" t="str">
        <f t="shared" si="26"/>
        <v/>
      </c>
      <c r="I358" s="4">
        <f>SUMIFS('Weekly Dump'!D:D,'Weekly Dump'!B:B,C358)</f>
        <v>0</v>
      </c>
      <c r="J358" s="5">
        <f>SUMIFS('Weekly Dump'!AE:AE,'Weekly Dump'!B:B,C358)</f>
        <v>0</v>
      </c>
      <c r="K358" s="4">
        <f>SUMPRODUCT(
  (TEXT('Weekly Dump'!$A$2:$A1009,"mmm-yy")=TEXT($AB358,"mmm-yy"))*
  ('Weekly Dump'!$B$2:$B1009=$C358)*
  'Weekly Dump'!$D$2:$D1009)</f>
        <v>0</v>
      </c>
      <c r="L358" s="4">
        <f>SUMPRODUCT(
  (TEXT('Weekly Dump'!$A$2:$A1009,"mmm-yy")=TEXT($AB358,"mmm-yy"))*
  ('Weekly Dump'!$B$2:$B1009=$C358)*
  'Weekly Dump'!$E$2:$E1009
)</f>
        <v>0</v>
      </c>
      <c r="M358" s="4">
        <f>SUMPRODUCT(
  (TEXT('Weekly Dump'!$A$2:$A1009,"mmm-yy")=TEXT($AB358,"mmm-yy"))*
  ('Weekly Dump'!$B$2:$B1009=$C358)*
  'Weekly Dump'!$P$2:$P1009
)</f>
        <v>0</v>
      </c>
      <c r="N358" s="39"/>
      <c r="O358" s="40">
        <f>SUMIFS('Weekly Dump'!$D:$D,'Weekly Dump'!$B:$B,$C358,'Weekly Dump'!$A:$A,$AB358)</f>
        <v>0</v>
      </c>
      <c r="P358" s="40">
        <f>SUMIFS('Weekly Dump'!R:R,'Weekly Dump'!B:B,C358,'Weekly Dump'!A:A,AB358)</f>
        <v>0</v>
      </c>
      <c r="Q358" s="40">
        <f t="shared" si="20"/>
        <v>0</v>
      </c>
      <c r="R358" s="41"/>
      <c r="T358" s="4">
        <f>SUMIFS('Weekly Dump'!E:E,'Weekly Dump'!B:B,C358,'Weekly Dump'!A:A,AB358)</f>
        <v>0</v>
      </c>
      <c r="U358" s="3">
        <f t="shared" si="21"/>
        <v>0</v>
      </c>
      <c r="V358" s="42"/>
      <c r="X358" s="4">
        <f>SUMIFS('Weekly Dump'!P:P,'Weekly Dump'!B:B,C358,'Weekly Dump'!A:A,AB358)</f>
        <v>0</v>
      </c>
      <c r="Y358" s="4">
        <f t="shared" si="22"/>
        <v>0</v>
      </c>
      <c r="Z358" s="41"/>
      <c r="AA358" s="12" t="str">
        <f>iferror(IF(VLOOKUP(C358,'Weekly Dump'!B:B,1,0)=C358,"Yes","Missing"),"")</f>
        <v/>
      </c>
      <c r="AB358" s="66"/>
    </row>
    <row r="359">
      <c r="B359" s="63"/>
      <c r="C359" s="63"/>
      <c r="G359" s="3" t="str">
        <f t="shared" si="26"/>
        <v/>
      </c>
      <c r="I359" s="4">
        <f>SUMIFS('Weekly Dump'!D:D,'Weekly Dump'!B:B,C359)</f>
        <v>0</v>
      </c>
      <c r="J359" s="5">
        <f>SUMIFS('Weekly Dump'!AE:AE,'Weekly Dump'!B:B,C359)</f>
        <v>0</v>
      </c>
      <c r="K359" s="4">
        <f>SUMPRODUCT(
  (TEXT('Weekly Dump'!$A$2:$A1009,"mmm-yy")=TEXT($AB359,"mmm-yy"))*
  ('Weekly Dump'!$B$2:$B1009=$C359)*
  'Weekly Dump'!$D$2:$D1009)</f>
        <v>0</v>
      </c>
      <c r="L359" s="4">
        <f>SUMPRODUCT(
  (TEXT('Weekly Dump'!$A$2:$A1009,"mmm-yy")=TEXT($AB359,"mmm-yy"))*
  ('Weekly Dump'!$B$2:$B1009=$C359)*
  'Weekly Dump'!$E$2:$E1009
)</f>
        <v>0</v>
      </c>
      <c r="M359" s="4">
        <f>SUMPRODUCT(
  (TEXT('Weekly Dump'!$A$2:$A1009,"mmm-yy")=TEXT($AB359,"mmm-yy"))*
  ('Weekly Dump'!$B$2:$B1009=$C359)*
  'Weekly Dump'!$P$2:$P1009
)</f>
        <v>0</v>
      </c>
      <c r="N359" s="39"/>
      <c r="O359" s="40">
        <f>SUMIFS('Weekly Dump'!$D:$D,'Weekly Dump'!$B:$B,$C359,'Weekly Dump'!$A:$A,$AB359)</f>
        <v>0</v>
      </c>
      <c r="P359" s="40">
        <f>SUMIFS('Weekly Dump'!R:R,'Weekly Dump'!B:B,C359,'Weekly Dump'!A:A,AB359)</f>
        <v>0</v>
      </c>
      <c r="Q359" s="40">
        <f t="shared" si="20"/>
        <v>0</v>
      </c>
      <c r="R359" s="41"/>
      <c r="T359" s="4">
        <f>SUMIFS('Weekly Dump'!E:E,'Weekly Dump'!B:B,C359,'Weekly Dump'!A:A,AB359)</f>
        <v>0</v>
      </c>
      <c r="U359" s="3">
        <f t="shared" si="21"/>
        <v>0</v>
      </c>
      <c r="V359" s="42"/>
      <c r="X359" s="4">
        <f>SUMIFS('Weekly Dump'!P:P,'Weekly Dump'!B:B,C359,'Weekly Dump'!A:A,AB359)</f>
        <v>0</v>
      </c>
      <c r="Y359" s="4">
        <f t="shared" si="22"/>
        <v>0</v>
      </c>
      <c r="Z359" s="41"/>
      <c r="AA359" s="12" t="str">
        <f>iferror(IF(VLOOKUP(C359,'Weekly Dump'!B:B,1,0)=C359,"Yes","Missing"),"")</f>
        <v/>
      </c>
      <c r="AB359" s="66"/>
    </row>
    <row r="360">
      <c r="B360" s="63"/>
      <c r="C360" s="63"/>
      <c r="G360" s="3" t="str">
        <f t="shared" si="26"/>
        <v/>
      </c>
      <c r="I360" s="4">
        <f>SUMIFS('Weekly Dump'!D:D,'Weekly Dump'!B:B,C360)</f>
        <v>0</v>
      </c>
      <c r="J360" s="5">
        <f>SUMIFS('Weekly Dump'!AE:AE,'Weekly Dump'!B:B,C360)</f>
        <v>0</v>
      </c>
      <c r="K360" s="4">
        <f>SUMPRODUCT(
  (TEXT('Weekly Dump'!$A$2:$A1009,"mmm-yy")=TEXT($AB360,"mmm-yy"))*
  ('Weekly Dump'!$B$2:$B1009=$C360)*
  'Weekly Dump'!$D$2:$D1009)</f>
        <v>0</v>
      </c>
      <c r="L360" s="4">
        <f>SUMPRODUCT(
  (TEXT('Weekly Dump'!$A$2:$A1009,"mmm-yy")=TEXT($AB360,"mmm-yy"))*
  ('Weekly Dump'!$B$2:$B1009=$C360)*
  'Weekly Dump'!$E$2:$E1009
)</f>
        <v>0</v>
      </c>
      <c r="M360" s="4">
        <f>SUMPRODUCT(
  (TEXT('Weekly Dump'!$A$2:$A1009,"mmm-yy")=TEXT($AB360,"mmm-yy"))*
  ('Weekly Dump'!$B$2:$B1009=$C360)*
  'Weekly Dump'!$P$2:$P1009
)</f>
        <v>0</v>
      </c>
      <c r="N360" s="39"/>
      <c r="O360" s="40">
        <f>SUMIFS('Weekly Dump'!$D:$D,'Weekly Dump'!$B:$B,$C360,'Weekly Dump'!$A:$A,$AB360)</f>
        <v>0</v>
      </c>
      <c r="P360" s="40">
        <f>SUMIFS('Weekly Dump'!R:R,'Weekly Dump'!B:B,C360,'Weekly Dump'!A:A,AB360)</f>
        <v>0</v>
      </c>
      <c r="Q360" s="40">
        <f t="shared" si="20"/>
        <v>0</v>
      </c>
      <c r="R360" s="41"/>
      <c r="T360" s="4">
        <f>SUMIFS('Weekly Dump'!E:E,'Weekly Dump'!B:B,C360,'Weekly Dump'!A:A,AB360)</f>
        <v>0</v>
      </c>
      <c r="U360" s="3">
        <f t="shared" si="21"/>
        <v>0</v>
      </c>
      <c r="V360" s="42"/>
      <c r="X360" s="4">
        <f>SUMIFS('Weekly Dump'!P:P,'Weekly Dump'!B:B,C360,'Weekly Dump'!A:A,AB360)</f>
        <v>0</v>
      </c>
      <c r="Y360" s="4">
        <f t="shared" si="22"/>
        <v>0</v>
      </c>
      <c r="Z360" s="41"/>
      <c r="AA360" s="12" t="str">
        <f>iferror(IF(VLOOKUP(C360,'Weekly Dump'!B:B,1,0)=C360,"Yes","Missing"),"")</f>
        <v/>
      </c>
      <c r="AB360" s="66"/>
    </row>
    <row r="361">
      <c r="B361" s="63"/>
      <c r="C361" s="63"/>
      <c r="G361" s="3" t="str">
        <f t="shared" si="26"/>
        <v/>
      </c>
      <c r="I361" s="4">
        <f>SUMIFS('Weekly Dump'!D:D,'Weekly Dump'!B:B,C361)</f>
        <v>0</v>
      </c>
      <c r="J361" s="5">
        <f>SUMIFS('Weekly Dump'!AE:AE,'Weekly Dump'!B:B,C361)</f>
        <v>0</v>
      </c>
      <c r="K361" s="4">
        <f>SUMPRODUCT(
  (TEXT('Weekly Dump'!$A$2:$A1009,"mmm-yy")=TEXT($AB361,"mmm-yy"))*
  ('Weekly Dump'!$B$2:$B1009=$C361)*
  'Weekly Dump'!$D$2:$D1009)</f>
        <v>0</v>
      </c>
      <c r="L361" s="4">
        <f>SUMPRODUCT(
  (TEXT('Weekly Dump'!$A$2:$A1009,"mmm-yy")=TEXT($AB361,"mmm-yy"))*
  ('Weekly Dump'!$B$2:$B1009=$C361)*
  'Weekly Dump'!$E$2:$E1009
)</f>
        <v>0</v>
      </c>
      <c r="M361" s="4">
        <f>SUMPRODUCT(
  (TEXT('Weekly Dump'!$A$2:$A1009,"mmm-yy")=TEXT($AB361,"mmm-yy"))*
  ('Weekly Dump'!$B$2:$B1009=$C361)*
  'Weekly Dump'!$P$2:$P1009
)</f>
        <v>0</v>
      </c>
      <c r="N361" s="39"/>
      <c r="O361" s="40">
        <f>SUMIFS('Weekly Dump'!$D:$D,'Weekly Dump'!$B:$B,$C361,'Weekly Dump'!$A:$A,$AB361)</f>
        <v>0</v>
      </c>
      <c r="P361" s="40">
        <f>SUMIFS('Weekly Dump'!R:R,'Weekly Dump'!B:B,C361,'Weekly Dump'!A:A,AB361)</f>
        <v>0</v>
      </c>
      <c r="Q361" s="40">
        <f t="shared" si="20"/>
        <v>0</v>
      </c>
      <c r="R361" s="41"/>
      <c r="T361" s="4">
        <f>SUMIFS('Weekly Dump'!E:E,'Weekly Dump'!B:B,C361,'Weekly Dump'!A:A,AB361)</f>
        <v>0</v>
      </c>
      <c r="U361" s="3">
        <f t="shared" si="21"/>
        <v>0</v>
      </c>
      <c r="V361" s="42"/>
      <c r="X361" s="4">
        <f>SUMIFS('Weekly Dump'!P:P,'Weekly Dump'!B:B,C361,'Weekly Dump'!A:A,AB361)</f>
        <v>0</v>
      </c>
      <c r="Y361" s="4">
        <f t="shared" si="22"/>
        <v>0</v>
      </c>
      <c r="Z361" s="41"/>
      <c r="AA361" s="12" t="str">
        <f>iferror(IF(VLOOKUP(C361,'Weekly Dump'!B:B,1,0)=C361,"Yes","Missing"),"")</f>
        <v/>
      </c>
      <c r="AB361" s="66"/>
    </row>
    <row r="362">
      <c r="B362" s="63"/>
      <c r="C362" s="63"/>
      <c r="G362" s="3" t="str">
        <f t="shared" si="26"/>
        <v/>
      </c>
      <c r="I362" s="4">
        <f>SUMIFS('Weekly Dump'!D:D,'Weekly Dump'!B:B,C362)</f>
        <v>0</v>
      </c>
      <c r="J362" s="5">
        <f>SUMIFS('Weekly Dump'!AE:AE,'Weekly Dump'!B:B,C362)</f>
        <v>0</v>
      </c>
      <c r="K362" s="4">
        <f>SUMPRODUCT(
  (TEXT('Weekly Dump'!$A$2:$A1009,"mmm-yy")=TEXT($AB362,"mmm-yy"))*
  ('Weekly Dump'!$B$2:$B1009=$C362)*
  'Weekly Dump'!$D$2:$D1009)</f>
        <v>0</v>
      </c>
      <c r="L362" s="4">
        <f>SUMPRODUCT(
  (TEXT('Weekly Dump'!$A$2:$A1009,"mmm-yy")=TEXT($AB362,"mmm-yy"))*
  ('Weekly Dump'!$B$2:$B1009=$C362)*
  'Weekly Dump'!$E$2:$E1009
)</f>
        <v>0</v>
      </c>
      <c r="M362" s="4">
        <f>SUMPRODUCT(
  (TEXT('Weekly Dump'!$A$2:$A1009,"mmm-yy")=TEXT($AB362,"mmm-yy"))*
  ('Weekly Dump'!$B$2:$B1009=$C362)*
  'Weekly Dump'!$P$2:$P1009
)</f>
        <v>0</v>
      </c>
      <c r="N362" s="39"/>
      <c r="O362" s="40">
        <f>SUMIFS('Weekly Dump'!$D:$D,'Weekly Dump'!$B:$B,$C362,'Weekly Dump'!$A:$A,$AB362)</f>
        <v>0</v>
      </c>
      <c r="P362" s="40">
        <f>SUMIFS('Weekly Dump'!R:R,'Weekly Dump'!B:B,C362,'Weekly Dump'!A:A,AB362)</f>
        <v>0</v>
      </c>
      <c r="Q362" s="40">
        <f t="shared" si="20"/>
        <v>0</v>
      </c>
      <c r="R362" s="41"/>
      <c r="T362" s="4">
        <f>SUMIFS('Weekly Dump'!E:E,'Weekly Dump'!B:B,C362,'Weekly Dump'!A:A,AB362)</f>
        <v>0</v>
      </c>
      <c r="U362" s="3">
        <f t="shared" si="21"/>
        <v>0</v>
      </c>
      <c r="V362" s="42"/>
      <c r="X362" s="4">
        <f>SUMIFS('Weekly Dump'!P:P,'Weekly Dump'!B:B,C362,'Weekly Dump'!A:A,AB362)</f>
        <v>0</v>
      </c>
      <c r="Y362" s="4">
        <f t="shared" si="22"/>
        <v>0</v>
      </c>
      <c r="Z362" s="41"/>
      <c r="AA362" s="12" t="str">
        <f>iferror(IF(VLOOKUP(C362,'Weekly Dump'!B:B,1,0)=C362,"Yes","Missing"),"")</f>
        <v/>
      </c>
      <c r="AB362" s="66"/>
    </row>
    <row r="363">
      <c r="B363" s="63"/>
      <c r="C363" s="63"/>
      <c r="G363" s="3" t="str">
        <f t="shared" si="26"/>
        <v/>
      </c>
      <c r="I363" s="4">
        <f>SUMIFS('Weekly Dump'!D:D,'Weekly Dump'!B:B,C363)</f>
        <v>0</v>
      </c>
      <c r="J363" s="5">
        <f>SUMIFS('Weekly Dump'!AE:AE,'Weekly Dump'!B:B,C363)</f>
        <v>0</v>
      </c>
      <c r="K363" s="4">
        <f>SUMPRODUCT(
  (TEXT('Weekly Dump'!$A$2:$A1009,"mmm-yy")=TEXT($AB363,"mmm-yy"))*
  ('Weekly Dump'!$B$2:$B1009=$C363)*
  'Weekly Dump'!$D$2:$D1009)</f>
        <v>0</v>
      </c>
      <c r="L363" s="4">
        <f>SUMPRODUCT(
  (TEXT('Weekly Dump'!$A$2:$A1009,"mmm-yy")=TEXT($AB363,"mmm-yy"))*
  ('Weekly Dump'!$B$2:$B1009=$C363)*
  'Weekly Dump'!$E$2:$E1009
)</f>
        <v>0</v>
      </c>
      <c r="M363" s="4">
        <f>SUMPRODUCT(
  (TEXT('Weekly Dump'!$A$2:$A1009,"mmm-yy")=TEXT($AB363,"mmm-yy"))*
  ('Weekly Dump'!$B$2:$B1009=$C363)*
  'Weekly Dump'!$P$2:$P1009
)</f>
        <v>0</v>
      </c>
      <c r="N363" s="39"/>
      <c r="O363" s="40">
        <f>SUMIFS('Weekly Dump'!$D:$D,'Weekly Dump'!$B:$B,$C363,'Weekly Dump'!$A:$A,$AB363)</f>
        <v>0</v>
      </c>
      <c r="P363" s="40">
        <f>SUMIFS('Weekly Dump'!R:R,'Weekly Dump'!B:B,C363,'Weekly Dump'!A:A,AB363)</f>
        <v>0</v>
      </c>
      <c r="Q363" s="40">
        <f t="shared" si="20"/>
        <v>0</v>
      </c>
      <c r="R363" s="41"/>
      <c r="T363" s="4">
        <f>SUMIFS('Weekly Dump'!E:E,'Weekly Dump'!B:B,C363,'Weekly Dump'!A:A,AB363)</f>
        <v>0</v>
      </c>
      <c r="U363" s="3">
        <f t="shared" si="21"/>
        <v>0</v>
      </c>
      <c r="V363" s="42"/>
      <c r="X363" s="4">
        <f>SUMIFS('Weekly Dump'!P:P,'Weekly Dump'!B:B,C363,'Weekly Dump'!A:A,AB363)</f>
        <v>0</v>
      </c>
      <c r="Y363" s="4">
        <f t="shared" si="22"/>
        <v>0</v>
      </c>
      <c r="Z363" s="41"/>
      <c r="AA363" s="12" t="str">
        <f>iferror(IF(VLOOKUP(C363,'Weekly Dump'!B:B,1,0)=C363,"Yes","Missing"),"")</f>
        <v/>
      </c>
      <c r="AB363" s="66"/>
    </row>
    <row r="364">
      <c r="B364" s="63"/>
      <c r="C364" s="63"/>
      <c r="G364" s="3" t="str">
        <f t="shared" si="26"/>
        <v/>
      </c>
      <c r="I364" s="4">
        <f>SUMIFS('Weekly Dump'!D:D,'Weekly Dump'!B:B,C364)</f>
        <v>0</v>
      </c>
      <c r="J364" s="5">
        <f>SUMIFS('Weekly Dump'!AE:AE,'Weekly Dump'!B:B,C364)</f>
        <v>0</v>
      </c>
      <c r="K364" s="4">
        <f>SUMPRODUCT(
  (TEXT('Weekly Dump'!$A$2:$A1009,"mmm-yy")=TEXT($AB364,"mmm-yy"))*
  ('Weekly Dump'!$B$2:$B1009=$C364)*
  'Weekly Dump'!$D$2:$D1009)</f>
        <v>0</v>
      </c>
      <c r="L364" s="4">
        <f>SUMPRODUCT(
  (TEXT('Weekly Dump'!$A$2:$A1009,"mmm-yy")=TEXT($AB364,"mmm-yy"))*
  ('Weekly Dump'!$B$2:$B1009=$C364)*
  'Weekly Dump'!$E$2:$E1009
)</f>
        <v>0</v>
      </c>
      <c r="M364" s="4">
        <f>SUMPRODUCT(
  (TEXT('Weekly Dump'!$A$2:$A1009,"mmm-yy")=TEXT($AB364,"mmm-yy"))*
  ('Weekly Dump'!$B$2:$B1009=$C364)*
  'Weekly Dump'!$P$2:$P1009
)</f>
        <v>0</v>
      </c>
      <c r="N364" s="39"/>
      <c r="O364" s="40">
        <f>SUMIFS('Weekly Dump'!$D:$D,'Weekly Dump'!$B:$B,$C364,'Weekly Dump'!$A:$A,$AB364)</f>
        <v>0</v>
      </c>
      <c r="P364" s="40">
        <f>SUMIFS('Weekly Dump'!R:R,'Weekly Dump'!B:B,C364,'Weekly Dump'!A:A,AB364)</f>
        <v>0</v>
      </c>
      <c r="Q364" s="40">
        <f t="shared" si="20"/>
        <v>0</v>
      </c>
      <c r="R364" s="41"/>
      <c r="T364" s="4">
        <f>SUMIFS('Weekly Dump'!E:E,'Weekly Dump'!B:B,C364,'Weekly Dump'!A:A,AB364)</f>
        <v>0</v>
      </c>
      <c r="U364" s="3">
        <f t="shared" si="21"/>
        <v>0</v>
      </c>
      <c r="V364" s="42"/>
      <c r="X364" s="4">
        <f>SUMIFS('Weekly Dump'!P:P,'Weekly Dump'!B:B,C364,'Weekly Dump'!A:A,AB364)</f>
        <v>0</v>
      </c>
      <c r="Y364" s="4">
        <f t="shared" si="22"/>
        <v>0</v>
      </c>
      <c r="Z364" s="41"/>
      <c r="AA364" s="12" t="str">
        <f>iferror(IF(VLOOKUP(C364,'Weekly Dump'!B:B,1,0)=C364,"Yes","Missing"),"")</f>
        <v/>
      </c>
      <c r="AB364" s="66"/>
    </row>
    <row r="365">
      <c r="B365" s="63"/>
      <c r="C365" s="63"/>
      <c r="G365" s="3" t="str">
        <f t="shared" si="26"/>
        <v/>
      </c>
      <c r="I365" s="4">
        <f>SUMIFS('Weekly Dump'!D:D,'Weekly Dump'!B:B,C365)</f>
        <v>0</v>
      </c>
      <c r="J365" s="5">
        <f>SUMIFS('Weekly Dump'!AE:AE,'Weekly Dump'!B:B,C365)</f>
        <v>0</v>
      </c>
      <c r="K365" s="4">
        <f>SUMPRODUCT(
  (TEXT('Weekly Dump'!$A$2:$A1009,"mmm-yy")=TEXT($AB365,"mmm-yy"))*
  ('Weekly Dump'!$B$2:$B1009=$C365)*
  'Weekly Dump'!$D$2:$D1009)</f>
        <v>0</v>
      </c>
      <c r="L365" s="4">
        <f>SUMPRODUCT(
  (TEXT('Weekly Dump'!$A$2:$A1009,"mmm-yy")=TEXT($AB365,"mmm-yy"))*
  ('Weekly Dump'!$B$2:$B1009=$C365)*
  'Weekly Dump'!$E$2:$E1009
)</f>
        <v>0</v>
      </c>
      <c r="M365" s="4">
        <f>SUMPRODUCT(
  (TEXT('Weekly Dump'!$A$2:$A1009,"mmm-yy")=TEXT($AB365,"mmm-yy"))*
  ('Weekly Dump'!$B$2:$B1009=$C365)*
  'Weekly Dump'!$P$2:$P1009
)</f>
        <v>0</v>
      </c>
      <c r="N365" s="39"/>
      <c r="O365" s="40">
        <f>SUMIFS('Weekly Dump'!$D:$D,'Weekly Dump'!$B:$B,$C365,'Weekly Dump'!$A:$A,$AB365)</f>
        <v>0</v>
      </c>
      <c r="P365" s="40">
        <f>SUMIFS('Weekly Dump'!R:R,'Weekly Dump'!B:B,C365,'Weekly Dump'!A:A,AB365)</f>
        <v>0</v>
      </c>
      <c r="Q365" s="40">
        <f t="shared" si="20"/>
        <v>0</v>
      </c>
      <c r="R365" s="41"/>
      <c r="T365" s="4">
        <f>SUMIFS('Weekly Dump'!E:E,'Weekly Dump'!B:B,C365,'Weekly Dump'!A:A,AB365)</f>
        <v>0</v>
      </c>
      <c r="U365" s="3">
        <f t="shared" si="21"/>
        <v>0</v>
      </c>
      <c r="V365" s="42"/>
      <c r="X365" s="4">
        <f>SUMIFS('Weekly Dump'!P:P,'Weekly Dump'!B:B,C365,'Weekly Dump'!A:A,AB365)</f>
        <v>0</v>
      </c>
      <c r="Y365" s="4">
        <f t="shared" si="22"/>
        <v>0</v>
      </c>
      <c r="Z365" s="41"/>
      <c r="AA365" s="12" t="str">
        <f>iferror(IF(VLOOKUP(C365,'Weekly Dump'!B:B,1,0)=C365,"Yes","Missing"),"")</f>
        <v/>
      </c>
      <c r="AB365" s="66"/>
    </row>
    <row r="366">
      <c r="B366" s="63"/>
      <c r="C366" s="63"/>
      <c r="G366" s="3" t="str">
        <f t="shared" si="26"/>
        <v/>
      </c>
      <c r="I366" s="4">
        <f>SUMIFS('Weekly Dump'!D:D,'Weekly Dump'!B:B,C366)</f>
        <v>0</v>
      </c>
      <c r="J366" s="5">
        <f>SUMIFS('Weekly Dump'!AE:AE,'Weekly Dump'!B:B,C366)</f>
        <v>0</v>
      </c>
      <c r="K366" s="4">
        <f>SUMPRODUCT(
  (TEXT('Weekly Dump'!$A$2:$A1009,"mmm-yy")=TEXT($AB366,"mmm-yy"))*
  ('Weekly Dump'!$B$2:$B1009=$C366)*
  'Weekly Dump'!$D$2:$D1009)</f>
        <v>0</v>
      </c>
      <c r="L366" s="4">
        <f>SUMPRODUCT(
  (TEXT('Weekly Dump'!$A$2:$A1009,"mmm-yy")=TEXT($AB366,"mmm-yy"))*
  ('Weekly Dump'!$B$2:$B1009=$C366)*
  'Weekly Dump'!$E$2:$E1009
)</f>
        <v>0</v>
      </c>
      <c r="M366" s="4">
        <f>SUMPRODUCT(
  (TEXT('Weekly Dump'!$A$2:$A1009,"mmm-yy")=TEXT($AB366,"mmm-yy"))*
  ('Weekly Dump'!$B$2:$B1009=$C366)*
  'Weekly Dump'!$P$2:$P1009
)</f>
        <v>0</v>
      </c>
      <c r="N366" s="39"/>
      <c r="O366" s="40">
        <f>SUMIFS('Weekly Dump'!$D:$D,'Weekly Dump'!$B:$B,$C366,'Weekly Dump'!$A:$A,$AB366)</f>
        <v>0</v>
      </c>
      <c r="P366" s="40">
        <f>SUMIFS('Weekly Dump'!R:R,'Weekly Dump'!B:B,C366,'Weekly Dump'!A:A,AB366)</f>
        <v>0</v>
      </c>
      <c r="Q366" s="40">
        <f t="shared" si="20"/>
        <v>0</v>
      </c>
      <c r="R366" s="41"/>
      <c r="T366" s="4">
        <f>SUMIFS('Weekly Dump'!E:E,'Weekly Dump'!B:B,C366,'Weekly Dump'!A:A,AB366)</f>
        <v>0</v>
      </c>
      <c r="U366" s="3">
        <f t="shared" si="21"/>
        <v>0</v>
      </c>
      <c r="V366" s="42"/>
      <c r="X366" s="4">
        <f>SUMIFS('Weekly Dump'!P:P,'Weekly Dump'!B:B,C366,'Weekly Dump'!A:A,AB366)</f>
        <v>0</v>
      </c>
      <c r="Y366" s="4">
        <f t="shared" si="22"/>
        <v>0</v>
      </c>
      <c r="Z366" s="41"/>
      <c r="AA366" s="12" t="str">
        <f>iferror(IF(VLOOKUP(C366,'Weekly Dump'!B:B,1,0)=C366,"Yes","Missing"),"")</f>
        <v/>
      </c>
      <c r="AB366" s="66"/>
    </row>
    <row r="367">
      <c r="B367" s="63"/>
      <c r="C367" s="63"/>
      <c r="G367" s="3" t="str">
        <f t="shared" si="26"/>
        <v/>
      </c>
      <c r="I367" s="4">
        <f>SUMIFS('Weekly Dump'!D:D,'Weekly Dump'!B:B,C367)</f>
        <v>0</v>
      </c>
      <c r="J367" s="5">
        <f>SUMIFS('Weekly Dump'!AE:AE,'Weekly Dump'!B:B,C367)</f>
        <v>0</v>
      </c>
      <c r="K367" s="4">
        <f>SUMPRODUCT(
  (TEXT('Weekly Dump'!$A$2:$A1009,"mmm-yy")=TEXT($AB367,"mmm-yy"))*
  ('Weekly Dump'!$B$2:$B1009=$C367)*
  'Weekly Dump'!$D$2:$D1009)</f>
        <v>0</v>
      </c>
      <c r="L367" s="4">
        <f>SUMPRODUCT(
  (TEXT('Weekly Dump'!$A$2:$A1009,"mmm-yy")=TEXT($AB367,"mmm-yy"))*
  ('Weekly Dump'!$B$2:$B1009=$C367)*
  'Weekly Dump'!$E$2:$E1009
)</f>
        <v>0</v>
      </c>
      <c r="M367" s="4">
        <f>SUMPRODUCT(
  (TEXT('Weekly Dump'!$A$2:$A1009,"mmm-yy")=TEXT($AB367,"mmm-yy"))*
  ('Weekly Dump'!$B$2:$B1009=$C367)*
  'Weekly Dump'!$P$2:$P1009
)</f>
        <v>0</v>
      </c>
      <c r="N367" s="39"/>
      <c r="O367" s="40">
        <f>SUMIFS('Weekly Dump'!$D:$D,'Weekly Dump'!$B:$B,$C367,'Weekly Dump'!$A:$A,$AB367)</f>
        <v>0</v>
      </c>
      <c r="P367" s="40">
        <f>SUMIFS('Weekly Dump'!R:R,'Weekly Dump'!B:B,C367,'Weekly Dump'!A:A,AB367)</f>
        <v>0</v>
      </c>
      <c r="Q367" s="40">
        <f t="shared" si="20"/>
        <v>0</v>
      </c>
      <c r="R367" s="41"/>
      <c r="T367" s="4">
        <f>SUMIFS('Weekly Dump'!E:E,'Weekly Dump'!B:B,C367,'Weekly Dump'!A:A,AB367)</f>
        <v>0</v>
      </c>
      <c r="U367" s="3">
        <f t="shared" si="21"/>
        <v>0</v>
      </c>
      <c r="V367" s="42"/>
      <c r="X367" s="4">
        <f>SUMIFS('Weekly Dump'!P:P,'Weekly Dump'!B:B,C367,'Weekly Dump'!A:A,AB367)</f>
        <v>0</v>
      </c>
      <c r="Y367" s="4">
        <f t="shared" si="22"/>
        <v>0</v>
      </c>
      <c r="Z367" s="41"/>
      <c r="AA367" s="12" t="str">
        <f>iferror(IF(VLOOKUP(C367,'Weekly Dump'!B:B,1,0)=C367,"Yes","Missing"),"")</f>
        <v/>
      </c>
      <c r="AB367" s="66"/>
    </row>
    <row r="368">
      <c r="B368" s="63"/>
      <c r="C368" s="63"/>
      <c r="G368" s="3" t="str">
        <f t="shared" si="26"/>
        <v/>
      </c>
      <c r="I368" s="4">
        <f>SUMIFS('Weekly Dump'!D:D,'Weekly Dump'!B:B,C368)</f>
        <v>0</v>
      </c>
      <c r="J368" s="5">
        <f>SUMIFS('Weekly Dump'!AE:AE,'Weekly Dump'!B:B,C368)</f>
        <v>0</v>
      </c>
      <c r="K368" s="4">
        <f>SUMPRODUCT(
  (TEXT('Weekly Dump'!$A$2:$A1009,"mmm-yy")=TEXT($AB368,"mmm-yy"))*
  ('Weekly Dump'!$B$2:$B1009=$C368)*
  'Weekly Dump'!$D$2:$D1009)</f>
        <v>0</v>
      </c>
      <c r="L368" s="4">
        <f>SUMPRODUCT(
  (TEXT('Weekly Dump'!$A$2:$A1009,"mmm-yy")=TEXT($AB368,"mmm-yy"))*
  ('Weekly Dump'!$B$2:$B1009=$C368)*
  'Weekly Dump'!$E$2:$E1009
)</f>
        <v>0</v>
      </c>
      <c r="M368" s="4">
        <f>SUMPRODUCT(
  (TEXT('Weekly Dump'!$A$2:$A1009,"mmm-yy")=TEXT($AB368,"mmm-yy"))*
  ('Weekly Dump'!$B$2:$B1009=$C368)*
  'Weekly Dump'!$P$2:$P1009
)</f>
        <v>0</v>
      </c>
      <c r="N368" s="39"/>
      <c r="O368" s="40">
        <f>SUMIFS('Weekly Dump'!$D:$D,'Weekly Dump'!$B:$B,$C368,'Weekly Dump'!$A:$A,$AB368)</f>
        <v>0</v>
      </c>
      <c r="P368" s="40">
        <f>SUMIFS('Weekly Dump'!R:R,'Weekly Dump'!B:B,C368,'Weekly Dump'!A:A,AB368)</f>
        <v>0</v>
      </c>
      <c r="Q368" s="40">
        <f t="shared" si="20"/>
        <v>0</v>
      </c>
      <c r="R368" s="41"/>
      <c r="T368" s="4">
        <f>SUMIFS('Weekly Dump'!E:E,'Weekly Dump'!B:B,C368,'Weekly Dump'!A:A,AB368)</f>
        <v>0</v>
      </c>
      <c r="U368" s="3">
        <f t="shared" si="21"/>
        <v>0</v>
      </c>
      <c r="V368" s="42"/>
      <c r="X368" s="4">
        <f>SUMIFS('Weekly Dump'!P:P,'Weekly Dump'!B:B,C368,'Weekly Dump'!A:A,AB368)</f>
        <v>0</v>
      </c>
      <c r="Y368" s="4">
        <f t="shared" si="22"/>
        <v>0</v>
      </c>
      <c r="Z368" s="41"/>
      <c r="AA368" s="12" t="str">
        <f>iferror(IF(VLOOKUP(C368,'Weekly Dump'!B:B,1,0)=C368,"Yes","Missing"),"")</f>
        <v/>
      </c>
      <c r="AB368" s="66"/>
    </row>
    <row r="369">
      <c r="B369" s="63"/>
      <c r="C369" s="63"/>
      <c r="G369" s="3" t="str">
        <f t="shared" si="26"/>
        <v/>
      </c>
      <c r="I369" s="4">
        <f>SUMIFS('Weekly Dump'!D:D,'Weekly Dump'!B:B,C369)</f>
        <v>0</v>
      </c>
      <c r="J369" s="5">
        <f>SUMIFS('Weekly Dump'!AE:AE,'Weekly Dump'!B:B,C369)</f>
        <v>0</v>
      </c>
      <c r="K369" s="4">
        <f>SUMPRODUCT(
  (TEXT('Weekly Dump'!$A$2:$A1009,"mmm-yy")=TEXT($AB369,"mmm-yy"))*
  ('Weekly Dump'!$B$2:$B1009=$C369)*
  'Weekly Dump'!$D$2:$D1009)</f>
        <v>0</v>
      </c>
      <c r="L369" s="4">
        <f>SUMPRODUCT(
  (TEXT('Weekly Dump'!$A$2:$A1009,"mmm-yy")=TEXT($AB369,"mmm-yy"))*
  ('Weekly Dump'!$B$2:$B1009=$C369)*
  'Weekly Dump'!$E$2:$E1009
)</f>
        <v>0</v>
      </c>
      <c r="M369" s="4">
        <f>SUMPRODUCT(
  (TEXT('Weekly Dump'!$A$2:$A1009,"mmm-yy")=TEXT($AB369,"mmm-yy"))*
  ('Weekly Dump'!$B$2:$B1009=$C369)*
  'Weekly Dump'!$P$2:$P1009
)</f>
        <v>0</v>
      </c>
      <c r="N369" s="39"/>
      <c r="O369" s="40">
        <f>SUMIFS('Weekly Dump'!$D:$D,'Weekly Dump'!$B:$B,$C369,'Weekly Dump'!$A:$A,$AB369)</f>
        <v>0</v>
      </c>
      <c r="P369" s="40">
        <f>SUMIFS('Weekly Dump'!R:R,'Weekly Dump'!B:B,C369,'Weekly Dump'!A:A,AB369)</f>
        <v>0</v>
      </c>
      <c r="Q369" s="40">
        <f t="shared" si="20"/>
        <v>0</v>
      </c>
      <c r="R369" s="41"/>
      <c r="T369" s="4">
        <f>SUMIFS('Weekly Dump'!E:E,'Weekly Dump'!B:B,C369,'Weekly Dump'!A:A,AB369)</f>
        <v>0</v>
      </c>
      <c r="U369" s="3">
        <f t="shared" si="21"/>
        <v>0</v>
      </c>
      <c r="V369" s="42"/>
      <c r="X369" s="4">
        <f>SUMIFS('Weekly Dump'!P:P,'Weekly Dump'!B:B,C369,'Weekly Dump'!A:A,AB369)</f>
        <v>0</v>
      </c>
      <c r="Y369" s="4">
        <f t="shared" si="22"/>
        <v>0</v>
      </c>
      <c r="Z369" s="41"/>
      <c r="AA369" s="12" t="str">
        <f>iferror(IF(VLOOKUP(C369,'Weekly Dump'!B:B,1,0)=C369,"Yes","Missing"),"")</f>
        <v/>
      </c>
      <c r="AB369" s="66"/>
    </row>
    <row r="370">
      <c r="B370" s="63"/>
      <c r="C370" s="63"/>
      <c r="G370" s="3" t="str">
        <f t="shared" si="26"/>
        <v/>
      </c>
      <c r="I370" s="4">
        <f>SUMIFS('Weekly Dump'!D:D,'Weekly Dump'!B:B,C370)</f>
        <v>0</v>
      </c>
      <c r="J370" s="5">
        <f>SUMIFS('Weekly Dump'!AE:AE,'Weekly Dump'!B:B,C370)</f>
        <v>0</v>
      </c>
      <c r="K370" s="4">
        <f>SUMPRODUCT(
  (TEXT('Weekly Dump'!$A$2:$A1009,"mmm-yy")=TEXT($AB370,"mmm-yy"))*
  ('Weekly Dump'!$B$2:$B1009=$C370)*
  'Weekly Dump'!$D$2:$D1009)</f>
        <v>0</v>
      </c>
      <c r="L370" s="4">
        <f>SUMPRODUCT(
  (TEXT('Weekly Dump'!$A$2:$A1009,"mmm-yy")=TEXT($AB370,"mmm-yy"))*
  ('Weekly Dump'!$B$2:$B1009=$C370)*
  'Weekly Dump'!$E$2:$E1009
)</f>
        <v>0</v>
      </c>
      <c r="M370" s="4">
        <f>SUMPRODUCT(
  (TEXT('Weekly Dump'!$A$2:$A1009,"mmm-yy")=TEXT($AB370,"mmm-yy"))*
  ('Weekly Dump'!$B$2:$B1009=$C370)*
  'Weekly Dump'!$P$2:$P1009
)</f>
        <v>0</v>
      </c>
      <c r="N370" s="39"/>
      <c r="O370" s="40">
        <f>SUMIFS('Weekly Dump'!$D:$D,'Weekly Dump'!$B:$B,$C370,'Weekly Dump'!$A:$A,$AB370)</f>
        <v>0</v>
      </c>
      <c r="P370" s="40">
        <f>SUMIFS('Weekly Dump'!R:R,'Weekly Dump'!B:B,C370,'Weekly Dump'!A:A,AB370)</f>
        <v>0</v>
      </c>
      <c r="Q370" s="40">
        <f t="shared" si="20"/>
        <v>0</v>
      </c>
      <c r="R370" s="41"/>
      <c r="T370" s="4">
        <f>SUMIFS('Weekly Dump'!E:E,'Weekly Dump'!B:B,C370,'Weekly Dump'!A:A,AB370)</f>
        <v>0</v>
      </c>
      <c r="U370" s="3">
        <f t="shared" si="21"/>
        <v>0</v>
      </c>
      <c r="V370" s="42"/>
      <c r="X370" s="4">
        <f>SUMIFS('Weekly Dump'!P:P,'Weekly Dump'!B:B,C370,'Weekly Dump'!A:A,AB370)</f>
        <v>0</v>
      </c>
      <c r="Y370" s="4">
        <f t="shared" si="22"/>
        <v>0</v>
      </c>
      <c r="Z370" s="41"/>
      <c r="AA370" s="12" t="str">
        <f>iferror(IF(VLOOKUP(C370,'Weekly Dump'!B:B,1,0)=C370,"Yes","Missing"),"")</f>
        <v/>
      </c>
      <c r="AB370" s="66"/>
    </row>
    <row r="371">
      <c r="B371" s="63"/>
      <c r="C371" s="63"/>
      <c r="G371" s="3" t="str">
        <f t="shared" si="26"/>
        <v/>
      </c>
      <c r="I371" s="4">
        <f>SUMIFS('Weekly Dump'!D:D,'Weekly Dump'!B:B,C371)</f>
        <v>0</v>
      </c>
      <c r="J371" s="5">
        <f>SUMIFS('Weekly Dump'!AE:AE,'Weekly Dump'!B:B,C371)</f>
        <v>0</v>
      </c>
      <c r="K371" s="4">
        <f>SUMPRODUCT(
  (TEXT('Weekly Dump'!$A$2:$A1009,"mmm-yy")=TEXT($AB371,"mmm-yy"))*
  ('Weekly Dump'!$B$2:$B1009=$C371)*
  'Weekly Dump'!$D$2:$D1009)</f>
        <v>0</v>
      </c>
      <c r="L371" s="4">
        <f>SUMPRODUCT(
  (TEXT('Weekly Dump'!$A$2:$A1009,"mmm-yy")=TEXT($AB371,"mmm-yy"))*
  ('Weekly Dump'!$B$2:$B1009=$C371)*
  'Weekly Dump'!$E$2:$E1009
)</f>
        <v>0</v>
      </c>
      <c r="M371" s="4">
        <f>SUMPRODUCT(
  (TEXT('Weekly Dump'!$A$2:$A1009,"mmm-yy")=TEXT($AB371,"mmm-yy"))*
  ('Weekly Dump'!$B$2:$B1009=$C371)*
  'Weekly Dump'!$P$2:$P1009
)</f>
        <v>0</v>
      </c>
      <c r="N371" s="39"/>
      <c r="O371" s="40">
        <f>SUMIFS('Weekly Dump'!$D:$D,'Weekly Dump'!$B:$B,$C371,'Weekly Dump'!$A:$A,$AB371)</f>
        <v>0</v>
      </c>
      <c r="P371" s="40">
        <f>SUMIFS('Weekly Dump'!R:R,'Weekly Dump'!B:B,C371,'Weekly Dump'!A:A,AB371)</f>
        <v>0</v>
      </c>
      <c r="Q371" s="40">
        <f t="shared" si="20"/>
        <v>0</v>
      </c>
      <c r="R371" s="41"/>
      <c r="T371" s="4">
        <f>SUMIFS('Weekly Dump'!E:E,'Weekly Dump'!B:B,C371,'Weekly Dump'!A:A,AB371)</f>
        <v>0</v>
      </c>
      <c r="U371" s="3">
        <f t="shared" si="21"/>
        <v>0</v>
      </c>
      <c r="V371" s="42"/>
      <c r="X371" s="4">
        <f>SUMIFS('Weekly Dump'!P:P,'Weekly Dump'!B:B,C371,'Weekly Dump'!A:A,AB371)</f>
        <v>0</v>
      </c>
      <c r="Y371" s="4">
        <f t="shared" si="22"/>
        <v>0</v>
      </c>
      <c r="Z371" s="41"/>
      <c r="AA371" s="12" t="str">
        <f>iferror(IF(VLOOKUP(C371,'Weekly Dump'!B:B,1,0)=C371,"Yes","Missing"),"")</f>
        <v/>
      </c>
      <c r="AB371" s="66"/>
    </row>
    <row r="372">
      <c r="B372" s="63"/>
      <c r="C372" s="63"/>
      <c r="G372" s="3" t="str">
        <f t="shared" si="26"/>
        <v/>
      </c>
      <c r="I372" s="4">
        <f>SUMIFS('Weekly Dump'!D:D,'Weekly Dump'!B:B,C372)</f>
        <v>0</v>
      </c>
      <c r="J372" s="5">
        <f>SUMIFS('Weekly Dump'!AE:AE,'Weekly Dump'!B:B,C372)</f>
        <v>0</v>
      </c>
      <c r="K372" s="4">
        <f>SUMPRODUCT(
  (TEXT('Weekly Dump'!$A$2:$A1009,"mmm-yy")=TEXT($AB372,"mmm-yy"))*
  ('Weekly Dump'!$B$2:$B1009=$C372)*
  'Weekly Dump'!$D$2:$D1009)</f>
        <v>0</v>
      </c>
      <c r="L372" s="4">
        <f>SUMPRODUCT(
  (TEXT('Weekly Dump'!$A$2:$A1009,"mmm-yy")=TEXT($AB372,"mmm-yy"))*
  ('Weekly Dump'!$B$2:$B1009=$C372)*
  'Weekly Dump'!$E$2:$E1009
)</f>
        <v>0</v>
      </c>
      <c r="M372" s="4">
        <f>SUMPRODUCT(
  (TEXT('Weekly Dump'!$A$2:$A1009,"mmm-yy")=TEXT($AB372,"mmm-yy"))*
  ('Weekly Dump'!$B$2:$B1009=$C372)*
  'Weekly Dump'!$P$2:$P1009
)</f>
        <v>0</v>
      </c>
      <c r="N372" s="39"/>
      <c r="O372" s="40">
        <f>SUMIFS('Weekly Dump'!$D:$D,'Weekly Dump'!$B:$B,$C372,'Weekly Dump'!$A:$A,$AB372)</f>
        <v>0</v>
      </c>
      <c r="P372" s="40">
        <f>SUMIFS('Weekly Dump'!R:R,'Weekly Dump'!B:B,C372,'Weekly Dump'!A:A,AB372)</f>
        <v>0</v>
      </c>
      <c r="Q372" s="40">
        <f t="shared" si="20"/>
        <v>0</v>
      </c>
      <c r="R372" s="41"/>
      <c r="T372" s="4">
        <f>SUMIFS('Weekly Dump'!E:E,'Weekly Dump'!B:B,C372,'Weekly Dump'!A:A,AB372)</f>
        <v>0</v>
      </c>
      <c r="U372" s="3">
        <f t="shared" si="21"/>
        <v>0</v>
      </c>
      <c r="V372" s="42"/>
      <c r="X372" s="4">
        <f>SUMIFS('Weekly Dump'!P:P,'Weekly Dump'!B:B,C372,'Weekly Dump'!A:A,AB372)</f>
        <v>0</v>
      </c>
      <c r="Y372" s="4">
        <f t="shared" si="22"/>
        <v>0</v>
      </c>
      <c r="Z372" s="41"/>
      <c r="AA372" s="12" t="str">
        <f>iferror(IF(VLOOKUP(C372,'Weekly Dump'!B:B,1,0)=C372,"Yes","Missing"),"")</f>
        <v/>
      </c>
      <c r="AB372" s="66"/>
    </row>
    <row r="373">
      <c r="B373" s="63"/>
      <c r="C373" s="63"/>
      <c r="G373" s="3" t="str">
        <f t="shared" si="26"/>
        <v/>
      </c>
      <c r="I373" s="4">
        <f>SUMIFS('Weekly Dump'!D:D,'Weekly Dump'!B:B,C373)</f>
        <v>0</v>
      </c>
      <c r="J373" s="5">
        <f>SUMIFS('Weekly Dump'!AE:AE,'Weekly Dump'!B:B,C373)</f>
        <v>0</v>
      </c>
      <c r="K373" s="4">
        <f>SUMPRODUCT(
  (TEXT('Weekly Dump'!$A$2:$A1009,"mmm-yy")=TEXT($AB373,"mmm-yy"))*
  ('Weekly Dump'!$B$2:$B1009=$C373)*
  'Weekly Dump'!$D$2:$D1009)</f>
        <v>0</v>
      </c>
      <c r="L373" s="4">
        <f>SUMPRODUCT(
  (TEXT('Weekly Dump'!$A$2:$A1009,"mmm-yy")=TEXT($AB373,"mmm-yy"))*
  ('Weekly Dump'!$B$2:$B1009=$C373)*
  'Weekly Dump'!$E$2:$E1009
)</f>
        <v>0</v>
      </c>
      <c r="M373" s="4">
        <f>SUMPRODUCT(
  (TEXT('Weekly Dump'!$A$2:$A1009,"mmm-yy")=TEXT($AB373,"mmm-yy"))*
  ('Weekly Dump'!$B$2:$B1009=$C373)*
  'Weekly Dump'!$P$2:$P1009
)</f>
        <v>0</v>
      </c>
      <c r="N373" s="39"/>
      <c r="O373" s="40">
        <f>SUMIFS('Weekly Dump'!$D:$D,'Weekly Dump'!$B:$B,$C373,'Weekly Dump'!$A:$A,$AB373)</f>
        <v>0</v>
      </c>
      <c r="P373" s="40">
        <f>SUMIFS('Weekly Dump'!R:R,'Weekly Dump'!B:B,C373,'Weekly Dump'!A:A,AB373)</f>
        <v>0</v>
      </c>
      <c r="Q373" s="40">
        <f t="shared" si="20"/>
        <v>0</v>
      </c>
      <c r="R373" s="41"/>
      <c r="T373" s="4">
        <f>SUMIFS('Weekly Dump'!E:E,'Weekly Dump'!B:B,C373,'Weekly Dump'!A:A,AB373)</f>
        <v>0</v>
      </c>
      <c r="U373" s="3">
        <f t="shared" si="21"/>
        <v>0</v>
      </c>
      <c r="V373" s="42"/>
      <c r="X373" s="4">
        <f>SUMIFS('Weekly Dump'!P:P,'Weekly Dump'!B:B,C373,'Weekly Dump'!A:A,AB373)</f>
        <v>0</v>
      </c>
      <c r="Y373" s="4">
        <f t="shared" si="22"/>
        <v>0</v>
      </c>
      <c r="Z373" s="41"/>
      <c r="AA373" s="12" t="str">
        <f>iferror(IF(VLOOKUP(C373,'Weekly Dump'!B:B,1,0)=C373,"Yes","Missing"),"")</f>
        <v/>
      </c>
      <c r="AB373" s="66"/>
    </row>
    <row r="374">
      <c r="B374" s="63"/>
      <c r="C374" s="63"/>
      <c r="G374" s="3" t="str">
        <f t="shared" si="26"/>
        <v/>
      </c>
      <c r="I374" s="4">
        <f>SUMIFS('Weekly Dump'!D:D,'Weekly Dump'!B:B,C374)</f>
        <v>0</v>
      </c>
      <c r="J374" s="5">
        <f>SUMIFS('Weekly Dump'!AE:AE,'Weekly Dump'!B:B,C374)</f>
        <v>0</v>
      </c>
      <c r="K374" s="4">
        <f>SUMPRODUCT(
  (TEXT('Weekly Dump'!$A$2:$A1009,"mmm-yy")=TEXT($AB374,"mmm-yy"))*
  ('Weekly Dump'!$B$2:$B1009=$C374)*
  'Weekly Dump'!$D$2:$D1009)</f>
        <v>0</v>
      </c>
      <c r="L374" s="4">
        <f>SUMPRODUCT(
  (TEXT('Weekly Dump'!$A$2:$A1009,"mmm-yy")=TEXT($AB374,"mmm-yy"))*
  ('Weekly Dump'!$B$2:$B1009=$C374)*
  'Weekly Dump'!$E$2:$E1009
)</f>
        <v>0</v>
      </c>
      <c r="M374" s="4">
        <f>SUMPRODUCT(
  (TEXT('Weekly Dump'!$A$2:$A1009,"mmm-yy")=TEXT($AB374,"mmm-yy"))*
  ('Weekly Dump'!$B$2:$B1009=$C374)*
  'Weekly Dump'!$P$2:$P1009
)</f>
        <v>0</v>
      </c>
      <c r="N374" s="39"/>
      <c r="O374" s="40">
        <f>SUMIFS('Weekly Dump'!$D:$D,'Weekly Dump'!$B:$B,$C374,'Weekly Dump'!$A:$A,$AB374)</f>
        <v>0</v>
      </c>
      <c r="P374" s="40">
        <f>SUMIFS('Weekly Dump'!R:R,'Weekly Dump'!B:B,C374,'Weekly Dump'!A:A,AB374)</f>
        <v>0</v>
      </c>
      <c r="Q374" s="40">
        <f t="shared" si="20"/>
        <v>0</v>
      </c>
      <c r="R374" s="41"/>
      <c r="T374" s="4">
        <f>SUMIFS('Weekly Dump'!E:E,'Weekly Dump'!B:B,C374,'Weekly Dump'!A:A,AB374)</f>
        <v>0</v>
      </c>
      <c r="U374" s="3">
        <f t="shared" si="21"/>
        <v>0</v>
      </c>
      <c r="V374" s="42"/>
      <c r="X374" s="4">
        <f>SUMIFS('Weekly Dump'!P:P,'Weekly Dump'!B:B,C374,'Weekly Dump'!A:A,AB374)</f>
        <v>0</v>
      </c>
      <c r="Y374" s="4">
        <f t="shared" si="22"/>
        <v>0</v>
      </c>
      <c r="Z374" s="41"/>
      <c r="AA374" s="12" t="str">
        <f>iferror(IF(VLOOKUP(C374,'Weekly Dump'!B:B,1,0)=C374,"Yes","Missing"),"")</f>
        <v/>
      </c>
      <c r="AB374" s="66"/>
    </row>
    <row r="375">
      <c r="B375" s="63"/>
      <c r="C375" s="63"/>
      <c r="G375" s="3" t="str">
        <f t="shared" si="26"/>
        <v/>
      </c>
      <c r="I375" s="4">
        <f>SUMIFS('Weekly Dump'!D:D,'Weekly Dump'!B:B,C375)</f>
        <v>0</v>
      </c>
      <c r="J375" s="5">
        <f>SUMIFS('Weekly Dump'!AE:AE,'Weekly Dump'!B:B,C375)</f>
        <v>0</v>
      </c>
      <c r="K375" s="4">
        <f>SUMPRODUCT(
  (TEXT('Weekly Dump'!$A$2:$A1009,"mmm-yy")=TEXT($AB375,"mmm-yy"))*
  ('Weekly Dump'!$B$2:$B1009=$C375)*
  'Weekly Dump'!$D$2:$D1009)</f>
        <v>0</v>
      </c>
      <c r="L375" s="4">
        <f>SUMPRODUCT(
  (TEXT('Weekly Dump'!$A$2:$A1009,"mmm-yy")=TEXT($AB375,"mmm-yy"))*
  ('Weekly Dump'!$B$2:$B1009=$C375)*
  'Weekly Dump'!$E$2:$E1009
)</f>
        <v>0</v>
      </c>
      <c r="M375" s="4">
        <f>SUMPRODUCT(
  (TEXT('Weekly Dump'!$A$2:$A1009,"mmm-yy")=TEXT($AB375,"mmm-yy"))*
  ('Weekly Dump'!$B$2:$B1009=$C375)*
  'Weekly Dump'!$P$2:$P1009
)</f>
        <v>0</v>
      </c>
      <c r="N375" s="39"/>
      <c r="O375" s="40">
        <f>SUMIFS('Weekly Dump'!$D:$D,'Weekly Dump'!$B:$B,$C375,'Weekly Dump'!$A:$A,$AB375)</f>
        <v>0</v>
      </c>
      <c r="P375" s="40">
        <f>SUMIFS('Weekly Dump'!R:R,'Weekly Dump'!B:B,C375,'Weekly Dump'!A:A,AB375)</f>
        <v>0</v>
      </c>
      <c r="Q375" s="40">
        <f t="shared" si="20"/>
        <v>0</v>
      </c>
      <c r="R375" s="41"/>
      <c r="T375" s="4">
        <f>SUMIFS('Weekly Dump'!E:E,'Weekly Dump'!B:B,C375,'Weekly Dump'!A:A,AB375)</f>
        <v>0</v>
      </c>
      <c r="U375" s="3">
        <f t="shared" si="21"/>
        <v>0</v>
      </c>
      <c r="V375" s="42"/>
      <c r="X375" s="4">
        <f>SUMIFS('Weekly Dump'!P:P,'Weekly Dump'!B:B,C375,'Weekly Dump'!A:A,AB375)</f>
        <v>0</v>
      </c>
      <c r="Y375" s="4">
        <f t="shared" si="22"/>
        <v>0</v>
      </c>
      <c r="Z375" s="41"/>
      <c r="AA375" s="12" t="str">
        <f>iferror(IF(VLOOKUP(C375,'Weekly Dump'!B:B,1,0)=C375,"Yes","Missing"),"")</f>
        <v/>
      </c>
      <c r="AB375" s="66"/>
    </row>
    <row r="376">
      <c r="B376" s="63"/>
      <c r="C376" s="63"/>
      <c r="G376" s="3" t="str">
        <f t="shared" si="26"/>
        <v/>
      </c>
      <c r="I376" s="4">
        <f>SUMIFS('Weekly Dump'!D:D,'Weekly Dump'!B:B,C376)</f>
        <v>0</v>
      </c>
      <c r="J376" s="5">
        <f>SUMIFS('Weekly Dump'!AE:AE,'Weekly Dump'!B:B,C376)</f>
        <v>0</v>
      </c>
      <c r="K376" s="4">
        <f>SUMPRODUCT(
  (TEXT('Weekly Dump'!$A$2:$A1009,"mmm-yy")=TEXT($AB376,"mmm-yy"))*
  ('Weekly Dump'!$B$2:$B1009=$C376)*
  'Weekly Dump'!$D$2:$D1009)</f>
        <v>0</v>
      </c>
      <c r="L376" s="4">
        <f>SUMPRODUCT(
  (TEXT('Weekly Dump'!$A$2:$A1009,"mmm-yy")=TEXT($AB376,"mmm-yy"))*
  ('Weekly Dump'!$B$2:$B1009=$C376)*
  'Weekly Dump'!$E$2:$E1009
)</f>
        <v>0</v>
      </c>
      <c r="M376" s="4">
        <f>SUMPRODUCT(
  (TEXT('Weekly Dump'!$A$2:$A1009,"mmm-yy")=TEXT($AB376,"mmm-yy"))*
  ('Weekly Dump'!$B$2:$B1009=$C376)*
  'Weekly Dump'!$P$2:$P1009
)</f>
        <v>0</v>
      </c>
      <c r="N376" s="39"/>
      <c r="O376" s="40">
        <f>SUMIFS('Weekly Dump'!$D:$D,'Weekly Dump'!$B:$B,$C376,'Weekly Dump'!$A:$A,$AB376)</f>
        <v>0</v>
      </c>
      <c r="P376" s="40">
        <f>SUMIFS('Weekly Dump'!R:R,'Weekly Dump'!B:B,C376,'Weekly Dump'!A:A,AB376)</f>
        <v>0</v>
      </c>
      <c r="Q376" s="40">
        <f t="shared" si="20"/>
        <v>0</v>
      </c>
      <c r="R376" s="41"/>
      <c r="T376" s="4">
        <f>SUMIFS('Weekly Dump'!E:E,'Weekly Dump'!B:B,C376,'Weekly Dump'!A:A,AB376)</f>
        <v>0</v>
      </c>
      <c r="U376" s="3">
        <f t="shared" si="21"/>
        <v>0</v>
      </c>
      <c r="V376" s="42"/>
      <c r="X376" s="4">
        <f>SUMIFS('Weekly Dump'!P:P,'Weekly Dump'!B:B,C376,'Weekly Dump'!A:A,AB376)</f>
        <v>0</v>
      </c>
      <c r="Y376" s="4">
        <f t="shared" si="22"/>
        <v>0</v>
      </c>
      <c r="Z376" s="41"/>
      <c r="AA376" s="12" t="str">
        <f>iferror(IF(VLOOKUP(C376,'Weekly Dump'!B:B,1,0)=C376,"Yes","Missing"),"")</f>
        <v/>
      </c>
      <c r="AB376" s="66"/>
    </row>
    <row r="377">
      <c r="B377" s="63"/>
      <c r="C377" s="63"/>
      <c r="G377" s="3" t="str">
        <f t="shared" si="26"/>
        <v/>
      </c>
      <c r="I377" s="4">
        <f>SUMIFS('Weekly Dump'!D:D,'Weekly Dump'!B:B,C377)</f>
        <v>0</v>
      </c>
      <c r="J377" s="5">
        <f>SUMIFS('Weekly Dump'!AE:AE,'Weekly Dump'!B:B,C377)</f>
        <v>0</v>
      </c>
      <c r="K377" s="4">
        <f>SUMPRODUCT(
  (TEXT('Weekly Dump'!$A$2:$A1009,"mmm-yy")=TEXT($AB377,"mmm-yy"))*
  ('Weekly Dump'!$B$2:$B1009=$C377)*
  'Weekly Dump'!$D$2:$D1009)</f>
        <v>0</v>
      </c>
      <c r="L377" s="4">
        <f>SUMPRODUCT(
  (TEXT('Weekly Dump'!$A$2:$A1009,"mmm-yy")=TEXT($AB377,"mmm-yy"))*
  ('Weekly Dump'!$B$2:$B1009=$C377)*
  'Weekly Dump'!$E$2:$E1009
)</f>
        <v>0</v>
      </c>
      <c r="M377" s="4">
        <f>SUMPRODUCT(
  (TEXT('Weekly Dump'!$A$2:$A1009,"mmm-yy")=TEXT($AB377,"mmm-yy"))*
  ('Weekly Dump'!$B$2:$B1009=$C377)*
  'Weekly Dump'!$P$2:$P1009
)</f>
        <v>0</v>
      </c>
      <c r="N377" s="39"/>
      <c r="O377" s="40">
        <f>SUMIFS('Weekly Dump'!$D:$D,'Weekly Dump'!$B:$B,$C377,'Weekly Dump'!$A:$A,$AB377)</f>
        <v>0</v>
      </c>
      <c r="P377" s="40">
        <f>SUMIFS('Weekly Dump'!R:R,'Weekly Dump'!B:B,C377,'Weekly Dump'!A:A,AB377)</f>
        <v>0</v>
      </c>
      <c r="Q377" s="40">
        <f t="shared" si="20"/>
        <v>0</v>
      </c>
      <c r="R377" s="41"/>
      <c r="T377" s="4">
        <f>SUMIFS('Weekly Dump'!E:E,'Weekly Dump'!B:B,C377,'Weekly Dump'!A:A,AB377)</f>
        <v>0</v>
      </c>
      <c r="U377" s="3">
        <f t="shared" si="21"/>
        <v>0</v>
      </c>
      <c r="V377" s="42"/>
      <c r="X377" s="4">
        <f>SUMIFS('Weekly Dump'!P:P,'Weekly Dump'!B:B,C377,'Weekly Dump'!A:A,AB377)</f>
        <v>0</v>
      </c>
      <c r="Y377" s="4">
        <f t="shared" si="22"/>
        <v>0</v>
      </c>
      <c r="Z377" s="41"/>
      <c r="AA377" s="12" t="str">
        <f>iferror(IF(VLOOKUP(C377,'Weekly Dump'!B:B,1,0)=C377,"Yes","Missing"),"")</f>
        <v/>
      </c>
      <c r="AB377" s="66"/>
    </row>
    <row r="378">
      <c r="B378" s="63"/>
      <c r="C378" s="63"/>
      <c r="G378" s="3" t="str">
        <f t="shared" si="26"/>
        <v/>
      </c>
      <c r="I378" s="4">
        <f>SUMIFS('Weekly Dump'!D:D,'Weekly Dump'!B:B,C378)</f>
        <v>0</v>
      </c>
      <c r="J378" s="5">
        <f>SUMIFS('Weekly Dump'!AE:AE,'Weekly Dump'!B:B,C378)</f>
        <v>0</v>
      </c>
      <c r="K378" s="4">
        <f>SUMPRODUCT(
  (TEXT('Weekly Dump'!$A$2:$A1009,"mmm-yy")=TEXT($AB378,"mmm-yy"))*
  ('Weekly Dump'!$B$2:$B1009=$C378)*
  'Weekly Dump'!$D$2:$D1009)</f>
        <v>0</v>
      </c>
      <c r="L378" s="4">
        <f>SUMPRODUCT(
  (TEXT('Weekly Dump'!$A$2:$A1009,"mmm-yy")=TEXT($AB378,"mmm-yy"))*
  ('Weekly Dump'!$B$2:$B1009=$C378)*
  'Weekly Dump'!$E$2:$E1009
)</f>
        <v>0</v>
      </c>
      <c r="M378" s="4">
        <f>SUMPRODUCT(
  (TEXT('Weekly Dump'!$A$2:$A1009,"mmm-yy")=TEXT($AB378,"mmm-yy"))*
  ('Weekly Dump'!$B$2:$B1009=$C378)*
  'Weekly Dump'!$P$2:$P1009
)</f>
        <v>0</v>
      </c>
      <c r="N378" s="39"/>
      <c r="O378" s="40">
        <f>SUMIFS('Weekly Dump'!$D:$D,'Weekly Dump'!$B:$B,$C378,'Weekly Dump'!$A:$A,$AB378)</f>
        <v>0</v>
      </c>
      <c r="P378" s="40">
        <f>SUMIFS('Weekly Dump'!R:R,'Weekly Dump'!B:B,C378,'Weekly Dump'!A:A,AB378)</f>
        <v>0</v>
      </c>
      <c r="Q378" s="40">
        <f t="shared" si="20"/>
        <v>0</v>
      </c>
      <c r="R378" s="41"/>
      <c r="T378" s="4">
        <f>SUMIFS('Weekly Dump'!E:E,'Weekly Dump'!B:B,C378,'Weekly Dump'!A:A,AB378)</f>
        <v>0</v>
      </c>
      <c r="U378" s="3">
        <f t="shared" si="21"/>
        <v>0</v>
      </c>
      <c r="V378" s="42"/>
      <c r="X378" s="4">
        <f>SUMIFS('Weekly Dump'!P:P,'Weekly Dump'!B:B,C378,'Weekly Dump'!A:A,AB378)</f>
        <v>0</v>
      </c>
      <c r="Y378" s="4">
        <f t="shared" si="22"/>
        <v>0</v>
      </c>
      <c r="Z378" s="41"/>
      <c r="AA378" s="12" t="str">
        <f>iferror(IF(VLOOKUP(C378,'Weekly Dump'!B:B,1,0)=C378,"Yes","Missing"),"")</f>
        <v/>
      </c>
      <c r="AB378" s="66"/>
    </row>
    <row r="379">
      <c r="B379" s="63"/>
      <c r="C379" s="63"/>
      <c r="G379" s="3" t="str">
        <f t="shared" si="26"/>
        <v/>
      </c>
      <c r="I379" s="4">
        <f>SUMIFS('Weekly Dump'!D:D,'Weekly Dump'!B:B,C379)</f>
        <v>0</v>
      </c>
      <c r="J379" s="5">
        <f>SUMIFS('Weekly Dump'!AE:AE,'Weekly Dump'!B:B,C379)</f>
        <v>0</v>
      </c>
      <c r="K379" s="4">
        <f>SUMPRODUCT(
  (TEXT('Weekly Dump'!$A$2:$A1009,"mmm-yy")=TEXT($AB379,"mmm-yy"))*
  ('Weekly Dump'!$B$2:$B1009=$C379)*
  'Weekly Dump'!$D$2:$D1009)</f>
        <v>0</v>
      </c>
      <c r="L379" s="4">
        <f>SUMPRODUCT(
  (TEXT('Weekly Dump'!$A$2:$A1009,"mmm-yy")=TEXT($AB379,"mmm-yy"))*
  ('Weekly Dump'!$B$2:$B1009=$C379)*
  'Weekly Dump'!$E$2:$E1009
)</f>
        <v>0</v>
      </c>
      <c r="M379" s="4">
        <f>SUMPRODUCT(
  (TEXT('Weekly Dump'!$A$2:$A1009,"mmm-yy")=TEXT($AB379,"mmm-yy"))*
  ('Weekly Dump'!$B$2:$B1009=$C379)*
  'Weekly Dump'!$P$2:$P1009
)</f>
        <v>0</v>
      </c>
      <c r="N379" s="39"/>
      <c r="O379" s="40">
        <f>SUMIFS('Weekly Dump'!$D:$D,'Weekly Dump'!$B:$B,$C379,'Weekly Dump'!$A:$A,$AB379)</f>
        <v>0</v>
      </c>
      <c r="P379" s="40">
        <f>SUMIFS('Weekly Dump'!R:R,'Weekly Dump'!B:B,C379,'Weekly Dump'!A:A,AB379)</f>
        <v>0</v>
      </c>
      <c r="Q379" s="40">
        <f t="shared" si="20"/>
        <v>0</v>
      </c>
      <c r="R379" s="41"/>
      <c r="T379" s="4">
        <f>SUMIFS('Weekly Dump'!E:E,'Weekly Dump'!B:B,C379,'Weekly Dump'!A:A,AB379)</f>
        <v>0</v>
      </c>
      <c r="U379" s="3">
        <f t="shared" si="21"/>
        <v>0</v>
      </c>
      <c r="V379" s="42"/>
      <c r="X379" s="4">
        <f>SUMIFS('Weekly Dump'!P:P,'Weekly Dump'!B:B,C379,'Weekly Dump'!A:A,AB379)</f>
        <v>0</v>
      </c>
      <c r="Y379" s="4">
        <f t="shared" si="22"/>
        <v>0</v>
      </c>
      <c r="Z379" s="41"/>
      <c r="AA379" s="12" t="str">
        <f>iferror(IF(VLOOKUP(C379,'Weekly Dump'!B:B,1,0)=C379,"Yes","Missing"),"")</f>
        <v/>
      </c>
      <c r="AB379" s="66"/>
    </row>
    <row r="380">
      <c r="B380" s="63"/>
      <c r="C380" s="63"/>
      <c r="G380" s="3" t="str">
        <f t="shared" si="26"/>
        <v/>
      </c>
      <c r="I380" s="4">
        <f>SUMIFS('Weekly Dump'!D:D,'Weekly Dump'!B:B,C380)</f>
        <v>0</v>
      </c>
      <c r="J380" s="5">
        <f>SUMIFS('Weekly Dump'!AE:AE,'Weekly Dump'!B:B,C380)</f>
        <v>0</v>
      </c>
      <c r="K380" s="4">
        <f>SUMPRODUCT(
  (TEXT('Weekly Dump'!$A$2:$A1009,"mmm-yy")=TEXT($AB380,"mmm-yy"))*
  ('Weekly Dump'!$B$2:$B1009=$C380)*
  'Weekly Dump'!$D$2:$D1009)</f>
        <v>0</v>
      </c>
      <c r="L380" s="4">
        <f>SUMPRODUCT(
  (TEXT('Weekly Dump'!$A$2:$A1009,"mmm-yy")=TEXT($AB380,"mmm-yy"))*
  ('Weekly Dump'!$B$2:$B1009=$C380)*
  'Weekly Dump'!$E$2:$E1009
)</f>
        <v>0</v>
      </c>
      <c r="M380" s="4">
        <f>SUMPRODUCT(
  (TEXT('Weekly Dump'!$A$2:$A1009,"mmm-yy")=TEXT($AB380,"mmm-yy"))*
  ('Weekly Dump'!$B$2:$B1009=$C380)*
  'Weekly Dump'!$P$2:$P1009
)</f>
        <v>0</v>
      </c>
      <c r="N380" s="39"/>
      <c r="O380" s="40">
        <f>SUMIFS('Weekly Dump'!$D:$D,'Weekly Dump'!$B:$B,$C380,'Weekly Dump'!$A:$A,$AB380)</f>
        <v>0</v>
      </c>
      <c r="P380" s="40">
        <f>SUMIFS('Weekly Dump'!R:R,'Weekly Dump'!B:B,C380,'Weekly Dump'!A:A,AB380)</f>
        <v>0</v>
      </c>
      <c r="Q380" s="40">
        <f t="shared" si="20"/>
        <v>0</v>
      </c>
      <c r="R380" s="41"/>
      <c r="T380" s="4">
        <f>SUMIFS('Weekly Dump'!E:E,'Weekly Dump'!B:B,C380,'Weekly Dump'!A:A,AB380)</f>
        <v>0</v>
      </c>
      <c r="U380" s="3">
        <f t="shared" si="21"/>
        <v>0</v>
      </c>
      <c r="V380" s="42"/>
      <c r="X380" s="4">
        <f>SUMIFS('Weekly Dump'!P:P,'Weekly Dump'!B:B,C380,'Weekly Dump'!A:A,AB380)</f>
        <v>0</v>
      </c>
      <c r="Y380" s="4">
        <f t="shared" si="22"/>
        <v>0</v>
      </c>
      <c r="Z380" s="41"/>
      <c r="AA380" s="12" t="str">
        <f>iferror(IF(VLOOKUP(C380,'Weekly Dump'!B:B,1,0)=C380,"Yes","Missing"),"")</f>
        <v/>
      </c>
      <c r="AB380" s="66"/>
    </row>
    <row r="381">
      <c r="B381" s="63"/>
      <c r="C381" s="63"/>
      <c r="G381" s="3" t="str">
        <f t="shared" si="26"/>
        <v/>
      </c>
      <c r="I381" s="4">
        <f>SUMIFS('Weekly Dump'!D:D,'Weekly Dump'!B:B,C381)</f>
        <v>0</v>
      </c>
      <c r="J381" s="5">
        <f>SUMIFS('Weekly Dump'!AE:AE,'Weekly Dump'!B:B,C381)</f>
        <v>0</v>
      </c>
      <c r="K381" s="4">
        <f>SUMPRODUCT(
  (TEXT('Weekly Dump'!$A$2:$A1009,"mmm-yy")=TEXT($AB381,"mmm-yy"))*
  ('Weekly Dump'!$B$2:$B1009=$C381)*
  'Weekly Dump'!$D$2:$D1009)</f>
        <v>0</v>
      </c>
      <c r="L381" s="4">
        <f>SUMPRODUCT(
  (TEXT('Weekly Dump'!$A$2:$A1009,"mmm-yy")=TEXT($AB381,"mmm-yy"))*
  ('Weekly Dump'!$B$2:$B1009=$C381)*
  'Weekly Dump'!$E$2:$E1009
)</f>
        <v>0</v>
      </c>
      <c r="M381" s="4">
        <f>SUMPRODUCT(
  (TEXT('Weekly Dump'!$A$2:$A1009,"mmm-yy")=TEXT($AB381,"mmm-yy"))*
  ('Weekly Dump'!$B$2:$B1009=$C381)*
  'Weekly Dump'!$P$2:$P1009
)</f>
        <v>0</v>
      </c>
      <c r="N381" s="39"/>
      <c r="O381" s="40">
        <f>SUMIFS('Weekly Dump'!$D:$D,'Weekly Dump'!$B:$B,$C381,'Weekly Dump'!$A:$A,$AB381)</f>
        <v>0</v>
      </c>
      <c r="P381" s="40">
        <f>SUMIFS('Weekly Dump'!R:R,'Weekly Dump'!B:B,C381,'Weekly Dump'!A:A,AB381)</f>
        <v>0</v>
      </c>
      <c r="Q381" s="40">
        <f t="shared" si="20"/>
        <v>0</v>
      </c>
      <c r="R381" s="41"/>
      <c r="T381" s="4">
        <f>SUMIFS('Weekly Dump'!E:E,'Weekly Dump'!B:B,C381,'Weekly Dump'!A:A,AB381)</f>
        <v>0</v>
      </c>
      <c r="U381" s="3">
        <f t="shared" si="21"/>
        <v>0</v>
      </c>
      <c r="V381" s="42"/>
      <c r="X381" s="4">
        <f>SUMIFS('Weekly Dump'!P:P,'Weekly Dump'!B:B,C381,'Weekly Dump'!A:A,AB381)</f>
        <v>0</v>
      </c>
      <c r="Y381" s="4">
        <f t="shared" si="22"/>
        <v>0</v>
      </c>
      <c r="Z381" s="41"/>
      <c r="AA381" s="12" t="str">
        <f>iferror(IF(VLOOKUP(C381,'Weekly Dump'!B:B,1,0)=C381,"Yes","Missing"),"")</f>
        <v/>
      </c>
      <c r="AB381" s="66"/>
    </row>
    <row r="382">
      <c r="B382" s="63"/>
      <c r="C382" s="63"/>
      <c r="G382" s="3" t="str">
        <f t="shared" si="26"/>
        <v/>
      </c>
      <c r="I382" s="4">
        <f>SUMIFS('Weekly Dump'!D:D,'Weekly Dump'!B:B,C382)</f>
        <v>0</v>
      </c>
      <c r="J382" s="5">
        <f>SUMIFS('Weekly Dump'!AE:AE,'Weekly Dump'!B:B,C382)</f>
        <v>0</v>
      </c>
      <c r="K382" s="4">
        <f>SUMPRODUCT(
  (TEXT('Weekly Dump'!$A$2:$A1009,"mmm-yy")=TEXT($AB382,"mmm-yy"))*
  ('Weekly Dump'!$B$2:$B1009=$C382)*
  'Weekly Dump'!$D$2:$D1009)</f>
        <v>0</v>
      </c>
      <c r="L382" s="4">
        <f>SUMPRODUCT(
  (TEXT('Weekly Dump'!$A$2:$A1009,"mmm-yy")=TEXT($AB382,"mmm-yy"))*
  ('Weekly Dump'!$B$2:$B1009=$C382)*
  'Weekly Dump'!$E$2:$E1009
)</f>
        <v>0</v>
      </c>
      <c r="M382" s="4">
        <f>SUMPRODUCT(
  (TEXT('Weekly Dump'!$A$2:$A1009,"mmm-yy")=TEXT($AB382,"mmm-yy"))*
  ('Weekly Dump'!$B$2:$B1009=$C382)*
  'Weekly Dump'!$P$2:$P1009
)</f>
        <v>0</v>
      </c>
      <c r="N382" s="39"/>
      <c r="O382" s="40">
        <f>SUMIFS('Weekly Dump'!$D:$D,'Weekly Dump'!$B:$B,$C382,'Weekly Dump'!$A:$A,$AB382)</f>
        <v>0</v>
      </c>
      <c r="P382" s="40">
        <f>SUMIFS('Weekly Dump'!R:R,'Weekly Dump'!B:B,C382,'Weekly Dump'!A:A,AB382)</f>
        <v>0</v>
      </c>
      <c r="Q382" s="40">
        <f t="shared" si="20"/>
        <v>0</v>
      </c>
      <c r="R382" s="41"/>
      <c r="T382" s="4">
        <f>SUMIFS('Weekly Dump'!E:E,'Weekly Dump'!B:B,C382,'Weekly Dump'!A:A,AB382)</f>
        <v>0</v>
      </c>
      <c r="U382" s="3">
        <f t="shared" si="21"/>
        <v>0</v>
      </c>
      <c r="V382" s="42"/>
      <c r="X382" s="4">
        <f>SUMIFS('Weekly Dump'!P:P,'Weekly Dump'!B:B,C382,'Weekly Dump'!A:A,AB382)</f>
        <v>0</v>
      </c>
      <c r="Y382" s="4">
        <f t="shared" si="22"/>
        <v>0</v>
      </c>
      <c r="Z382" s="41"/>
      <c r="AA382" s="12" t="str">
        <f>iferror(IF(VLOOKUP(C382,'Weekly Dump'!B:B,1,0)=C382,"Yes","Missing"),"")</f>
        <v/>
      </c>
      <c r="AB382" s="66"/>
    </row>
    <row r="383">
      <c r="B383" s="63"/>
      <c r="C383" s="63"/>
      <c r="G383" s="3" t="str">
        <f t="shared" si="26"/>
        <v/>
      </c>
      <c r="I383" s="4">
        <f>SUMIFS('Weekly Dump'!D:D,'Weekly Dump'!B:B,C383)</f>
        <v>0</v>
      </c>
      <c r="J383" s="5">
        <f>SUMIFS('Weekly Dump'!AE:AE,'Weekly Dump'!B:B,C383)</f>
        <v>0</v>
      </c>
      <c r="K383" s="4">
        <f>SUMPRODUCT(
  (TEXT('Weekly Dump'!$A$2:$A1009,"mmm-yy")=TEXT($AB383,"mmm-yy"))*
  ('Weekly Dump'!$B$2:$B1009=$C383)*
  'Weekly Dump'!$D$2:$D1009)</f>
        <v>0</v>
      </c>
      <c r="L383" s="4">
        <f>SUMPRODUCT(
  (TEXT('Weekly Dump'!$A$2:$A1009,"mmm-yy")=TEXT($AB383,"mmm-yy"))*
  ('Weekly Dump'!$B$2:$B1009=$C383)*
  'Weekly Dump'!$E$2:$E1009
)</f>
        <v>0</v>
      </c>
      <c r="M383" s="4">
        <f>SUMPRODUCT(
  (TEXT('Weekly Dump'!$A$2:$A1009,"mmm-yy")=TEXT($AB383,"mmm-yy"))*
  ('Weekly Dump'!$B$2:$B1009=$C383)*
  'Weekly Dump'!$P$2:$P1009
)</f>
        <v>0</v>
      </c>
      <c r="N383" s="39"/>
      <c r="O383" s="40">
        <f>SUMIFS('Weekly Dump'!$D:$D,'Weekly Dump'!$B:$B,$C383,'Weekly Dump'!$A:$A,$AB383)</f>
        <v>0</v>
      </c>
      <c r="P383" s="40">
        <f>SUMIFS('Weekly Dump'!R:R,'Weekly Dump'!B:B,C383,'Weekly Dump'!A:A,AB383)</f>
        <v>0</v>
      </c>
      <c r="Q383" s="40">
        <f t="shared" si="20"/>
        <v>0</v>
      </c>
      <c r="R383" s="41"/>
      <c r="T383" s="4">
        <f>SUMIFS('Weekly Dump'!E:E,'Weekly Dump'!B:B,C383,'Weekly Dump'!A:A,AB383)</f>
        <v>0</v>
      </c>
      <c r="U383" s="3">
        <f t="shared" si="21"/>
        <v>0</v>
      </c>
      <c r="V383" s="42"/>
      <c r="X383" s="4">
        <f>SUMIFS('Weekly Dump'!P:P,'Weekly Dump'!B:B,C383,'Weekly Dump'!A:A,AB383)</f>
        <v>0</v>
      </c>
      <c r="Y383" s="4">
        <f t="shared" si="22"/>
        <v>0</v>
      </c>
      <c r="Z383" s="41"/>
      <c r="AA383" s="12" t="str">
        <f>iferror(IF(VLOOKUP(C383,'Weekly Dump'!B:B,1,0)=C383,"Yes","Missing"),"")</f>
        <v/>
      </c>
      <c r="AB383" s="66"/>
    </row>
    <row r="384">
      <c r="B384" s="63"/>
      <c r="C384" s="63"/>
      <c r="G384" s="3" t="str">
        <f t="shared" si="26"/>
        <v/>
      </c>
      <c r="I384" s="4">
        <f>SUMIFS('Weekly Dump'!D:D,'Weekly Dump'!B:B,C384)</f>
        <v>0</v>
      </c>
      <c r="J384" s="5">
        <f>SUMIFS('Weekly Dump'!AE:AE,'Weekly Dump'!B:B,C384)</f>
        <v>0</v>
      </c>
      <c r="K384" s="4">
        <f>SUMPRODUCT(
  (TEXT('Weekly Dump'!$A$2:$A1009,"mmm-yy")=TEXT($AB384,"mmm-yy"))*
  ('Weekly Dump'!$B$2:$B1009=$C384)*
  'Weekly Dump'!$D$2:$D1009)</f>
        <v>0</v>
      </c>
      <c r="L384" s="4">
        <f>SUMPRODUCT(
  (TEXT('Weekly Dump'!$A$2:$A1009,"mmm-yy")=TEXT($AB384,"mmm-yy"))*
  ('Weekly Dump'!$B$2:$B1009=$C384)*
  'Weekly Dump'!$E$2:$E1009
)</f>
        <v>0</v>
      </c>
      <c r="M384" s="4">
        <f>SUMPRODUCT(
  (TEXT('Weekly Dump'!$A$2:$A1009,"mmm-yy")=TEXT($AB384,"mmm-yy"))*
  ('Weekly Dump'!$B$2:$B1009=$C384)*
  'Weekly Dump'!$P$2:$P1009
)</f>
        <v>0</v>
      </c>
      <c r="N384" s="39"/>
      <c r="O384" s="40">
        <f>SUMIFS('Weekly Dump'!$D:$D,'Weekly Dump'!$B:$B,$C384,'Weekly Dump'!$A:$A,$AB384)</f>
        <v>0</v>
      </c>
      <c r="P384" s="40">
        <f>SUMIFS('Weekly Dump'!R:R,'Weekly Dump'!B:B,C384,'Weekly Dump'!A:A,AB384)</f>
        <v>0</v>
      </c>
      <c r="Q384" s="40">
        <f t="shared" si="20"/>
        <v>0</v>
      </c>
      <c r="R384" s="41"/>
      <c r="T384" s="4">
        <f>SUMIFS('Weekly Dump'!E:E,'Weekly Dump'!B:B,C384,'Weekly Dump'!A:A,AB384)</f>
        <v>0</v>
      </c>
      <c r="U384" s="3">
        <f t="shared" si="21"/>
        <v>0</v>
      </c>
      <c r="V384" s="42"/>
      <c r="X384" s="4">
        <f>SUMIFS('Weekly Dump'!P:P,'Weekly Dump'!B:B,C384,'Weekly Dump'!A:A,AB384)</f>
        <v>0</v>
      </c>
      <c r="Y384" s="4">
        <f t="shared" si="22"/>
        <v>0</v>
      </c>
      <c r="Z384" s="41"/>
      <c r="AA384" s="12" t="str">
        <f>iferror(IF(VLOOKUP(C384,'Weekly Dump'!B:B,1,0)=C384,"Yes","Missing"),"")</f>
        <v/>
      </c>
      <c r="AB384" s="66"/>
    </row>
    <row r="385">
      <c r="B385" s="63"/>
      <c r="C385" s="63"/>
      <c r="G385" s="3" t="str">
        <f t="shared" si="26"/>
        <v/>
      </c>
      <c r="I385" s="4">
        <f>SUMIFS('Weekly Dump'!D:D,'Weekly Dump'!B:B,C385)</f>
        <v>0</v>
      </c>
      <c r="J385" s="5">
        <f>SUMIFS('Weekly Dump'!AE:AE,'Weekly Dump'!B:B,C385)</f>
        <v>0</v>
      </c>
      <c r="K385" s="4">
        <f>SUMPRODUCT(
  (TEXT('Weekly Dump'!$A$2:$A1009,"mmm-yy")=TEXT($AB385,"mmm-yy"))*
  ('Weekly Dump'!$B$2:$B1009=$C385)*
  'Weekly Dump'!$D$2:$D1009)</f>
        <v>0</v>
      </c>
      <c r="L385" s="4">
        <f>SUMPRODUCT(
  (TEXT('Weekly Dump'!$A$2:$A1009,"mmm-yy")=TEXT($AB385,"mmm-yy"))*
  ('Weekly Dump'!$B$2:$B1009=$C385)*
  'Weekly Dump'!$E$2:$E1009
)</f>
        <v>0</v>
      </c>
      <c r="M385" s="4">
        <f>SUMPRODUCT(
  (TEXT('Weekly Dump'!$A$2:$A1009,"mmm-yy")=TEXT($AB385,"mmm-yy"))*
  ('Weekly Dump'!$B$2:$B1009=$C385)*
  'Weekly Dump'!$P$2:$P1009
)</f>
        <v>0</v>
      </c>
      <c r="N385" s="39"/>
      <c r="O385" s="40">
        <f>SUMIFS('Weekly Dump'!$D:$D,'Weekly Dump'!$B:$B,$C385,'Weekly Dump'!$A:$A,$AB385)</f>
        <v>0</v>
      </c>
      <c r="P385" s="40">
        <f>SUMIFS('Weekly Dump'!R:R,'Weekly Dump'!B:B,C385,'Weekly Dump'!A:A,AB385)</f>
        <v>0</v>
      </c>
      <c r="Q385" s="40">
        <f t="shared" si="20"/>
        <v>0</v>
      </c>
      <c r="R385" s="41"/>
      <c r="T385" s="4">
        <f>SUMIFS('Weekly Dump'!E:E,'Weekly Dump'!B:B,C385,'Weekly Dump'!A:A,AB385)</f>
        <v>0</v>
      </c>
      <c r="U385" s="3">
        <f t="shared" si="21"/>
        <v>0</v>
      </c>
      <c r="V385" s="42"/>
      <c r="X385" s="4">
        <f>SUMIFS('Weekly Dump'!P:P,'Weekly Dump'!B:B,C385,'Weekly Dump'!A:A,AB385)</f>
        <v>0</v>
      </c>
      <c r="Y385" s="4">
        <f t="shared" si="22"/>
        <v>0</v>
      </c>
      <c r="Z385" s="41"/>
      <c r="AA385" s="12" t="str">
        <f>iferror(IF(VLOOKUP(C385,'Weekly Dump'!B:B,1,0)=C385,"Yes","Missing"),"")</f>
        <v/>
      </c>
      <c r="AB385" s="66"/>
    </row>
    <row r="386">
      <c r="B386" s="63"/>
      <c r="C386" s="63"/>
      <c r="G386" s="3" t="str">
        <f t="shared" si="26"/>
        <v/>
      </c>
      <c r="I386" s="4">
        <f>SUMIFS('Weekly Dump'!D:D,'Weekly Dump'!B:B,C386)</f>
        <v>0</v>
      </c>
      <c r="J386" s="5">
        <f>SUMIFS('Weekly Dump'!AE:AE,'Weekly Dump'!B:B,C386)</f>
        <v>0</v>
      </c>
      <c r="K386" s="4">
        <f>SUMPRODUCT(
  (TEXT('Weekly Dump'!$A$2:$A1009,"mmm-yy")=TEXT($AB386,"mmm-yy"))*
  ('Weekly Dump'!$B$2:$B1009=$C386)*
  'Weekly Dump'!$D$2:$D1009)</f>
        <v>0</v>
      </c>
      <c r="L386" s="4">
        <f>SUMPRODUCT(
  (TEXT('Weekly Dump'!$A$2:$A1009,"mmm-yy")=TEXT($AB386,"mmm-yy"))*
  ('Weekly Dump'!$B$2:$B1009=$C386)*
  'Weekly Dump'!$E$2:$E1009
)</f>
        <v>0</v>
      </c>
      <c r="M386" s="4">
        <f>SUMPRODUCT(
  (TEXT('Weekly Dump'!$A$2:$A1009,"mmm-yy")=TEXT($AB386,"mmm-yy"))*
  ('Weekly Dump'!$B$2:$B1009=$C386)*
  'Weekly Dump'!$P$2:$P1009
)</f>
        <v>0</v>
      </c>
      <c r="N386" s="39"/>
      <c r="O386" s="40">
        <f>SUMIFS('Weekly Dump'!$D:$D,'Weekly Dump'!$B:$B,$C386,'Weekly Dump'!$A:$A,$AB386)</f>
        <v>0</v>
      </c>
      <c r="P386" s="40">
        <f>SUMIFS('Weekly Dump'!R:R,'Weekly Dump'!B:B,C386,'Weekly Dump'!A:A,AB386)</f>
        <v>0</v>
      </c>
      <c r="Q386" s="40">
        <f t="shared" si="20"/>
        <v>0</v>
      </c>
      <c r="R386" s="41"/>
      <c r="T386" s="4">
        <f>SUMIFS('Weekly Dump'!E:E,'Weekly Dump'!B:B,C386,'Weekly Dump'!A:A,AB386)</f>
        <v>0</v>
      </c>
      <c r="U386" s="3">
        <f t="shared" si="21"/>
        <v>0</v>
      </c>
      <c r="V386" s="42"/>
      <c r="X386" s="4">
        <f>SUMIFS('Weekly Dump'!P:P,'Weekly Dump'!B:B,C386,'Weekly Dump'!A:A,AB386)</f>
        <v>0</v>
      </c>
      <c r="Y386" s="4">
        <f t="shared" si="22"/>
        <v>0</v>
      </c>
      <c r="Z386" s="41"/>
      <c r="AA386" s="12" t="str">
        <f>iferror(IF(VLOOKUP(C386,'Weekly Dump'!B:B,1,0)=C386,"Yes","Missing"),"")</f>
        <v/>
      </c>
      <c r="AB386" s="66"/>
    </row>
    <row r="387">
      <c r="B387" s="63"/>
      <c r="C387" s="63"/>
      <c r="G387" s="3" t="str">
        <f t="shared" si="26"/>
        <v/>
      </c>
      <c r="I387" s="4">
        <f>SUMIFS('Weekly Dump'!D:D,'Weekly Dump'!B:B,C387)</f>
        <v>0</v>
      </c>
      <c r="J387" s="5">
        <f>SUMIFS('Weekly Dump'!AE:AE,'Weekly Dump'!B:B,C387)</f>
        <v>0</v>
      </c>
      <c r="K387" s="4">
        <f>SUMPRODUCT(
  (TEXT('Weekly Dump'!$A$2:$A1009,"mmm-yy")=TEXT($AB387,"mmm-yy"))*
  ('Weekly Dump'!$B$2:$B1009=$C387)*
  'Weekly Dump'!$D$2:$D1009)</f>
        <v>0</v>
      </c>
      <c r="L387" s="4">
        <f>SUMPRODUCT(
  (TEXT('Weekly Dump'!$A$2:$A1009,"mmm-yy")=TEXT($AB387,"mmm-yy"))*
  ('Weekly Dump'!$B$2:$B1009=$C387)*
  'Weekly Dump'!$E$2:$E1009
)</f>
        <v>0</v>
      </c>
      <c r="M387" s="4">
        <f>SUMPRODUCT(
  (TEXT('Weekly Dump'!$A$2:$A1009,"mmm-yy")=TEXT($AB387,"mmm-yy"))*
  ('Weekly Dump'!$B$2:$B1009=$C387)*
  'Weekly Dump'!$P$2:$P1009
)</f>
        <v>0</v>
      </c>
      <c r="N387" s="39"/>
      <c r="O387" s="40">
        <f>SUMIFS('Weekly Dump'!$D:$D,'Weekly Dump'!$B:$B,$C387,'Weekly Dump'!$A:$A,$AB387)</f>
        <v>0</v>
      </c>
      <c r="P387" s="40">
        <f>SUMIFS('Weekly Dump'!R:R,'Weekly Dump'!B:B,C387,'Weekly Dump'!A:A,AB387)</f>
        <v>0</v>
      </c>
      <c r="Q387" s="40">
        <f t="shared" si="20"/>
        <v>0</v>
      </c>
      <c r="R387" s="41"/>
      <c r="T387" s="4">
        <f>SUMIFS('Weekly Dump'!E:E,'Weekly Dump'!B:B,C387,'Weekly Dump'!A:A,AB387)</f>
        <v>0</v>
      </c>
      <c r="U387" s="3">
        <f t="shared" si="21"/>
        <v>0</v>
      </c>
      <c r="V387" s="42"/>
      <c r="X387" s="4">
        <f>SUMIFS('Weekly Dump'!P:P,'Weekly Dump'!B:B,C387,'Weekly Dump'!A:A,AB387)</f>
        <v>0</v>
      </c>
      <c r="Y387" s="4">
        <f t="shared" si="22"/>
        <v>0</v>
      </c>
      <c r="Z387" s="41"/>
      <c r="AA387" s="12" t="str">
        <f>iferror(IF(VLOOKUP(C387,'Weekly Dump'!B:B,1,0)=C387,"Yes","Missing"),"")</f>
        <v/>
      </c>
      <c r="AB387" s="66"/>
    </row>
    <row r="388">
      <c r="B388" s="63"/>
      <c r="C388" s="63"/>
      <c r="G388" s="3" t="str">
        <f t="shared" si="26"/>
        <v/>
      </c>
      <c r="I388" s="4">
        <f>SUMIFS('Weekly Dump'!D:D,'Weekly Dump'!B:B,C388)</f>
        <v>0</v>
      </c>
      <c r="J388" s="5">
        <f>SUMIFS('Weekly Dump'!AE:AE,'Weekly Dump'!B:B,C388)</f>
        <v>0</v>
      </c>
      <c r="K388" s="4">
        <f>SUMPRODUCT(
  (TEXT('Weekly Dump'!$A$2:$A1009,"mmm-yy")=TEXT($AB388,"mmm-yy"))*
  ('Weekly Dump'!$B$2:$B1009=$C388)*
  'Weekly Dump'!$D$2:$D1009)</f>
        <v>0</v>
      </c>
      <c r="L388" s="4">
        <f>SUMPRODUCT(
  (TEXT('Weekly Dump'!$A$2:$A1009,"mmm-yy")=TEXT($AB388,"mmm-yy"))*
  ('Weekly Dump'!$B$2:$B1009=$C388)*
  'Weekly Dump'!$E$2:$E1009
)</f>
        <v>0</v>
      </c>
      <c r="M388" s="4">
        <f>SUMPRODUCT(
  (TEXT('Weekly Dump'!$A$2:$A1009,"mmm-yy")=TEXT($AB388,"mmm-yy"))*
  ('Weekly Dump'!$B$2:$B1009=$C388)*
  'Weekly Dump'!$P$2:$P1009
)</f>
        <v>0</v>
      </c>
      <c r="N388" s="39"/>
      <c r="O388" s="40">
        <f>SUMIFS('Weekly Dump'!$D:$D,'Weekly Dump'!$B:$B,$C388,'Weekly Dump'!$A:$A,$AB388)</f>
        <v>0</v>
      </c>
      <c r="P388" s="40">
        <f>SUMIFS('Weekly Dump'!R:R,'Weekly Dump'!B:B,C388,'Weekly Dump'!A:A,AB388)</f>
        <v>0</v>
      </c>
      <c r="Q388" s="40">
        <f t="shared" si="20"/>
        <v>0</v>
      </c>
      <c r="R388" s="41"/>
      <c r="T388" s="4">
        <f>SUMIFS('Weekly Dump'!E:E,'Weekly Dump'!B:B,C388,'Weekly Dump'!A:A,AB388)</f>
        <v>0</v>
      </c>
      <c r="U388" s="3">
        <f t="shared" si="21"/>
        <v>0</v>
      </c>
      <c r="V388" s="42"/>
      <c r="X388" s="4">
        <f>SUMIFS('Weekly Dump'!P:P,'Weekly Dump'!B:B,C388,'Weekly Dump'!A:A,AB388)</f>
        <v>0</v>
      </c>
      <c r="Y388" s="4">
        <f t="shared" si="22"/>
        <v>0</v>
      </c>
      <c r="Z388" s="41"/>
      <c r="AA388" s="12" t="str">
        <f>iferror(IF(VLOOKUP(C388,'Weekly Dump'!B:B,1,0)=C388,"Yes","Missing"),"")</f>
        <v/>
      </c>
      <c r="AB388" s="66"/>
    </row>
    <row r="389">
      <c r="B389" s="63"/>
      <c r="C389" s="63"/>
      <c r="G389" s="3" t="str">
        <f t="shared" si="26"/>
        <v/>
      </c>
      <c r="I389" s="4">
        <f>SUMIFS('Weekly Dump'!D:D,'Weekly Dump'!B:B,C389)</f>
        <v>0</v>
      </c>
      <c r="J389" s="5">
        <f>SUMIFS('Weekly Dump'!AE:AE,'Weekly Dump'!B:B,C389)</f>
        <v>0</v>
      </c>
      <c r="K389" s="4">
        <f>SUMPRODUCT(
  (TEXT('Weekly Dump'!$A$2:$A1009,"mmm-yy")=TEXT($AB389,"mmm-yy"))*
  ('Weekly Dump'!$B$2:$B1009=$C389)*
  'Weekly Dump'!$D$2:$D1009)</f>
        <v>0</v>
      </c>
      <c r="L389" s="4">
        <f>SUMPRODUCT(
  (TEXT('Weekly Dump'!$A$2:$A1009,"mmm-yy")=TEXT($AB389,"mmm-yy"))*
  ('Weekly Dump'!$B$2:$B1009=$C389)*
  'Weekly Dump'!$E$2:$E1009
)</f>
        <v>0</v>
      </c>
      <c r="M389" s="4">
        <f>SUMPRODUCT(
  (TEXT('Weekly Dump'!$A$2:$A1009,"mmm-yy")=TEXT($AB389,"mmm-yy"))*
  ('Weekly Dump'!$B$2:$B1009=$C389)*
  'Weekly Dump'!$P$2:$P1009
)</f>
        <v>0</v>
      </c>
      <c r="N389" s="39"/>
      <c r="O389" s="40">
        <f>SUMIFS('Weekly Dump'!$D:$D,'Weekly Dump'!$B:$B,$C389,'Weekly Dump'!$A:$A,$AB389)</f>
        <v>0</v>
      </c>
      <c r="P389" s="40">
        <f>SUMIFS('Weekly Dump'!R:R,'Weekly Dump'!B:B,C389,'Weekly Dump'!A:A,AB389)</f>
        <v>0</v>
      </c>
      <c r="Q389" s="40">
        <f t="shared" si="20"/>
        <v>0</v>
      </c>
      <c r="R389" s="41"/>
      <c r="T389" s="4">
        <f>SUMIFS('Weekly Dump'!E:E,'Weekly Dump'!B:B,C389,'Weekly Dump'!A:A,AB389)</f>
        <v>0</v>
      </c>
      <c r="U389" s="3">
        <f t="shared" si="21"/>
        <v>0</v>
      </c>
      <c r="V389" s="42"/>
      <c r="X389" s="4">
        <f>SUMIFS('Weekly Dump'!P:P,'Weekly Dump'!B:B,C389,'Weekly Dump'!A:A,AB389)</f>
        <v>0</v>
      </c>
      <c r="Y389" s="4">
        <f t="shared" si="22"/>
        <v>0</v>
      </c>
      <c r="Z389" s="41"/>
      <c r="AA389" s="12" t="str">
        <f>iferror(IF(VLOOKUP(C389,'Weekly Dump'!B:B,1,0)=C389,"Yes","Missing"),"")</f>
        <v/>
      </c>
      <c r="AB389" s="66"/>
    </row>
    <row r="390">
      <c r="B390" s="63"/>
      <c r="C390" s="63"/>
      <c r="G390" s="3" t="str">
        <f t="shared" si="26"/>
        <v/>
      </c>
      <c r="I390" s="4">
        <f>SUMIFS('Weekly Dump'!D:D,'Weekly Dump'!B:B,C390)</f>
        <v>0</v>
      </c>
      <c r="J390" s="5">
        <f>SUMIFS('Weekly Dump'!AE:AE,'Weekly Dump'!B:B,C390)</f>
        <v>0</v>
      </c>
      <c r="K390" s="4">
        <f>SUMPRODUCT(
  (TEXT('Weekly Dump'!$A$2:$A1009,"mmm-yy")=TEXT($AB390,"mmm-yy"))*
  ('Weekly Dump'!$B$2:$B1009=$C390)*
  'Weekly Dump'!$D$2:$D1009)</f>
        <v>0</v>
      </c>
      <c r="L390" s="4">
        <f>SUMPRODUCT(
  (TEXT('Weekly Dump'!$A$2:$A1009,"mmm-yy")=TEXT($AB390,"mmm-yy"))*
  ('Weekly Dump'!$B$2:$B1009=$C390)*
  'Weekly Dump'!$E$2:$E1009
)</f>
        <v>0</v>
      </c>
      <c r="M390" s="4">
        <f>SUMPRODUCT(
  (TEXT('Weekly Dump'!$A$2:$A1009,"mmm-yy")=TEXT($AB390,"mmm-yy"))*
  ('Weekly Dump'!$B$2:$B1009=$C390)*
  'Weekly Dump'!$P$2:$P1009
)</f>
        <v>0</v>
      </c>
      <c r="N390" s="39"/>
      <c r="O390" s="40">
        <f>SUMIFS('Weekly Dump'!$D:$D,'Weekly Dump'!$B:$B,$C390,'Weekly Dump'!$A:$A,$AB390)</f>
        <v>0</v>
      </c>
      <c r="P390" s="40">
        <f>SUMIFS('Weekly Dump'!R:R,'Weekly Dump'!B:B,C390,'Weekly Dump'!A:A,AB390)</f>
        <v>0</v>
      </c>
      <c r="Q390" s="40">
        <f t="shared" si="20"/>
        <v>0</v>
      </c>
      <c r="R390" s="41"/>
      <c r="T390" s="4">
        <f>SUMIFS('Weekly Dump'!E:E,'Weekly Dump'!B:B,C390,'Weekly Dump'!A:A,AB390)</f>
        <v>0</v>
      </c>
      <c r="U390" s="3">
        <f t="shared" si="21"/>
        <v>0</v>
      </c>
      <c r="V390" s="42"/>
      <c r="X390" s="4">
        <f>SUMIFS('Weekly Dump'!P:P,'Weekly Dump'!B:B,C390,'Weekly Dump'!A:A,AB390)</f>
        <v>0</v>
      </c>
      <c r="Y390" s="4">
        <f t="shared" si="22"/>
        <v>0</v>
      </c>
      <c r="Z390" s="41"/>
      <c r="AA390" s="12" t="str">
        <f>iferror(IF(VLOOKUP(C390,'Weekly Dump'!B:B,1,0)=C390,"Yes","Missing"),"")</f>
        <v/>
      </c>
      <c r="AB390" s="66"/>
    </row>
    <row r="391">
      <c r="B391" s="63"/>
      <c r="C391" s="63"/>
      <c r="G391" s="3" t="str">
        <f t="shared" si="26"/>
        <v/>
      </c>
      <c r="I391" s="4">
        <f>SUMIFS('Weekly Dump'!D:D,'Weekly Dump'!B:B,C391)</f>
        <v>0</v>
      </c>
      <c r="J391" s="5">
        <f>SUMIFS('Weekly Dump'!AE:AE,'Weekly Dump'!B:B,C391)</f>
        <v>0</v>
      </c>
      <c r="K391" s="4">
        <f>SUMPRODUCT(
  (TEXT('Weekly Dump'!$A$2:$A1009,"mmm-yy")=TEXT($AB391,"mmm-yy"))*
  ('Weekly Dump'!$B$2:$B1009=$C391)*
  'Weekly Dump'!$D$2:$D1009)</f>
        <v>0</v>
      </c>
      <c r="L391" s="4">
        <f>SUMPRODUCT(
  (TEXT('Weekly Dump'!$A$2:$A1009,"mmm-yy")=TEXT($AB391,"mmm-yy"))*
  ('Weekly Dump'!$B$2:$B1009=$C391)*
  'Weekly Dump'!$E$2:$E1009
)</f>
        <v>0</v>
      </c>
      <c r="M391" s="4">
        <f>SUMPRODUCT(
  (TEXT('Weekly Dump'!$A$2:$A1009,"mmm-yy")=TEXT($AB391,"mmm-yy"))*
  ('Weekly Dump'!$B$2:$B1009=$C391)*
  'Weekly Dump'!$P$2:$P1009
)</f>
        <v>0</v>
      </c>
      <c r="N391" s="39"/>
      <c r="O391" s="40">
        <f>SUMIFS('Weekly Dump'!$D:$D,'Weekly Dump'!$B:$B,$C391,'Weekly Dump'!$A:$A,$AB391)</f>
        <v>0</v>
      </c>
      <c r="P391" s="40">
        <f>SUMIFS('Weekly Dump'!R:R,'Weekly Dump'!B:B,C391,'Weekly Dump'!A:A,AB391)</f>
        <v>0</v>
      </c>
      <c r="Q391" s="40">
        <f t="shared" si="20"/>
        <v>0</v>
      </c>
      <c r="R391" s="41"/>
      <c r="T391" s="4">
        <f>SUMIFS('Weekly Dump'!E:E,'Weekly Dump'!B:B,C391,'Weekly Dump'!A:A,AB391)</f>
        <v>0</v>
      </c>
      <c r="U391" s="3">
        <f t="shared" si="21"/>
        <v>0</v>
      </c>
      <c r="V391" s="42"/>
      <c r="X391" s="4">
        <f>SUMIFS('Weekly Dump'!P:P,'Weekly Dump'!B:B,C391,'Weekly Dump'!A:A,AB391)</f>
        <v>0</v>
      </c>
      <c r="Y391" s="4">
        <f t="shared" si="22"/>
        <v>0</v>
      </c>
      <c r="Z391" s="41"/>
      <c r="AA391" s="12" t="str">
        <f>iferror(IF(VLOOKUP(C391,'Weekly Dump'!B:B,1,0)=C391,"Yes","Missing"),"")</f>
        <v/>
      </c>
      <c r="AB391" s="66"/>
    </row>
    <row r="392">
      <c r="B392" s="63"/>
      <c r="C392" s="63"/>
      <c r="G392" s="3" t="str">
        <f t="shared" si="26"/>
        <v/>
      </c>
      <c r="I392" s="4">
        <f>SUMIFS('Weekly Dump'!D:D,'Weekly Dump'!B:B,C392)</f>
        <v>0</v>
      </c>
      <c r="J392" s="5">
        <f>SUMIFS('Weekly Dump'!AE:AE,'Weekly Dump'!B:B,C392)</f>
        <v>0</v>
      </c>
      <c r="K392" s="4">
        <f>SUMPRODUCT(
  (TEXT('Weekly Dump'!$A$2:$A1009,"mmm-yy")=TEXT($AB392,"mmm-yy"))*
  ('Weekly Dump'!$B$2:$B1009=$C392)*
  'Weekly Dump'!$D$2:$D1009)</f>
        <v>0</v>
      </c>
      <c r="L392" s="4">
        <f>SUMPRODUCT(
  (TEXT('Weekly Dump'!$A$2:$A1009,"mmm-yy")=TEXT($AB392,"mmm-yy"))*
  ('Weekly Dump'!$B$2:$B1009=$C392)*
  'Weekly Dump'!$E$2:$E1009
)</f>
        <v>0</v>
      </c>
      <c r="M392" s="4">
        <f>SUMPRODUCT(
  (TEXT('Weekly Dump'!$A$2:$A1009,"mmm-yy")=TEXT($AB392,"mmm-yy"))*
  ('Weekly Dump'!$B$2:$B1009=$C392)*
  'Weekly Dump'!$P$2:$P1009
)</f>
        <v>0</v>
      </c>
      <c r="N392" s="39"/>
      <c r="O392" s="40">
        <f>SUMIFS('Weekly Dump'!$D:$D,'Weekly Dump'!$B:$B,$C392,'Weekly Dump'!$A:$A,$AB392)</f>
        <v>0</v>
      </c>
      <c r="P392" s="40">
        <f>SUMIFS('Weekly Dump'!R:R,'Weekly Dump'!B:B,C392,'Weekly Dump'!A:A,AB392)</f>
        <v>0</v>
      </c>
      <c r="Q392" s="40">
        <f t="shared" si="20"/>
        <v>0</v>
      </c>
      <c r="R392" s="41"/>
      <c r="T392" s="4">
        <f>SUMIFS('Weekly Dump'!E:E,'Weekly Dump'!B:B,C392,'Weekly Dump'!A:A,AB392)</f>
        <v>0</v>
      </c>
      <c r="U392" s="3">
        <f t="shared" si="21"/>
        <v>0</v>
      </c>
      <c r="V392" s="42"/>
      <c r="X392" s="4">
        <f>SUMIFS('Weekly Dump'!P:P,'Weekly Dump'!B:B,C392,'Weekly Dump'!A:A,AB392)</f>
        <v>0</v>
      </c>
      <c r="Y392" s="4">
        <f t="shared" si="22"/>
        <v>0</v>
      </c>
      <c r="Z392" s="41"/>
      <c r="AA392" s="12" t="str">
        <f>iferror(IF(VLOOKUP(C392,'Weekly Dump'!B:B,1,0)=C392,"Yes","Missing"),"")</f>
        <v/>
      </c>
      <c r="AB392" s="66"/>
    </row>
    <row r="393">
      <c r="B393" s="63"/>
      <c r="C393" s="63"/>
      <c r="G393" s="3" t="str">
        <f t="shared" si="26"/>
        <v/>
      </c>
      <c r="I393" s="4">
        <f>SUMIFS('Weekly Dump'!D:D,'Weekly Dump'!B:B,C393)</f>
        <v>0</v>
      </c>
      <c r="J393" s="5">
        <f>SUMIFS('Weekly Dump'!AE:AE,'Weekly Dump'!B:B,C393)</f>
        <v>0</v>
      </c>
      <c r="K393" s="4">
        <f>SUMPRODUCT(
  (TEXT('Weekly Dump'!$A$2:$A1009,"mmm-yy")=TEXT($AB393,"mmm-yy"))*
  ('Weekly Dump'!$B$2:$B1009=$C393)*
  'Weekly Dump'!$D$2:$D1009)</f>
        <v>0</v>
      </c>
      <c r="L393" s="4">
        <f>SUMPRODUCT(
  (TEXT('Weekly Dump'!$A$2:$A1009,"mmm-yy")=TEXT($AB393,"mmm-yy"))*
  ('Weekly Dump'!$B$2:$B1009=$C393)*
  'Weekly Dump'!$E$2:$E1009
)</f>
        <v>0</v>
      </c>
      <c r="M393" s="4">
        <f>SUMPRODUCT(
  (TEXT('Weekly Dump'!$A$2:$A1009,"mmm-yy")=TEXT($AB393,"mmm-yy"))*
  ('Weekly Dump'!$B$2:$B1009=$C393)*
  'Weekly Dump'!$P$2:$P1009
)</f>
        <v>0</v>
      </c>
      <c r="N393" s="39"/>
      <c r="O393" s="40">
        <f>SUMIFS('Weekly Dump'!$D:$D,'Weekly Dump'!$B:$B,$C393,'Weekly Dump'!$A:$A,$AB393)</f>
        <v>0</v>
      </c>
      <c r="P393" s="40">
        <f>SUMIFS('Weekly Dump'!R:R,'Weekly Dump'!B:B,C393,'Weekly Dump'!A:A,AB393)</f>
        <v>0</v>
      </c>
      <c r="Q393" s="40">
        <f t="shared" si="20"/>
        <v>0</v>
      </c>
      <c r="R393" s="41"/>
      <c r="T393" s="4">
        <f>SUMIFS('Weekly Dump'!E:E,'Weekly Dump'!B:B,C393,'Weekly Dump'!A:A,AB393)</f>
        <v>0</v>
      </c>
      <c r="U393" s="3">
        <f t="shared" si="21"/>
        <v>0</v>
      </c>
      <c r="V393" s="42"/>
      <c r="X393" s="4">
        <f>SUMIFS('Weekly Dump'!P:P,'Weekly Dump'!B:B,C393,'Weekly Dump'!A:A,AB393)</f>
        <v>0</v>
      </c>
      <c r="Y393" s="4">
        <f t="shared" si="22"/>
        <v>0</v>
      </c>
      <c r="Z393" s="41"/>
      <c r="AA393" s="12" t="str">
        <f>iferror(IF(VLOOKUP(C393,'Weekly Dump'!B:B,1,0)=C393,"Yes","Missing"),"")</f>
        <v/>
      </c>
      <c r="AB393" s="66"/>
    </row>
    <row r="394">
      <c r="B394" s="63"/>
      <c r="C394" s="63"/>
      <c r="G394" s="3" t="str">
        <f t="shared" si="26"/>
        <v/>
      </c>
      <c r="I394" s="4">
        <f>SUMIFS('Weekly Dump'!D:D,'Weekly Dump'!B:B,C394)</f>
        <v>0</v>
      </c>
      <c r="J394" s="5">
        <f>SUMIFS('Weekly Dump'!AE:AE,'Weekly Dump'!B:B,C394)</f>
        <v>0</v>
      </c>
      <c r="K394" s="4">
        <f>SUMPRODUCT(
  (TEXT('Weekly Dump'!$A$2:$A1009,"mmm-yy")=TEXT($AB394,"mmm-yy"))*
  ('Weekly Dump'!$B$2:$B1009=$C394)*
  'Weekly Dump'!$D$2:$D1009)</f>
        <v>0</v>
      </c>
      <c r="L394" s="4">
        <f>SUMPRODUCT(
  (TEXT('Weekly Dump'!$A$2:$A1009,"mmm-yy")=TEXT($AB394,"mmm-yy"))*
  ('Weekly Dump'!$B$2:$B1009=$C394)*
  'Weekly Dump'!$E$2:$E1009
)</f>
        <v>0</v>
      </c>
      <c r="M394" s="4">
        <f>SUMPRODUCT(
  (TEXT('Weekly Dump'!$A$2:$A1009,"mmm-yy")=TEXT($AB394,"mmm-yy"))*
  ('Weekly Dump'!$B$2:$B1009=$C394)*
  'Weekly Dump'!$P$2:$P1009
)</f>
        <v>0</v>
      </c>
      <c r="N394" s="39"/>
      <c r="O394" s="40">
        <f>SUMIFS('Weekly Dump'!$D:$D,'Weekly Dump'!$B:$B,$C394,'Weekly Dump'!$A:$A,$AB394)</f>
        <v>0</v>
      </c>
      <c r="P394" s="40">
        <f>SUMIFS('Weekly Dump'!R:R,'Weekly Dump'!B:B,C394,'Weekly Dump'!A:A,AB394)</f>
        <v>0</v>
      </c>
      <c r="Q394" s="40">
        <f t="shared" si="20"/>
        <v>0</v>
      </c>
      <c r="R394" s="41"/>
      <c r="T394" s="4">
        <f>SUMIFS('Weekly Dump'!E:E,'Weekly Dump'!B:B,C394,'Weekly Dump'!A:A,AB394)</f>
        <v>0</v>
      </c>
      <c r="U394" s="3">
        <f t="shared" si="21"/>
        <v>0</v>
      </c>
      <c r="V394" s="42"/>
      <c r="X394" s="4">
        <f>SUMIFS('Weekly Dump'!P:P,'Weekly Dump'!B:B,C394,'Weekly Dump'!A:A,AB394)</f>
        <v>0</v>
      </c>
      <c r="Y394" s="4">
        <f t="shared" si="22"/>
        <v>0</v>
      </c>
      <c r="Z394" s="41"/>
      <c r="AA394" s="12" t="str">
        <f>iferror(IF(VLOOKUP(C394,'Weekly Dump'!B:B,1,0)=C394,"Yes","Missing"),"")</f>
        <v/>
      </c>
      <c r="AB394" s="66"/>
    </row>
    <row r="395">
      <c r="B395" s="63"/>
      <c r="C395" s="63"/>
      <c r="G395" s="3" t="str">
        <f t="shared" si="26"/>
        <v/>
      </c>
      <c r="I395" s="4">
        <f>SUMIFS('Weekly Dump'!D:D,'Weekly Dump'!B:B,C395)</f>
        <v>0</v>
      </c>
      <c r="J395" s="5">
        <f>SUMIFS('Weekly Dump'!AE:AE,'Weekly Dump'!B:B,C395)</f>
        <v>0</v>
      </c>
      <c r="K395" s="4">
        <f>SUMPRODUCT(
  (TEXT('Weekly Dump'!$A$2:$A1009,"mmm-yy")=TEXT($AB395,"mmm-yy"))*
  ('Weekly Dump'!$B$2:$B1009=$C395)*
  'Weekly Dump'!$D$2:$D1009)</f>
        <v>0</v>
      </c>
      <c r="L395" s="4">
        <f>SUMPRODUCT(
  (TEXT('Weekly Dump'!$A$2:$A1009,"mmm-yy")=TEXT($AB395,"mmm-yy"))*
  ('Weekly Dump'!$B$2:$B1009=$C395)*
  'Weekly Dump'!$E$2:$E1009
)</f>
        <v>0</v>
      </c>
      <c r="M395" s="4">
        <f>SUMPRODUCT(
  (TEXT('Weekly Dump'!$A$2:$A1009,"mmm-yy")=TEXT($AB395,"mmm-yy"))*
  ('Weekly Dump'!$B$2:$B1009=$C395)*
  'Weekly Dump'!$P$2:$P1009
)</f>
        <v>0</v>
      </c>
      <c r="N395" s="39"/>
      <c r="O395" s="40">
        <f>SUMIFS('Weekly Dump'!$D:$D,'Weekly Dump'!$B:$B,$C395,'Weekly Dump'!$A:$A,$AB395)</f>
        <v>0</v>
      </c>
      <c r="P395" s="40">
        <f>SUMIFS('Weekly Dump'!R:R,'Weekly Dump'!B:B,C395,'Weekly Dump'!A:A,AB395)</f>
        <v>0</v>
      </c>
      <c r="Q395" s="40">
        <f t="shared" si="20"/>
        <v>0</v>
      </c>
      <c r="R395" s="41"/>
      <c r="T395" s="4">
        <f>SUMIFS('Weekly Dump'!E:E,'Weekly Dump'!B:B,C395,'Weekly Dump'!A:A,AB395)</f>
        <v>0</v>
      </c>
      <c r="U395" s="3">
        <f t="shared" si="21"/>
        <v>0</v>
      </c>
      <c r="V395" s="42"/>
      <c r="X395" s="4">
        <f>SUMIFS('Weekly Dump'!P:P,'Weekly Dump'!B:B,C395,'Weekly Dump'!A:A,AB395)</f>
        <v>0</v>
      </c>
      <c r="Y395" s="4">
        <f t="shared" si="22"/>
        <v>0</v>
      </c>
      <c r="Z395" s="41"/>
      <c r="AA395" s="12" t="str">
        <f>iferror(IF(VLOOKUP(C395,'Weekly Dump'!B:B,1,0)=C395,"Yes","Missing"),"")</f>
        <v/>
      </c>
      <c r="AB395" s="66"/>
    </row>
    <row r="396">
      <c r="B396" s="63"/>
      <c r="C396" s="63"/>
      <c r="G396" s="3" t="str">
        <f t="shared" si="26"/>
        <v/>
      </c>
      <c r="I396" s="4">
        <f>SUMIFS('Weekly Dump'!D:D,'Weekly Dump'!B:B,C396)</f>
        <v>0</v>
      </c>
      <c r="J396" s="5">
        <f>SUMIFS('Weekly Dump'!AE:AE,'Weekly Dump'!B:B,C396)</f>
        <v>0</v>
      </c>
      <c r="K396" s="4">
        <f>SUMPRODUCT(
  (TEXT('Weekly Dump'!$A$2:$A1009,"mmm-yy")=TEXT($AB396,"mmm-yy"))*
  ('Weekly Dump'!$B$2:$B1009=$C396)*
  'Weekly Dump'!$D$2:$D1009)</f>
        <v>0</v>
      </c>
      <c r="L396" s="4">
        <f>SUMPRODUCT(
  (TEXT('Weekly Dump'!$A$2:$A1009,"mmm-yy")=TEXT($AB396,"mmm-yy"))*
  ('Weekly Dump'!$B$2:$B1009=$C396)*
  'Weekly Dump'!$E$2:$E1009
)</f>
        <v>0</v>
      </c>
      <c r="M396" s="4">
        <f>SUMPRODUCT(
  (TEXT('Weekly Dump'!$A$2:$A1009,"mmm-yy")=TEXT($AB396,"mmm-yy"))*
  ('Weekly Dump'!$B$2:$B1009=$C396)*
  'Weekly Dump'!$P$2:$P1009
)</f>
        <v>0</v>
      </c>
      <c r="N396" s="39"/>
      <c r="O396" s="40">
        <f>SUMIFS('Weekly Dump'!$D:$D,'Weekly Dump'!$B:$B,$C396,'Weekly Dump'!$A:$A,$AB396)</f>
        <v>0</v>
      </c>
      <c r="P396" s="40">
        <f>SUMIFS('Weekly Dump'!R:R,'Weekly Dump'!B:B,C396,'Weekly Dump'!A:A,AB396)</f>
        <v>0</v>
      </c>
      <c r="Q396" s="40">
        <f t="shared" si="20"/>
        <v>0</v>
      </c>
      <c r="R396" s="41"/>
      <c r="T396" s="4">
        <f>SUMIFS('Weekly Dump'!E:E,'Weekly Dump'!B:B,C396,'Weekly Dump'!A:A,AB396)</f>
        <v>0</v>
      </c>
      <c r="U396" s="3">
        <f t="shared" si="21"/>
        <v>0</v>
      </c>
      <c r="V396" s="42"/>
      <c r="X396" s="4">
        <f>SUMIFS('Weekly Dump'!P:P,'Weekly Dump'!B:B,C396,'Weekly Dump'!A:A,AB396)</f>
        <v>0</v>
      </c>
      <c r="Y396" s="4">
        <f t="shared" si="22"/>
        <v>0</v>
      </c>
      <c r="Z396" s="41"/>
      <c r="AA396" s="12" t="str">
        <f>iferror(IF(VLOOKUP(C396,'Weekly Dump'!B:B,1,0)=C396,"Yes","Missing"),"")</f>
        <v/>
      </c>
      <c r="AB396" s="66"/>
    </row>
    <row r="397">
      <c r="B397" s="63"/>
      <c r="C397" s="63"/>
      <c r="G397" s="3" t="str">
        <f t="shared" si="26"/>
        <v/>
      </c>
      <c r="I397" s="4">
        <f>SUMIFS('Weekly Dump'!D:D,'Weekly Dump'!B:B,C397)</f>
        <v>0</v>
      </c>
      <c r="J397" s="5">
        <f>SUMIFS('Weekly Dump'!AE:AE,'Weekly Dump'!B:B,C397)</f>
        <v>0</v>
      </c>
      <c r="K397" s="4">
        <f>SUMPRODUCT(
  (TEXT('Weekly Dump'!$A$2:$A1009,"mmm-yy")=TEXT($AB397,"mmm-yy"))*
  ('Weekly Dump'!$B$2:$B1009=$C397)*
  'Weekly Dump'!$D$2:$D1009)</f>
        <v>0</v>
      </c>
      <c r="L397" s="4">
        <f>SUMPRODUCT(
  (TEXT('Weekly Dump'!$A$2:$A1009,"mmm-yy")=TEXT($AB397,"mmm-yy"))*
  ('Weekly Dump'!$B$2:$B1009=$C397)*
  'Weekly Dump'!$E$2:$E1009
)</f>
        <v>0</v>
      </c>
      <c r="M397" s="4">
        <f>SUMPRODUCT(
  (TEXT('Weekly Dump'!$A$2:$A1009,"mmm-yy")=TEXT($AB397,"mmm-yy"))*
  ('Weekly Dump'!$B$2:$B1009=$C397)*
  'Weekly Dump'!$P$2:$P1009
)</f>
        <v>0</v>
      </c>
      <c r="N397" s="39"/>
      <c r="O397" s="40">
        <f>SUMIFS('Weekly Dump'!$D:$D,'Weekly Dump'!$B:$B,$C397,'Weekly Dump'!$A:$A,$AB397)</f>
        <v>0</v>
      </c>
      <c r="P397" s="40">
        <f>SUMIFS('Weekly Dump'!R:R,'Weekly Dump'!B:B,C397,'Weekly Dump'!A:A,AB397)</f>
        <v>0</v>
      </c>
      <c r="Q397" s="40">
        <f t="shared" si="20"/>
        <v>0</v>
      </c>
      <c r="R397" s="41"/>
      <c r="T397" s="4">
        <f>SUMIFS('Weekly Dump'!E:E,'Weekly Dump'!B:B,C397,'Weekly Dump'!A:A,AB397)</f>
        <v>0</v>
      </c>
      <c r="U397" s="3">
        <f t="shared" si="21"/>
        <v>0</v>
      </c>
      <c r="V397" s="42"/>
      <c r="X397" s="4">
        <f>SUMIFS('Weekly Dump'!P:P,'Weekly Dump'!B:B,C397,'Weekly Dump'!A:A,AB397)</f>
        <v>0</v>
      </c>
      <c r="Y397" s="4">
        <f t="shared" si="22"/>
        <v>0</v>
      </c>
      <c r="Z397" s="41"/>
      <c r="AA397" s="12" t="str">
        <f>iferror(IF(VLOOKUP(C397,'Weekly Dump'!B:B,1,0)=C397,"Yes","Missing"),"")</f>
        <v/>
      </c>
      <c r="AB397" s="66"/>
    </row>
    <row r="398">
      <c r="B398" s="63"/>
      <c r="C398" s="63"/>
      <c r="G398" s="3" t="str">
        <f t="shared" si="26"/>
        <v/>
      </c>
      <c r="I398" s="4">
        <f>SUMIFS('Weekly Dump'!D:D,'Weekly Dump'!B:B,C398)</f>
        <v>0</v>
      </c>
      <c r="J398" s="5">
        <f>SUMIFS('Weekly Dump'!AE:AE,'Weekly Dump'!B:B,C398)</f>
        <v>0</v>
      </c>
      <c r="K398" s="4">
        <f>SUMPRODUCT(
  (TEXT('Weekly Dump'!$A$2:$A1009,"mmm-yy")=TEXT($AB398,"mmm-yy"))*
  ('Weekly Dump'!$B$2:$B1009=$C398)*
  'Weekly Dump'!$D$2:$D1009)</f>
        <v>0</v>
      </c>
      <c r="L398" s="4">
        <f>SUMPRODUCT(
  (TEXT('Weekly Dump'!$A$2:$A1009,"mmm-yy")=TEXT($AB398,"mmm-yy"))*
  ('Weekly Dump'!$B$2:$B1009=$C398)*
  'Weekly Dump'!$E$2:$E1009
)</f>
        <v>0</v>
      </c>
      <c r="M398" s="4">
        <f>SUMPRODUCT(
  (TEXT('Weekly Dump'!$A$2:$A1009,"mmm-yy")=TEXT($AB398,"mmm-yy"))*
  ('Weekly Dump'!$B$2:$B1009=$C398)*
  'Weekly Dump'!$P$2:$P1009
)</f>
        <v>0</v>
      </c>
      <c r="N398" s="39"/>
      <c r="O398" s="40">
        <f>SUMIFS('Weekly Dump'!$D:$D,'Weekly Dump'!$B:$B,$C398,'Weekly Dump'!$A:$A,$AB398)</f>
        <v>0</v>
      </c>
      <c r="P398" s="40">
        <f>SUMIFS('Weekly Dump'!R:R,'Weekly Dump'!B:B,C398,'Weekly Dump'!A:A,AB398)</f>
        <v>0</v>
      </c>
      <c r="Q398" s="40">
        <f t="shared" si="20"/>
        <v>0</v>
      </c>
      <c r="R398" s="41"/>
      <c r="T398" s="4">
        <f>SUMIFS('Weekly Dump'!E:E,'Weekly Dump'!B:B,C398,'Weekly Dump'!A:A,AB398)</f>
        <v>0</v>
      </c>
      <c r="U398" s="3">
        <f t="shared" si="21"/>
        <v>0</v>
      </c>
      <c r="V398" s="42"/>
      <c r="X398" s="4">
        <f>SUMIFS('Weekly Dump'!P:P,'Weekly Dump'!B:B,C398,'Weekly Dump'!A:A,AB398)</f>
        <v>0</v>
      </c>
      <c r="Y398" s="4">
        <f t="shared" si="22"/>
        <v>0</v>
      </c>
      <c r="Z398" s="41"/>
      <c r="AA398" s="12" t="str">
        <f>iferror(IF(VLOOKUP(C398,'Weekly Dump'!B:B,1,0)=C398,"Yes","Missing"),"")</f>
        <v/>
      </c>
      <c r="AB398" s="66"/>
    </row>
    <row r="399">
      <c r="B399" s="63"/>
      <c r="C399" s="63"/>
      <c r="G399" s="3" t="str">
        <f t="shared" si="26"/>
        <v/>
      </c>
      <c r="I399" s="4">
        <f>SUMIFS('Weekly Dump'!D:D,'Weekly Dump'!B:B,C399)</f>
        <v>0</v>
      </c>
      <c r="J399" s="5">
        <f>SUMIFS('Weekly Dump'!AE:AE,'Weekly Dump'!B:B,C399)</f>
        <v>0</v>
      </c>
      <c r="K399" s="4">
        <f>SUMPRODUCT(
  (TEXT('Weekly Dump'!$A$2:$A1009,"mmm-yy")=TEXT($AB399,"mmm-yy"))*
  ('Weekly Dump'!$B$2:$B1009=$C399)*
  'Weekly Dump'!$D$2:$D1009)</f>
        <v>0</v>
      </c>
      <c r="L399" s="4">
        <f>SUMPRODUCT(
  (TEXT('Weekly Dump'!$A$2:$A1009,"mmm-yy")=TEXT($AB399,"mmm-yy"))*
  ('Weekly Dump'!$B$2:$B1009=$C399)*
  'Weekly Dump'!$E$2:$E1009
)</f>
        <v>0</v>
      </c>
      <c r="M399" s="4">
        <f>SUMPRODUCT(
  (TEXT('Weekly Dump'!$A$2:$A1009,"mmm-yy")=TEXT($AB399,"mmm-yy"))*
  ('Weekly Dump'!$B$2:$B1009=$C399)*
  'Weekly Dump'!$P$2:$P1009
)</f>
        <v>0</v>
      </c>
      <c r="N399" s="39"/>
      <c r="O399" s="40">
        <f>SUMIFS('Weekly Dump'!$D:$D,'Weekly Dump'!$B:$B,$C399,'Weekly Dump'!$A:$A,$AB399)</f>
        <v>0</v>
      </c>
      <c r="P399" s="40">
        <f>SUMIFS('Weekly Dump'!R:R,'Weekly Dump'!B:B,C399,'Weekly Dump'!A:A,AB399)</f>
        <v>0</v>
      </c>
      <c r="Q399" s="40">
        <f t="shared" si="20"/>
        <v>0</v>
      </c>
      <c r="R399" s="41"/>
      <c r="T399" s="4">
        <f>SUMIFS('Weekly Dump'!E:E,'Weekly Dump'!B:B,C399,'Weekly Dump'!A:A,AB399)</f>
        <v>0</v>
      </c>
      <c r="U399" s="3">
        <f t="shared" si="21"/>
        <v>0</v>
      </c>
      <c r="V399" s="42"/>
      <c r="X399" s="4">
        <f>SUMIFS('Weekly Dump'!P:P,'Weekly Dump'!B:B,C399,'Weekly Dump'!A:A,AB399)</f>
        <v>0</v>
      </c>
      <c r="Y399" s="4">
        <f t="shared" si="22"/>
        <v>0</v>
      </c>
      <c r="Z399" s="41"/>
      <c r="AA399" s="12" t="str">
        <f>iferror(IF(VLOOKUP(C399,'Weekly Dump'!B:B,1,0)=C399,"Yes","Missing"),"")</f>
        <v/>
      </c>
      <c r="AB399" s="66"/>
    </row>
    <row r="400">
      <c r="B400" s="63"/>
      <c r="C400" s="63"/>
      <c r="G400" s="3" t="str">
        <f t="shared" si="26"/>
        <v/>
      </c>
      <c r="I400" s="4">
        <f>SUMIFS('Weekly Dump'!D:D,'Weekly Dump'!B:B,C400)</f>
        <v>0</v>
      </c>
      <c r="J400" s="5">
        <f>SUMIFS('Weekly Dump'!AE:AE,'Weekly Dump'!B:B,C400)</f>
        <v>0</v>
      </c>
      <c r="K400" s="4">
        <f>SUMPRODUCT(
  (TEXT('Weekly Dump'!$A$2:$A1009,"mmm-yy")=TEXT($AB400,"mmm-yy"))*
  ('Weekly Dump'!$B$2:$B1009=$C400)*
  'Weekly Dump'!$D$2:$D1009)</f>
        <v>0</v>
      </c>
      <c r="L400" s="4">
        <f>SUMPRODUCT(
  (TEXT('Weekly Dump'!$A$2:$A1009,"mmm-yy")=TEXT($AB400,"mmm-yy"))*
  ('Weekly Dump'!$B$2:$B1009=$C400)*
  'Weekly Dump'!$E$2:$E1009
)</f>
        <v>0</v>
      </c>
      <c r="M400" s="4">
        <f>SUMPRODUCT(
  (TEXT('Weekly Dump'!$A$2:$A1009,"mmm-yy")=TEXT($AB400,"mmm-yy"))*
  ('Weekly Dump'!$B$2:$B1009=$C400)*
  'Weekly Dump'!$P$2:$P1009
)</f>
        <v>0</v>
      </c>
      <c r="N400" s="39"/>
      <c r="O400" s="40">
        <f>SUMIFS('Weekly Dump'!$D:$D,'Weekly Dump'!$B:$B,$C400,'Weekly Dump'!$A:$A,$AB400)</f>
        <v>0</v>
      </c>
      <c r="P400" s="40">
        <f>SUMIFS('Weekly Dump'!R:R,'Weekly Dump'!B:B,C400,'Weekly Dump'!A:A,AB400)</f>
        <v>0</v>
      </c>
      <c r="Q400" s="40">
        <f t="shared" si="20"/>
        <v>0</v>
      </c>
      <c r="R400" s="41"/>
      <c r="T400" s="4">
        <f>SUMIFS('Weekly Dump'!E:E,'Weekly Dump'!B:B,C400,'Weekly Dump'!A:A,AB400)</f>
        <v>0</v>
      </c>
      <c r="U400" s="3">
        <f t="shared" si="21"/>
        <v>0</v>
      </c>
      <c r="V400" s="42"/>
      <c r="X400" s="4">
        <f>SUMIFS('Weekly Dump'!P:P,'Weekly Dump'!B:B,C400,'Weekly Dump'!A:A,AB400)</f>
        <v>0</v>
      </c>
      <c r="Y400" s="4">
        <f t="shared" si="22"/>
        <v>0</v>
      </c>
      <c r="Z400" s="41"/>
      <c r="AA400" s="12" t="str">
        <f>iferror(IF(VLOOKUP(C400,'Weekly Dump'!B:B,1,0)=C400,"Yes","Missing"),"")</f>
        <v/>
      </c>
      <c r="AB400" s="66"/>
    </row>
    <row r="401">
      <c r="B401" s="63"/>
      <c r="C401" s="63"/>
      <c r="G401" s="3" t="str">
        <f t="shared" si="26"/>
        <v/>
      </c>
      <c r="I401" s="4">
        <f>SUMIFS('Weekly Dump'!D:D,'Weekly Dump'!B:B,C401)</f>
        <v>0</v>
      </c>
      <c r="J401" s="5">
        <f>SUMIFS('Weekly Dump'!AE:AE,'Weekly Dump'!B:B,C401)</f>
        <v>0</v>
      </c>
      <c r="K401" s="4">
        <f>SUMPRODUCT(
  (TEXT('Weekly Dump'!$A$2:$A1009,"mmm-yy")=TEXT($AB401,"mmm-yy"))*
  ('Weekly Dump'!$B$2:$B1009=$C401)*
  'Weekly Dump'!$D$2:$D1009)</f>
        <v>0</v>
      </c>
      <c r="L401" s="4">
        <f>SUMPRODUCT(
  (TEXT('Weekly Dump'!$A$2:$A1009,"mmm-yy")=TEXT($AB401,"mmm-yy"))*
  ('Weekly Dump'!$B$2:$B1009=$C401)*
  'Weekly Dump'!$E$2:$E1009
)</f>
        <v>0</v>
      </c>
      <c r="M401" s="4">
        <f>SUMPRODUCT(
  (TEXT('Weekly Dump'!$A$2:$A1009,"mmm-yy")=TEXT($AB401,"mmm-yy"))*
  ('Weekly Dump'!$B$2:$B1009=$C401)*
  'Weekly Dump'!$P$2:$P1009
)</f>
        <v>0</v>
      </c>
      <c r="N401" s="39"/>
      <c r="O401" s="40">
        <f>SUMIFS('Weekly Dump'!$D:$D,'Weekly Dump'!$B:$B,$C401,'Weekly Dump'!$A:$A,$AB401)</f>
        <v>0</v>
      </c>
      <c r="P401" s="40">
        <f>SUMIFS('Weekly Dump'!R:R,'Weekly Dump'!B:B,C401,'Weekly Dump'!A:A,AB401)</f>
        <v>0</v>
      </c>
      <c r="Q401" s="40">
        <f t="shared" si="20"/>
        <v>0</v>
      </c>
      <c r="R401" s="41"/>
      <c r="T401" s="4">
        <f>SUMIFS('Weekly Dump'!E:E,'Weekly Dump'!B:B,C401,'Weekly Dump'!A:A,AB401)</f>
        <v>0</v>
      </c>
      <c r="U401" s="3">
        <f t="shared" si="21"/>
        <v>0</v>
      </c>
      <c r="V401" s="42"/>
      <c r="X401" s="4">
        <f>SUMIFS('Weekly Dump'!P:P,'Weekly Dump'!B:B,C401,'Weekly Dump'!A:A,AB401)</f>
        <v>0</v>
      </c>
      <c r="Y401" s="4">
        <f t="shared" si="22"/>
        <v>0</v>
      </c>
      <c r="Z401" s="41"/>
      <c r="AA401" s="12" t="str">
        <f>iferror(IF(VLOOKUP(C401,'Weekly Dump'!B:B,1,0)=C401,"Yes","Missing"),"")</f>
        <v/>
      </c>
      <c r="AB401" s="66"/>
    </row>
    <row r="402">
      <c r="B402" s="63"/>
      <c r="C402" s="63"/>
      <c r="G402" s="3" t="str">
        <f t="shared" si="26"/>
        <v/>
      </c>
      <c r="I402" s="4">
        <f>SUMIFS('Weekly Dump'!D:D,'Weekly Dump'!B:B,C402)</f>
        <v>0</v>
      </c>
      <c r="J402" s="5">
        <f>SUMIFS('Weekly Dump'!AE:AE,'Weekly Dump'!B:B,C402)</f>
        <v>0</v>
      </c>
      <c r="K402" s="4">
        <f>SUMPRODUCT(
  (TEXT('Weekly Dump'!$A$2:$A1009,"mmm-yy")=TEXT($AB402,"mmm-yy"))*
  ('Weekly Dump'!$B$2:$B1009=$C402)*
  'Weekly Dump'!$D$2:$D1009)</f>
        <v>0</v>
      </c>
      <c r="L402" s="4">
        <f>SUMPRODUCT(
  (TEXT('Weekly Dump'!$A$2:$A1009,"mmm-yy")=TEXT($AB402,"mmm-yy"))*
  ('Weekly Dump'!$B$2:$B1009=$C402)*
  'Weekly Dump'!$E$2:$E1009
)</f>
        <v>0</v>
      </c>
      <c r="M402" s="4">
        <f>SUMPRODUCT(
  (TEXT('Weekly Dump'!$A$2:$A1009,"mmm-yy")=TEXT($AB402,"mmm-yy"))*
  ('Weekly Dump'!$B$2:$B1009=$C402)*
  'Weekly Dump'!$P$2:$P1009
)</f>
        <v>0</v>
      </c>
      <c r="N402" s="39"/>
      <c r="O402" s="40">
        <f>SUMIFS('Weekly Dump'!$D:$D,'Weekly Dump'!$B:$B,$C402,'Weekly Dump'!$A:$A,$AB402)</f>
        <v>0</v>
      </c>
      <c r="P402" s="40">
        <f>SUMIFS('Weekly Dump'!R:R,'Weekly Dump'!B:B,C402,'Weekly Dump'!A:A,AB402)</f>
        <v>0</v>
      </c>
      <c r="Q402" s="40">
        <f t="shared" si="20"/>
        <v>0</v>
      </c>
      <c r="R402" s="41"/>
      <c r="T402" s="4">
        <f>SUMIFS('Weekly Dump'!E:E,'Weekly Dump'!B:B,C402,'Weekly Dump'!A:A,AB402)</f>
        <v>0</v>
      </c>
      <c r="U402" s="3">
        <f t="shared" si="21"/>
        <v>0</v>
      </c>
      <c r="V402" s="42"/>
      <c r="X402" s="4">
        <f>SUMIFS('Weekly Dump'!P:P,'Weekly Dump'!B:B,C402,'Weekly Dump'!A:A,AB402)</f>
        <v>0</v>
      </c>
      <c r="Y402" s="4">
        <f t="shared" si="22"/>
        <v>0</v>
      </c>
      <c r="Z402" s="41"/>
      <c r="AA402" s="12" t="str">
        <f>iferror(IF(VLOOKUP(C402,'Weekly Dump'!B:B,1,0)=C402,"Yes","Missing"),"")</f>
        <v/>
      </c>
      <c r="AB402" s="66"/>
    </row>
    <row r="403">
      <c r="B403" s="63"/>
      <c r="C403" s="63"/>
      <c r="G403" s="3" t="str">
        <f t="shared" si="26"/>
        <v/>
      </c>
      <c r="I403" s="4">
        <f>SUMIFS('Weekly Dump'!D:D,'Weekly Dump'!B:B,C403)</f>
        <v>0</v>
      </c>
      <c r="J403" s="5">
        <f>SUMIFS('Weekly Dump'!AE:AE,'Weekly Dump'!B:B,C403)</f>
        <v>0</v>
      </c>
      <c r="K403" s="4">
        <f>SUMPRODUCT(
  (TEXT('Weekly Dump'!$A$2:$A1009,"mmm-yy")=TEXT($AB403,"mmm-yy"))*
  ('Weekly Dump'!$B$2:$B1009=$C403)*
  'Weekly Dump'!$D$2:$D1009)</f>
        <v>0</v>
      </c>
      <c r="L403" s="4">
        <f>SUMPRODUCT(
  (TEXT('Weekly Dump'!$A$2:$A1009,"mmm-yy")=TEXT($AB403,"mmm-yy"))*
  ('Weekly Dump'!$B$2:$B1009=$C403)*
  'Weekly Dump'!$E$2:$E1009
)</f>
        <v>0</v>
      </c>
      <c r="M403" s="4">
        <f>SUMPRODUCT(
  (TEXT('Weekly Dump'!$A$2:$A1009,"mmm-yy")=TEXT($AB403,"mmm-yy"))*
  ('Weekly Dump'!$B$2:$B1009=$C403)*
  'Weekly Dump'!$P$2:$P1009
)</f>
        <v>0</v>
      </c>
      <c r="N403" s="39"/>
      <c r="O403" s="40">
        <f>SUMIFS('Weekly Dump'!$D:$D,'Weekly Dump'!$B:$B,$C403,'Weekly Dump'!$A:$A,$AB403)</f>
        <v>0</v>
      </c>
      <c r="P403" s="40">
        <f>SUMIFS('Weekly Dump'!R:R,'Weekly Dump'!B:B,C403,'Weekly Dump'!A:A,AB403)</f>
        <v>0</v>
      </c>
      <c r="Q403" s="40">
        <f t="shared" si="20"/>
        <v>0</v>
      </c>
      <c r="R403" s="41"/>
      <c r="T403" s="4">
        <f>SUMIFS('Weekly Dump'!E:E,'Weekly Dump'!B:B,C403,'Weekly Dump'!A:A,AB403)</f>
        <v>0</v>
      </c>
      <c r="U403" s="3">
        <f t="shared" si="21"/>
        <v>0</v>
      </c>
      <c r="V403" s="42"/>
      <c r="X403" s="4">
        <f>SUMIFS('Weekly Dump'!P:P,'Weekly Dump'!B:B,C403,'Weekly Dump'!A:A,AB403)</f>
        <v>0</v>
      </c>
      <c r="Y403" s="4">
        <f t="shared" si="22"/>
        <v>0</v>
      </c>
      <c r="Z403" s="41"/>
      <c r="AA403" s="12" t="str">
        <f>iferror(IF(VLOOKUP(C403,'Weekly Dump'!B:B,1,0)=C403,"Yes","Missing"),"")</f>
        <v/>
      </c>
      <c r="AB403" s="66"/>
    </row>
    <row r="404">
      <c r="B404" s="63"/>
      <c r="C404" s="63"/>
      <c r="G404" s="3" t="str">
        <f t="shared" si="26"/>
        <v/>
      </c>
      <c r="I404" s="4">
        <f>SUMIFS('Weekly Dump'!D:D,'Weekly Dump'!B:B,C404)</f>
        <v>0</v>
      </c>
      <c r="J404" s="5">
        <f>SUMIFS('Weekly Dump'!AE:AE,'Weekly Dump'!B:B,C404)</f>
        <v>0</v>
      </c>
      <c r="K404" s="4">
        <f>SUMPRODUCT(
  (TEXT('Weekly Dump'!$A$2:$A1009,"mmm-yy")=TEXT($AB404,"mmm-yy"))*
  ('Weekly Dump'!$B$2:$B1009=$C404)*
  'Weekly Dump'!$D$2:$D1009)</f>
        <v>0</v>
      </c>
      <c r="L404" s="4">
        <f>SUMPRODUCT(
  (TEXT('Weekly Dump'!$A$2:$A1009,"mmm-yy")=TEXT($AB404,"mmm-yy"))*
  ('Weekly Dump'!$B$2:$B1009=$C404)*
  'Weekly Dump'!$E$2:$E1009
)</f>
        <v>0</v>
      </c>
      <c r="M404" s="4">
        <f>SUMPRODUCT(
  (TEXT('Weekly Dump'!$A$2:$A1009,"mmm-yy")=TEXT($AB404,"mmm-yy"))*
  ('Weekly Dump'!$B$2:$B1009=$C404)*
  'Weekly Dump'!$P$2:$P1009
)</f>
        <v>0</v>
      </c>
      <c r="N404" s="39"/>
      <c r="O404" s="40">
        <f>SUMIFS('Weekly Dump'!$D:$D,'Weekly Dump'!$B:$B,$C404,'Weekly Dump'!$A:$A,$AB404)</f>
        <v>0</v>
      </c>
      <c r="P404" s="40">
        <f>SUMIFS('Weekly Dump'!R:R,'Weekly Dump'!B:B,C404,'Weekly Dump'!A:A,AB404)</f>
        <v>0</v>
      </c>
      <c r="Q404" s="40">
        <f t="shared" si="20"/>
        <v>0</v>
      </c>
      <c r="R404" s="41"/>
      <c r="T404" s="4">
        <f>SUMIFS('Weekly Dump'!E:E,'Weekly Dump'!B:B,C404,'Weekly Dump'!A:A,AB404)</f>
        <v>0</v>
      </c>
      <c r="U404" s="3">
        <f t="shared" si="21"/>
        <v>0</v>
      </c>
      <c r="V404" s="42"/>
      <c r="X404" s="4">
        <f>SUMIFS('Weekly Dump'!P:P,'Weekly Dump'!B:B,C404,'Weekly Dump'!A:A,AB404)</f>
        <v>0</v>
      </c>
      <c r="Y404" s="4">
        <f t="shared" si="22"/>
        <v>0</v>
      </c>
      <c r="Z404" s="41"/>
      <c r="AA404" s="12" t="str">
        <f>iferror(IF(VLOOKUP(C404,'Weekly Dump'!B:B,1,0)=C404,"Yes","Missing"),"")</f>
        <v/>
      </c>
      <c r="AB404" s="66"/>
    </row>
    <row r="405">
      <c r="B405" s="63"/>
      <c r="C405" s="63"/>
      <c r="G405" s="3" t="str">
        <f t="shared" si="26"/>
        <v/>
      </c>
      <c r="I405" s="4">
        <f>SUMIFS('Weekly Dump'!D:D,'Weekly Dump'!B:B,C405)</f>
        <v>0</v>
      </c>
      <c r="J405" s="5">
        <f>SUMIFS('Weekly Dump'!AE:AE,'Weekly Dump'!B:B,C405)</f>
        <v>0</v>
      </c>
      <c r="K405" s="4">
        <f>SUMPRODUCT(
  (TEXT('Weekly Dump'!$A$2:$A1009,"mmm-yy")=TEXT($AB405,"mmm-yy"))*
  ('Weekly Dump'!$B$2:$B1009=$C405)*
  'Weekly Dump'!$D$2:$D1009)</f>
        <v>0</v>
      </c>
      <c r="L405" s="4">
        <f>SUMPRODUCT(
  (TEXT('Weekly Dump'!$A$2:$A1009,"mmm-yy")=TEXT($AB405,"mmm-yy"))*
  ('Weekly Dump'!$B$2:$B1009=$C405)*
  'Weekly Dump'!$E$2:$E1009
)</f>
        <v>0</v>
      </c>
      <c r="M405" s="4">
        <f>SUMPRODUCT(
  (TEXT('Weekly Dump'!$A$2:$A1009,"mmm-yy")=TEXT($AB405,"mmm-yy"))*
  ('Weekly Dump'!$B$2:$B1009=$C405)*
  'Weekly Dump'!$P$2:$P1009
)</f>
        <v>0</v>
      </c>
      <c r="N405" s="39"/>
      <c r="O405" s="40">
        <f>SUMIFS('Weekly Dump'!$D:$D,'Weekly Dump'!$B:$B,$C405,'Weekly Dump'!$A:$A,$AB405)</f>
        <v>0</v>
      </c>
      <c r="P405" s="40">
        <f>SUMIFS('Weekly Dump'!R:R,'Weekly Dump'!B:B,C405,'Weekly Dump'!A:A,AB405)</f>
        <v>0</v>
      </c>
      <c r="Q405" s="40">
        <f t="shared" si="20"/>
        <v>0</v>
      </c>
      <c r="R405" s="41"/>
      <c r="T405" s="4">
        <f>SUMIFS('Weekly Dump'!E:E,'Weekly Dump'!B:B,C405,'Weekly Dump'!A:A,AB405)</f>
        <v>0</v>
      </c>
      <c r="U405" s="3">
        <f t="shared" si="21"/>
        <v>0</v>
      </c>
      <c r="V405" s="42"/>
      <c r="X405" s="4">
        <f>SUMIFS('Weekly Dump'!P:P,'Weekly Dump'!B:B,C405,'Weekly Dump'!A:A,AB405)</f>
        <v>0</v>
      </c>
      <c r="Y405" s="4">
        <f t="shared" si="22"/>
        <v>0</v>
      </c>
      <c r="Z405" s="41"/>
      <c r="AA405" s="12" t="str">
        <f>iferror(IF(VLOOKUP(C405,'Weekly Dump'!B:B,1,0)=C405,"Yes","Missing"),"")</f>
        <v/>
      </c>
      <c r="AB405" s="66"/>
    </row>
    <row r="406">
      <c r="B406" s="63"/>
      <c r="C406" s="63"/>
      <c r="G406" s="3" t="str">
        <f t="shared" si="26"/>
        <v/>
      </c>
      <c r="I406" s="4">
        <f>SUMIFS('Weekly Dump'!D:D,'Weekly Dump'!B:B,C406)</f>
        <v>0</v>
      </c>
      <c r="J406" s="5">
        <f>SUMIFS('Weekly Dump'!AE:AE,'Weekly Dump'!B:B,C406)</f>
        <v>0</v>
      </c>
      <c r="K406" s="4">
        <f>SUMPRODUCT(
  (TEXT('Weekly Dump'!$A$2:$A1009,"mmm-yy")=TEXT($AB406,"mmm-yy"))*
  ('Weekly Dump'!$B$2:$B1009=$C406)*
  'Weekly Dump'!$D$2:$D1009)</f>
        <v>0</v>
      </c>
      <c r="L406" s="4">
        <f>SUMPRODUCT(
  (TEXT('Weekly Dump'!$A$2:$A1009,"mmm-yy")=TEXT($AB406,"mmm-yy"))*
  ('Weekly Dump'!$B$2:$B1009=$C406)*
  'Weekly Dump'!$E$2:$E1009
)</f>
        <v>0</v>
      </c>
      <c r="M406" s="4">
        <f>SUMPRODUCT(
  (TEXT('Weekly Dump'!$A$2:$A1009,"mmm-yy")=TEXT($AB406,"mmm-yy"))*
  ('Weekly Dump'!$B$2:$B1009=$C406)*
  'Weekly Dump'!$P$2:$P1009
)</f>
        <v>0</v>
      </c>
      <c r="N406" s="39"/>
      <c r="O406" s="40">
        <f>SUMIFS('Weekly Dump'!$D:$D,'Weekly Dump'!$B:$B,$C406,'Weekly Dump'!$A:$A,$AB406)</f>
        <v>0</v>
      </c>
      <c r="P406" s="40">
        <f>SUMIFS('Weekly Dump'!R:R,'Weekly Dump'!B:B,C406,'Weekly Dump'!A:A,AB406)</f>
        <v>0</v>
      </c>
      <c r="Q406" s="40">
        <f t="shared" si="20"/>
        <v>0</v>
      </c>
      <c r="R406" s="41"/>
      <c r="T406" s="4">
        <f>SUMIFS('Weekly Dump'!E:E,'Weekly Dump'!B:B,C406,'Weekly Dump'!A:A,AB406)</f>
        <v>0</v>
      </c>
      <c r="U406" s="3">
        <f t="shared" si="21"/>
        <v>0</v>
      </c>
      <c r="V406" s="42"/>
      <c r="X406" s="4">
        <f>SUMIFS('Weekly Dump'!P:P,'Weekly Dump'!B:B,C406,'Weekly Dump'!A:A,AB406)</f>
        <v>0</v>
      </c>
      <c r="Y406" s="4">
        <f t="shared" si="22"/>
        <v>0</v>
      </c>
      <c r="Z406" s="41"/>
      <c r="AA406" s="12" t="str">
        <f>iferror(IF(VLOOKUP(C406,'Weekly Dump'!B:B,1,0)=C406,"Yes","Missing"),"")</f>
        <v/>
      </c>
      <c r="AB406" s="66"/>
    </row>
    <row r="407">
      <c r="B407" s="63"/>
      <c r="C407" s="63"/>
      <c r="G407" s="3" t="str">
        <f t="shared" si="26"/>
        <v/>
      </c>
      <c r="I407" s="4">
        <f>SUMIFS('Weekly Dump'!D:D,'Weekly Dump'!B:B,C407)</f>
        <v>0</v>
      </c>
      <c r="J407" s="5">
        <f>SUMIFS('Weekly Dump'!AE:AE,'Weekly Dump'!B:B,C407)</f>
        <v>0</v>
      </c>
      <c r="K407" s="4">
        <f>SUMPRODUCT(
  (TEXT('Weekly Dump'!$A$2:$A1009,"mmm-yy")=TEXT($AB407,"mmm-yy"))*
  ('Weekly Dump'!$B$2:$B1009=$C407)*
  'Weekly Dump'!$D$2:$D1009)</f>
        <v>0</v>
      </c>
      <c r="L407" s="4">
        <f>SUMPRODUCT(
  (TEXT('Weekly Dump'!$A$2:$A1009,"mmm-yy")=TEXT($AB407,"mmm-yy"))*
  ('Weekly Dump'!$B$2:$B1009=$C407)*
  'Weekly Dump'!$E$2:$E1009
)</f>
        <v>0</v>
      </c>
      <c r="M407" s="4">
        <f>SUMPRODUCT(
  (TEXT('Weekly Dump'!$A$2:$A1009,"mmm-yy")=TEXT($AB407,"mmm-yy"))*
  ('Weekly Dump'!$B$2:$B1009=$C407)*
  'Weekly Dump'!$P$2:$P1009
)</f>
        <v>0</v>
      </c>
      <c r="N407" s="39"/>
      <c r="O407" s="40">
        <f>SUMIFS('Weekly Dump'!$D:$D,'Weekly Dump'!$B:$B,$C407,'Weekly Dump'!$A:$A,$AB407)</f>
        <v>0</v>
      </c>
      <c r="P407" s="40">
        <f>SUMIFS('Weekly Dump'!R:R,'Weekly Dump'!B:B,C407,'Weekly Dump'!A:A,AB407)</f>
        <v>0</v>
      </c>
      <c r="Q407" s="40">
        <f t="shared" si="20"/>
        <v>0</v>
      </c>
      <c r="R407" s="41"/>
      <c r="T407" s="4">
        <f>SUMIFS('Weekly Dump'!E:E,'Weekly Dump'!B:B,C407,'Weekly Dump'!A:A,AB407)</f>
        <v>0</v>
      </c>
      <c r="U407" s="3">
        <f t="shared" si="21"/>
        <v>0</v>
      </c>
      <c r="V407" s="42"/>
      <c r="X407" s="4">
        <f>SUMIFS('Weekly Dump'!P:P,'Weekly Dump'!B:B,C407,'Weekly Dump'!A:A,AB407)</f>
        <v>0</v>
      </c>
      <c r="Y407" s="4">
        <f t="shared" si="22"/>
        <v>0</v>
      </c>
      <c r="Z407" s="41"/>
      <c r="AA407" s="12" t="str">
        <f>iferror(IF(VLOOKUP(C407,'Weekly Dump'!B:B,1,0)=C407,"Yes","Missing"),"")</f>
        <v/>
      </c>
      <c r="AB407" s="66"/>
    </row>
    <row r="408">
      <c r="B408" s="63"/>
      <c r="C408" s="63"/>
      <c r="G408" s="3" t="str">
        <f t="shared" si="26"/>
        <v/>
      </c>
      <c r="I408" s="4">
        <f>SUMIFS('Weekly Dump'!D:D,'Weekly Dump'!B:B,C408)</f>
        <v>0</v>
      </c>
      <c r="J408" s="5">
        <f>SUMIFS('Weekly Dump'!AE:AE,'Weekly Dump'!B:B,C408)</f>
        <v>0</v>
      </c>
      <c r="K408" s="4">
        <f>SUMPRODUCT(
  (TEXT('Weekly Dump'!$A$2:$A1009,"mmm-yy")=TEXT($AB408,"mmm-yy"))*
  ('Weekly Dump'!$B$2:$B1009=$C408)*
  'Weekly Dump'!$D$2:$D1009)</f>
        <v>0</v>
      </c>
      <c r="L408" s="4">
        <f>SUMPRODUCT(
  (TEXT('Weekly Dump'!$A$2:$A1009,"mmm-yy")=TEXT($AB408,"mmm-yy"))*
  ('Weekly Dump'!$B$2:$B1009=$C408)*
  'Weekly Dump'!$E$2:$E1009
)</f>
        <v>0</v>
      </c>
      <c r="M408" s="4">
        <f>SUMPRODUCT(
  (TEXT('Weekly Dump'!$A$2:$A1009,"mmm-yy")=TEXT($AB408,"mmm-yy"))*
  ('Weekly Dump'!$B$2:$B1009=$C408)*
  'Weekly Dump'!$P$2:$P1009
)</f>
        <v>0</v>
      </c>
      <c r="N408" s="39"/>
      <c r="O408" s="40">
        <f>SUMIFS('Weekly Dump'!$D:$D,'Weekly Dump'!$B:$B,$C408,'Weekly Dump'!$A:$A,$AB408)</f>
        <v>0</v>
      </c>
      <c r="P408" s="40">
        <f>SUMIFS('Weekly Dump'!R:R,'Weekly Dump'!B:B,C408,'Weekly Dump'!A:A,AB408)</f>
        <v>0</v>
      </c>
      <c r="Q408" s="40">
        <f t="shared" si="20"/>
        <v>0</v>
      </c>
      <c r="R408" s="41"/>
      <c r="T408" s="4">
        <f>SUMIFS('Weekly Dump'!E:E,'Weekly Dump'!B:B,C408,'Weekly Dump'!A:A,AB408)</f>
        <v>0</v>
      </c>
      <c r="U408" s="3">
        <f t="shared" si="21"/>
        <v>0</v>
      </c>
      <c r="V408" s="42"/>
      <c r="X408" s="4">
        <f>SUMIFS('Weekly Dump'!P:P,'Weekly Dump'!B:B,C408,'Weekly Dump'!A:A,AB408)</f>
        <v>0</v>
      </c>
      <c r="Y408" s="4">
        <f t="shared" si="22"/>
        <v>0</v>
      </c>
      <c r="Z408" s="41"/>
      <c r="AA408" s="12" t="str">
        <f>iferror(IF(VLOOKUP(C408,'Weekly Dump'!B:B,1,0)=C408,"Yes","Missing"),"")</f>
        <v/>
      </c>
      <c r="AB408" s="66"/>
    </row>
    <row r="409">
      <c r="B409" s="63"/>
      <c r="C409" s="63"/>
      <c r="G409" s="3" t="str">
        <f t="shared" si="26"/>
        <v/>
      </c>
      <c r="I409" s="4">
        <f>SUMIFS('Weekly Dump'!D:D,'Weekly Dump'!B:B,C409)</f>
        <v>0</v>
      </c>
      <c r="J409" s="5">
        <f>SUMIFS('Weekly Dump'!AE:AE,'Weekly Dump'!B:B,C409)</f>
        <v>0</v>
      </c>
      <c r="K409" s="4">
        <f>SUMPRODUCT(
  (TEXT('Weekly Dump'!$A$2:$A1009,"mmm-yy")=TEXT($AB409,"mmm-yy"))*
  ('Weekly Dump'!$B$2:$B1009=$C409)*
  'Weekly Dump'!$D$2:$D1009)</f>
        <v>0</v>
      </c>
      <c r="L409" s="4">
        <f>SUMPRODUCT(
  (TEXT('Weekly Dump'!$A$2:$A1009,"mmm-yy")=TEXT($AB409,"mmm-yy"))*
  ('Weekly Dump'!$B$2:$B1009=$C409)*
  'Weekly Dump'!$E$2:$E1009
)</f>
        <v>0</v>
      </c>
      <c r="M409" s="4">
        <f>SUMPRODUCT(
  (TEXT('Weekly Dump'!$A$2:$A1009,"mmm-yy")=TEXT($AB409,"mmm-yy"))*
  ('Weekly Dump'!$B$2:$B1009=$C409)*
  'Weekly Dump'!$P$2:$P1009
)</f>
        <v>0</v>
      </c>
      <c r="N409" s="39"/>
      <c r="O409" s="40">
        <f>SUMIFS('Weekly Dump'!$D:$D,'Weekly Dump'!$B:$B,$C409,'Weekly Dump'!$A:$A,$AB409)</f>
        <v>0</v>
      </c>
      <c r="P409" s="40">
        <f>SUMIFS('Weekly Dump'!R:R,'Weekly Dump'!B:B,C409,'Weekly Dump'!A:A,AB409)</f>
        <v>0</v>
      </c>
      <c r="Q409" s="40">
        <f t="shared" si="20"/>
        <v>0</v>
      </c>
      <c r="R409" s="41"/>
      <c r="T409" s="4">
        <f>SUMIFS('Weekly Dump'!E:E,'Weekly Dump'!B:B,C409,'Weekly Dump'!A:A,AB409)</f>
        <v>0</v>
      </c>
      <c r="U409" s="3">
        <f t="shared" si="21"/>
        <v>0</v>
      </c>
      <c r="V409" s="42"/>
      <c r="X409" s="4">
        <f>SUMIFS('Weekly Dump'!P:P,'Weekly Dump'!B:B,C409,'Weekly Dump'!A:A,AB409)</f>
        <v>0</v>
      </c>
      <c r="Y409" s="4">
        <f t="shared" si="22"/>
        <v>0</v>
      </c>
      <c r="Z409" s="41"/>
      <c r="AA409" s="12" t="str">
        <f>iferror(IF(VLOOKUP(C409,'Weekly Dump'!B:B,1,0)=C409,"Yes","Missing"),"")</f>
        <v/>
      </c>
      <c r="AB409" s="66"/>
    </row>
    <row r="410">
      <c r="B410" s="63"/>
      <c r="C410" s="63"/>
      <c r="G410" s="3" t="str">
        <f t="shared" si="26"/>
        <v/>
      </c>
      <c r="I410" s="4">
        <f>SUMIFS('Weekly Dump'!D:D,'Weekly Dump'!B:B,C410)</f>
        <v>0</v>
      </c>
      <c r="J410" s="5">
        <f>SUMIFS('Weekly Dump'!AE:AE,'Weekly Dump'!B:B,C410)</f>
        <v>0</v>
      </c>
      <c r="K410" s="4">
        <f>SUMPRODUCT(
  (TEXT('Weekly Dump'!$A$2:$A1009,"mmm-yy")=TEXT($AB410,"mmm-yy"))*
  ('Weekly Dump'!$B$2:$B1009=$C410)*
  'Weekly Dump'!$D$2:$D1009)</f>
        <v>0</v>
      </c>
      <c r="L410" s="4">
        <f>SUMPRODUCT(
  (TEXT('Weekly Dump'!$A$2:$A1009,"mmm-yy")=TEXT($AB410,"mmm-yy"))*
  ('Weekly Dump'!$B$2:$B1009=$C410)*
  'Weekly Dump'!$E$2:$E1009
)</f>
        <v>0</v>
      </c>
      <c r="M410" s="4">
        <f>SUMPRODUCT(
  (TEXT('Weekly Dump'!$A$2:$A1009,"mmm-yy")=TEXT($AB410,"mmm-yy"))*
  ('Weekly Dump'!$B$2:$B1009=$C410)*
  'Weekly Dump'!$P$2:$P1009
)</f>
        <v>0</v>
      </c>
      <c r="N410" s="39"/>
      <c r="O410" s="40">
        <f>SUMIFS('Weekly Dump'!$D:$D,'Weekly Dump'!$B:$B,$C410,'Weekly Dump'!$A:$A,$AB410)</f>
        <v>0</v>
      </c>
      <c r="P410" s="40">
        <f>SUMIFS('Weekly Dump'!R:R,'Weekly Dump'!B:B,C410,'Weekly Dump'!A:A,AB410)</f>
        <v>0</v>
      </c>
      <c r="Q410" s="40">
        <f t="shared" si="20"/>
        <v>0</v>
      </c>
      <c r="R410" s="41"/>
      <c r="T410" s="4">
        <f>SUMIFS('Weekly Dump'!E:E,'Weekly Dump'!B:B,C410,'Weekly Dump'!A:A,AB410)</f>
        <v>0</v>
      </c>
      <c r="U410" s="3">
        <f t="shared" si="21"/>
        <v>0</v>
      </c>
      <c r="V410" s="42"/>
      <c r="X410" s="4">
        <f>SUMIFS('Weekly Dump'!P:P,'Weekly Dump'!B:B,C410,'Weekly Dump'!A:A,AB410)</f>
        <v>0</v>
      </c>
      <c r="Y410" s="4">
        <f t="shared" si="22"/>
        <v>0</v>
      </c>
      <c r="Z410" s="41"/>
      <c r="AA410" s="12" t="str">
        <f>iferror(IF(VLOOKUP(C410,'Weekly Dump'!B:B,1,0)=C410,"Yes","Missing"),"")</f>
        <v/>
      </c>
      <c r="AB410" s="66"/>
    </row>
    <row r="411">
      <c r="B411" s="63"/>
      <c r="C411" s="63"/>
      <c r="G411" s="3" t="str">
        <f t="shared" si="26"/>
        <v/>
      </c>
      <c r="I411" s="4">
        <f>SUMIFS('Weekly Dump'!D:D,'Weekly Dump'!B:B,C411)</f>
        <v>0</v>
      </c>
      <c r="J411" s="5">
        <f>SUMIFS('Weekly Dump'!AE:AE,'Weekly Dump'!B:B,C411)</f>
        <v>0</v>
      </c>
      <c r="K411" s="4">
        <f>SUMPRODUCT(
  (TEXT('Weekly Dump'!$A$2:$A1009,"mmm-yy")=TEXT($AB411,"mmm-yy"))*
  ('Weekly Dump'!$B$2:$B1009=$C411)*
  'Weekly Dump'!$D$2:$D1009)</f>
        <v>0</v>
      </c>
      <c r="L411" s="4">
        <f>SUMPRODUCT(
  (TEXT('Weekly Dump'!$A$2:$A1009,"mmm-yy")=TEXT($AB411,"mmm-yy"))*
  ('Weekly Dump'!$B$2:$B1009=$C411)*
  'Weekly Dump'!$E$2:$E1009
)</f>
        <v>0</v>
      </c>
      <c r="M411" s="4">
        <f>SUMPRODUCT(
  (TEXT('Weekly Dump'!$A$2:$A1009,"mmm-yy")=TEXT($AB411,"mmm-yy"))*
  ('Weekly Dump'!$B$2:$B1009=$C411)*
  'Weekly Dump'!$P$2:$P1009
)</f>
        <v>0</v>
      </c>
      <c r="N411" s="39"/>
      <c r="O411" s="40">
        <f>SUMIFS('Weekly Dump'!$D:$D,'Weekly Dump'!$B:$B,$C411,'Weekly Dump'!$A:$A,$AB411)</f>
        <v>0</v>
      </c>
      <c r="P411" s="40">
        <f>SUMIFS('Weekly Dump'!R:R,'Weekly Dump'!B:B,C411,'Weekly Dump'!A:A,AB411)</f>
        <v>0</v>
      </c>
      <c r="Q411" s="40">
        <f t="shared" si="20"/>
        <v>0</v>
      </c>
      <c r="R411" s="41"/>
      <c r="T411" s="4">
        <f>SUMIFS('Weekly Dump'!E:E,'Weekly Dump'!B:B,C411,'Weekly Dump'!A:A,AB411)</f>
        <v>0</v>
      </c>
      <c r="U411" s="3">
        <f t="shared" si="21"/>
        <v>0</v>
      </c>
      <c r="V411" s="42"/>
      <c r="X411" s="4">
        <f>SUMIFS('Weekly Dump'!P:P,'Weekly Dump'!B:B,C411,'Weekly Dump'!A:A,AB411)</f>
        <v>0</v>
      </c>
      <c r="Y411" s="4">
        <f t="shared" si="22"/>
        <v>0</v>
      </c>
      <c r="Z411" s="41"/>
      <c r="AA411" s="12" t="str">
        <f>iferror(IF(VLOOKUP(C411,'Weekly Dump'!B:B,1,0)=C411,"Yes","Missing"),"")</f>
        <v/>
      </c>
      <c r="AB411" s="66"/>
    </row>
    <row r="412">
      <c r="B412" s="63"/>
      <c r="C412" s="63"/>
      <c r="G412" s="3" t="str">
        <f t="shared" si="26"/>
        <v/>
      </c>
      <c r="I412" s="4">
        <f>SUMIFS('Weekly Dump'!D:D,'Weekly Dump'!B:B,C412)</f>
        <v>0</v>
      </c>
      <c r="J412" s="5">
        <f>SUMIFS('Weekly Dump'!AE:AE,'Weekly Dump'!B:B,C412)</f>
        <v>0</v>
      </c>
      <c r="K412" s="4">
        <f>SUMPRODUCT(
  (TEXT('Weekly Dump'!$A$2:$A1009,"mmm-yy")=TEXT($AB412,"mmm-yy"))*
  ('Weekly Dump'!$B$2:$B1009=$C412)*
  'Weekly Dump'!$D$2:$D1009)</f>
        <v>0</v>
      </c>
      <c r="L412" s="4">
        <f>SUMPRODUCT(
  (TEXT('Weekly Dump'!$A$2:$A1009,"mmm-yy")=TEXT($AB412,"mmm-yy"))*
  ('Weekly Dump'!$B$2:$B1009=$C412)*
  'Weekly Dump'!$E$2:$E1009
)</f>
        <v>0</v>
      </c>
      <c r="M412" s="4">
        <f>SUMPRODUCT(
  (TEXT('Weekly Dump'!$A$2:$A1009,"mmm-yy")=TEXT($AB412,"mmm-yy"))*
  ('Weekly Dump'!$B$2:$B1009=$C412)*
  'Weekly Dump'!$P$2:$P1009
)</f>
        <v>0</v>
      </c>
      <c r="N412" s="39"/>
      <c r="O412" s="40">
        <f>SUMIFS('Weekly Dump'!$D:$D,'Weekly Dump'!$B:$B,$C412,'Weekly Dump'!$A:$A,$AB412)</f>
        <v>0</v>
      </c>
      <c r="P412" s="40">
        <f>SUMIFS('Weekly Dump'!R:R,'Weekly Dump'!B:B,C412,'Weekly Dump'!A:A,AB412)</f>
        <v>0</v>
      </c>
      <c r="Q412" s="40">
        <f t="shared" si="20"/>
        <v>0</v>
      </c>
      <c r="R412" s="41"/>
      <c r="T412" s="4">
        <f>SUMIFS('Weekly Dump'!E:E,'Weekly Dump'!B:B,C412,'Weekly Dump'!A:A,AB412)</f>
        <v>0</v>
      </c>
      <c r="U412" s="3">
        <f t="shared" si="21"/>
        <v>0</v>
      </c>
      <c r="V412" s="42"/>
      <c r="X412" s="4">
        <f>SUMIFS('Weekly Dump'!P:P,'Weekly Dump'!B:B,C412,'Weekly Dump'!A:A,AB412)</f>
        <v>0</v>
      </c>
      <c r="Y412" s="4">
        <f t="shared" si="22"/>
        <v>0</v>
      </c>
      <c r="Z412" s="41"/>
      <c r="AA412" s="12" t="str">
        <f>iferror(IF(VLOOKUP(C412,'Weekly Dump'!B:B,1,0)=C412,"Yes","Missing"),"")</f>
        <v/>
      </c>
      <c r="AB412" s="66"/>
    </row>
    <row r="413">
      <c r="B413" s="63"/>
      <c r="C413" s="63"/>
      <c r="G413" s="3" t="str">
        <f t="shared" si="26"/>
        <v/>
      </c>
      <c r="I413" s="4">
        <f>SUMIFS('Weekly Dump'!D:D,'Weekly Dump'!B:B,C413)</f>
        <v>0</v>
      </c>
      <c r="J413" s="5">
        <f>SUMIFS('Weekly Dump'!AE:AE,'Weekly Dump'!B:B,C413)</f>
        <v>0</v>
      </c>
      <c r="K413" s="4">
        <f>SUMPRODUCT(
  (TEXT('Weekly Dump'!$A$2:$A1009,"mmm-yy")=TEXT($AB413,"mmm-yy"))*
  ('Weekly Dump'!$B$2:$B1009=$C413)*
  'Weekly Dump'!$D$2:$D1009)</f>
        <v>0</v>
      </c>
      <c r="L413" s="4">
        <f>SUMPRODUCT(
  (TEXT('Weekly Dump'!$A$2:$A1009,"mmm-yy")=TEXT($AB413,"mmm-yy"))*
  ('Weekly Dump'!$B$2:$B1009=$C413)*
  'Weekly Dump'!$E$2:$E1009
)</f>
        <v>0</v>
      </c>
      <c r="M413" s="4">
        <f>SUMPRODUCT(
  (TEXT('Weekly Dump'!$A$2:$A1009,"mmm-yy")=TEXT($AB413,"mmm-yy"))*
  ('Weekly Dump'!$B$2:$B1009=$C413)*
  'Weekly Dump'!$P$2:$P1009
)</f>
        <v>0</v>
      </c>
      <c r="N413" s="39"/>
      <c r="O413" s="40">
        <f>SUMIFS('Weekly Dump'!$D:$D,'Weekly Dump'!$B:$B,$C413,'Weekly Dump'!$A:$A,$AB413)</f>
        <v>0</v>
      </c>
      <c r="P413" s="40">
        <f>SUMIFS('Weekly Dump'!R:R,'Weekly Dump'!B:B,C413,'Weekly Dump'!A:A,AB413)</f>
        <v>0</v>
      </c>
      <c r="Q413" s="40">
        <f t="shared" si="20"/>
        <v>0</v>
      </c>
      <c r="R413" s="41"/>
      <c r="T413" s="4">
        <f>SUMIFS('Weekly Dump'!E:E,'Weekly Dump'!B:B,C413,'Weekly Dump'!A:A,AB413)</f>
        <v>0</v>
      </c>
      <c r="U413" s="3">
        <f t="shared" si="21"/>
        <v>0</v>
      </c>
      <c r="V413" s="42"/>
      <c r="X413" s="4">
        <f>SUMIFS('Weekly Dump'!P:P,'Weekly Dump'!B:B,C413,'Weekly Dump'!A:A,AB413)</f>
        <v>0</v>
      </c>
      <c r="Y413" s="4">
        <f t="shared" si="22"/>
        <v>0</v>
      </c>
      <c r="Z413" s="41"/>
      <c r="AA413" s="12" t="str">
        <f>iferror(IF(VLOOKUP(C413,'Weekly Dump'!B:B,1,0)=C413,"Yes","Missing"),"")</f>
        <v/>
      </c>
      <c r="AB413" s="66"/>
    </row>
    <row r="414">
      <c r="B414" s="63"/>
      <c r="C414" s="63"/>
      <c r="G414" s="3" t="str">
        <f t="shared" si="26"/>
        <v/>
      </c>
      <c r="I414" s="4">
        <f>SUMIFS('Weekly Dump'!D:D,'Weekly Dump'!B:B,C414)</f>
        <v>0</v>
      </c>
      <c r="J414" s="5">
        <f>SUMIFS('Weekly Dump'!AE:AE,'Weekly Dump'!B:B,C414)</f>
        <v>0</v>
      </c>
      <c r="K414" s="4">
        <f>SUMPRODUCT(
  (TEXT('Weekly Dump'!$A$2:$A1009,"mmm-yy")=TEXT($AB414,"mmm-yy"))*
  ('Weekly Dump'!$B$2:$B1009=$C414)*
  'Weekly Dump'!$D$2:$D1009)</f>
        <v>0</v>
      </c>
      <c r="L414" s="4">
        <f>SUMPRODUCT(
  (TEXT('Weekly Dump'!$A$2:$A1009,"mmm-yy")=TEXT($AB414,"mmm-yy"))*
  ('Weekly Dump'!$B$2:$B1009=$C414)*
  'Weekly Dump'!$E$2:$E1009
)</f>
        <v>0</v>
      </c>
      <c r="M414" s="4">
        <f>SUMPRODUCT(
  (TEXT('Weekly Dump'!$A$2:$A1009,"mmm-yy")=TEXT($AB414,"mmm-yy"))*
  ('Weekly Dump'!$B$2:$B1009=$C414)*
  'Weekly Dump'!$P$2:$P1009
)</f>
        <v>0</v>
      </c>
      <c r="N414" s="39"/>
      <c r="O414" s="40">
        <f>SUMIFS('Weekly Dump'!$D:$D,'Weekly Dump'!$B:$B,$C414,'Weekly Dump'!$A:$A,$AB414)</f>
        <v>0</v>
      </c>
      <c r="P414" s="40">
        <f>SUMIFS('Weekly Dump'!R:R,'Weekly Dump'!B:B,C414,'Weekly Dump'!A:A,AB414)</f>
        <v>0</v>
      </c>
      <c r="Q414" s="40">
        <f t="shared" si="20"/>
        <v>0</v>
      </c>
      <c r="R414" s="41"/>
      <c r="T414" s="4">
        <f>SUMIFS('Weekly Dump'!E:E,'Weekly Dump'!B:B,C414,'Weekly Dump'!A:A,AB414)</f>
        <v>0</v>
      </c>
      <c r="U414" s="3">
        <f t="shared" si="21"/>
        <v>0</v>
      </c>
      <c r="V414" s="42"/>
      <c r="X414" s="4">
        <f>SUMIFS('Weekly Dump'!P:P,'Weekly Dump'!B:B,C414,'Weekly Dump'!A:A,AB414)</f>
        <v>0</v>
      </c>
      <c r="Y414" s="4">
        <f t="shared" si="22"/>
        <v>0</v>
      </c>
      <c r="Z414" s="41"/>
      <c r="AA414" s="12" t="str">
        <f>iferror(IF(VLOOKUP(C414,'Weekly Dump'!B:B,1,0)=C414,"Yes","Missing"),"")</f>
        <v/>
      </c>
      <c r="AB414" s="66"/>
    </row>
    <row r="415">
      <c r="B415" s="63"/>
      <c r="C415" s="63"/>
      <c r="G415" s="3" t="str">
        <f t="shared" si="26"/>
        <v/>
      </c>
      <c r="I415" s="4">
        <f>SUMIFS('Weekly Dump'!D:D,'Weekly Dump'!B:B,C415)</f>
        <v>0</v>
      </c>
      <c r="J415" s="5">
        <f>SUMIFS('Weekly Dump'!AE:AE,'Weekly Dump'!B:B,C415)</f>
        <v>0</v>
      </c>
      <c r="K415" s="4">
        <f>SUMPRODUCT(
  (TEXT('Weekly Dump'!$A$2:$A1009,"mmm-yy")=TEXT($AB415,"mmm-yy"))*
  ('Weekly Dump'!$B$2:$B1009=$C415)*
  'Weekly Dump'!$D$2:$D1009)</f>
        <v>0</v>
      </c>
      <c r="L415" s="4">
        <f>SUMPRODUCT(
  (TEXT('Weekly Dump'!$A$2:$A1009,"mmm-yy")=TEXT($AB415,"mmm-yy"))*
  ('Weekly Dump'!$B$2:$B1009=$C415)*
  'Weekly Dump'!$E$2:$E1009
)</f>
        <v>0</v>
      </c>
      <c r="M415" s="4">
        <f>SUMPRODUCT(
  (TEXT('Weekly Dump'!$A$2:$A1009,"mmm-yy")=TEXT($AB415,"mmm-yy"))*
  ('Weekly Dump'!$B$2:$B1009=$C415)*
  'Weekly Dump'!$P$2:$P1009
)</f>
        <v>0</v>
      </c>
      <c r="N415" s="39"/>
      <c r="O415" s="40">
        <f>SUMIFS('Weekly Dump'!$D:$D,'Weekly Dump'!$B:$B,$C415,'Weekly Dump'!$A:$A,$AB415)</f>
        <v>0</v>
      </c>
      <c r="P415" s="40">
        <f>SUMIFS('Weekly Dump'!R:R,'Weekly Dump'!B:B,C415,'Weekly Dump'!A:A,AB415)</f>
        <v>0</v>
      </c>
      <c r="Q415" s="40">
        <f t="shared" si="20"/>
        <v>0</v>
      </c>
      <c r="R415" s="41"/>
      <c r="T415" s="4">
        <f>SUMIFS('Weekly Dump'!E:E,'Weekly Dump'!B:B,C415,'Weekly Dump'!A:A,AB415)</f>
        <v>0</v>
      </c>
      <c r="U415" s="3">
        <f t="shared" si="21"/>
        <v>0</v>
      </c>
      <c r="V415" s="42"/>
      <c r="X415" s="4">
        <f>SUMIFS('Weekly Dump'!P:P,'Weekly Dump'!B:B,C415,'Weekly Dump'!A:A,AB415)</f>
        <v>0</v>
      </c>
      <c r="Y415" s="4">
        <f t="shared" si="22"/>
        <v>0</v>
      </c>
      <c r="Z415" s="41"/>
      <c r="AA415" s="12" t="str">
        <f>iferror(IF(VLOOKUP(C415,'Weekly Dump'!B:B,1,0)=C415,"Yes","Missing"),"")</f>
        <v/>
      </c>
      <c r="AB415" s="66"/>
    </row>
    <row r="416">
      <c r="B416" s="63"/>
      <c r="C416" s="63"/>
      <c r="G416" s="3" t="str">
        <f t="shared" si="26"/>
        <v/>
      </c>
      <c r="I416" s="4">
        <f>SUMIFS('Weekly Dump'!D:D,'Weekly Dump'!B:B,C416)</f>
        <v>0</v>
      </c>
      <c r="J416" s="5">
        <f>SUMIFS('Weekly Dump'!AE:AE,'Weekly Dump'!B:B,C416)</f>
        <v>0</v>
      </c>
      <c r="K416" s="4">
        <f>SUMPRODUCT(
  (TEXT('Weekly Dump'!$A$2:$A1009,"mmm-yy")=TEXT($AB416,"mmm-yy"))*
  ('Weekly Dump'!$B$2:$B1009=$C416)*
  'Weekly Dump'!$D$2:$D1009)</f>
        <v>0</v>
      </c>
      <c r="L416" s="4">
        <f>SUMPRODUCT(
  (TEXT('Weekly Dump'!$A$2:$A1009,"mmm-yy")=TEXT($AB416,"mmm-yy"))*
  ('Weekly Dump'!$B$2:$B1009=$C416)*
  'Weekly Dump'!$E$2:$E1009
)</f>
        <v>0</v>
      </c>
      <c r="M416" s="4">
        <f>SUMPRODUCT(
  (TEXT('Weekly Dump'!$A$2:$A1009,"mmm-yy")=TEXT($AB416,"mmm-yy"))*
  ('Weekly Dump'!$B$2:$B1009=$C416)*
  'Weekly Dump'!$P$2:$P1009
)</f>
        <v>0</v>
      </c>
      <c r="N416" s="39"/>
      <c r="O416" s="40">
        <f>SUMIFS('Weekly Dump'!$D:$D,'Weekly Dump'!$B:$B,$C416,'Weekly Dump'!$A:$A,$AB416)</f>
        <v>0</v>
      </c>
      <c r="P416" s="40">
        <f>SUMIFS('Weekly Dump'!R:R,'Weekly Dump'!B:B,C416,'Weekly Dump'!A:A,AB416)</f>
        <v>0</v>
      </c>
      <c r="Q416" s="40">
        <f t="shared" si="20"/>
        <v>0</v>
      </c>
      <c r="R416" s="41"/>
      <c r="T416" s="4">
        <f>SUMIFS('Weekly Dump'!E:E,'Weekly Dump'!B:B,C416,'Weekly Dump'!A:A,AB416)</f>
        <v>0</v>
      </c>
      <c r="U416" s="3">
        <f t="shared" si="21"/>
        <v>0</v>
      </c>
      <c r="V416" s="42"/>
      <c r="X416" s="4">
        <f>SUMIFS('Weekly Dump'!P:P,'Weekly Dump'!B:B,C416,'Weekly Dump'!A:A,AB416)</f>
        <v>0</v>
      </c>
      <c r="Y416" s="4">
        <f t="shared" si="22"/>
        <v>0</v>
      </c>
      <c r="Z416" s="41"/>
      <c r="AA416" s="12" t="str">
        <f>iferror(IF(VLOOKUP(C416,'Weekly Dump'!B:B,1,0)=C416,"Yes","Missing"),"")</f>
        <v/>
      </c>
      <c r="AB416" s="66"/>
    </row>
    <row r="417">
      <c r="B417" s="63"/>
      <c r="C417" s="63"/>
      <c r="G417" s="3" t="str">
        <f t="shared" si="26"/>
        <v/>
      </c>
      <c r="I417" s="4">
        <f>SUMIFS('Weekly Dump'!D:D,'Weekly Dump'!B:B,C417)</f>
        <v>0</v>
      </c>
      <c r="J417" s="5">
        <f>SUMIFS('Weekly Dump'!AE:AE,'Weekly Dump'!B:B,C417)</f>
        <v>0</v>
      </c>
      <c r="K417" s="4">
        <f>SUMPRODUCT(
  (TEXT('Weekly Dump'!$A$2:$A1009,"mmm-yy")=TEXT($AB417,"mmm-yy"))*
  ('Weekly Dump'!$B$2:$B1009=$C417)*
  'Weekly Dump'!$D$2:$D1009)</f>
        <v>0</v>
      </c>
      <c r="L417" s="4">
        <f>SUMPRODUCT(
  (TEXT('Weekly Dump'!$A$2:$A1009,"mmm-yy")=TEXT($AB417,"mmm-yy"))*
  ('Weekly Dump'!$B$2:$B1009=$C417)*
  'Weekly Dump'!$E$2:$E1009
)</f>
        <v>0</v>
      </c>
      <c r="M417" s="4">
        <f>SUMPRODUCT(
  (TEXT('Weekly Dump'!$A$2:$A1009,"mmm-yy")=TEXT($AB417,"mmm-yy"))*
  ('Weekly Dump'!$B$2:$B1009=$C417)*
  'Weekly Dump'!$P$2:$P1009
)</f>
        <v>0</v>
      </c>
      <c r="N417" s="39"/>
      <c r="O417" s="40">
        <f>SUMIFS('Weekly Dump'!$D:$D,'Weekly Dump'!$B:$B,$C417,'Weekly Dump'!$A:$A,$AB417)</f>
        <v>0</v>
      </c>
      <c r="P417" s="40">
        <f>SUMIFS('Weekly Dump'!R:R,'Weekly Dump'!B:B,C417,'Weekly Dump'!A:A,AB417)</f>
        <v>0</v>
      </c>
      <c r="Q417" s="40">
        <f t="shared" si="20"/>
        <v>0</v>
      </c>
      <c r="R417" s="41"/>
      <c r="T417" s="4">
        <f>SUMIFS('Weekly Dump'!E:E,'Weekly Dump'!B:B,C417,'Weekly Dump'!A:A,AB417)</f>
        <v>0</v>
      </c>
      <c r="U417" s="3">
        <f t="shared" si="21"/>
        <v>0</v>
      </c>
      <c r="V417" s="42"/>
      <c r="X417" s="4">
        <f>SUMIFS('Weekly Dump'!P:P,'Weekly Dump'!B:B,C417,'Weekly Dump'!A:A,AB417)</f>
        <v>0</v>
      </c>
      <c r="Y417" s="4">
        <f t="shared" si="22"/>
        <v>0</v>
      </c>
      <c r="Z417" s="41"/>
      <c r="AA417" s="12" t="str">
        <f>iferror(IF(VLOOKUP(C417,'Weekly Dump'!B:B,1,0)=C417,"Yes","Missing"),"")</f>
        <v/>
      </c>
      <c r="AB417" s="66"/>
    </row>
    <row r="418">
      <c r="B418" s="63"/>
      <c r="C418" s="63"/>
      <c r="G418" s="3" t="str">
        <f t="shared" si="26"/>
        <v/>
      </c>
      <c r="I418" s="4">
        <f>SUMIFS('Weekly Dump'!D:D,'Weekly Dump'!B:B,C418)</f>
        <v>0</v>
      </c>
      <c r="J418" s="5">
        <f>SUMIFS('Weekly Dump'!AE:AE,'Weekly Dump'!B:B,C418)</f>
        <v>0</v>
      </c>
      <c r="K418" s="4">
        <f>SUMPRODUCT(
  (TEXT('Weekly Dump'!$A$2:$A1009,"mmm-yy")=TEXT($AB418,"mmm-yy"))*
  ('Weekly Dump'!$B$2:$B1009=$C418)*
  'Weekly Dump'!$D$2:$D1009)</f>
        <v>0</v>
      </c>
      <c r="L418" s="4">
        <f>SUMPRODUCT(
  (TEXT('Weekly Dump'!$A$2:$A1009,"mmm-yy")=TEXT($AB418,"mmm-yy"))*
  ('Weekly Dump'!$B$2:$B1009=$C418)*
  'Weekly Dump'!$E$2:$E1009
)</f>
        <v>0</v>
      </c>
      <c r="M418" s="4">
        <f>SUMPRODUCT(
  (TEXT('Weekly Dump'!$A$2:$A1009,"mmm-yy")=TEXT($AB418,"mmm-yy"))*
  ('Weekly Dump'!$B$2:$B1009=$C418)*
  'Weekly Dump'!$P$2:$P1009
)</f>
        <v>0</v>
      </c>
      <c r="N418" s="39"/>
      <c r="O418" s="40">
        <f>SUMIFS('Weekly Dump'!$D:$D,'Weekly Dump'!$B:$B,$C418,'Weekly Dump'!$A:$A,$AB418)</f>
        <v>0</v>
      </c>
      <c r="P418" s="40">
        <f>SUMIFS('Weekly Dump'!R:R,'Weekly Dump'!B:B,C418,'Weekly Dump'!A:A,AB418)</f>
        <v>0</v>
      </c>
      <c r="Q418" s="40">
        <f t="shared" si="20"/>
        <v>0</v>
      </c>
      <c r="R418" s="41"/>
      <c r="T418" s="4">
        <f>SUMIFS('Weekly Dump'!E:E,'Weekly Dump'!B:B,C418,'Weekly Dump'!A:A,AB418)</f>
        <v>0</v>
      </c>
      <c r="U418" s="3">
        <f t="shared" si="21"/>
        <v>0</v>
      </c>
      <c r="V418" s="42"/>
      <c r="X418" s="4">
        <f>SUMIFS('Weekly Dump'!P:P,'Weekly Dump'!B:B,C418,'Weekly Dump'!A:A,AB418)</f>
        <v>0</v>
      </c>
      <c r="Y418" s="4">
        <f t="shared" si="22"/>
        <v>0</v>
      </c>
      <c r="Z418" s="41"/>
      <c r="AA418" s="12" t="str">
        <f>iferror(IF(VLOOKUP(C418,'Weekly Dump'!B:B,1,0)=C418,"Yes","Missing"),"")</f>
        <v/>
      </c>
      <c r="AB418" s="66"/>
    </row>
    <row r="419">
      <c r="B419" s="63"/>
      <c r="C419" s="63"/>
      <c r="G419" s="3" t="str">
        <f t="shared" si="26"/>
        <v/>
      </c>
      <c r="I419" s="4">
        <f>SUMIFS('Weekly Dump'!D:D,'Weekly Dump'!B:B,C419)</f>
        <v>0</v>
      </c>
      <c r="J419" s="5">
        <f>SUMIFS('Weekly Dump'!AE:AE,'Weekly Dump'!B:B,C419)</f>
        <v>0</v>
      </c>
      <c r="K419" s="4">
        <f>SUMPRODUCT(
  (TEXT('Weekly Dump'!$A$2:$A1009,"mmm-yy")=TEXT($AB419,"mmm-yy"))*
  ('Weekly Dump'!$B$2:$B1009=$C419)*
  'Weekly Dump'!$D$2:$D1009)</f>
        <v>0</v>
      </c>
      <c r="L419" s="4">
        <f>SUMPRODUCT(
  (TEXT('Weekly Dump'!$A$2:$A1009,"mmm-yy")=TEXT($AB419,"mmm-yy"))*
  ('Weekly Dump'!$B$2:$B1009=$C419)*
  'Weekly Dump'!$E$2:$E1009
)</f>
        <v>0</v>
      </c>
      <c r="M419" s="4">
        <f>SUMPRODUCT(
  (TEXT('Weekly Dump'!$A$2:$A1009,"mmm-yy")=TEXT($AB419,"mmm-yy"))*
  ('Weekly Dump'!$B$2:$B1009=$C419)*
  'Weekly Dump'!$P$2:$P1009
)</f>
        <v>0</v>
      </c>
      <c r="N419" s="39"/>
      <c r="O419" s="40">
        <f>SUMIFS('Weekly Dump'!$D:$D,'Weekly Dump'!$B:$B,$C419,'Weekly Dump'!$A:$A,$AB419)</f>
        <v>0</v>
      </c>
      <c r="P419" s="40">
        <f>SUMIFS('Weekly Dump'!R:R,'Weekly Dump'!B:B,C419,'Weekly Dump'!A:A,AB419)</f>
        <v>0</v>
      </c>
      <c r="Q419" s="40">
        <f t="shared" si="20"/>
        <v>0</v>
      </c>
      <c r="R419" s="41"/>
      <c r="T419" s="4">
        <f>SUMIFS('Weekly Dump'!E:E,'Weekly Dump'!B:B,C419,'Weekly Dump'!A:A,AB419)</f>
        <v>0</v>
      </c>
      <c r="U419" s="3">
        <f t="shared" si="21"/>
        <v>0</v>
      </c>
      <c r="V419" s="42"/>
      <c r="X419" s="4">
        <f>SUMIFS('Weekly Dump'!P:P,'Weekly Dump'!B:B,C419,'Weekly Dump'!A:A,AB419)</f>
        <v>0</v>
      </c>
      <c r="Y419" s="4">
        <f t="shared" si="22"/>
        <v>0</v>
      </c>
      <c r="Z419" s="41"/>
      <c r="AA419" s="12" t="str">
        <f>iferror(IF(VLOOKUP(C419,'Weekly Dump'!B:B,1,0)=C419,"Yes","Missing"),"")</f>
        <v/>
      </c>
      <c r="AB419" s="66"/>
    </row>
    <row r="420">
      <c r="B420" s="63"/>
      <c r="C420" s="63"/>
      <c r="G420" s="3" t="str">
        <f t="shared" si="26"/>
        <v/>
      </c>
      <c r="I420" s="4">
        <f>SUMIFS('Weekly Dump'!D:D,'Weekly Dump'!B:B,C420)</f>
        <v>0</v>
      </c>
      <c r="J420" s="5">
        <f>SUMIFS('Weekly Dump'!AE:AE,'Weekly Dump'!B:B,C420)</f>
        <v>0</v>
      </c>
      <c r="K420" s="4">
        <f>SUMPRODUCT(
  (TEXT('Weekly Dump'!$A$2:$A1009,"mmm-yy")=TEXT($AB420,"mmm-yy"))*
  ('Weekly Dump'!$B$2:$B1009=$C420)*
  'Weekly Dump'!$D$2:$D1009)</f>
        <v>0</v>
      </c>
      <c r="L420" s="4">
        <f>SUMPRODUCT(
  (TEXT('Weekly Dump'!$A$2:$A1009,"mmm-yy")=TEXT($AB420,"mmm-yy"))*
  ('Weekly Dump'!$B$2:$B1009=$C420)*
  'Weekly Dump'!$E$2:$E1009
)</f>
        <v>0</v>
      </c>
      <c r="M420" s="4">
        <f>SUMPRODUCT(
  (TEXT('Weekly Dump'!$A$2:$A1009,"mmm-yy")=TEXT($AB420,"mmm-yy"))*
  ('Weekly Dump'!$B$2:$B1009=$C420)*
  'Weekly Dump'!$P$2:$P1009
)</f>
        <v>0</v>
      </c>
      <c r="N420" s="39"/>
      <c r="O420" s="40">
        <f>SUMIFS('Weekly Dump'!$D:$D,'Weekly Dump'!$B:$B,$C420,'Weekly Dump'!$A:$A,$AB420)</f>
        <v>0</v>
      </c>
      <c r="P420" s="40">
        <f>SUMIFS('Weekly Dump'!R:R,'Weekly Dump'!B:B,C420,'Weekly Dump'!A:A,AB420)</f>
        <v>0</v>
      </c>
      <c r="Q420" s="40">
        <f t="shared" si="20"/>
        <v>0</v>
      </c>
      <c r="R420" s="41"/>
      <c r="T420" s="4">
        <f>SUMIFS('Weekly Dump'!E:E,'Weekly Dump'!B:B,C420,'Weekly Dump'!A:A,AB420)</f>
        <v>0</v>
      </c>
      <c r="U420" s="3">
        <f t="shared" si="21"/>
        <v>0</v>
      </c>
      <c r="V420" s="42"/>
      <c r="X420" s="4">
        <f>SUMIFS('Weekly Dump'!P:P,'Weekly Dump'!B:B,C420,'Weekly Dump'!A:A,AB420)</f>
        <v>0</v>
      </c>
      <c r="Y420" s="4">
        <f t="shared" si="22"/>
        <v>0</v>
      </c>
      <c r="Z420" s="41"/>
      <c r="AA420" s="12" t="str">
        <f>iferror(IF(VLOOKUP(C420,'Weekly Dump'!B:B,1,0)=C420,"Yes","Missing"),"")</f>
        <v/>
      </c>
      <c r="AB420" s="66"/>
    </row>
    <row r="421">
      <c r="B421" s="63"/>
      <c r="C421" s="63"/>
      <c r="G421" s="3" t="str">
        <f t="shared" si="26"/>
        <v/>
      </c>
      <c r="I421" s="4">
        <f>SUMIFS('Weekly Dump'!D:D,'Weekly Dump'!B:B,C421)</f>
        <v>0</v>
      </c>
      <c r="J421" s="5">
        <f>SUMIFS('Weekly Dump'!AE:AE,'Weekly Dump'!B:B,C421)</f>
        <v>0</v>
      </c>
      <c r="K421" s="4">
        <f>SUMPRODUCT(
  (TEXT('Weekly Dump'!$A$2:$A1009,"mmm-yy")=TEXT($AB421,"mmm-yy"))*
  ('Weekly Dump'!$B$2:$B1009=$C421)*
  'Weekly Dump'!$D$2:$D1009)</f>
        <v>0</v>
      </c>
      <c r="L421" s="4">
        <f>SUMPRODUCT(
  (TEXT('Weekly Dump'!$A$2:$A1009,"mmm-yy")=TEXT($AB421,"mmm-yy"))*
  ('Weekly Dump'!$B$2:$B1009=$C421)*
  'Weekly Dump'!$E$2:$E1009
)</f>
        <v>0</v>
      </c>
      <c r="M421" s="4">
        <f>SUMPRODUCT(
  (TEXT('Weekly Dump'!$A$2:$A1009,"mmm-yy")=TEXT($AB421,"mmm-yy"))*
  ('Weekly Dump'!$B$2:$B1009=$C421)*
  'Weekly Dump'!$P$2:$P1009
)</f>
        <v>0</v>
      </c>
      <c r="N421" s="39"/>
      <c r="O421" s="40">
        <f>SUMIFS('Weekly Dump'!$D:$D,'Weekly Dump'!$B:$B,$C421,'Weekly Dump'!$A:$A,$AB421)</f>
        <v>0</v>
      </c>
      <c r="P421" s="40">
        <f>SUMIFS('Weekly Dump'!R:R,'Weekly Dump'!B:B,C421,'Weekly Dump'!A:A,AB421)</f>
        <v>0</v>
      </c>
      <c r="Q421" s="40">
        <f t="shared" si="20"/>
        <v>0</v>
      </c>
      <c r="R421" s="41"/>
      <c r="T421" s="4">
        <f>SUMIFS('Weekly Dump'!E:E,'Weekly Dump'!B:B,C421,'Weekly Dump'!A:A,AB421)</f>
        <v>0</v>
      </c>
      <c r="U421" s="3">
        <f t="shared" si="21"/>
        <v>0</v>
      </c>
      <c r="V421" s="42"/>
      <c r="X421" s="4">
        <f>SUMIFS('Weekly Dump'!P:P,'Weekly Dump'!B:B,C421,'Weekly Dump'!A:A,AB421)</f>
        <v>0</v>
      </c>
      <c r="Y421" s="4">
        <f t="shared" si="22"/>
        <v>0</v>
      </c>
      <c r="Z421" s="41"/>
      <c r="AA421" s="12" t="str">
        <f>iferror(IF(VLOOKUP(C421,'Weekly Dump'!B:B,1,0)=C421,"Yes","Missing"),"")</f>
        <v/>
      </c>
      <c r="AB421" s="66"/>
    </row>
    <row r="422">
      <c r="B422" s="63"/>
      <c r="C422" s="63"/>
      <c r="G422" s="3" t="str">
        <f t="shared" si="26"/>
        <v/>
      </c>
      <c r="I422" s="4">
        <f>SUMIFS('Weekly Dump'!D:D,'Weekly Dump'!B:B,C422)</f>
        <v>0</v>
      </c>
      <c r="J422" s="5">
        <f>SUMIFS('Weekly Dump'!AE:AE,'Weekly Dump'!B:B,C422)</f>
        <v>0</v>
      </c>
      <c r="K422" s="4">
        <f>SUMPRODUCT(
  (TEXT('Weekly Dump'!$A$2:$A1009,"mmm-yy")=TEXT($AB422,"mmm-yy"))*
  ('Weekly Dump'!$B$2:$B1009=$C422)*
  'Weekly Dump'!$D$2:$D1009)</f>
        <v>0</v>
      </c>
      <c r="L422" s="4">
        <f>SUMPRODUCT(
  (TEXT('Weekly Dump'!$A$2:$A1009,"mmm-yy")=TEXT($AB422,"mmm-yy"))*
  ('Weekly Dump'!$B$2:$B1009=$C422)*
  'Weekly Dump'!$E$2:$E1009
)</f>
        <v>0</v>
      </c>
      <c r="M422" s="4">
        <f>SUMPRODUCT(
  (TEXT('Weekly Dump'!$A$2:$A1009,"mmm-yy")=TEXT($AB422,"mmm-yy"))*
  ('Weekly Dump'!$B$2:$B1009=$C422)*
  'Weekly Dump'!$P$2:$P1009
)</f>
        <v>0</v>
      </c>
      <c r="N422" s="39"/>
      <c r="O422" s="40">
        <f>SUMIFS('Weekly Dump'!$D:$D,'Weekly Dump'!$B:$B,$C422,'Weekly Dump'!$A:$A,$AB422)</f>
        <v>0</v>
      </c>
      <c r="P422" s="40">
        <f>SUMIFS('Weekly Dump'!R:R,'Weekly Dump'!B:B,C422,'Weekly Dump'!A:A,AB422)</f>
        <v>0</v>
      </c>
      <c r="Q422" s="40">
        <f t="shared" si="20"/>
        <v>0</v>
      </c>
      <c r="R422" s="41"/>
      <c r="T422" s="4">
        <f>SUMIFS('Weekly Dump'!E:E,'Weekly Dump'!B:B,C422,'Weekly Dump'!A:A,AB422)</f>
        <v>0</v>
      </c>
      <c r="U422" s="3">
        <f t="shared" si="21"/>
        <v>0</v>
      </c>
      <c r="V422" s="42"/>
      <c r="X422" s="4">
        <f>SUMIFS('Weekly Dump'!P:P,'Weekly Dump'!B:B,C422,'Weekly Dump'!A:A,AB422)</f>
        <v>0</v>
      </c>
      <c r="Y422" s="4">
        <f t="shared" si="22"/>
        <v>0</v>
      </c>
      <c r="Z422" s="41"/>
      <c r="AA422" s="12" t="str">
        <f>iferror(IF(VLOOKUP(C422,'Weekly Dump'!B:B,1,0)=C422,"Yes","Missing"),"")</f>
        <v/>
      </c>
      <c r="AB422" s="66"/>
    </row>
    <row r="423">
      <c r="B423" s="63"/>
      <c r="C423" s="63"/>
      <c r="G423" s="3" t="str">
        <f t="shared" si="26"/>
        <v/>
      </c>
      <c r="I423" s="4">
        <f>SUMIFS('Weekly Dump'!D:D,'Weekly Dump'!B:B,C423)</f>
        <v>0</v>
      </c>
      <c r="J423" s="5">
        <f>SUMIFS('Weekly Dump'!AE:AE,'Weekly Dump'!B:B,C423)</f>
        <v>0</v>
      </c>
      <c r="K423" s="4">
        <f>SUMPRODUCT(
  (TEXT('Weekly Dump'!$A$2:$A1009,"mmm-yy")=TEXT($AB423,"mmm-yy"))*
  ('Weekly Dump'!$B$2:$B1009=$C423)*
  'Weekly Dump'!$D$2:$D1009)</f>
        <v>0</v>
      </c>
      <c r="L423" s="4">
        <f>SUMPRODUCT(
  (TEXT('Weekly Dump'!$A$2:$A1009,"mmm-yy")=TEXT($AB423,"mmm-yy"))*
  ('Weekly Dump'!$B$2:$B1009=$C423)*
  'Weekly Dump'!$E$2:$E1009
)</f>
        <v>0</v>
      </c>
      <c r="M423" s="4">
        <f>SUMPRODUCT(
  (TEXT('Weekly Dump'!$A$2:$A1009,"mmm-yy")=TEXT($AB423,"mmm-yy"))*
  ('Weekly Dump'!$B$2:$B1009=$C423)*
  'Weekly Dump'!$P$2:$P1009
)</f>
        <v>0</v>
      </c>
      <c r="N423" s="39"/>
      <c r="O423" s="40">
        <f>SUMIFS('Weekly Dump'!$D:$D,'Weekly Dump'!$B:$B,$C423,'Weekly Dump'!$A:$A,$AB423)</f>
        <v>0</v>
      </c>
      <c r="P423" s="40">
        <f>SUMIFS('Weekly Dump'!R:R,'Weekly Dump'!B:B,C423,'Weekly Dump'!A:A,AB423)</f>
        <v>0</v>
      </c>
      <c r="Q423" s="40">
        <f t="shared" si="20"/>
        <v>0</v>
      </c>
      <c r="R423" s="41"/>
      <c r="T423" s="4">
        <f>SUMIFS('Weekly Dump'!E:E,'Weekly Dump'!B:B,C423,'Weekly Dump'!A:A,AB423)</f>
        <v>0</v>
      </c>
      <c r="U423" s="3">
        <f t="shared" si="21"/>
        <v>0</v>
      </c>
      <c r="V423" s="42"/>
      <c r="X423" s="4">
        <f>SUMIFS('Weekly Dump'!P:P,'Weekly Dump'!B:B,C423,'Weekly Dump'!A:A,AB423)</f>
        <v>0</v>
      </c>
      <c r="Y423" s="4">
        <f t="shared" si="22"/>
        <v>0</v>
      </c>
      <c r="Z423" s="41"/>
      <c r="AA423" s="12" t="str">
        <f>iferror(IF(VLOOKUP(C423,'Weekly Dump'!B:B,1,0)=C423,"Yes","Missing"),"")</f>
        <v/>
      </c>
      <c r="AB423" s="66"/>
    </row>
    <row r="424">
      <c r="B424" s="63"/>
      <c r="C424" s="63"/>
      <c r="G424" s="3" t="str">
        <f t="shared" si="26"/>
        <v/>
      </c>
      <c r="I424" s="4">
        <f>SUMIFS('Weekly Dump'!D:D,'Weekly Dump'!B:B,C424)</f>
        <v>0</v>
      </c>
      <c r="J424" s="5">
        <f>SUMIFS('Weekly Dump'!AE:AE,'Weekly Dump'!B:B,C424)</f>
        <v>0</v>
      </c>
      <c r="K424" s="4">
        <f>SUMPRODUCT(
  (TEXT('Weekly Dump'!$A$2:$A1009,"mmm-yy")=TEXT($AB424,"mmm-yy"))*
  ('Weekly Dump'!$B$2:$B1009=$C424)*
  'Weekly Dump'!$D$2:$D1009)</f>
        <v>0</v>
      </c>
      <c r="L424" s="4">
        <f>SUMPRODUCT(
  (TEXT('Weekly Dump'!$A$2:$A1009,"mmm-yy")=TEXT($AB424,"mmm-yy"))*
  ('Weekly Dump'!$B$2:$B1009=$C424)*
  'Weekly Dump'!$E$2:$E1009
)</f>
        <v>0</v>
      </c>
      <c r="M424" s="4">
        <f>SUMPRODUCT(
  (TEXT('Weekly Dump'!$A$2:$A1009,"mmm-yy")=TEXT($AB424,"mmm-yy"))*
  ('Weekly Dump'!$B$2:$B1009=$C424)*
  'Weekly Dump'!$P$2:$P1009
)</f>
        <v>0</v>
      </c>
      <c r="N424" s="39"/>
      <c r="O424" s="40">
        <f>SUMIFS('Weekly Dump'!$D:$D,'Weekly Dump'!$B:$B,$C424,'Weekly Dump'!$A:$A,$AB424)</f>
        <v>0</v>
      </c>
      <c r="P424" s="40">
        <f>SUMIFS('Weekly Dump'!R:R,'Weekly Dump'!B:B,C424,'Weekly Dump'!A:A,AB424)</f>
        <v>0</v>
      </c>
      <c r="Q424" s="40">
        <f t="shared" si="20"/>
        <v>0</v>
      </c>
      <c r="R424" s="41"/>
      <c r="T424" s="4">
        <f>SUMIFS('Weekly Dump'!E:E,'Weekly Dump'!B:B,C424,'Weekly Dump'!A:A,AB424)</f>
        <v>0</v>
      </c>
      <c r="U424" s="3">
        <f t="shared" si="21"/>
        <v>0</v>
      </c>
      <c r="V424" s="42"/>
      <c r="X424" s="4">
        <f>SUMIFS('Weekly Dump'!P:P,'Weekly Dump'!B:B,C424,'Weekly Dump'!A:A,AB424)</f>
        <v>0</v>
      </c>
      <c r="Y424" s="4">
        <f t="shared" si="22"/>
        <v>0</v>
      </c>
      <c r="Z424" s="41"/>
      <c r="AA424" s="12" t="str">
        <f>iferror(IF(VLOOKUP(C424,'Weekly Dump'!B:B,1,0)=C424,"Yes","Missing"),"")</f>
        <v/>
      </c>
      <c r="AB424" s="66"/>
    </row>
    <row r="425">
      <c r="B425" s="63"/>
      <c r="C425" s="63"/>
      <c r="G425" s="3" t="str">
        <f t="shared" si="26"/>
        <v/>
      </c>
      <c r="I425" s="4">
        <f>SUMIFS('Weekly Dump'!D:D,'Weekly Dump'!B:B,C425)</f>
        <v>0</v>
      </c>
      <c r="J425" s="5">
        <f>SUMIFS('Weekly Dump'!AE:AE,'Weekly Dump'!B:B,C425)</f>
        <v>0</v>
      </c>
      <c r="K425" s="4">
        <f>SUMPRODUCT(
  (TEXT('Weekly Dump'!$A$2:$A1009,"mmm-yy")=TEXT($AB425,"mmm-yy"))*
  ('Weekly Dump'!$B$2:$B1009=$C425)*
  'Weekly Dump'!$D$2:$D1009)</f>
        <v>0</v>
      </c>
      <c r="L425" s="4">
        <f>SUMPRODUCT(
  (TEXT('Weekly Dump'!$A$2:$A1009,"mmm-yy")=TEXT($AB425,"mmm-yy"))*
  ('Weekly Dump'!$B$2:$B1009=$C425)*
  'Weekly Dump'!$E$2:$E1009
)</f>
        <v>0</v>
      </c>
      <c r="M425" s="4">
        <f>SUMPRODUCT(
  (TEXT('Weekly Dump'!$A$2:$A1009,"mmm-yy")=TEXT($AB425,"mmm-yy"))*
  ('Weekly Dump'!$B$2:$B1009=$C425)*
  'Weekly Dump'!$P$2:$P1009
)</f>
        <v>0</v>
      </c>
      <c r="N425" s="39"/>
      <c r="O425" s="40">
        <f>SUMIFS('Weekly Dump'!$D:$D,'Weekly Dump'!$B:$B,$C425,'Weekly Dump'!$A:$A,$AB425)</f>
        <v>0</v>
      </c>
      <c r="P425" s="40">
        <f>SUMIFS('Weekly Dump'!R:R,'Weekly Dump'!B:B,C425,'Weekly Dump'!A:A,AB425)</f>
        <v>0</v>
      </c>
      <c r="Q425" s="40">
        <f t="shared" si="20"/>
        <v>0</v>
      </c>
      <c r="R425" s="41"/>
      <c r="T425" s="4">
        <f>SUMIFS('Weekly Dump'!E:E,'Weekly Dump'!B:B,C425,'Weekly Dump'!A:A,AB425)</f>
        <v>0</v>
      </c>
      <c r="U425" s="3">
        <f t="shared" si="21"/>
        <v>0</v>
      </c>
      <c r="V425" s="42"/>
      <c r="X425" s="4">
        <f>SUMIFS('Weekly Dump'!P:P,'Weekly Dump'!B:B,C425,'Weekly Dump'!A:A,AB425)</f>
        <v>0</v>
      </c>
      <c r="Y425" s="4">
        <f t="shared" si="22"/>
        <v>0</v>
      </c>
      <c r="Z425" s="41"/>
      <c r="AA425" s="12" t="str">
        <f>iferror(IF(VLOOKUP(C425,'Weekly Dump'!B:B,1,0)=C425,"Yes","Missing"),"")</f>
        <v/>
      </c>
      <c r="AB425" s="66"/>
    </row>
    <row r="426">
      <c r="B426" s="63"/>
      <c r="C426" s="63"/>
      <c r="G426" s="3" t="str">
        <f t="shared" si="26"/>
        <v/>
      </c>
      <c r="I426" s="4">
        <f>SUMIFS('Weekly Dump'!D:D,'Weekly Dump'!B:B,C426)</f>
        <v>0</v>
      </c>
      <c r="J426" s="5">
        <f>SUMIFS('Weekly Dump'!AE:AE,'Weekly Dump'!B:B,C426)</f>
        <v>0</v>
      </c>
      <c r="K426" s="4">
        <f>SUMPRODUCT(
  (TEXT('Weekly Dump'!$A$2:$A1009,"mmm-yy")=TEXT($AB426,"mmm-yy"))*
  ('Weekly Dump'!$B$2:$B1009=$C426)*
  'Weekly Dump'!$D$2:$D1009)</f>
        <v>0</v>
      </c>
      <c r="L426" s="4">
        <f>SUMPRODUCT(
  (TEXT('Weekly Dump'!$A$2:$A1009,"mmm-yy")=TEXT($AB426,"mmm-yy"))*
  ('Weekly Dump'!$B$2:$B1009=$C426)*
  'Weekly Dump'!$E$2:$E1009
)</f>
        <v>0</v>
      </c>
      <c r="M426" s="4">
        <f>SUMPRODUCT(
  (TEXT('Weekly Dump'!$A$2:$A1009,"mmm-yy")=TEXT($AB426,"mmm-yy"))*
  ('Weekly Dump'!$B$2:$B1009=$C426)*
  'Weekly Dump'!$P$2:$P1009
)</f>
        <v>0</v>
      </c>
      <c r="N426" s="39"/>
      <c r="O426" s="40">
        <f>SUMIFS('Weekly Dump'!$D:$D,'Weekly Dump'!$B:$B,$C426,'Weekly Dump'!$A:$A,$AB426)</f>
        <v>0</v>
      </c>
      <c r="P426" s="40">
        <f>SUMIFS('Weekly Dump'!R:R,'Weekly Dump'!B:B,C426,'Weekly Dump'!A:A,AB426)</f>
        <v>0</v>
      </c>
      <c r="Q426" s="40">
        <f t="shared" si="20"/>
        <v>0</v>
      </c>
      <c r="R426" s="41"/>
      <c r="T426" s="4">
        <f>SUMIFS('Weekly Dump'!E:E,'Weekly Dump'!B:B,C426,'Weekly Dump'!A:A,AB426)</f>
        <v>0</v>
      </c>
      <c r="U426" s="3">
        <f t="shared" si="21"/>
        <v>0</v>
      </c>
      <c r="V426" s="42"/>
      <c r="X426" s="4">
        <f>SUMIFS('Weekly Dump'!P:P,'Weekly Dump'!B:B,C426,'Weekly Dump'!A:A,AB426)</f>
        <v>0</v>
      </c>
      <c r="Y426" s="4">
        <f t="shared" si="22"/>
        <v>0</v>
      </c>
      <c r="Z426" s="41"/>
      <c r="AA426" s="12" t="str">
        <f>iferror(IF(VLOOKUP(C426,'Weekly Dump'!B:B,1,0)=C426,"Yes","Missing"),"")</f>
        <v/>
      </c>
      <c r="AB426" s="66"/>
    </row>
    <row r="427">
      <c r="B427" s="63"/>
      <c r="C427" s="63"/>
      <c r="G427" s="3" t="str">
        <f t="shared" si="26"/>
        <v/>
      </c>
      <c r="I427" s="4">
        <f>SUMIFS('Weekly Dump'!D:D,'Weekly Dump'!B:B,C427)</f>
        <v>0</v>
      </c>
      <c r="J427" s="5">
        <f>SUMIFS('Weekly Dump'!AE:AE,'Weekly Dump'!B:B,C427)</f>
        <v>0</v>
      </c>
      <c r="K427" s="4">
        <f>SUMPRODUCT(
  (TEXT('Weekly Dump'!$A$2:$A1009,"mmm-yy")=TEXT($AB427,"mmm-yy"))*
  ('Weekly Dump'!$B$2:$B1009=$C427)*
  'Weekly Dump'!$D$2:$D1009)</f>
        <v>0</v>
      </c>
      <c r="L427" s="4">
        <f>SUMPRODUCT(
  (TEXT('Weekly Dump'!$A$2:$A1009,"mmm-yy")=TEXT($AB427,"mmm-yy"))*
  ('Weekly Dump'!$B$2:$B1009=$C427)*
  'Weekly Dump'!$E$2:$E1009
)</f>
        <v>0</v>
      </c>
      <c r="M427" s="4">
        <f>SUMPRODUCT(
  (TEXT('Weekly Dump'!$A$2:$A1009,"mmm-yy")=TEXT($AB427,"mmm-yy"))*
  ('Weekly Dump'!$B$2:$B1009=$C427)*
  'Weekly Dump'!$P$2:$P1009
)</f>
        <v>0</v>
      </c>
      <c r="N427" s="39"/>
      <c r="O427" s="40">
        <f>SUMIFS('Weekly Dump'!$D:$D,'Weekly Dump'!$B:$B,$C427,'Weekly Dump'!$A:$A,$AB427)</f>
        <v>0</v>
      </c>
      <c r="P427" s="40">
        <f>SUMIFS('Weekly Dump'!R:R,'Weekly Dump'!B:B,C427,'Weekly Dump'!A:A,AB427)</f>
        <v>0</v>
      </c>
      <c r="Q427" s="40">
        <f t="shared" si="20"/>
        <v>0</v>
      </c>
      <c r="R427" s="41"/>
      <c r="T427" s="4">
        <f>SUMIFS('Weekly Dump'!E:E,'Weekly Dump'!B:B,C427,'Weekly Dump'!A:A,AB427)</f>
        <v>0</v>
      </c>
      <c r="U427" s="3">
        <f t="shared" si="21"/>
        <v>0</v>
      </c>
      <c r="V427" s="42"/>
      <c r="X427" s="4">
        <f>SUMIFS('Weekly Dump'!P:P,'Weekly Dump'!B:B,C427,'Weekly Dump'!A:A,AB427)</f>
        <v>0</v>
      </c>
      <c r="Y427" s="4">
        <f t="shared" si="22"/>
        <v>0</v>
      </c>
      <c r="Z427" s="41"/>
      <c r="AA427" s="12" t="str">
        <f>iferror(IF(VLOOKUP(C427,'Weekly Dump'!B:B,1,0)=C427,"Yes","Missing"),"")</f>
        <v/>
      </c>
      <c r="AB427" s="66"/>
    </row>
    <row r="428">
      <c r="B428" s="63"/>
      <c r="C428" s="63"/>
      <c r="G428" s="3" t="str">
        <f t="shared" si="26"/>
        <v/>
      </c>
      <c r="I428" s="4">
        <f>SUMIFS('Weekly Dump'!D:D,'Weekly Dump'!B:B,C428)</f>
        <v>0</v>
      </c>
      <c r="J428" s="5">
        <f>SUMIFS('Weekly Dump'!AE:AE,'Weekly Dump'!B:B,C428)</f>
        <v>0</v>
      </c>
      <c r="K428" s="4">
        <f>SUMPRODUCT(
  (TEXT('Weekly Dump'!$A$2:$A1009,"mmm-yy")=TEXT($AB428,"mmm-yy"))*
  ('Weekly Dump'!$B$2:$B1009=$C428)*
  'Weekly Dump'!$D$2:$D1009)</f>
        <v>0</v>
      </c>
      <c r="L428" s="4">
        <f>SUMPRODUCT(
  (TEXT('Weekly Dump'!$A$2:$A1009,"mmm-yy")=TEXT($AB428,"mmm-yy"))*
  ('Weekly Dump'!$B$2:$B1009=$C428)*
  'Weekly Dump'!$E$2:$E1009
)</f>
        <v>0</v>
      </c>
      <c r="M428" s="4">
        <f>SUMPRODUCT(
  (TEXT('Weekly Dump'!$A$2:$A1009,"mmm-yy")=TEXT($AB428,"mmm-yy"))*
  ('Weekly Dump'!$B$2:$B1009=$C428)*
  'Weekly Dump'!$P$2:$P1009
)</f>
        <v>0</v>
      </c>
      <c r="N428" s="39"/>
      <c r="O428" s="40">
        <f>SUMIFS('Weekly Dump'!$D:$D,'Weekly Dump'!$B:$B,$C428,'Weekly Dump'!$A:$A,$AB428)</f>
        <v>0</v>
      </c>
      <c r="P428" s="40">
        <f>SUMIFS('Weekly Dump'!R:R,'Weekly Dump'!B:B,C428,'Weekly Dump'!A:A,AB428)</f>
        <v>0</v>
      </c>
      <c r="Q428" s="40">
        <f t="shared" si="20"/>
        <v>0</v>
      </c>
      <c r="R428" s="41"/>
      <c r="T428" s="4">
        <f>SUMIFS('Weekly Dump'!E:E,'Weekly Dump'!B:B,C428,'Weekly Dump'!A:A,AB428)</f>
        <v>0</v>
      </c>
      <c r="U428" s="3">
        <f t="shared" si="21"/>
        <v>0</v>
      </c>
      <c r="V428" s="42"/>
      <c r="X428" s="4">
        <f>SUMIFS('Weekly Dump'!P:P,'Weekly Dump'!B:B,C428,'Weekly Dump'!A:A,AB428)</f>
        <v>0</v>
      </c>
      <c r="Y428" s="4">
        <f t="shared" si="22"/>
        <v>0</v>
      </c>
      <c r="Z428" s="41"/>
      <c r="AA428" s="12" t="str">
        <f>iferror(IF(VLOOKUP(C428,'Weekly Dump'!B:B,1,0)=C428,"Yes","Missing"),"")</f>
        <v/>
      </c>
      <c r="AB428" s="66"/>
    </row>
    <row r="429">
      <c r="B429" s="63"/>
      <c r="C429" s="63"/>
      <c r="G429" s="3" t="str">
        <f t="shared" si="26"/>
        <v/>
      </c>
      <c r="I429" s="4">
        <f>SUMIFS('Weekly Dump'!D:D,'Weekly Dump'!B:B,C429)</f>
        <v>0</v>
      </c>
      <c r="J429" s="5">
        <f>SUMIFS('Weekly Dump'!AE:AE,'Weekly Dump'!B:B,C429)</f>
        <v>0</v>
      </c>
      <c r="K429" s="4">
        <f>SUMPRODUCT(
  (TEXT('Weekly Dump'!$A$2:$A1009,"mmm-yy")=TEXT($AB429,"mmm-yy"))*
  ('Weekly Dump'!$B$2:$B1009=$C429)*
  'Weekly Dump'!$D$2:$D1009)</f>
        <v>0</v>
      </c>
      <c r="L429" s="4">
        <f>SUMPRODUCT(
  (TEXT('Weekly Dump'!$A$2:$A1009,"mmm-yy")=TEXT($AB429,"mmm-yy"))*
  ('Weekly Dump'!$B$2:$B1009=$C429)*
  'Weekly Dump'!$E$2:$E1009
)</f>
        <v>0</v>
      </c>
      <c r="M429" s="4">
        <f>SUMPRODUCT(
  (TEXT('Weekly Dump'!$A$2:$A1009,"mmm-yy")=TEXT($AB429,"mmm-yy"))*
  ('Weekly Dump'!$B$2:$B1009=$C429)*
  'Weekly Dump'!$P$2:$P1009
)</f>
        <v>0</v>
      </c>
      <c r="N429" s="39"/>
      <c r="O429" s="40">
        <f>SUMIFS('Weekly Dump'!$D:$D,'Weekly Dump'!$B:$B,$C429,'Weekly Dump'!$A:$A,$AB429)</f>
        <v>0</v>
      </c>
      <c r="P429" s="40">
        <f>SUMIFS('Weekly Dump'!R:R,'Weekly Dump'!B:B,C429,'Weekly Dump'!A:A,AB429)</f>
        <v>0</v>
      </c>
      <c r="Q429" s="40">
        <f t="shared" si="20"/>
        <v>0</v>
      </c>
      <c r="R429" s="41"/>
      <c r="T429" s="4">
        <f>SUMIFS('Weekly Dump'!E:E,'Weekly Dump'!B:B,C429,'Weekly Dump'!A:A,AB429)</f>
        <v>0</v>
      </c>
      <c r="U429" s="3">
        <f t="shared" si="21"/>
        <v>0</v>
      </c>
      <c r="V429" s="42"/>
      <c r="X429" s="4">
        <f>SUMIFS('Weekly Dump'!P:P,'Weekly Dump'!B:B,C429,'Weekly Dump'!A:A,AB429)</f>
        <v>0</v>
      </c>
      <c r="Y429" s="4">
        <f t="shared" si="22"/>
        <v>0</v>
      </c>
      <c r="Z429" s="41"/>
      <c r="AA429" s="12" t="str">
        <f>iferror(IF(VLOOKUP(C429,'Weekly Dump'!B:B,1,0)=C429,"Yes","Missing"),"")</f>
        <v/>
      </c>
      <c r="AB429" s="66"/>
    </row>
    <row r="430">
      <c r="B430" s="63"/>
      <c r="C430" s="63"/>
      <c r="G430" s="3" t="str">
        <f t="shared" si="26"/>
        <v/>
      </c>
      <c r="I430" s="4">
        <f>SUMIFS('Weekly Dump'!D:D,'Weekly Dump'!B:B,C430)</f>
        <v>0</v>
      </c>
      <c r="J430" s="5">
        <f>SUMIFS('Weekly Dump'!AE:AE,'Weekly Dump'!B:B,C430)</f>
        <v>0</v>
      </c>
      <c r="K430" s="4">
        <f>SUMPRODUCT(
  (TEXT('Weekly Dump'!$A$2:$A1009,"mmm-yy")=TEXT($AB430,"mmm-yy"))*
  ('Weekly Dump'!$B$2:$B1009=$C430)*
  'Weekly Dump'!$D$2:$D1009)</f>
        <v>0</v>
      </c>
      <c r="L430" s="4">
        <f>SUMPRODUCT(
  (TEXT('Weekly Dump'!$A$2:$A1009,"mmm-yy")=TEXT($AB430,"mmm-yy"))*
  ('Weekly Dump'!$B$2:$B1009=$C430)*
  'Weekly Dump'!$E$2:$E1009
)</f>
        <v>0</v>
      </c>
      <c r="M430" s="4">
        <f>SUMPRODUCT(
  (TEXT('Weekly Dump'!$A$2:$A1009,"mmm-yy")=TEXT($AB430,"mmm-yy"))*
  ('Weekly Dump'!$B$2:$B1009=$C430)*
  'Weekly Dump'!$P$2:$P1009
)</f>
        <v>0</v>
      </c>
      <c r="N430" s="39"/>
      <c r="O430" s="40">
        <f>SUMIFS('Weekly Dump'!$D:$D,'Weekly Dump'!$B:$B,$C430,'Weekly Dump'!$A:$A,$AB430)</f>
        <v>0</v>
      </c>
      <c r="P430" s="40">
        <f>SUMIFS('Weekly Dump'!R:R,'Weekly Dump'!B:B,C430,'Weekly Dump'!A:A,AB430)</f>
        <v>0</v>
      </c>
      <c r="Q430" s="40">
        <f t="shared" si="20"/>
        <v>0</v>
      </c>
      <c r="R430" s="41"/>
      <c r="T430" s="4">
        <f>SUMIFS('Weekly Dump'!E:E,'Weekly Dump'!B:B,C430,'Weekly Dump'!A:A,AB430)</f>
        <v>0</v>
      </c>
      <c r="U430" s="3">
        <f t="shared" si="21"/>
        <v>0</v>
      </c>
      <c r="V430" s="42"/>
      <c r="X430" s="4">
        <f>SUMIFS('Weekly Dump'!P:P,'Weekly Dump'!B:B,C430,'Weekly Dump'!A:A,AB430)</f>
        <v>0</v>
      </c>
      <c r="Y430" s="4">
        <f t="shared" si="22"/>
        <v>0</v>
      </c>
      <c r="Z430" s="41"/>
      <c r="AA430" s="12" t="str">
        <f>iferror(IF(VLOOKUP(C430,'Weekly Dump'!B:B,1,0)=C430,"Yes","Missing"),"")</f>
        <v/>
      </c>
      <c r="AB430" s="66"/>
    </row>
    <row r="431">
      <c r="B431" s="63"/>
      <c r="C431" s="63"/>
      <c r="G431" s="3" t="str">
        <f t="shared" si="26"/>
        <v/>
      </c>
      <c r="I431" s="4">
        <f>SUMIFS('Weekly Dump'!D:D,'Weekly Dump'!B:B,C431)</f>
        <v>0</v>
      </c>
      <c r="J431" s="5">
        <f>SUMIFS('Weekly Dump'!AE:AE,'Weekly Dump'!B:B,C431)</f>
        <v>0</v>
      </c>
      <c r="K431" s="4">
        <f>SUMPRODUCT(
  (TEXT('Weekly Dump'!$A$2:$A1009,"mmm-yy")=TEXT($AB431,"mmm-yy"))*
  ('Weekly Dump'!$B$2:$B1009=$C431)*
  'Weekly Dump'!$D$2:$D1009)</f>
        <v>0</v>
      </c>
      <c r="L431" s="4">
        <f>SUMPRODUCT(
  (TEXT('Weekly Dump'!$A$2:$A1009,"mmm-yy")=TEXT($AB431,"mmm-yy"))*
  ('Weekly Dump'!$B$2:$B1009=$C431)*
  'Weekly Dump'!$E$2:$E1009
)</f>
        <v>0</v>
      </c>
      <c r="M431" s="4">
        <f>SUMPRODUCT(
  (TEXT('Weekly Dump'!$A$2:$A1009,"mmm-yy")=TEXT($AB431,"mmm-yy"))*
  ('Weekly Dump'!$B$2:$B1009=$C431)*
  'Weekly Dump'!$P$2:$P1009
)</f>
        <v>0</v>
      </c>
      <c r="N431" s="39"/>
      <c r="O431" s="40">
        <f>SUMIFS('Weekly Dump'!$D:$D,'Weekly Dump'!$B:$B,$C431,'Weekly Dump'!$A:$A,$AB431)</f>
        <v>0</v>
      </c>
      <c r="P431" s="40">
        <f>SUMIFS('Weekly Dump'!R:R,'Weekly Dump'!B:B,C431,'Weekly Dump'!A:A,AB431)</f>
        <v>0</v>
      </c>
      <c r="Q431" s="40">
        <f t="shared" si="20"/>
        <v>0</v>
      </c>
      <c r="R431" s="41"/>
      <c r="T431" s="4">
        <f>SUMIFS('Weekly Dump'!E:E,'Weekly Dump'!B:B,C431,'Weekly Dump'!A:A,AB431)</f>
        <v>0</v>
      </c>
      <c r="U431" s="3">
        <f t="shared" si="21"/>
        <v>0</v>
      </c>
      <c r="V431" s="42"/>
      <c r="X431" s="4">
        <f>SUMIFS('Weekly Dump'!P:P,'Weekly Dump'!B:B,C431,'Weekly Dump'!A:A,AB431)</f>
        <v>0</v>
      </c>
      <c r="Y431" s="4">
        <f t="shared" si="22"/>
        <v>0</v>
      </c>
      <c r="Z431" s="41"/>
      <c r="AA431" s="12" t="str">
        <f>iferror(IF(VLOOKUP(C431,'Weekly Dump'!B:B,1,0)=C431,"Yes","Missing"),"")</f>
        <v/>
      </c>
      <c r="AB431" s="66"/>
    </row>
    <row r="432">
      <c r="B432" s="63"/>
      <c r="C432" s="63"/>
      <c r="G432" s="3" t="str">
        <f t="shared" si="26"/>
        <v/>
      </c>
      <c r="I432" s="4">
        <f>SUMIFS('Weekly Dump'!D:D,'Weekly Dump'!B:B,C432)</f>
        <v>0</v>
      </c>
      <c r="J432" s="5">
        <f>SUMIFS('Weekly Dump'!AE:AE,'Weekly Dump'!B:B,C432)</f>
        <v>0</v>
      </c>
      <c r="K432" s="4">
        <f>SUMPRODUCT(
  (TEXT('Weekly Dump'!$A$2:$A1009,"mmm-yy")=TEXT($AB432,"mmm-yy"))*
  ('Weekly Dump'!$B$2:$B1009=$C432)*
  'Weekly Dump'!$D$2:$D1009)</f>
        <v>0</v>
      </c>
      <c r="L432" s="4">
        <f>SUMPRODUCT(
  (TEXT('Weekly Dump'!$A$2:$A1009,"mmm-yy")=TEXT($AB432,"mmm-yy"))*
  ('Weekly Dump'!$B$2:$B1009=$C432)*
  'Weekly Dump'!$E$2:$E1009
)</f>
        <v>0</v>
      </c>
      <c r="M432" s="4">
        <f>SUMPRODUCT(
  (TEXT('Weekly Dump'!$A$2:$A1009,"mmm-yy")=TEXT($AB432,"mmm-yy"))*
  ('Weekly Dump'!$B$2:$B1009=$C432)*
  'Weekly Dump'!$P$2:$P1009
)</f>
        <v>0</v>
      </c>
      <c r="N432" s="39"/>
      <c r="O432" s="40">
        <f>SUMIFS('Weekly Dump'!$D:$D,'Weekly Dump'!$B:$B,$C432,'Weekly Dump'!$A:$A,$AB432)</f>
        <v>0</v>
      </c>
      <c r="P432" s="40">
        <f>SUMIFS('Weekly Dump'!R:R,'Weekly Dump'!B:B,C432,'Weekly Dump'!A:A,AB432)</f>
        <v>0</v>
      </c>
      <c r="Q432" s="40">
        <f t="shared" si="20"/>
        <v>0</v>
      </c>
      <c r="R432" s="41"/>
      <c r="T432" s="4">
        <f>SUMIFS('Weekly Dump'!E:E,'Weekly Dump'!B:B,C432,'Weekly Dump'!A:A,AB432)</f>
        <v>0</v>
      </c>
      <c r="U432" s="3">
        <f t="shared" si="21"/>
        <v>0</v>
      </c>
      <c r="V432" s="42"/>
      <c r="X432" s="4">
        <f>SUMIFS('Weekly Dump'!P:P,'Weekly Dump'!B:B,C432,'Weekly Dump'!A:A,AB432)</f>
        <v>0</v>
      </c>
      <c r="Y432" s="4">
        <f t="shared" si="22"/>
        <v>0</v>
      </c>
      <c r="Z432" s="41"/>
      <c r="AA432" s="12" t="str">
        <f>iferror(IF(VLOOKUP(C432,'Weekly Dump'!B:B,1,0)=C432,"Yes","Missing"),"")</f>
        <v/>
      </c>
      <c r="AB432" s="66"/>
    </row>
    <row r="433">
      <c r="B433" s="63"/>
      <c r="C433" s="63"/>
      <c r="G433" s="3" t="str">
        <f t="shared" si="26"/>
        <v/>
      </c>
      <c r="I433" s="4">
        <f>SUMIFS('Weekly Dump'!D:D,'Weekly Dump'!B:B,C433)</f>
        <v>0</v>
      </c>
      <c r="J433" s="5">
        <f>SUMIFS('Weekly Dump'!AE:AE,'Weekly Dump'!B:B,C433)</f>
        <v>0</v>
      </c>
      <c r="K433" s="4">
        <f>SUMPRODUCT(
  (TEXT('Weekly Dump'!$A$2:$A1009,"mmm-yy")=TEXT($AB433,"mmm-yy"))*
  ('Weekly Dump'!$B$2:$B1009=$C433)*
  'Weekly Dump'!$D$2:$D1009)</f>
        <v>0</v>
      </c>
      <c r="L433" s="4">
        <f>SUMPRODUCT(
  (TEXT('Weekly Dump'!$A$2:$A1009,"mmm-yy")=TEXT($AB433,"mmm-yy"))*
  ('Weekly Dump'!$B$2:$B1009=$C433)*
  'Weekly Dump'!$E$2:$E1009
)</f>
        <v>0</v>
      </c>
      <c r="M433" s="4">
        <f>SUMPRODUCT(
  (TEXT('Weekly Dump'!$A$2:$A1009,"mmm-yy")=TEXT($AB433,"mmm-yy"))*
  ('Weekly Dump'!$B$2:$B1009=$C433)*
  'Weekly Dump'!$P$2:$P1009
)</f>
        <v>0</v>
      </c>
      <c r="N433" s="39"/>
      <c r="O433" s="40">
        <f>SUMIFS('Weekly Dump'!$D:$D,'Weekly Dump'!$B:$B,$C433,'Weekly Dump'!$A:$A,$AB433)</f>
        <v>0</v>
      </c>
      <c r="P433" s="40">
        <f>SUMIFS('Weekly Dump'!R:R,'Weekly Dump'!B:B,C433,'Weekly Dump'!A:A,AB433)</f>
        <v>0</v>
      </c>
      <c r="Q433" s="40">
        <f t="shared" si="20"/>
        <v>0</v>
      </c>
      <c r="R433" s="41"/>
      <c r="T433" s="4">
        <f>SUMIFS('Weekly Dump'!E:E,'Weekly Dump'!B:B,C433,'Weekly Dump'!A:A,AB433)</f>
        <v>0</v>
      </c>
      <c r="U433" s="3">
        <f t="shared" si="21"/>
        <v>0</v>
      </c>
      <c r="V433" s="42"/>
      <c r="X433" s="4">
        <f>SUMIFS('Weekly Dump'!P:P,'Weekly Dump'!B:B,C433,'Weekly Dump'!A:A,AB433)</f>
        <v>0</v>
      </c>
      <c r="Y433" s="4">
        <f t="shared" si="22"/>
        <v>0</v>
      </c>
      <c r="Z433" s="41"/>
      <c r="AA433" s="12" t="str">
        <f>iferror(IF(VLOOKUP(C433,'Weekly Dump'!B:B,1,0)=C433,"Yes","Missing"),"")</f>
        <v/>
      </c>
      <c r="AB433" s="66"/>
    </row>
    <row r="434">
      <c r="B434" s="63"/>
      <c r="C434" s="63"/>
      <c r="G434" s="3" t="str">
        <f t="shared" si="26"/>
        <v/>
      </c>
      <c r="I434" s="4">
        <f>SUMIFS('Weekly Dump'!D:D,'Weekly Dump'!B:B,C434)</f>
        <v>0</v>
      </c>
      <c r="J434" s="5">
        <f>SUMIFS('Weekly Dump'!AE:AE,'Weekly Dump'!B:B,C434)</f>
        <v>0</v>
      </c>
      <c r="K434" s="4">
        <f>SUMPRODUCT(
  (TEXT('Weekly Dump'!$A$2:$A1009,"mmm-yy")=TEXT($AB434,"mmm-yy"))*
  ('Weekly Dump'!$B$2:$B1009=$C434)*
  'Weekly Dump'!$D$2:$D1009)</f>
        <v>0</v>
      </c>
      <c r="L434" s="4">
        <f>SUMPRODUCT(
  (TEXT('Weekly Dump'!$A$2:$A1009,"mmm-yy")=TEXT($AB434,"mmm-yy"))*
  ('Weekly Dump'!$B$2:$B1009=$C434)*
  'Weekly Dump'!$E$2:$E1009
)</f>
        <v>0</v>
      </c>
      <c r="M434" s="4">
        <f>SUMPRODUCT(
  (TEXT('Weekly Dump'!$A$2:$A1009,"mmm-yy")=TEXT($AB434,"mmm-yy"))*
  ('Weekly Dump'!$B$2:$B1009=$C434)*
  'Weekly Dump'!$P$2:$P1009
)</f>
        <v>0</v>
      </c>
      <c r="N434" s="39"/>
      <c r="O434" s="40">
        <f>SUMIFS('Weekly Dump'!$D:$D,'Weekly Dump'!$B:$B,$C434,'Weekly Dump'!$A:$A,$AB434)</f>
        <v>0</v>
      </c>
      <c r="P434" s="40">
        <f>SUMIFS('Weekly Dump'!R:R,'Weekly Dump'!B:B,C434,'Weekly Dump'!A:A,AB434)</f>
        <v>0</v>
      </c>
      <c r="Q434" s="40">
        <f t="shared" si="20"/>
        <v>0</v>
      </c>
      <c r="R434" s="41"/>
      <c r="T434" s="4">
        <f>SUMIFS('Weekly Dump'!E:E,'Weekly Dump'!B:B,C434,'Weekly Dump'!A:A,AB434)</f>
        <v>0</v>
      </c>
      <c r="U434" s="3">
        <f t="shared" si="21"/>
        <v>0</v>
      </c>
      <c r="V434" s="42"/>
      <c r="X434" s="4">
        <f>SUMIFS('Weekly Dump'!P:P,'Weekly Dump'!B:B,C434,'Weekly Dump'!A:A,AB434)</f>
        <v>0</v>
      </c>
      <c r="Y434" s="4">
        <f t="shared" si="22"/>
        <v>0</v>
      </c>
      <c r="Z434" s="41"/>
      <c r="AA434" s="12" t="str">
        <f>iferror(IF(VLOOKUP(C434,'Weekly Dump'!B:B,1,0)=C434,"Yes","Missing"),"")</f>
        <v/>
      </c>
      <c r="AB434" s="66"/>
    </row>
    <row r="435">
      <c r="B435" s="63"/>
      <c r="C435" s="63"/>
      <c r="G435" s="3" t="str">
        <f t="shared" si="26"/>
        <v/>
      </c>
      <c r="I435" s="4">
        <f>SUMIFS('Weekly Dump'!D:D,'Weekly Dump'!B:B,C435)</f>
        <v>0</v>
      </c>
      <c r="J435" s="5">
        <f>SUMIFS('Weekly Dump'!AE:AE,'Weekly Dump'!B:B,C435)</f>
        <v>0</v>
      </c>
      <c r="K435" s="4">
        <f>SUMPRODUCT(
  (TEXT('Weekly Dump'!$A$2:$A1009,"mmm-yy")=TEXT($AB435,"mmm-yy"))*
  ('Weekly Dump'!$B$2:$B1009=$C435)*
  'Weekly Dump'!$D$2:$D1009)</f>
        <v>0</v>
      </c>
      <c r="L435" s="4">
        <f>SUMPRODUCT(
  (TEXT('Weekly Dump'!$A$2:$A1009,"mmm-yy")=TEXT($AB435,"mmm-yy"))*
  ('Weekly Dump'!$B$2:$B1009=$C435)*
  'Weekly Dump'!$E$2:$E1009
)</f>
        <v>0</v>
      </c>
      <c r="M435" s="4">
        <f>SUMPRODUCT(
  (TEXT('Weekly Dump'!$A$2:$A1009,"mmm-yy")=TEXT($AB435,"mmm-yy"))*
  ('Weekly Dump'!$B$2:$B1009=$C435)*
  'Weekly Dump'!$P$2:$P1009
)</f>
        <v>0</v>
      </c>
      <c r="N435" s="39"/>
      <c r="O435" s="40">
        <f>SUMIFS('Weekly Dump'!$D:$D,'Weekly Dump'!$B:$B,$C435,'Weekly Dump'!$A:$A,$AB435)</f>
        <v>0</v>
      </c>
      <c r="P435" s="40">
        <f>SUMIFS('Weekly Dump'!R:R,'Weekly Dump'!B:B,C435,'Weekly Dump'!A:A,AB435)</f>
        <v>0</v>
      </c>
      <c r="Q435" s="40">
        <f t="shared" si="20"/>
        <v>0</v>
      </c>
      <c r="R435" s="41"/>
      <c r="T435" s="4">
        <f>SUMIFS('Weekly Dump'!E:E,'Weekly Dump'!B:B,C435,'Weekly Dump'!A:A,AB435)</f>
        <v>0</v>
      </c>
      <c r="U435" s="3">
        <f t="shared" si="21"/>
        <v>0</v>
      </c>
      <c r="V435" s="42"/>
      <c r="X435" s="4">
        <f>SUMIFS('Weekly Dump'!P:P,'Weekly Dump'!B:B,C435,'Weekly Dump'!A:A,AB435)</f>
        <v>0</v>
      </c>
      <c r="Y435" s="4">
        <f t="shared" si="22"/>
        <v>0</v>
      </c>
      <c r="Z435" s="41"/>
      <c r="AA435" s="12" t="str">
        <f>iferror(IF(VLOOKUP(C435,'Weekly Dump'!B:B,1,0)=C435,"Yes","Missing"),"")</f>
        <v/>
      </c>
      <c r="AB435" s="66"/>
    </row>
    <row r="436">
      <c r="B436" s="63"/>
      <c r="C436" s="63"/>
      <c r="G436" s="3" t="str">
        <f t="shared" si="26"/>
        <v/>
      </c>
      <c r="I436" s="4">
        <f>SUMIFS('Weekly Dump'!D:D,'Weekly Dump'!B:B,C436)</f>
        <v>0</v>
      </c>
      <c r="J436" s="5">
        <f>SUMIFS('Weekly Dump'!AE:AE,'Weekly Dump'!B:B,C436)</f>
        <v>0</v>
      </c>
      <c r="K436" s="4">
        <f>SUMPRODUCT(
  (TEXT('Weekly Dump'!$A$2:$A1009,"mmm-yy")=TEXT($AB436,"mmm-yy"))*
  ('Weekly Dump'!$B$2:$B1009=$C436)*
  'Weekly Dump'!$D$2:$D1009)</f>
        <v>0</v>
      </c>
      <c r="L436" s="4">
        <f>SUMPRODUCT(
  (TEXT('Weekly Dump'!$A$2:$A1009,"mmm-yy")=TEXT($AB436,"mmm-yy"))*
  ('Weekly Dump'!$B$2:$B1009=$C436)*
  'Weekly Dump'!$E$2:$E1009
)</f>
        <v>0</v>
      </c>
      <c r="M436" s="4">
        <f>SUMPRODUCT(
  (TEXT('Weekly Dump'!$A$2:$A1009,"mmm-yy")=TEXT($AB436,"mmm-yy"))*
  ('Weekly Dump'!$B$2:$B1009=$C436)*
  'Weekly Dump'!$P$2:$P1009
)</f>
        <v>0</v>
      </c>
      <c r="N436" s="39"/>
      <c r="O436" s="40">
        <f>SUMIFS('Weekly Dump'!$D:$D,'Weekly Dump'!$B:$B,$C436,'Weekly Dump'!$A:$A,$AB436)</f>
        <v>0</v>
      </c>
      <c r="P436" s="40">
        <f>SUMIFS('Weekly Dump'!R:R,'Weekly Dump'!B:B,C436,'Weekly Dump'!A:A,AB436)</f>
        <v>0</v>
      </c>
      <c r="Q436" s="40">
        <f t="shared" si="20"/>
        <v>0</v>
      </c>
      <c r="R436" s="41"/>
      <c r="T436" s="4">
        <f>SUMIFS('Weekly Dump'!E:E,'Weekly Dump'!B:B,C436,'Weekly Dump'!A:A,AB436)</f>
        <v>0</v>
      </c>
      <c r="U436" s="3">
        <f t="shared" si="21"/>
        <v>0</v>
      </c>
      <c r="V436" s="42"/>
      <c r="X436" s="4">
        <f>SUMIFS('Weekly Dump'!P:P,'Weekly Dump'!B:B,C436,'Weekly Dump'!A:A,AB436)</f>
        <v>0</v>
      </c>
      <c r="Y436" s="4">
        <f t="shared" si="22"/>
        <v>0</v>
      </c>
      <c r="Z436" s="41"/>
      <c r="AA436" s="12" t="str">
        <f>iferror(IF(VLOOKUP(C436,'Weekly Dump'!B:B,1,0)=C436,"Yes","Missing"),"")</f>
        <v/>
      </c>
      <c r="AB436" s="66"/>
    </row>
    <row r="437">
      <c r="B437" s="63"/>
      <c r="C437" s="63"/>
      <c r="G437" s="3" t="str">
        <f t="shared" si="26"/>
        <v/>
      </c>
      <c r="I437" s="4">
        <f>SUMIFS('Weekly Dump'!D:D,'Weekly Dump'!B:B,C437)</f>
        <v>0</v>
      </c>
      <c r="J437" s="5">
        <f>SUMIFS('Weekly Dump'!AE:AE,'Weekly Dump'!B:B,C437)</f>
        <v>0</v>
      </c>
      <c r="K437" s="4">
        <f>SUMPRODUCT(
  (TEXT('Weekly Dump'!$A$2:$A1009,"mmm-yy")=TEXT($AB437,"mmm-yy"))*
  ('Weekly Dump'!$B$2:$B1009=$C437)*
  'Weekly Dump'!$D$2:$D1009)</f>
        <v>0</v>
      </c>
      <c r="L437" s="4">
        <f>SUMPRODUCT(
  (TEXT('Weekly Dump'!$A$2:$A1009,"mmm-yy")=TEXT($AB437,"mmm-yy"))*
  ('Weekly Dump'!$B$2:$B1009=$C437)*
  'Weekly Dump'!$E$2:$E1009
)</f>
        <v>0</v>
      </c>
      <c r="M437" s="4">
        <f>SUMPRODUCT(
  (TEXT('Weekly Dump'!$A$2:$A1009,"mmm-yy")=TEXT($AB437,"mmm-yy"))*
  ('Weekly Dump'!$B$2:$B1009=$C437)*
  'Weekly Dump'!$P$2:$P1009
)</f>
        <v>0</v>
      </c>
      <c r="N437" s="39"/>
      <c r="O437" s="40">
        <f>SUMIFS('Weekly Dump'!$D:$D,'Weekly Dump'!$B:$B,$C437,'Weekly Dump'!$A:$A,$AB437)</f>
        <v>0</v>
      </c>
      <c r="P437" s="40">
        <f>SUMIFS('Weekly Dump'!R:R,'Weekly Dump'!B:B,C437,'Weekly Dump'!A:A,AB437)</f>
        <v>0</v>
      </c>
      <c r="Q437" s="40">
        <f t="shared" si="20"/>
        <v>0</v>
      </c>
      <c r="R437" s="41"/>
      <c r="T437" s="4">
        <f>SUMIFS('Weekly Dump'!E:E,'Weekly Dump'!B:B,C437,'Weekly Dump'!A:A,AB437)</f>
        <v>0</v>
      </c>
      <c r="U437" s="3">
        <f t="shared" si="21"/>
        <v>0</v>
      </c>
      <c r="V437" s="42"/>
      <c r="X437" s="4">
        <f>SUMIFS('Weekly Dump'!P:P,'Weekly Dump'!B:B,C437,'Weekly Dump'!A:A,AB437)</f>
        <v>0</v>
      </c>
      <c r="Y437" s="4">
        <f t="shared" si="22"/>
        <v>0</v>
      </c>
      <c r="Z437" s="41"/>
      <c r="AA437" s="12" t="str">
        <f>iferror(IF(VLOOKUP(C437,'Weekly Dump'!B:B,1,0)=C437,"Yes","Missing"),"")</f>
        <v/>
      </c>
      <c r="AB437" s="66"/>
    </row>
    <row r="438">
      <c r="B438" s="63"/>
      <c r="C438" s="63"/>
      <c r="G438" s="3" t="str">
        <f t="shared" si="26"/>
        <v/>
      </c>
      <c r="I438" s="4">
        <f>SUMIFS('Weekly Dump'!D:D,'Weekly Dump'!B:B,C438)</f>
        <v>0</v>
      </c>
      <c r="J438" s="5">
        <f>SUMIFS('Weekly Dump'!AE:AE,'Weekly Dump'!B:B,C438)</f>
        <v>0</v>
      </c>
      <c r="K438" s="4">
        <f>SUMPRODUCT(
  (TEXT('Weekly Dump'!$A$2:$A1009,"mmm-yy")=TEXT($AB438,"mmm-yy"))*
  ('Weekly Dump'!$B$2:$B1009=$C438)*
  'Weekly Dump'!$D$2:$D1009)</f>
        <v>0</v>
      </c>
      <c r="L438" s="4">
        <f>SUMPRODUCT(
  (TEXT('Weekly Dump'!$A$2:$A1009,"mmm-yy")=TEXT($AB438,"mmm-yy"))*
  ('Weekly Dump'!$B$2:$B1009=$C438)*
  'Weekly Dump'!$E$2:$E1009
)</f>
        <v>0</v>
      </c>
      <c r="M438" s="4">
        <f>SUMPRODUCT(
  (TEXT('Weekly Dump'!$A$2:$A1009,"mmm-yy")=TEXT($AB438,"mmm-yy"))*
  ('Weekly Dump'!$B$2:$B1009=$C438)*
  'Weekly Dump'!$P$2:$P1009
)</f>
        <v>0</v>
      </c>
      <c r="N438" s="39"/>
      <c r="O438" s="40">
        <f>SUMIFS('Weekly Dump'!$D:$D,'Weekly Dump'!$B:$B,$C438,'Weekly Dump'!$A:$A,$AB438)</f>
        <v>0</v>
      </c>
      <c r="P438" s="40">
        <f>SUMIFS('Weekly Dump'!R:R,'Weekly Dump'!B:B,C438,'Weekly Dump'!A:A,AB438)</f>
        <v>0</v>
      </c>
      <c r="Q438" s="40">
        <f t="shared" si="20"/>
        <v>0</v>
      </c>
      <c r="R438" s="41"/>
      <c r="T438" s="4">
        <f>SUMIFS('Weekly Dump'!E:E,'Weekly Dump'!B:B,C438,'Weekly Dump'!A:A,AB438)</f>
        <v>0</v>
      </c>
      <c r="U438" s="3">
        <f t="shared" si="21"/>
        <v>0</v>
      </c>
      <c r="V438" s="42"/>
      <c r="X438" s="4">
        <f>SUMIFS('Weekly Dump'!P:P,'Weekly Dump'!B:B,C438,'Weekly Dump'!A:A,AB438)</f>
        <v>0</v>
      </c>
      <c r="Y438" s="4">
        <f t="shared" si="22"/>
        <v>0</v>
      </c>
      <c r="Z438" s="41"/>
      <c r="AA438" s="12" t="str">
        <f>iferror(IF(VLOOKUP(C438,'Weekly Dump'!B:B,1,0)=C438,"Yes","Missing"),"")</f>
        <v/>
      </c>
      <c r="AB438" s="66"/>
    </row>
    <row r="439">
      <c r="B439" s="63"/>
      <c r="C439" s="63"/>
      <c r="G439" s="3" t="str">
        <f t="shared" si="26"/>
        <v/>
      </c>
      <c r="I439" s="4">
        <f>SUMIFS('Weekly Dump'!D:D,'Weekly Dump'!B:B,C439)</f>
        <v>0</v>
      </c>
      <c r="J439" s="5">
        <f>SUMIFS('Weekly Dump'!AE:AE,'Weekly Dump'!B:B,C439)</f>
        <v>0</v>
      </c>
      <c r="K439" s="4">
        <f>SUMPRODUCT(
  (TEXT('Weekly Dump'!$A$2:$A1009,"mmm-yy")=TEXT($AB439,"mmm-yy"))*
  ('Weekly Dump'!$B$2:$B1009=$C439)*
  'Weekly Dump'!$D$2:$D1009)</f>
        <v>0</v>
      </c>
      <c r="L439" s="4">
        <f>SUMPRODUCT(
  (TEXT('Weekly Dump'!$A$2:$A1009,"mmm-yy")=TEXT($AB439,"mmm-yy"))*
  ('Weekly Dump'!$B$2:$B1009=$C439)*
  'Weekly Dump'!$E$2:$E1009
)</f>
        <v>0</v>
      </c>
      <c r="M439" s="4">
        <f>SUMPRODUCT(
  (TEXT('Weekly Dump'!$A$2:$A1009,"mmm-yy")=TEXT($AB439,"mmm-yy"))*
  ('Weekly Dump'!$B$2:$B1009=$C439)*
  'Weekly Dump'!$P$2:$P1009
)</f>
        <v>0</v>
      </c>
      <c r="N439" s="39"/>
      <c r="O439" s="40">
        <f>SUMIFS('Weekly Dump'!$D:$D,'Weekly Dump'!$B:$B,$C439,'Weekly Dump'!$A:$A,$AB439)</f>
        <v>0</v>
      </c>
      <c r="P439" s="40">
        <f>SUMIFS('Weekly Dump'!R:R,'Weekly Dump'!B:B,C439,'Weekly Dump'!A:A,AB439)</f>
        <v>0</v>
      </c>
      <c r="Q439" s="40">
        <f t="shared" si="20"/>
        <v>0</v>
      </c>
      <c r="R439" s="41"/>
      <c r="T439" s="4">
        <f>SUMIFS('Weekly Dump'!E:E,'Weekly Dump'!B:B,C439,'Weekly Dump'!A:A,AB439)</f>
        <v>0</v>
      </c>
      <c r="U439" s="3">
        <f t="shared" si="21"/>
        <v>0</v>
      </c>
      <c r="V439" s="42"/>
      <c r="X439" s="4">
        <f>SUMIFS('Weekly Dump'!P:P,'Weekly Dump'!B:B,C439,'Weekly Dump'!A:A,AB439)</f>
        <v>0</v>
      </c>
      <c r="Y439" s="4">
        <f t="shared" si="22"/>
        <v>0</v>
      </c>
      <c r="Z439" s="41"/>
      <c r="AA439" s="12" t="str">
        <f>iferror(IF(VLOOKUP(C439,'Weekly Dump'!B:B,1,0)=C439,"Yes","Missing"),"")</f>
        <v/>
      </c>
      <c r="AB439" s="66"/>
    </row>
    <row r="440">
      <c r="B440" s="63"/>
      <c r="C440" s="63"/>
      <c r="G440" s="3" t="str">
        <f t="shared" si="26"/>
        <v/>
      </c>
      <c r="I440" s="4">
        <f>SUMIFS('Weekly Dump'!D:D,'Weekly Dump'!B:B,C440)</f>
        <v>0</v>
      </c>
      <c r="J440" s="5">
        <f>SUMIFS('Weekly Dump'!AE:AE,'Weekly Dump'!B:B,C440)</f>
        <v>0</v>
      </c>
      <c r="K440" s="4">
        <f>SUMPRODUCT(
  (TEXT('Weekly Dump'!$A$2:$A1009,"mmm-yy")=TEXT($AB440,"mmm-yy"))*
  ('Weekly Dump'!$B$2:$B1009=$C440)*
  'Weekly Dump'!$D$2:$D1009)</f>
        <v>0</v>
      </c>
      <c r="L440" s="4">
        <f>SUMPRODUCT(
  (TEXT('Weekly Dump'!$A$2:$A1009,"mmm-yy")=TEXT($AB440,"mmm-yy"))*
  ('Weekly Dump'!$B$2:$B1009=$C440)*
  'Weekly Dump'!$E$2:$E1009
)</f>
        <v>0</v>
      </c>
      <c r="M440" s="4">
        <f>SUMPRODUCT(
  (TEXT('Weekly Dump'!$A$2:$A1009,"mmm-yy")=TEXT($AB440,"mmm-yy"))*
  ('Weekly Dump'!$B$2:$B1009=$C440)*
  'Weekly Dump'!$P$2:$P1009
)</f>
        <v>0</v>
      </c>
      <c r="N440" s="39"/>
      <c r="O440" s="40">
        <f>SUMIFS('Weekly Dump'!$D:$D,'Weekly Dump'!$B:$B,$C440,'Weekly Dump'!$A:$A,$AB440)</f>
        <v>0</v>
      </c>
      <c r="P440" s="40">
        <f>SUMIFS('Weekly Dump'!R:R,'Weekly Dump'!B:B,C440,'Weekly Dump'!A:A,AB440)</f>
        <v>0</v>
      </c>
      <c r="Q440" s="40">
        <f t="shared" si="20"/>
        <v>0</v>
      </c>
      <c r="R440" s="41"/>
      <c r="T440" s="4">
        <f>SUMIFS('Weekly Dump'!E:E,'Weekly Dump'!B:B,C440,'Weekly Dump'!A:A,AB440)</f>
        <v>0</v>
      </c>
      <c r="U440" s="3">
        <f t="shared" si="21"/>
        <v>0</v>
      </c>
      <c r="V440" s="42"/>
      <c r="X440" s="4">
        <f>SUMIFS('Weekly Dump'!P:P,'Weekly Dump'!B:B,C440,'Weekly Dump'!A:A,AB440)</f>
        <v>0</v>
      </c>
      <c r="Y440" s="4">
        <f t="shared" si="22"/>
        <v>0</v>
      </c>
      <c r="Z440" s="41"/>
      <c r="AA440" s="12" t="str">
        <f>iferror(IF(VLOOKUP(C440,'Weekly Dump'!B:B,1,0)=C440,"Yes","Missing"),"")</f>
        <v/>
      </c>
      <c r="AB440" s="66"/>
    </row>
    <row r="441">
      <c r="B441" s="63"/>
      <c r="C441" s="63"/>
      <c r="G441" s="3" t="str">
        <f t="shared" si="26"/>
        <v/>
      </c>
      <c r="I441" s="4">
        <f>SUMIFS('Weekly Dump'!D:D,'Weekly Dump'!B:B,C441)</f>
        <v>0</v>
      </c>
      <c r="J441" s="5">
        <f>SUMIFS('Weekly Dump'!AE:AE,'Weekly Dump'!B:B,C441)</f>
        <v>0</v>
      </c>
      <c r="K441" s="4">
        <f>SUMPRODUCT(
  (TEXT('Weekly Dump'!$A$2:$A1009,"mmm-yy")=TEXT($AB441,"mmm-yy"))*
  ('Weekly Dump'!$B$2:$B1009=$C441)*
  'Weekly Dump'!$D$2:$D1009)</f>
        <v>0</v>
      </c>
      <c r="L441" s="4">
        <f>SUMPRODUCT(
  (TEXT('Weekly Dump'!$A$2:$A1009,"mmm-yy")=TEXT($AB441,"mmm-yy"))*
  ('Weekly Dump'!$B$2:$B1009=$C441)*
  'Weekly Dump'!$E$2:$E1009
)</f>
        <v>0</v>
      </c>
      <c r="M441" s="4">
        <f>SUMPRODUCT(
  (TEXT('Weekly Dump'!$A$2:$A1009,"mmm-yy")=TEXT($AB441,"mmm-yy"))*
  ('Weekly Dump'!$B$2:$B1009=$C441)*
  'Weekly Dump'!$P$2:$P1009
)</f>
        <v>0</v>
      </c>
      <c r="N441" s="39"/>
      <c r="O441" s="40">
        <f>SUMIFS('Weekly Dump'!$D:$D,'Weekly Dump'!$B:$B,$C441,'Weekly Dump'!$A:$A,$AB441)</f>
        <v>0</v>
      </c>
      <c r="P441" s="40">
        <f>SUMIFS('Weekly Dump'!R:R,'Weekly Dump'!B:B,C441,'Weekly Dump'!A:A,AB441)</f>
        <v>0</v>
      </c>
      <c r="Q441" s="40">
        <f t="shared" si="20"/>
        <v>0</v>
      </c>
      <c r="R441" s="41"/>
      <c r="T441" s="4">
        <f>SUMIFS('Weekly Dump'!E:E,'Weekly Dump'!B:B,C441,'Weekly Dump'!A:A,AB441)</f>
        <v>0</v>
      </c>
      <c r="U441" s="3">
        <f t="shared" si="21"/>
        <v>0</v>
      </c>
      <c r="V441" s="42"/>
      <c r="X441" s="4">
        <f>SUMIFS('Weekly Dump'!P:P,'Weekly Dump'!B:B,C441,'Weekly Dump'!A:A,AB441)</f>
        <v>0</v>
      </c>
      <c r="Y441" s="4">
        <f t="shared" si="22"/>
        <v>0</v>
      </c>
      <c r="Z441" s="41"/>
      <c r="AA441" s="12" t="str">
        <f>iferror(IF(VLOOKUP(C441,'Weekly Dump'!B:B,1,0)=C441,"Yes","Missing"),"")</f>
        <v/>
      </c>
      <c r="AB441" s="66"/>
    </row>
    <row r="442">
      <c r="B442" s="63"/>
      <c r="C442" s="63"/>
      <c r="G442" s="3" t="str">
        <f t="shared" si="26"/>
        <v/>
      </c>
      <c r="I442" s="4">
        <f>SUMIFS('Weekly Dump'!D:D,'Weekly Dump'!B:B,C442)</f>
        <v>0</v>
      </c>
      <c r="J442" s="5">
        <f>SUMIFS('Weekly Dump'!AE:AE,'Weekly Dump'!B:B,C442)</f>
        <v>0</v>
      </c>
      <c r="K442" s="4">
        <f>SUMPRODUCT(
  (TEXT('Weekly Dump'!$A$2:$A1009,"mmm-yy")=TEXT($AB442,"mmm-yy"))*
  ('Weekly Dump'!$B$2:$B1009=$C442)*
  'Weekly Dump'!$D$2:$D1009)</f>
        <v>0</v>
      </c>
      <c r="L442" s="4">
        <f>SUMPRODUCT(
  (TEXT('Weekly Dump'!$A$2:$A1009,"mmm-yy")=TEXT($AB442,"mmm-yy"))*
  ('Weekly Dump'!$B$2:$B1009=$C442)*
  'Weekly Dump'!$E$2:$E1009
)</f>
        <v>0</v>
      </c>
      <c r="M442" s="4">
        <f>SUMPRODUCT(
  (TEXT('Weekly Dump'!$A$2:$A1009,"mmm-yy")=TEXT($AB442,"mmm-yy"))*
  ('Weekly Dump'!$B$2:$B1009=$C442)*
  'Weekly Dump'!$P$2:$P1009
)</f>
        <v>0</v>
      </c>
      <c r="N442" s="39"/>
      <c r="O442" s="40">
        <f>SUMIFS('Weekly Dump'!$D:$D,'Weekly Dump'!$B:$B,$C442,'Weekly Dump'!$A:$A,$AB442)</f>
        <v>0</v>
      </c>
      <c r="P442" s="40">
        <f>SUMIFS('Weekly Dump'!R:R,'Weekly Dump'!B:B,C442,'Weekly Dump'!A:A,AB442)</f>
        <v>0</v>
      </c>
      <c r="Q442" s="40">
        <f t="shared" si="20"/>
        <v>0</v>
      </c>
      <c r="R442" s="41"/>
      <c r="T442" s="4">
        <f>SUMIFS('Weekly Dump'!E:E,'Weekly Dump'!B:B,C442,'Weekly Dump'!A:A,AB442)</f>
        <v>0</v>
      </c>
      <c r="U442" s="3">
        <f t="shared" si="21"/>
        <v>0</v>
      </c>
      <c r="V442" s="42"/>
      <c r="X442" s="4">
        <f>SUMIFS('Weekly Dump'!P:P,'Weekly Dump'!B:B,C442,'Weekly Dump'!A:A,AB442)</f>
        <v>0</v>
      </c>
      <c r="Y442" s="4">
        <f t="shared" si="22"/>
        <v>0</v>
      </c>
      <c r="Z442" s="41"/>
      <c r="AA442" s="12" t="str">
        <f>iferror(IF(VLOOKUP(C442,'Weekly Dump'!B:B,1,0)=C442,"Yes","Missing"),"")</f>
        <v/>
      </c>
      <c r="AB442" s="66"/>
    </row>
    <row r="443">
      <c r="B443" s="63"/>
      <c r="C443" s="63"/>
      <c r="G443" s="3" t="str">
        <f t="shared" si="26"/>
        <v/>
      </c>
      <c r="I443" s="4">
        <f>SUMIFS('Weekly Dump'!D:D,'Weekly Dump'!B:B,C443)</f>
        <v>0</v>
      </c>
      <c r="J443" s="5">
        <f>SUMIFS('Weekly Dump'!AE:AE,'Weekly Dump'!B:B,C443)</f>
        <v>0</v>
      </c>
      <c r="K443" s="4">
        <f>SUMPRODUCT(
  (TEXT('Weekly Dump'!$A$2:$A1009,"mmm-yy")=TEXT($AB443,"mmm-yy"))*
  ('Weekly Dump'!$B$2:$B1009=$C443)*
  'Weekly Dump'!$D$2:$D1009)</f>
        <v>0</v>
      </c>
      <c r="L443" s="4">
        <f>SUMPRODUCT(
  (TEXT('Weekly Dump'!$A$2:$A1009,"mmm-yy")=TEXT($AB443,"mmm-yy"))*
  ('Weekly Dump'!$B$2:$B1009=$C443)*
  'Weekly Dump'!$E$2:$E1009
)</f>
        <v>0</v>
      </c>
      <c r="M443" s="4">
        <f>SUMPRODUCT(
  (TEXT('Weekly Dump'!$A$2:$A1009,"mmm-yy")=TEXT($AB443,"mmm-yy"))*
  ('Weekly Dump'!$B$2:$B1009=$C443)*
  'Weekly Dump'!$P$2:$P1009
)</f>
        <v>0</v>
      </c>
      <c r="N443" s="39"/>
      <c r="O443" s="40">
        <f>SUMIFS('Weekly Dump'!$D:$D,'Weekly Dump'!$B:$B,$C443,'Weekly Dump'!$A:$A,$AB443)</f>
        <v>0</v>
      </c>
      <c r="P443" s="40">
        <f>SUMIFS('Weekly Dump'!R:R,'Weekly Dump'!B:B,C443,'Weekly Dump'!A:A,AB443)</f>
        <v>0</v>
      </c>
      <c r="Q443" s="40">
        <f t="shared" si="20"/>
        <v>0</v>
      </c>
      <c r="R443" s="41"/>
      <c r="T443" s="4">
        <f>SUMIFS('Weekly Dump'!E:E,'Weekly Dump'!B:B,C443,'Weekly Dump'!A:A,AB443)</f>
        <v>0</v>
      </c>
      <c r="U443" s="3">
        <f t="shared" si="21"/>
        <v>0</v>
      </c>
      <c r="V443" s="42"/>
      <c r="X443" s="4">
        <f>SUMIFS('Weekly Dump'!P:P,'Weekly Dump'!B:B,C443,'Weekly Dump'!A:A,AB443)</f>
        <v>0</v>
      </c>
      <c r="Y443" s="4">
        <f t="shared" si="22"/>
        <v>0</v>
      </c>
      <c r="Z443" s="41"/>
      <c r="AA443" s="12" t="str">
        <f>iferror(IF(VLOOKUP(C443,'Weekly Dump'!B:B,1,0)=C443,"Yes","Missing"),"")</f>
        <v/>
      </c>
      <c r="AB443" s="66"/>
    </row>
    <row r="444">
      <c r="B444" s="63"/>
      <c r="C444" s="63"/>
      <c r="G444" s="3" t="str">
        <f t="shared" si="26"/>
        <v/>
      </c>
      <c r="I444" s="4">
        <f>SUMIFS('Weekly Dump'!D:D,'Weekly Dump'!B:B,C444)</f>
        <v>0</v>
      </c>
      <c r="J444" s="5">
        <f>SUMIFS('Weekly Dump'!AE:AE,'Weekly Dump'!B:B,C444)</f>
        <v>0</v>
      </c>
      <c r="K444" s="4">
        <f>SUMPRODUCT(
  (TEXT('Weekly Dump'!$A$2:$A1009,"mmm-yy")=TEXT($AB444,"mmm-yy"))*
  ('Weekly Dump'!$B$2:$B1009=$C444)*
  'Weekly Dump'!$D$2:$D1009)</f>
        <v>0</v>
      </c>
      <c r="L444" s="4">
        <f>SUMPRODUCT(
  (TEXT('Weekly Dump'!$A$2:$A1009,"mmm-yy")=TEXT($AB444,"mmm-yy"))*
  ('Weekly Dump'!$B$2:$B1009=$C444)*
  'Weekly Dump'!$E$2:$E1009
)</f>
        <v>0</v>
      </c>
      <c r="M444" s="4">
        <f>SUMPRODUCT(
  (TEXT('Weekly Dump'!$A$2:$A1009,"mmm-yy")=TEXT($AB444,"mmm-yy"))*
  ('Weekly Dump'!$B$2:$B1009=$C444)*
  'Weekly Dump'!$P$2:$P1009
)</f>
        <v>0</v>
      </c>
      <c r="N444" s="39"/>
      <c r="O444" s="40">
        <f>SUMIFS('Weekly Dump'!$D:$D,'Weekly Dump'!$B:$B,$C444,'Weekly Dump'!$A:$A,$AB444)</f>
        <v>0</v>
      </c>
      <c r="P444" s="40">
        <f>SUMIFS('Weekly Dump'!R:R,'Weekly Dump'!B:B,C444,'Weekly Dump'!A:A,AB444)</f>
        <v>0</v>
      </c>
      <c r="Q444" s="40">
        <f t="shared" si="20"/>
        <v>0</v>
      </c>
      <c r="R444" s="41"/>
      <c r="T444" s="4">
        <f>SUMIFS('Weekly Dump'!E:E,'Weekly Dump'!B:B,C444,'Weekly Dump'!A:A,AB444)</f>
        <v>0</v>
      </c>
      <c r="U444" s="3">
        <f t="shared" si="21"/>
        <v>0</v>
      </c>
      <c r="V444" s="42"/>
      <c r="X444" s="4">
        <f>SUMIFS('Weekly Dump'!P:P,'Weekly Dump'!B:B,C444,'Weekly Dump'!A:A,AB444)</f>
        <v>0</v>
      </c>
      <c r="Y444" s="4">
        <f t="shared" si="22"/>
        <v>0</v>
      </c>
      <c r="Z444" s="41"/>
      <c r="AA444" s="12" t="str">
        <f>iferror(IF(VLOOKUP(C444,'Weekly Dump'!B:B,1,0)=C444,"Yes","Missing"),"")</f>
        <v/>
      </c>
      <c r="AB444" s="66"/>
    </row>
    <row r="445">
      <c r="B445" s="63"/>
      <c r="C445" s="63"/>
      <c r="G445" s="3" t="str">
        <f t="shared" si="26"/>
        <v/>
      </c>
      <c r="I445" s="4">
        <f>SUMIFS('Weekly Dump'!D:D,'Weekly Dump'!B:B,C445)</f>
        <v>0</v>
      </c>
      <c r="J445" s="5">
        <f>SUMIFS('Weekly Dump'!AE:AE,'Weekly Dump'!B:B,C445)</f>
        <v>0</v>
      </c>
      <c r="K445" s="4">
        <f>SUMPRODUCT(
  (TEXT('Weekly Dump'!$A$2:$A1009,"mmm-yy")=TEXT($AB445,"mmm-yy"))*
  ('Weekly Dump'!$B$2:$B1009=$C445)*
  'Weekly Dump'!$D$2:$D1009)</f>
        <v>0</v>
      </c>
      <c r="L445" s="4">
        <f>SUMPRODUCT(
  (TEXT('Weekly Dump'!$A$2:$A1009,"mmm-yy")=TEXT($AB445,"mmm-yy"))*
  ('Weekly Dump'!$B$2:$B1009=$C445)*
  'Weekly Dump'!$E$2:$E1009
)</f>
        <v>0</v>
      </c>
      <c r="M445" s="4">
        <f>SUMPRODUCT(
  (TEXT('Weekly Dump'!$A$2:$A1009,"mmm-yy")=TEXT($AB445,"mmm-yy"))*
  ('Weekly Dump'!$B$2:$B1009=$C445)*
  'Weekly Dump'!$P$2:$P1009
)</f>
        <v>0</v>
      </c>
      <c r="N445" s="39"/>
      <c r="O445" s="40">
        <f>SUMIFS('Weekly Dump'!$D:$D,'Weekly Dump'!$B:$B,$C445,'Weekly Dump'!$A:$A,$AB445)</f>
        <v>0</v>
      </c>
      <c r="P445" s="40">
        <f>SUMIFS('Weekly Dump'!R:R,'Weekly Dump'!B:B,C445,'Weekly Dump'!A:A,AB445)</f>
        <v>0</v>
      </c>
      <c r="Q445" s="40">
        <f t="shared" si="20"/>
        <v>0</v>
      </c>
      <c r="R445" s="41"/>
      <c r="T445" s="4">
        <f>SUMIFS('Weekly Dump'!E:E,'Weekly Dump'!B:B,C445,'Weekly Dump'!A:A,AB445)</f>
        <v>0</v>
      </c>
      <c r="U445" s="3">
        <f t="shared" si="21"/>
        <v>0</v>
      </c>
      <c r="V445" s="42"/>
      <c r="X445" s="4">
        <f>SUMIFS('Weekly Dump'!P:P,'Weekly Dump'!B:B,C445,'Weekly Dump'!A:A,AB445)</f>
        <v>0</v>
      </c>
      <c r="Y445" s="4">
        <f t="shared" si="22"/>
        <v>0</v>
      </c>
      <c r="Z445" s="41"/>
      <c r="AA445" s="12" t="str">
        <f>iferror(IF(VLOOKUP(C445,'Weekly Dump'!B:B,1,0)=C445,"Yes","Missing"),"")</f>
        <v/>
      </c>
      <c r="AB445" s="66"/>
    </row>
    <row r="446">
      <c r="B446" s="63"/>
      <c r="C446" s="63"/>
      <c r="G446" s="3" t="str">
        <f t="shared" si="26"/>
        <v/>
      </c>
      <c r="I446" s="4">
        <f>SUMIFS('Weekly Dump'!D:D,'Weekly Dump'!B:B,C446)</f>
        <v>0</v>
      </c>
      <c r="J446" s="5">
        <f>SUMIFS('Weekly Dump'!AE:AE,'Weekly Dump'!B:B,C446)</f>
        <v>0</v>
      </c>
      <c r="K446" s="4">
        <f>SUMPRODUCT(
  (TEXT('Weekly Dump'!$A$2:$A1009,"mmm-yy")=TEXT($AB446,"mmm-yy"))*
  ('Weekly Dump'!$B$2:$B1009=$C446)*
  'Weekly Dump'!$D$2:$D1009)</f>
        <v>0</v>
      </c>
      <c r="L446" s="4">
        <f>SUMPRODUCT(
  (TEXT('Weekly Dump'!$A$2:$A1009,"mmm-yy")=TEXT($AB446,"mmm-yy"))*
  ('Weekly Dump'!$B$2:$B1009=$C446)*
  'Weekly Dump'!$E$2:$E1009
)</f>
        <v>0</v>
      </c>
      <c r="M446" s="4">
        <f>SUMPRODUCT(
  (TEXT('Weekly Dump'!$A$2:$A1009,"mmm-yy")=TEXT($AB446,"mmm-yy"))*
  ('Weekly Dump'!$B$2:$B1009=$C446)*
  'Weekly Dump'!$P$2:$P1009
)</f>
        <v>0</v>
      </c>
      <c r="N446" s="39"/>
      <c r="O446" s="40">
        <f>SUMIFS('Weekly Dump'!$D:$D,'Weekly Dump'!$B:$B,$C446,'Weekly Dump'!$A:$A,$AB446)</f>
        <v>0</v>
      </c>
      <c r="P446" s="40">
        <f>SUMIFS('Weekly Dump'!R:R,'Weekly Dump'!B:B,C446,'Weekly Dump'!A:A,AB446)</f>
        <v>0</v>
      </c>
      <c r="Q446" s="40">
        <f t="shared" si="20"/>
        <v>0</v>
      </c>
      <c r="R446" s="41"/>
      <c r="T446" s="4">
        <f>SUMIFS('Weekly Dump'!E:E,'Weekly Dump'!B:B,C446,'Weekly Dump'!A:A,AB446)</f>
        <v>0</v>
      </c>
      <c r="U446" s="3">
        <f t="shared" si="21"/>
        <v>0</v>
      </c>
      <c r="V446" s="42"/>
      <c r="X446" s="4">
        <f>SUMIFS('Weekly Dump'!P:P,'Weekly Dump'!B:B,C446,'Weekly Dump'!A:A,AB446)</f>
        <v>0</v>
      </c>
      <c r="Y446" s="4">
        <f t="shared" si="22"/>
        <v>0</v>
      </c>
      <c r="Z446" s="41"/>
      <c r="AA446" s="12" t="str">
        <f>iferror(IF(VLOOKUP(C446,'Weekly Dump'!B:B,1,0)=C446,"Yes","Missing"),"")</f>
        <v/>
      </c>
      <c r="AB446" s="66"/>
    </row>
    <row r="447">
      <c r="B447" s="63"/>
      <c r="C447" s="63"/>
      <c r="G447" s="3" t="str">
        <f t="shared" si="26"/>
        <v/>
      </c>
      <c r="I447" s="4">
        <f>SUMIFS('Weekly Dump'!D:D,'Weekly Dump'!B:B,C447)</f>
        <v>0</v>
      </c>
      <c r="J447" s="5">
        <f>SUMIFS('Weekly Dump'!AE:AE,'Weekly Dump'!B:B,C447)</f>
        <v>0</v>
      </c>
      <c r="K447" s="4">
        <f>SUMPRODUCT(
  (TEXT('Weekly Dump'!$A$2:$A1009,"mmm-yy")=TEXT($AB447,"mmm-yy"))*
  ('Weekly Dump'!$B$2:$B1009=$C447)*
  'Weekly Dump'!$D$2:$D1009)</f>
        <v>0</v>
      </c>
      <c r="L447" s="4">
        <f>SUMPRODUCT(
  (TEXT('Weekly Dump'!$A$2:$A1009,"mmm-yy")=TEXT($AB447,"mmm-yy"))*
  ('Weekly Dump'!$B$2:$B1009=$C447)*
  'Weekly Dump'!$E$2:$E1009
)</f>
        <v>0</v>
      </c>
      <c r="M447" s="4">
        <f>SUMPRODUCT(
  (TEXT('Weekly Dump'!$A$2:$A1009,"mmm-yy")=TEXT($AB447,"mmm-yy"))*
  ('Weekly Dump'!$B$2:$B1009=$C447)*
  'Weekly Dump'!$P$2:$P1009
)</f>
        <v>0</v>
      </c>
      <c r="N447" s="39"/>
      <c r="O447" s="40">
        <f>SUMIFS('Weekly Dump'!$D:$D,'Weekly Dump'!$B:$B,$C447,'Weekly Dump'!$A:$A,$AB447)</f>
        <v>0</v>
      </c>
      <c r="P447" s="40">
        <f>SUMIFS('Weekly Dump'!R:R,'Weekly Dump'!B:B,C447,'Weekly Dump'!A:A,AB447)</f>
        <v>0</v>
      </c>
      <c r="Q447" s="40">
        <f t="shared" si="20"/>
        <v>0</v>
      </c>
      <c r="R447" s="41"/>
      <c r="T447" s="4">
        <f>SUMIFS('Weekly Dump'!E:E,'Weekly Dump'!B:B,C447,'Weekly Dump'!A:A,AB447)</f>
        <v>0</v>
      </c>
      <c r="U447" s="3">
        <f t="shared" si="21"/>
        <v>0</v>
      </c>
      <c r="V447" s="42"/>
      <c r="X447" s="4">
        <f>SUMIFS('Weekly Dump'!P:P,'Weekly Dump'!B:B,C447,'Weekly Dump'!A:A,AB447)</f>
        <v>0</v>
      </c>
      <c r="Y447" s="4">
        <f t="shared" si="22"/>
        <v>0</v>
      </c>
      <c r="Z447" s="41"/>
      <c r="AA447" s="12" t="str">
        <f>iferror(IF(VLOOKUP(C447,'Weekly Dump'!B:B,1,0)=C447,"Yes","Missing"),"")</f>
        <v/>
      </c>
      <c r="AB447" s="66"/>
    </row>
    <row r="448">
      <c r="B448" s="63"/>
      <c r="C448" s="63"/>
      <c r="G448" s="3" t="str">
        <f t="shared" si="26"/>
        <v/>
      </c>
      <c r="I448" s="4">
        <f>SUMIFS('Weekly Dump'!D:D,'Weekly Dump'!B:B,C448)</f>
        <v>0</v>
      </c>
      <c r="J448" s="5">
        <f>SUMIFS('Weekly Dump'!AE:AE,'Weekly Dump'!B:B,C448)</f>
        <v>0</v>
      </c>
      <c r="K448" s="4">
        <f>SUMPRODUCT(
  (TEXT('Weekly Dump'!$A$2:$A1009,"mmm-yy")=TEXT($AB448,"mmm-yy"))*
  ('Weekly Dump'!$B$2:$B1009=$C448)*
  'Weekly Dump'!$D$2:$D1009)</f>
        <v>0</v>
      </c>
      <c r="L448" s="4">
        <f>SUMPRODUCT(
  (TEXT('Weekly Dump'!$A$2:$A1009,"mmm-yy")=TEXT($AB448,"mmm-yy"))*
  ('Weekly Dump'!$B$2:$B1009=$C448)*
  'Weekly Dump'!$E$2:$E1009
)</f>
        <v>0</v>
      </c>
      <c r="M448" s="4">
        <f>SUMPRODUCT(
  (TEXT('Weekly Dump'!$A$2:$A1009,"mmm-yy")=TEXT($AB448,"mmm-yy"))*
  ('Weekly Dump'!$B$2:$B1009=$C448)*
  'Weekly Dump'!$P$2:$P1009
)</f>
        <v>0</v>
      </c>
      <c r="N448" s="39"/>
      <c r="O448" s="40">
        <f>SUMIFS('Weekly Dump'!$D:$D,'Weekly Dump'!$B:$B,$C448,'Weekly Dump'!$A:$A,$AB448)</f>
        <v>0</v>
      </c>
      <c r="P448" s="40">
        <f>SUMIFS('Weekly Dump'!R:R,'Weekly Dump'!B:B,C448,'Weekly Dump'!A:A,AB448)</f>
        <v>0</v>
      </c>
      <c r="Q448" s="40">
        <f t="shared" si="20"/>
        <v>0</v>
      </c>
      <c r="R448" s="41"/>
      <c r="T448" s="4">
        <f>SUMIFS('Weekly Dump'!E:E,'Weekly Dump'!B:B,C448,'Weekly Dump'!A:A,AB448)</f>
        <v>0</v>
      </c>
      <c r="U448" s="3">
        <f t="shared" si="21"/>
        <v>0</v>
      </c>
      <c r="V448" s="42"/>
      <c r="X448" s="4">
        <f>SUMIFS('Weekly Dump'!P:P,'Weekly Dump'!B:B,C448,'Weekly Dump'!A:A,AB448)</f>
        <v>0</v>
      </c>
      <c r="Y448" s="4">
        <f t="shared" si="22"/>
        <v>0</v>
      </c>
      <c r="Z448" s="41"/>
      <c r="AA448" s="12" t="str">
        <f>iferror(IF(VLOOKUP(C448,'Weekly Dump'!B:B,1,0)=C448,"Yes","Missing"),"")</f>
        <v/>
      </c>
      <c r="AB448" s="66"/>
    </row>
    <row r="449">
      <c r="B449" s="63"/>
      <c r="C449" s="63"/>
      <c r="G449" s="3" t="str">
        <f t="shared" si="26"/>
        <v/>
      </c>
      <c r="I449" s="4">
        <f>SUMIFS('Weekly Dump'!D:D,'Weekly Dump'!B:B,C449)</f>
        <v>0</v>
      </c>
      <c r="J449" s="5">
        <f>SUMIFS('Weekly Dump'!AE:AE,'Weekly Dump'!B:B,C449)</f>
        <v>0</v>
      </c>
      <c r="K449" s="4">
        <f>SUMPRODUCT(
  (TEXT('Weekly Dump'!$A$2:$A1009,"mmm-yy")=TEXT($AB449,"mmm-yy"))*
  ('Weekly Dump'!$B$2:$B1009=$C449)*
  'Weekly Dump'!$D$2:$D1009)</f>
        <v>0</v>
      </c>
      <c r="L449" s="4">
        <f>SUMPRODUCT(
  (TEXT('Weekly Dump'!$A$2:$A1009,"mmm-yy")=TEXT($AB449,"mmm-yy"))*
  ('Weekly Dump'!$B$2:$B1009=$C449)*
  'Weekly Dump'!$E$2:$E1009
)</f>
        <v>0</v>
      </c>
      <c r="M449" s="4">
        <f>SUMPRODUCT(
  (TEXT('Weekly Dump'!$A$2:$A1009,"mmm-yy")=TEXT($AB449,"mmm-yy"))*
  ('Weekly Dump'!$B$2:$B1009=$C449)*
  'Weekly Dump'!$P$2:$P1009
)</f>
        <v>0</v>
      </c>
      <c r="N449" s="39"/>
      <c r="O449" s="40">
        <f>SUMIFS('Weekly Dump'!$D:$D,'Weekly Dump'!$B:$B,$C449,'Weekly Dump'!$A:$A,$AB449)</f>
        <v>0</v>
      </c>
      <c r="P449" s="40">
        <f>SUMIFS('Weekly Dump'!R:R,'Weekly Dump'!B:B,C449,'Weekly Dump'!A:A,AB449)</f>
        <v>0</v>
      </c>
      <c r="Q449" s="40">
        <f t="shared" si="20"/>
        <v>0</v>
      </c>
      <c r="R449" s="41"/>
      <c r="T449" s="4">
        <f>SUMIFS('Weekly Dump'!E:E,'Weekly Dump'!B:B,C449,'Weekly Dump'!A:A,AB449)</f>
        <v>0</v>
      </c>
      <c r="U449" s="3">
        <f t="shared" si="21"/>
        <v>0</v>
      </c>
      <c r="V449" s="42"/>
      <c r="X449" s="4">
        <f>SUMIFS('Weekly Dump'!P:P,'Weekly Dump'!B:B,C449,'Weekly Dump'!A:A,AB449)</f>
        <v>0</v>
      </c>
      <c r="Y449" s="4">
        <f t="shared" si="22"/>
        <v>0</v>
      </c>
      <c r="Z449" s="41"/>
      <c r="AA449" s="12" t="str">
        <f>iferror(IF(VLOOKUP(C449,'Weekly Dump'!B:B,1,0)=C449,"Yes","Missing"),"")</f>
        <v/>
      </c>
      <c r="AB449" s="66"/>
    </row>
    <row r="450">
      <c r="B450" s="63"/>
      <c r="C450" s="63"/>
      <c r="G450" s="3" t="str">
        <f t="shared" si="26"/>
        <v/>
      </c>
      <c r="I450" s="4">
        <f>SUMIFS('Weekly Dump'!D:D,'Weekly Dump'!B:B,C450)</f>
        <v>0</v>
      </c>
      <c r="J450" s="5">
        <f>SUMIFS('Weekly Dump'!AE:AE,'Weekly Dump'!B:B,C450)</f>
        <v>0</v>
      </c>
      <c r="K450" s="4">
        <f>SUMPRODUCT(
  (TEXT('Weekly Dump'!$A$2:$A1009,"mmm-yy")=TEXT($AB450,"mmm-yy"))*
  ('Weekly Dump'!$B$2:$B1009=$C450)*
  'Weekly Dump'!$D$2:$D1009)</f>
        <v>0</v>
      </c>
      <c r="L450" s="4">
        <f>SUMPRODUCT(
  (TEXT('Weekly Dump'!$A$2:$A1009,"mmm-yy")=TEXT($AB450,"mmm-yy"))*
  ('Weekly Dump'!$B$2:$B1009=$C450)*
  'Weekly Dump'!$E$2:$E1009
)</f>
        <v>0</v>
      </c>
      <c r="M450" s="4">
        <f>SUMPRODUCT(
  (TEXT('Weekly Dump'!$A$2:$A1009,"mmm-yy")=TEXT($AB450,"mmm-yy"))*
  ('Weekly Dump'!$B$2:$B1009=$C450)*
  'Weekly Dump'!$P$2:$P1009
)</f>
        <v>0</v>
      </c>
      <c r="N450" s="39"/>
      <c r="O450" s="40">
        <f>SUMIFS('Weekly Dump'!$D:$D,'Weekly Dump'!$B:$B,$C450,'Weekly Dump'!$A:$A,$AB450)</f>
        <v>0</v>
      </c>
      <c r="P450" s="40">
        <f>SUMIFS('Weekly Dump'!R:R,'Weekly Dump'!B:B,C450,'Weekly Dump'!A:A,AB450)</f>
        <v>0</v>
      </c>
      <c r="Q450" s="40">
        <f t="shared" si="20"/>
        <v>0</v>
      </c>
      <c r="R450" s="41"/>
      <c r="T450" s="4">
        <f>SUMIFS('Weekly Dump'!E:E,'Weekly Dump'!B:B,C450,'Weekly Dump'!A:A,AB450)</f>
        <v>0</v>
      </c>
      <c r="U450" s="3">
        <f t="shared" si="21"/>
        <v>0</v>
      </c>
      <c r="V450" s="42"/>
      <c r="X450" s="4">
        <f>SUMIFS('Weekly Dump'!P:P,'Weekly Dump'!B:B,C450,'Weekly Dump'!A:A,AB450)</f>
        <v>0</v>
      </c>
      <c r="Y450" s="4">
        <f t="shared" si="22"/>
        <v>0</v>
      </c>
      <c r="Z450" s="41"/>
      <c r="AA450" s="12" t="str">
        <f>iferror(IF(VLOOKUP(C450,'Weekly Dump'!B:B,1,0)=C450,"Yes","Missing"),"")</f>
        <v/>
      </c>
      <c r="AB450" s="66"/>
    </row>
    <row r="451">
      <c r="B451" s="63"/>
      <c r="C451" s="63"/>
      <c r="G451" s="3" t="str">
        <f t="shared" si="26"/>
        <v/>
      </c>
      <c r="I451" s="4">
        <f>SUMIFS('Weekly Dump'!D:D,'Weekly Dump'!B:B,C451)</f>
        <v>0</v>
      </c>
      <c r="J451" s="5">
        <f>SUMIFS('Weekly Dump'!AE:AE,'Weekly Dump'!B:B,C451)</f>
        <v>0</v>
      </c>
      <c r="K451" s="4">
        <f>SUMPRODUCT(
  (TEXT('Weekly Dump'!$A$2:$A1009,"mmm-yy")=TEXT($AB451,"mmm-yy"))*
  ('Weekly Dump'!$B$2:$B1009=$C451)*
  'Weekly Dump'!$D$2:$D1009)</f>
        <v>0</v>
      </c>
      <c r="L451" s="4">
        <f>SUMPRODUCT(
  (TEXT('Weekly Dump'!$A$2:$A1009,"mmm-yy")=TEXT($AB451,"mmm-yy"))*
  ('Weekly Dump'!$B$2:$B1009=$C451)*
  'Weekly Dump'!$E$2:$E1009
)</f>
        <v>0</v>
      </c>
      <c r="M451" s="4">
        <f>SUMPRODUCT(
  (TEXT('Weekly Dump'!$A$2:$A1009,"mmm-yy")=TEXT($AB451,"mmm-yy"))*
  ('Weekly Dump'!$B$2:$B1009=$C451)*
  'Weekly Dump'!$P$2:$P1009
)</f>
        <v>0</v>
      </c>
      <c r="N451" s="39"/>
      <c r="O451" s="40">
        <f>SUMIFS('Weekly Dump'!$D:$D,'Weekly Dump'!$B:$B,$C451,'Weekly Dump'!$A:$A,$AB451)</f>
        <v>0</v>
      </c>
      <c r="P451" s="40">
        <f>SUMIFS('Weekly Dump'!R:R,'Weekly Dump'!B:B,C451,'Weekly Dump'!A:A,AB451)</f>
        <v>0</v>
      </c>
      <c r="Q451" s="40">
        <f t="shared" si="20"/>
        <v>0</v>
      </c>
      <c r="R451" s="41"/>
      <c r="T451" s="4">
        <f>SUMIFS('Weekly Dump'!E:E,'Weekly Dump'!B:B,C451,'Weekly Dump'!A:A,AB451)</f>
        <v>0</v>
      </c>
      <c r="U451" s="3">
        <f t="shared" si="21"/>
        <v>0</v>
      </c>
      <c r="V451" s="42"/>
      <c r="X451" s="4">
        <f>SUMIFS('Weekly Dump'!P:P,'Weekly Dump'!B:B,C451,'Weekly Dump'!A:A,AB451)</f>
        <v>0</v>
      </c>
      <c r="Y451" s="4">
        <f t="shared" si="22"/>
        <v>0</v>
      </c>
      <c r="Z451" s="41"/>
      <c r="AA451" s="12" t="str">
        <f>iferror(IF(VLOOKUP(C451,'Weekly Dump'!B:B,1,0)=C451,"Yes","Missing"),"")</f>
        <v/>
      </c>
      <c r="AB451" s="66"/>
    </row>
    <row r="452">
      <c r="B452" s="63"/>
      <c r="C452" s="63"/>
      <c r="G452" s="3" t="str">
        <f t="shared" si="26"/>
        <v/>
      </c>
      <c r="I452" s="4">
        <f>SUMIFS('Weekly Dump'!D:D,'Weekly Dump'!B:B,C452)</f>
        <v>0</v>
      </c>
      <c r="J452" s="5">
        <f>SUMIFS('Weekly Dump'!AE:AE,'Weekly Dump'!B:B,C452)</f>
        <v>0</v>
      </c>
      <c r="K452" s="4">
        <f>SUMPRODUCT(
  (TEXT('Weekly Dump'!$A$2:$A1009,"mmm-yy")=TEXT($AB452,"mmm-yy"))*
  ('Weekly Dump'!$B$2:$B1009=$C452)*
  'Weekly Dump'!$D$2:$D1009)</f>
        <v>0</v>
      </c>
      <c r="L452" s="4">
        <f>SUMPRODUCT(
  (TEXT('Weekly Dump'!$A$2:$A1009,"mmm-yy")=TEXT($AB452,"mmm-yy"))*
  ('Weekly Dump'!$B$2:$B1009=$C452)*
  'Weekly Dump'!$E$2:$E1009
)</f>
        <v>0</v>
      </c>
      <c r="M452" s="4">
        <f>SUMPRODUCT(
  (TEXT('Weekly Dump'!$A$2:$A1009,"mmm-yy")=TEXT($AB452,"mmm-yy"))*
  ('Weekly Dump'!$B$2:$B1009=$C452)*
  'Weekly Dump'!$P$2:$P1009
)</f>
        <v>0</v>
      </c>
      <c r="N452" s="39"/>
      <c r="O452" s="40">
        <f>SUMIFS('Weekly Dump'!$D:$D,'Weekly Dump'!$B:$B,$C452,'Weekly Dump'!$A:$A,$AB452)</f>
        <v>0</v>
      </c>
      <c r="P452" s="40">
        <f>SUMIFS('Weekly Dump'!R:R,'Weekly Dump'!B:B,C452,'Weekly Dump'!A:A,AB452)</f>
        <v>0</v>
      </c>
      <c r="Q452" s="40">
        <f t="shared" si="20"/>
        <v>0</v>
      </c>
      <c r="R452" s="41"/>
      <c r="T452" s="4">
        <f>SUMIFS('Weekly Dump'!E:E,'Weekly Dump'!B:B,C452,'Weekly Dump'!A:A,AB452)</f>
        <v>0</v>
      </c>
      <c r="U452" s="3">
        <f t="shared" si="21"/>
        <v>0</v>
      </c>
      <c r="V452" s="42"/>
      <c r="X452" s="4">
        <f>SUMIFS('Weekly Dump'!P:P,'Weekly Dump'!B:B,C452,'Weekly Dump'!A:A,AB452)</f>
        <v>0</v>
      </c>
      <c r="Y452" s="4">
        <f t="shared" si="22"/>
        <v>0</v>
      </c>
      <c r="Z452" s="41"/>
      <c r="AA452" s="12" t="str">
        <f>iferror(IF(VLOOKUP(C452,'Weekly Dump'!B:B,1,0)=C452,"Yes","Missing"),"")</f>
        <v/>
      </c>
      <c r="AB452" s="66"/>
    </row>
    <row r="453">
      <c r="B453" s="63"/>
      <c r="C453" s="63"/>
      <c r="G453" s="3" t="str">
        <f t="shared" si="26"/>
        <v/>
      </c>
      <c r="I453" s="4">
        <f>SUMIFS('Weekly Dump'!D:D,'Weekly Dump'!B:B,C453)</f>
        <v>0</v>
      </c>
      <c r="J453" s="5">
        <f>SUMIFS('Weekly Dump'!AE:AE,'Weekly Dump'!B:B,C453)</f>
        <v>0</v>
      </c>
      <c r="K453" s="4">
        <f>SUMPRODUCT(
  (TEXT('Weekly Dump'!$A$2:$A1009,"mmm-yy")=TEXT($AB453,"mmm-yy"))*
  ('Weekly Dump'!$B$2:$B1009=$C453)*
  'Weekly Dump'!$D$2:$D1009)</f>
        <v>0</v>
      </c>
      <c r="L453" s="4">
        <f>SUMPRODUCT(
  (TEXT('Weekly Dump'!$A$2:$A1009,"mmm-yy")=TEXT($AB453,"mmm-yy"))*
  ('Weekly Dump'!$B$2:$B1009=$C453)*
  'Weekly Dump'!$E$2:$E1009
)</f>
        <v>0</v>
      </c>
      <c r="M453" s="4">
        <f>SUMPRODUCT(
  (TEXT('Weekly Dump'!$A$2:$A1009,"mmm-yy")=TEXT($AB453,"mmm-yy"))*
  ('Weekly Dump'!$B$2:$B1009=$C453)*
  'Weekly Dump'!$P$2:$P1009
)</f>
        <v>0</v>
      </c>
      <c r="N453" s="39"/>
      <c r="O453" s="40">
        <f>SUMIFS('Weekly Dump'!$D:$D,'Weekly Dump'!$B:$B,$C453,'Weekly Dump'!$A:$A,$AB453)</f>
        <v>0</v>
      </c>
      <c r="P453" s="40">
        <f>SUMIFS('Weekly Dump'!R:R,'Weekly Dump'!B:B,C453,'Weekly Dump'!A:A,AB453)</f>
        <v>0</v>
      </c>
      <c r="Q453" s="40">
        <f t="shared" si="20"/>
        <v>0</v>
      </c>
      <c r="R453" s="41"/>
      <c r="T453" s="4">
        <f>SUMIFS('Weekly Dump'!E:E,'Weekly Dump'!B:B,C453,'Weekly Dump'!A:A,AB453)</f>
        <v>0</v>
      </c>
      <c r="U453" s="3">
        <f t="shared" si="21"/>
        <v>0</v>
      </c>
      <c r="V453" s="42"/>
      <c r="X453" s="4">
        <f>SUMIFS('Weekly Dump'!P:P,'Weekly Dump'!B:B,C453,'Weekly Dump'!A:A,AB453)</f>
        <v>0</v>
      </c>
      <c r="Y453" s="4">
        <f t="shared" si="22"/>
        <v>0</v>
      </c>
      <c r="Z453" s="41"/>
      <c r="AA453" s="12" t="str">
        <f>iferror(IF(VLOOKUP(C453,'Weekly Dump'!B:B,1,0)=C453,"Yes","Missing"),"")</f>
        <v/>
      </c>
      <c r="AB453" s="66"/>
    </row>
    <row r="454">
      <c r="B454" s="63"/>
      <c r="C454" s="63"/>
      <c r="G454" s="3" t="str">
        <f t="shared" si="26"/>
        <v/>
      </c>
      <c r="I454" s="4">
        <f>SUMIFS('Weekly Dump'!D:D,'Weekly Dump'!B:B,C454)</f>
        <v>0</v>
      </c>
      <c r="J454" s="5">
        <f>SUMIFS('Weekly Dump'!AE:AE,'Weekly Dump'!B:B,C454)</f>
        <v>0</v>
      </c>
      <c r="K454" s="4">
        <f>SUMPRODUCT(
  (TEXT('Weekly Dump'!$A$2:$A1009,"mmm-yy")=TEXT($AB454,"mmm-yy"))*
  ('Weekly Dump'!$B$2:$B1009=$C454)*
  'Weekly Dump'!$D$2:$D1009)</f>
        <v>0</v>
      </c>
      <c r="L454" s="4">
        <f>SUMPRODUCT(
  (TEXT('Weekly Dump'!$A$2:$A1009,"mmm-yy")=TEXT($AB454,"mmm-yy"))*
  ('Weekly Dump'!$B$2:$B1009=$C454)*
  'Weekly Dump'!$E$2:$E1009
)</f>
        <v>0</v>
      </c>
      <c r="M454" s="4">
        <f>SUMPRODUCT(
  (TEXT('Weekly Dump'!$A$2:$A1009,"mmm-yy")=TEXT($AB454,"mmm-yy"))*
  ('Weekly Dump'!$B$2:$B1009=$C454)*
  'Weekly Dump'!$P$2:$P1009
)</f>
        <v>0</v>
      </c>
      <c r="N454" s="39"/>
      <c r="O454" s="40">
        <f>SUMIFS('Weekly Dump'!$D:$D,'Weekly Dump'!$B:$B,$C454,'Weekly Dump'!$A:$A,$AB454)</f>
        <v>0</v>
      </c>
      <c r="P454" s="40">
        <f>SUMIFS('Weekly Dump'!R:R,'Weekly Dump'!B:B,C454,'Weekly Dump'!A:A,AB454)</f>
        <v>0</v>
      </c>
      <c r="Q454" s="40">
        <f t="shared" si="20"/>
        <v>0</v>
      </c>
      <c r="R454" s="41"/>
      <c r="T454" s="4">
        <f>SUMIFS('Weekly Dump'!E:E,'Weekly Dump'!B:B,C454,'Weekly Dump'!A:A,AB454)</f>
        <v>0</v>
      </c>
      <c r="U454" s="3">
        <f t="shared" si="21"/>
        <v>0</v>
      </c>
      <c r="V454" s="42"/>
      <c r="X454" s="4">
        <f>SUMIFS('Weekly Dump'!P:P,'Weekly Dump'!B:B,C454,'Weekly Dump'!A:A,AB454)</f>
        <v>0</v>
      </c>
      <c r="Y454" s="4">
        <f t="shared" si="22"/>
        <v>0</v>
      </c>
      <c r="Z454" s="41"/>
      <c r="AA454" s="12" t="str">
        <f>iferror(IF(VLOOKUP(C454,'Weekly Dump'!B:B,1,0)=C454,"Yes","Missing"),"")</f>
        <v/>
      </c>
      <c r="AB454" s="66"/>
    </row>
    <row r="455">
      <c r="B455" s="63"/>
      <c r="C455" s="63"/>
      <c r="G455" s="3" t="str">
        <f t="shared" si="26"/>
        <v/>
      </c>
      <c r="I455" s="4">
        <f>SUMIFS('Weekly Dump'!D:D,'Weekly Dump'!B:B,C455)</f>
        <v>0</v>
      </c>
      <c r="J455" s="5">
        <f>SUMIFS('Weekly Dump'!AE:AE,'Weekly Dump'!B:B,C455)</f>
        <v>0</v>
      </c>
      <c r="K455" s="4">
        <f>SUMPRODUCT(
  (TEXT('Weekly Dump'!$A$2:$A1009,"mmm-yy")=TEXT($AB455,"mmm-yy"))*
  ('Weekly Dump'!$B$2:$B1009=$C455)*
  'Weekly Dump'!$D$2:$D1009)</f>
        <v>0</v>
      </c>
      <c r="L455" s="4">
        <f>SUMPRODUCT(
  (TEXT('Weekly Dump'!$A$2:$A1009,"mmm-yy")=TEXT($AB455,"mmm-yy"))*
  ('Weekly Dump'!$B$2:$B1009=$C455)*
  'Weekly Dump'!$E$2:$E1009
)</f>
        <v>0</v>
      </c>
      <c r="M455" s="4">
        <f>SUMPRODUCT(
  (TEXT('Weekly Dump'!$A$2:$A1009,"mmm-yy")=TEXT($AB455,"mmm-yy"))*
  ('Weekly Dump'!$B$2:$B1009=$C455)*
  'Weekly Dump'!$P$2:$P1009
)</f>
        <v>0</v>
      </c>
      <c r="N455" s="39"/>
      <c r="O455" s="40">
        <f>SUMIFS('Weekly Dump'!$D:$D,'Weekly Dump'!$B:$B,$C455,'Weekly Dump'!$A:$A,$AB455)</f>
        <v>0</v>
      </c>
      <c r="P455" s="40">
        <f>SUMIFS('Weekly Dump'!R:R,'Weekly Dump'!B:B,C455,'Weekly Dump'!A:A,AB455)</f>
        <v>0</v>
      </c>
      <c r="Q455" s="40">
        <f t="shared" si="20"/>
        <v>0</v>
      </c>
      <c r="R455" s="41"/>
      <c r="T455" s="4">
        <f>SUMIFS('Weekly Dump'!E:E,'Weekly Dump'!B:B,C455,'Weekly Dump'!A:A,AB455)</f>
        <v>0</v>
      </c>
      <c r="U455" s="3">
        <f t="shared" si="21"/>
        <v>0</v>
      </c>
      <c r="V455" s="42"/>
      <c r="X455" s="4">
        <f>SUMIFS('Weekly Dump'!P:P,'Weekly Dump'!B:B,C455,'Weekly Dump'!A:A,AB455)</f>
        <v>0</v>
      </c>
      <c r="Y455" s="4">
        <f t="shared" si="22"/>
        <v>0</v>
      </c>
      <c r="Z455" s="41"/>
      <c r="AA455" s="12" t="str">
        <f>iferror(IF(VLOOKUP(C455,'Weekly Dump'!B:B,1,0)=C455,"Yes","Missing"),"")</f>
        <v/>
      </c>
      <c r="AB455" s="66"/>
    </row>
    <row r="456">
      <c r="B456" s="63"/>
      <c r="C456" s="63"/>
      <c r="G456" s="3" t="str">
        <f t="shared" si="26"/>
        <v/>
      </c>
      <c r="I456" s="4">
        <f>SUMIFS('Weekly Dump'!D:D,'Weekly Dump'!B:B,C456)</f>
        <v>0</v>
      </c>
      <c r="J456" s="5">
        <f>SUMIFS('Weekly Dump'!AE:AE,'Weekly Dump'!B:B,C456)</f>
        <v>0</v>
      </c>
      <c r="K456" s="4">
        <f>SUMPRODUCT(
  (TEXT('Weekly Dump'!$A$2:$A1009,"mmm-yy")=TEXT($AB456,"mmm-yy"))*
  ('Weekly Dump'!$B$2:$B1009=$C456)*
  'Weekly Dump'!$D$2:$D1009)</f>
        <v>0</v>
      </c>
      <c r="L456" s="4">
        <f>SUMPRODUCT(
  (TEXT('Weekly Dump'!$A$2:$A1009,"mmm-yy")=TEXT($AB456,"mmm-yy"))*
  ('Weekly Dump'!$B$2:$B1009=$C456)*
  'Weekly Dump'!$E$2:$E1009
)</f>
        <v>0</v>
      </c>
      <c r="M456" s="4">
        <f>SUMPRODUCT(
  (TEXT('Weekly Dump'!$A$2:$A1009,"mmm-yy")=TEXT($AB456,"mmm-yy"))*
  ('Weekly Dump'!$B$2:$B1009=$C456)*
  'Weekly Dump'!$P$2:$P1009
)</f>
        <v>0</v>
      </c>
      <c r="N456" s="39"/>
      <c r="O456" s="40">
        <f>SUMIFS('Weekly Dump'!$D:$D,'Weekly Dump'!$B:$B,$C456,'Weekly Dump'!$A:$A,$AB456)</f>
        <v>0</v>
      </c>
      <c r="P456" s="40">
        <f>SUMIFS('Weekly Dump'!R:R,'Weekly Dump'!B:B,C456,'Weekly Dump'!A:A,AB456)</f>
        <v>0</v>
      </c>
      <c r="Q456" s="40">
        <f t="shared" si="20"/>
        <v>0</v>
      </c>
      <c r="R456" s="41"/>
      <c r="T456" s="4">
        <f>SUMIFS('Weekly Dump'!E:E,'Weekly Dump'!B:B,C456,'Weekly Dump'!A:A,AB456)</f>
        <v>0</v>
      </c>
      <c r="U456" s="3">
        <f t="shared" si="21"/>
        <v>0</v>
      </c>
      <c r="V456" s="42"/>
      <c r="X456" s="4">
        <f>SUMIFS('Weekly Dump'!P:P,'Weekly Dump'!B:B,C456,'Weekly Dump'!A:A,AB456)</f>
        <v>0</v>
      </c>
      <c r="Y456" s="4">
        <f t="shared" si="22"/>
        <v>0</v>
      </c>
      <c r="Z456" s="41"/>
      <c r="AA456" s="12" t="str">
        <f>iferror(IF(VLOOKUP(C456,'Weekly Dump'!B:B,1,0)=C456,"Yes","Missing"),"")</f>
        <v/>
      </c>
      <c r="AB456" s="66"/>
    </row>
    <row r="457">
      <c r="B457" s="63"/>
      <c r="C457" s="63"/>
      <c r="G457" s="3" t="str">
        <f t="shared" si="26"/>
        <v/>
      </c>
      <c r="I457" s="4">
        <f>SUMIFS('Weekly Dump'!D:D,'Weekly Dump'!B:B,C457)</f>
        <v>0</v>
      </c>
      <c r="J457" s="5">
        <f>SUMIFS('Weekly Dump'!AE:AE,'Weekly Dump'!B:B,C457)</f>
        <v>0</v>
      </c>
      <c r="K457" s="4">
        <f>SUMPRODUCT(
  (TEXT('Weekly Dump'!$A$2:$A1009,"mmm-yy")=TEXT($AB457,"mmm-yy"))*
  ('Weekly Dump'!$B$2:$B1009=$C457)*
  'Weekly Dump'!$D$2:$D1009)</f>
        <v>0</v>
      </c>
      <c r="L457" s="4">
        <f>SUMPRODUCT(
  (TEXT('Weekly Dump'!$A$2:$A1009,"mmm-yy")=TEXT($AB457,"mmm-yy"))*
  ('Weekly Dump'!$B$2:$B1009=$C457)*
  'Weekly Dump'!$E$2:$E1009
)</f>
        <v>0</v>
      </c>
      <c r="M457" s="4">
        <f>SUMPRODUCT(
  (TEXT('Weekly Dump'!$A$2:$A1009,"mmm-yy")=TEXT($AB457,"mmm-yy"))*
  ('Weekly Dump'!$B$2:$B1009=$C457)*
  'Weekly Dump'!$P$2:$P1009
)</f>
        <v>0</v>
      </c>
      <c r="N457" s="39"/>
      <c r="O457" s="40">
        <f>SUMIFS('Weekly Dump'!$D:$D,'Weekly Dump'!$B:$B,$C457,'Weekly Dump'!$A:$A,$AB457)</f>
        <v>0</v>
      </c>
      <c r="P457" s="40">
        <f>SUMIFS('Weekly Dump'!R:R,'Weekly Dump'!B:B,C457,'Weekly Dump'!A:A,AB457)</f>
        <v>0</v>
      </c>
      <c r="Q457" s="40">
        <f t="shared" si="20"/>
        <v>0</v>
      </c>
      <c r="R457" s="41"/>
      <c r="T457" s="4">
        <f>SUMIFS('Weekly Dump'!E:E,'Weekly Dump'!B:B,C457,'Weekly Dump'!A:A,AB457)</f>
        <v>0</v>
      </c>
      <c r="U457" s="3">
        <f t="shared" si="21"/>
        <v>0</v>
      </c>
      <c r="V457" s="42"/>
      <c r="X457" s="4">
        <f>SUMIFS('Weekly Dump'!P:P,'Weekly Dump'!B:B,C457,'Weekly Dump'!A:A,AB457)</f>
        <v>0</v>
      </c>
      <c r="Y457" s="4">
        <f t="shared" si="22"/>
        <v>0</v>
      </c>
      <c r="Z457" s="41"/>
      <c r="AA457" s="12" t="str">
        <f>iferror(IF(VLOOKUP(C457,'Weekly Dump'!B:B,1,0)=C457,"Yes","Missing"),"")</f>
        <v/>
      </c>
      <c r="AB457" s="66"/>
    </row>
    <row r="458">
      <c r="B458" s="63"/>
      <c r="C458" s="63"/>
      <c r="G458" s="3" t="str">
        <f t="shared" si="26"/>
        <v/>
      </c>
      <c r="I458" s="4">
        <f>SUMIFS('Weekly Dump'!D:D,'Weekly Dump'!B:B,C458)</f>
        <v>0</v>
      </c>
      <c r="J458" s="5">
        <f>SUMIFS('Weekly Dump'!AE:AE,'Weekly Dump'!B:B,C458)</f>
        <v>0</v>
      </c>
      <c r="K458" s="4">
        <f>SUMPRODUCT(
  (TEXT('Weekly Dump'!$A$2:$A1009,"mmm-yy")=TEXT($AB458,"mmm-yy"))*
  ('Weekly Dump'!$B$2:$B1009=$C458)*
  'Weekly Dump'!$D$2:$D1009)</f>
        <v>0</v>
      </c>
      <c r="L458" s="4">
        <f>SUMPRODUCT(
  (TEXT('Weekly Dump'!$A$2:$A1009,"mmm-yy")=TEXT($AB458,"mmm-yy"))*
  ('Weekly Dump'!$B$2:$B1009=$C458)*
  'Weekly Dump'!$E$2:$E1009
)</f>
        <v>0</v>
      </c>
      <c r="M458" s="4">
        <f>SUMPRODUCT(
  (TEXT('Weekly Dump'!$A$2:$A1009,"mmm-yy")=TEXT($AB458,"mmm-yy"))*
  ('Weekly Dump'!$B$2:$B1009=$C458)*
  'Weekly Dump'!$P$2:$P1009
)</f>
        <v>0</v>
      </c>
      <c r="N458" s="39"/>
      <c r="O458" s="40">
        <f>SUMIFS('Weekly Dump'!$D:$D,'Weekly Dump'!$B:$B,$C458,'Weekly Dump'!$A:$A,$AB458)</f>
        <v>0</v>
      </c>
      <c r="P458" s="40">
        <f>SUMIFS('Weekly Dump'!R:R,'Weekly Dump'!B:B,C458,'Weekly Dump'!A:A,AB458)</f>
        <v>0</v>
      </c>
      <c r="Q458" s="40">
        <f t="shared" si="20"/>
        <v>0</v>
      </c>
      <c r="R458" s="41"/>
      <c r="T458" s="4">
        <f>SUMIFS('Weekly Dump'!E:E,'Weekly Dump'!B:B,C458,'Weekly Dump'!A:A,AB458)</f>
        <v>0</v>
      </c>
      <c r="U458" s="3">
        <f t="shared" si="21"/>
        <v>0</v>
      </c>
      <c r="V458" s="42"/>
      <c r="X458" s="4">
        <f>SUMIFS('Weekly Dump'!P:P,'Weekly Dump'!B:B,C458,'Weekly Dump'!A:A,AB458)</f>
        <v>0</v>
      </c>
      <c r="Y458" s="4">
        <f t="shared" si="22"/>
        <v>0</v>
      </c>
      <c r="Z458" s="41"/>
      <c r="AA458" s="12" t="str">
        <f>iferror(IF(VLOOKUP(C458,'Weekly Dump'!B:B,1,0)=C458,"Yes","Missing"),"")</f>
        <v/>
      </c>
      <c r="AB458" s="66"/>
    </row>
    <row r="459">
      <c r="B459" s="63"/>
      <c r="C459" s="63"/>
      <c r="G459" s="3" t="str">
        <f t="shared" si="26"/>
        <v/>
      </c>
      <c r="I459" s="4">
        <f>SUMIFS('Weekly Dump'!D:D,'Weekly Dump'!B:B,C459)</f>
        <v>0</v>
      </c>
      <c r="J459" s="5">
        <f>SUMIFS('Weekly Dump'!AE:AE,'Weekly Dump'!B:B,C459)</f>
        <v>0</v>
      </c>
      <c r="K459" s="4">
        <f>SUMPRODUCT(
  (TEXT('Weekly Dump'!$A$2:$A1009,"mmm-yy")=TEXT($AB459,"mmm-yy"))*
  ('Weekly Dump'!$B$2:$B1009=$C459)*
  'Weekly Dump'!$D$2:$D1009)</f>
        <v>0</v>
      </c>
      <c r="L459" s="4">
        <f>SUMPRODUCT(
  (TEXT('Weekly Dump'!$A$2:$A1009,"mmm-yy")=TEXT($AB459,"mmm-yy"))*
  ('Weekly Dump'!$B$2:$B1009=$C459)*
  'Weekly Dump'!$E$2:$E1009
)</f>
        <v>0</v>
      </c>
      <c r="M459" s="4">
        <f>SUMPRODUCT(
  (TEXT('Weekly Dump'!$A$2:$A1009,"mmm-yy")=TEXT($AB459,"mmm-yy"))*
  ('Weekly Dump'!$B$2:$B1009=$C459)*
  'Weekly Dump'!$P$2:$P1009
)</f>
        <v>0</v>
      </c>
      <c r="N459" s="39"/>
      <c r="O459" s="40">
        <f>SUMIFS('Weekly Dump'!$D:$D,'Weekly Dump'!$B:$B,$C459,'Weekly Dump'!$A:$A,$AB459)</f>
        <v>0</v>
      </c>
      <c r="P459" s="40">
        <f>SUMIFS('Weekly Dump'!R:R,'Weekly Dump'!B:B,C459,'Weekly Dump'!A:A,AB459)</f>
        <v>0</v>
      </c>
      <c r="Q459" s="40">
        <f t="shared" si="20"/>
        <v>0</v>
      </c>
      <c r="R459" s="41"/>
      <c r="T459" s="4">
        <f>SUMIFS('Weekly Dump'!E:E,'Weekly Dump'!B:B,C459,'Weekly Dump'!A:A,AB459)</f>
        <v>0</v>
      </c>
      <c r="U459" s="3">
        <f t="shared" si="21"/>
        <v>0</v>
      </c>
      <c r="V459" s="42"/>
      <c r="X459" s="4">
        <f>SUMIFS('Weekly Dump'!P:P,'Weekly Dump'!B:B,C459,'Weekly Dump'!A:A,AB459)</f>
        <v>0</v>
      </c>
      <c r="Y459" s="4">
        <f t="shared" si="22"/>
        <v>0</v>
      </c>
      <c r="Z459" s="41"/>
      <c r="AA459" s="12" t="str">
        <f>iferror(IF(VLOOKUP(C459,'Weekly Dump'!B:B,1,0)=C459,"Yes","Missing"),"")</f>
        <v/>
      </c>
      <c r="AB459" s="66"/>
    </row>
    <row r="460">
      <c r="B460" s="63"/>
      <c r="C460" s="63"/>
      <c r="G460" s="3" t="str">
        <f t="shared" si="26"/>
        <v/>
      </c>
      <c r="I460" s="4">
        <f>SUMIFS('Weekly Dump'!D:D,'Weekly Dump'!B:B,C460)</f>
        <v>0</v>
      </c>
      <c r="J460" s="5">
        <f>SUMIFS('Weekly Dump'!AE:AE,'Weekly Dump'!B:B,C460)</f>
        <v>0</v>
      </c>
      <c r="K460" s="4">
        <f>SUMPRODUCT(
  (TEXT('Weekly Dump'!$A$2:$A1009,"mmm-yy")=TEXT($AB460,"mmm-yy"))*
  ('Weekly Dump'!$B$2:$B1009=$C460)*
  'Weekly Dump'!$D$2:$D1009)</f>
        <v>0</v>
      </c>
      <c r="L460" s="4">
        <f>SUMPRODUCT(
  (TEXT('Weekly Dump'!$A$2:$A1009,"mmm-yy")=TEXT($AB460,"mmm-yy"))*
  ('Weekly Dump'!$B$2:$B1009=$C460)*
  'Weekly Dump'!$E$2:$E1009
)</f>
        <v>0</v>
      </c>
      <c r="M460" s="4">
        <f>SUMPRODUCT(
  (TEXT('Weekly Dump'!$A$2:$A1009,"mmm-yy")=TEXT($AB460,"mmm-yy"))*
  ('Weekly Dump'!$B$2:$B1009=$C460)*
  'Weekly Dump'!$P$2:$P1009
)</f>
        <v>0</v>
      </c>
      <c r="N460" s="39"/>
      <c r="O460" s="40">
        <f>SUMIFS('Weekly Dump'!$D:$D,'Weekly Dump'!$B:$B,$C460,'Weekly Dump'!$A:$A,$AB460)</f>
        <v>0</v>
      </c>
      <c r="P460" s="40">
        <f>SUMIFS('Weekly Dump'!R:R,'Weekly Dump'!B:B,C460,'Weekly Dump'!A:A,AB460)</f>
        <v>0</v>
      </c>
      <c r="Q460" s="40">
        <f t="shared" si="20"/>
        <v>0</v>
      </c>
      <c r="R460" s="41"/>
      <c r="T460" s="4">
        <f>SUMIFS('Weekly Dump'!E:E,'Weekly Dump'!B:B,C460,'Weekly Dump'!A:A,AB460)</f>
        <v>0</v>
      </c>
      <c r="U460" s="3">
        <f t="shared" si="21"/>
        <v>0</v>
      </c>
      <c r="V460" s="42"/>
      <c r="X460" s="4">
        <f>SUMIFS('Weekly Dump'!P:P,'Weekly Dump'!B:B,C460,'Weekly Dump'!A:A,AB460)</f>
        <v>0</v>
      </c>
      <c r="Y460" s="4">
        <f t="shared" si="22"/>
        <v>0</v>
      </c>
      <c r="Z460" s="41"/>
      <c r="AA460" s="12" t="str">
        <f>iferror(IF(VLOOKUP(C460,'Weekly Dump'!B:B,1,0)=C460,"Yes","Missing"),"")</f>
        <v/>
      </c>
      <c r="AB460" s="66"/>
    </row>
    <row r="461">
      <c r="B461" s="63"/>
      <c r="C461" s="63"/>
      <c r="G461" s="3" t="str">
        <f t="shared" si="26"/>
        <v/>
      </c>
      <c r="I461" s="4">
        <f>SUMIFS('Weekly Dump'!D:D,'Weekly Dump'!B:B,C461)</f>
        <v>0</v>
      </c>
      <c r="J461" s="5">
        <f>SUMIFS('Weekly Dump'!AE:AE,'Weekly Dump'!B:B,C461)</f>
        <v>0</v>
      </c>
      <c r="K461" s="4">
        <f>SUMPRODUCT(
  (TEXT('Weekly Dump'!$A$2:$A1009,"mmm-yy")=TEXT($AB461,"mmm-yy"))*
  ('Weekly Dump'!$B$2:$B1009=$C461)*
  'Weekly Dump'!$D$2:$D1009)</f>
        <v>0</v>
      </c>
      <c r="L461" s="4">
        <f>SUMPRODUCT(
  (TEXT('Weekly Dump'!$A$2:$A1009,"mmm-yy")=TEXT($AB461,"mmm-yy"))*
  ('Weekly Dump'!$B$2:$B1009=$C461)*
  'Weekly Dump'!$E$2:$E1009
)</f>
        <v>0</v>
      </c>
      <c r="M461" s="4">
        <f>SUMPRODUCT(
  (TEXT('Weekly Dump'!$A$2:$A1009,"mmm-yy")=TEXT($AB461,"mmm-yy"))*
  ('Weekly Dump'!$B$2:$B1009=$C461)*
  'Weekly Dump'!$P$2:$P1009
)</f>
        <v>0</v>
      </c>
      <c r="N461" s="39"/>
      <c r="O461" s="40">
        <f>SUMIFS('Weekly Dump'!$D:$D,'Weekly Dump'!$B:$B,$C461,'Weekly Dump'!$A:$A,$AB461)</f>
        <v>0</v>
      </c>
      <c r="P461" s="40">
        <f>SUMIFS('Weekly Dump'!R:R,'Weekly Dump'!B:B,C461,'Weekly Dump'!A:A,AB461)</f>
        <v>0</v>
      </c>
      <c r="Q461" s="40">
        <f t="shared" si="20"/>
        <v>0</v>
      </c>
      <c r="R461" s="41"/>
      <c r="T461" s="4">
        <f>SUMIFS('Weekly Dump'!E:E,'Weekly Dump'!B:B,C461,'Weekly Dump'!A:A,AB461)</f>
        <v>0</v>
      </c>
      <c r="U461" s="3">
        <f t="shared" si="21"/>
        <v>0</v>
      </c>
      <c r="V461" s="42"/>
      <c r="X461" s="4">
        <f>SUMIFS('Weekly Dump'!P:P,'Weekly Dump'!B:B,C461,'Weekly Dump'!A:A,AB461)</f>
        <v>0</v>
      </c>
      <c r="Y461" s="4">
        <f t="shared" si="22"/>
        <v>0</v>
      </c>
      <c r="Z461" s="41"/>
      <c r="AA461" s="12" t="str">
        <f>iferror(IF(VLOOKUP(C461,'Weekly Dump'!B:B,1,0)=C461,"Yes","Missing"),"")</f>
        <v/>
      </c>
      <c r="AB461" s="66"/>
    </row>
    <row r="462">
      <c r="B462" s="63"/>
      <c r="C462" s="63"/>
      <c r="G462" s="3" t="str">
        <f t="shared" si="26"/>
        <v/>
      </c>
      <c r="I462" s="4">
        <f>SUMIFS('Weekly Dump'!D:D,'Weekly Dump'!B:B,C462)</f>
        <v>0</v>
      </c>
      <c r="J462" s="5">
        <f>SUMIFS('Weekly Dump'!AE:AE,'Weekly Dump'!B:B,C462)</f>
        <v>0</v>
      </c>
      <c r="K462" s="4">
        <f>SUMPRODUCT(
  (TEXT('Weekly Dump'!$A$2:$A1009,"mmm-yy")=TEXT($AB462,"mmm-yy"))*
  ('Weekly Dump'!$B$2:$B1009=$C462)*
  'Weekly Dump'!$D$2:$D1009)</f>
        <v>0</v>
      </c>
      <c r="L462" s="4">
        <f>SUMPRODUCT(
  (TEXT('Weekly Dump'!$A$2:$A1009,"mmm-yy")=TEXT($AB462,"mmm-yy"))*
  ('Weekly Dump'!$B$2:$B1009=$C462)*
  'Weekly Dump'!$E$2:$E1009
)</f>
        <v>0</v>
      </c>
      <c r="M462" s="4">
        <f>SUMPRODUCT(
  (TEXT('Weekly Dump'!$A$2:$A1009,"mmm-yy")=TEXT($AB462,"mmm-yy"))*
  ('Weekly Dump'!$B$2:$B1009=$C462)*
  'Weekly Dump'!$P$2:$P1009
)</f>
        <v>0</v>
      </c>
      <c r="N462" s="39"/>
      <c r="O462" s="40">
        <f>SUMIFS('Weekly Dump'!$D:$D,'Weekly Dump'!$B:$B,$C462,'Weekly Dump'!$A:$A,$AB462)</f>
        <v>0</v>
      </c>
      <c r="P462" s="40">
        <f>SUMIFS('Weekly Dump'!R:R,'Weekly Dump'!B:B,C462,'Weekly Dump'!A:A,AB462)</f>
        <v>0</v>
      </c>
      <c r="Q462" s="40">
        <f t="shared" si="20"/>
        <v>0</v>
      </c>
      <c r="R462" s="41"/>
      <c r="T462" s="4">
        <f>SUMIFS('Weekly Dump'!E:E,'Weekly Dump'!B:B,C462,'Weekly Dump'!A:A,AB462)</f>
        <v>0</v>
      </c>
      <c r="U462" s="3">
        <f t="shared" si="21"/>
        <v>0</v>
      </c>
      <c r="V462" s="42"/>
      <c r="X462" s="4">
        <f>SUMIFS('Weekly Dump'!P:P,'Weekly Dump'!B:B,C462,'Weekly Dump'!A:A,AB462)</f>
        <v>0</v>
      </c>
      <c r="Y462" s="4">
        <f t="shared" si="22"/>
        <v>0</v>
      </c>
      <c r="Z462" s="41"/>
      <c r="AA462" s="12" t="str">
        <f>iferror(IF(VLOOKUP(C462,'Weekly Dump'!B:B,1,0)=C462,"Yes","Missing"),"")</f>
        <v/>
      </c>
      <c r="AB462" s="66"/>
    </row>
    <row r="463">
      <c r="B463" s="63"/>
      <c r="C463" s="63"/>
      <c r="G463" s="3" t="str">
        <f t="shared" si="26"/>
        <v/>
      </c>
      <c r="I463" s="4">
        <f>SUMIFS('Weekly Dump'!D:D,'Weekly Dump'!B:B,C463)</f>
        <v>0</v>
      </c>
      <c r="J463" s="5">
        <f>SUMIFS('Weekly Dump'!AE:AE,'Weekly Dump'!B:B,C463)</f>
        <v>0</v>
      </c>
      <c r="K463" s="4">
        <f>SUMPRODUCT(
  (TEXT('Weekly Dump'!$A$2:$A1009,"mmm-yy")=TEXT($AB463,"mmm-yy"))*
  ('Weekly Dump'!$B$2:$B1009=$C463)*
  'Weekly Dump'!$D$2:$D1009)</f>
        <v>0</v>
      </c>
      <c r="L463" s="4">
        <f>SUMPRODUCT(
  (TEXT('Weekly Dump'!$A$2:$A1009,"mmm-yy")=TEXT($AB463,"mmm-yy"))*
  ('Weekly Dump'!$B$2:$B1009=$C463)*
  'Weekly Dump'!$E$2:$E1009
)</f>
        <v>0</v>
      </c>
      <c r="M463" s="4">
        <f>SUMPRODUCT(
  (TEXT('Weekly Dump'!$A$2:$A1009,"mmm-yy")=TEXT($AB463,"mmm-yy"))*
  ('Weekly Dump'!$B$2:$B1009=$C463)*
  'Weekly Dump'!$P$2:$P1009
)</f>
        <v>0</v>
      </c>
      <c r="N463" s="39"/>
      <c r="O463" s="40">
        <f>SUMIFS('Weekly Dump'!$D:$D,'Weekly Dump'!$B:$B,$C463,'Weekly Dump'!$A:$A,$AB463)</f>
        <v>0</v>
      </c>
      <c r="P463" s="40">
        <f>SUMIFS('Weekly Dump'!R:R,'Weekly Dump'!B:B,C463,'Weekly Dump'!A:A,AB463)</f>
        <v>0</v>
      </c>
      <c r="Q463" s="40">
        <f t="shared" si="20"/>
        <v>0</v>
      </c>
      <c r="R463" s="41"/>
      <c r="T463" s="4">
        <f>SUMIFS('Weekly Dump'!E:E,'Weekly Dump'!B:B,C463,'Weekly Dump'!A:A,AB463)</f>
        <v>0</v>
      </c>
      <c r="U463" s="3">
        <f t="shared" si="21"/>
        <v>0</v>
      </c>
      <c r="V463" s="42"/>
      <c r="X463" s="4">
        <f>SUMIFS('Weekly Dump'!P:P,'Weekly Dump'!B:B,C463,'Weekly Dump'!A:A,AB463)</f>
        <v>0</v>
      </c>
      <c r="Y463" s="4">
        <f t="shared" si="22"/>
        <v>0</v>
      </c>
      <c r="Z463" s="41"/>
      <c r="AA463" s="12" t="str">
        <f>iferror(IF(VLOOKUP(C463,'Weekly Dump'!B:B,1,0)=C463,"Yes","Missing"),"")</f>
        <v/>
      </c>
      <c r="AB463" s="66"/>
    </row>
    <row r="464">
      <c r="B464" s="63"/>
      <c r="C464" s="63"/>
      <c r="G464" s="3" t="str">
        <f t="shared" si="26"/>
        <v/>
      </c>
      <c r="I464" s="4">
        <f>SUMIFS('Weekly Dump'!D:D,'Weekly Dump'!B:B,C464)</f>
        <v>0</v>
      </c>
      <c r="J464" s="5">
        <f>SUMIFS('Weekly Dump'!AE:AE,'Weekly Dump'!B:B,C464)</f>
        <v>0</v>
      </c>
      <c r="K464" s="4">
        <f>SUMPRODUCT(
  (TEXT('Weekly Dump'!$A$2:$A1009,"mmm-yy")=TEXT($AB464,"mmm-yy"))*
  ('Weekly Dump'!$B$2:$B1009=$C464)*
  'Weekly Dump'!$D$2:$D1009)</f>
        <v>0</v>
      </c>
      <c r="L464" s="4">
        <f>SUMPRODUCT(
  (TEXT('Weekly Dump'!$A$2:$A1009,"mmm-yy")=TEXT($AB464,"mmm-yy"))*
  ('Weekly Dump'!$B$2:$B1009=$C464)*
  'Weekly Dump'!$E$2:$E1009
)</f>
        <v>0</v>
      </c>
      <c r="M464" s="4">
        <f>SUMPRODUCT(
  (TEXT('Weekly Dump'!$A$2:$A1009,"mmm-yy")=TEXT($AB464,"mmm-yy"))*
  ('Weekly Dump'!$B$2:$B1009=$C464)*
  'Weekly Dump'!$P$2:$P1009
)</f>
        <v>0</v>
      </c>
      <c r="N464" s="39"/>
      <c r="O464" s="40">
        <f>SUMIFS('Weekly Dump'!$D:$D,'Weekly Dump'!$B:$B,$C464,'Weekly Dump'!$A:$A,$AB464)</f>
        <v>0</v>
      </c>
      <c r="P464" s="40">
        <f>SUMIFS('Weekly Dump'!R:R,'Weekly Dump'!B:B,C464,'Weekly Dump'!A:A,AB464)</f>
        <v>0</v>
      </c>
      <c r="Q464" s="40">
        <f t="shared" si="20"/>
        <v>0</v>
      </c>
      <c r="R464" s="41"/>
      <c r="T464" s="4">
        <f>SUMIFS('Weekly Dump'!E:E,'Weekly Dump'!B:B,C464,'Weekly Dump'!A:A,AB464)</f>
        <v>0</v>
      </c>
      <c r="U464" s="3">
        <f t="shared" si="21"/>
        <v>0</v>
      </c>
      <c r="V464" s="42"/>
      <c r="X464" s="4">
        <f>SUMIFS('Weekly Dump'!P:P,'Weekly Dump'!B:B,C464,'Weekly Dump'!A:A,AB464)</f>
        <v>0</v>
      </c>
      <c r="Y464" s="4">
        <f t="shared" si="22"/>
        <v>0</v>
      </c>
      <c r="Z464" s="41"/>
      <c r="AA464" s="12" t="str">
        <f>iferror(IF(VLOOKUP(C464,'Weekly Dump'!B:B,1,0)=C464,"Yes","Missing"),"")</f>
        <v/>
      </c>
      <c r="AB464" s="66"/>
    </row>
    <row r="465">
      <c r="B465" s="63"/>
      <c r="C465" s="63"/>
      <c r="G465" s="3" t="str">
        <f t="shared" si="26"/>
        <v/>
      </c>
      <c r="I465" s="4">
        <f>SUMIFS('Weekly Dump'!D:D,'Weekly Dump'!B:B,C465)</f>
        <v>0</v>
      </c>
      <c r="J465" s="5">
        <f>SUMIFS('Weekly Dump'!AE:AE,'Weekly Dump'!B:B,C465)</f>
        <v>0</v>
      </c>
      <c r="K465" s="4">
        <f>SUMPRODUCT(
  (TEXT('Weekly Dump'!$A$2:$A1009,"mmm-yy")=TEXT($AB465,"mmm-yy"))*
  ('Weekly Dump'!$B$2:$B1009=$C465)*
  'Weekly Dump'!$D$2:$D1009)</f>
        <v>0</v>
      </c>
      <c r="L465" s="4">
        <f>SUMPRODUCT(
  (TEXT('Weekly Dump'!$A$2:$A1009,"mmm-yy")=TEXT($AB465,"mmm-yy"))*
  ('Weekly Dump'!$B$2:$B1009=$C465)*
  'Weekly Dump'!$E$2:$E1009
)</f>
        <v>0</v>
      </c>
      <c r="M465" s="4">
        <f>SUMPRODUCT(
  (TEXT('Weekly Dump'!$A$2:$A1009,"mmm-yy")=TEXT($AB465,"mmm-yy"))*
  ('Weekly Dump'!$B$2:$B1009=$C465)*
  'Weekly Dump'!$P$2:$P1009
)</f>
        <v>0</v>
      </c>
      <c r="N465" s="39"/>
      <c r="O465" s="40">
        <f>SUMIFS('Weekly Dump'!$D:$D,'Weekly Dump'!$B:$B,$C465,'Weekly Dump'!$A:$A,$AB465)</f>
        <v>0</v>
      </c>
      <c r="P465" s="40">
        <f>SUMIFS('Weekly Dump'!R:R,'Weekly Dump'!B:B,C465,'Weekly Dump'!A:A,AB465)</f>
        <v>0</v>
      </c>
      <c r="Q465" s="40">
        <f t="shared" si="20"/>
        <v>0</v>
      </c>
      <c r="R465" s="41"/>
      <c r="T465" s="4">
        <f>SUMIFS('Weekly Dump'!E:E,'Weekly Dump'!B:B,C465,'Weekly Dump'!A:A,AB465)</f>
        <v>0</v>
      </c>
      <c r="U465" s="3">
        <f t="shared" si="21"/>
        <v>0</v>
      </c>
      <c r="V465" s="42"/>
      <c r="X465" s="4">
        <f>SUMIFS('Weekly Dump'!P:P,'Weekly Dump'!B:B,C465,'Weekly Dump'!A:A,AB465)</f>
        <v>0</v>
      </c>
      <c r="Y465" s="4">
        <f t="shared" si="22"/>
        <v>0</v>
      </c>
      <c r="Z465" s="41"/>
      <c r="AA465" s="12" t="str">
        <f>iferror(IF(VLOOKUP(C465,'Weekly Dump'!B:B,1,0)=C465,"Yes","Missing"),"")</f>
        <v/>
      </c>
      <c r="AB465" s="66"/>
    </row>
    <row r="466">
      <c r="B466" s="63"/>
      <c r="C466" s="63"/>
      <c r="G466" s="3" t="str">
        <f t="shared" si="26"/>
        <v/>
      </c>
      <c r="I466" s="4">
        <f>SUMIFS('Weekly Dump'!D:D,'Weekly Dump'!B:B,C466)</f>
        <v>0</v>
      </c>
      <c r="J466" s="5">
        <f>SUMIFS('Weekly Dump'!AE:AE,'Weekly Dump'!B:B,C466)</f>
        <v>0</v>
      </c>
      <c r="K466" s="4">
        <f>SUMPRODUCT(
  (TEXT('Weekly Dump'!$A$2:$A1009,"mmm-yy")=TEXT($AB466,"mmm-yy"))*
  ('Weekly Dump'!$B$2:$B1009=$C466)*
  'Weekly Dump'!$D$2:$D1009)</f>
        <v>0</v>
      </c>
      <c r="L466" s="4">
        <f>SUMPRODUCT(
  (TEXT('Weekly Dump'!$A$2:$A1009,"mmm-yy")=TEXT($AB466,"mmm-yy"))*
  ('Weekly Dump'!$B$2:$B1009=$C466)*
  'Weekly Dump'!$E$2:$E1009
)</f>
        <v>0</v>
      </c>
      <c r="M466" s="4">
        <f>SUMPRODUCT(
  (TEXT('Weekly Dump'!$A$2:$A1009,"mmm-yy")=TEXT($AB466,"mmm-yy"))*
  ('Weekly Dump'!$B$2:$B1009=$C466)*
  'Weekly Dump'!$P$2:$P1009
)</f>
        <v>0</v>
      </c>
      <c r="N466" s="39"/>
      <c r="O466" s="40">
        <f>SUMIFS('Weekly Dump'!$D:$D,'Weekly Dump'!$B:$B,$C466,'Weekly Dump'!$A:$A,$AB466)</f>
        <v>0</v>
      </c>
      <c r="P466" s="40">
        <f>SUMIFS('Weekly Dump'!R:R,'Weekly Dump'!B:B,C466,'Weekly Dump'!A:A,AB466)</f>
        <v>0</v>
      </c>
      <c r="Q466" s="40">
        <f t="shared" si="20"/>
        <v>0</v>
      </c>
      <c r="R466" s="41"/>
      <c r="T466" s="4">
        <f>SUMIFS('Weekly Dump'!E:E,'Weekly Dump'!B:B,C466,'Weekly Dump'!A:A,AB466)</f>
        <v>0</v>
      </c>
      <c r="U466" s="3">
        <f t="shared" si="21"/>
        <v>0</v>
      </c>
      <c r="V466" s="42"/>
      <c r="X466" s="4">
        <f>SUMIFS('Weekly Dump'!P:P,'Weekly Dump'!B:B,C466,'Weekly Dump'!A:A,AB466)</f>
        <v>0</v>
      </c>
      <c r="Y466" s="4">
        <f t="shared" si="22"/>
        <v>0</v>
      </c>
      <c r="Z466" s="41"/>
      <c r="AA466" s="12" t="str">
        <f>iferror(IF(VLOOKUP(C466,'Weekly Dump'!B:B,1,0)=C466,"Yes","Missing"),"")</f>
        <v/>
      </c>
      <c r="AB466" s="66"/>
    </row>
    <row r="467">
      <c r="B467" s="63"/>
      <c r="C467" s="63"/>
      <c r="G467" s="3" t="str">
        <f t="shared" si="26"/>
        <v/>
      </c>
      <c r="I467" s="4">
        <f>SUMIFS('Weekly Dump'!D:D,'Weekly Dump'!B:B,C467)</f>
        <v>0</v>
      </c>
      <c r="J467" s="5">
        <f>SUMIFS('Weekly Dump'!AE:AE,'Weekly Dump'!B:B,C467)</f>
        <v>0</v>
      </c>
      <c r="K467" s="4">
        <f>SUMPRODUCT(
  (TEXT('Weekly Dump'!$A$2:$A1009,"mmm-yy")=TEXT($AB467,"mmm-yy"))*
  ('Weekly Dump'!$B$2:$B1009=$C467)*
  'Weekly Dump'!$D$2:$D1009)</f>
        <v>0</v>
      </c>
      <c r="L467" s="4">
        <f>SUMPRODUCT(
  (TEXT('Weekly Dump'!$A$2:$A1009,"mmm-yy")=TEXT($AB467,"mmm-yy"))*
  ('Weekly Dump'!$B$2:$B1009=$C467)*
  'Weekly Dump'!$E$2:$E1009
)</f>
        <v>0</v>
      </c>
      <c r="M467" s="4">
        <f>SUMPRODUCT(
  (TEXT('Weekly Dump'!$A$2:$A1009,"mmm-yy")=TEXT($AB467,"mmm-yy"))*
  ('Weekly Dump'!$B$2:$B1009=$C467)*
  'Weekly Dump'!$P$2:$P1009
)</f>
        <v>0</v>
      </c>
      <c r="N467" s="39"/>
      <c r="O467" s="40">
        <f>SUMIFS('Weekly Dump'!$D:$D,'Weekly Dump'!$B:$B,$C467,'Weekly Dump'!$A:$A,$AB467)</f>
        <v>0</v>
      </c>
      <c r="P467" s="40">
        <f>SUMIFS('Weekly Dump'!R:R,'Weekly Dump'!B:B,C467,'Weekly Dump'!A:A,AB467)</f>
        <v>0</v>
      </c>
      <c r="Q467" s="40">
        <f t="shared" si="20"/>
        <v>0</v>
      </c>
      <c r="R467" s="41"/>
      <c r="T467" s="4">
        <f>SUMIFS('Weekly Dump'!E:E,'Weekly Dump'!B:B,C467,'Weekly Dump'!A:A,AB467)</f>
        <v>0</v>
      </c>
      <c r="U467" s="3">
        <f t="shared" si="21"/>
        <v>0</v>
      </c>
      <c r="V467" s="42"/>
      <c r="X467" s="4">
        <f>SUMIFS('Weekly Dump'!P:P,'Weekly Dump'!B:B,C467,'Weekly Dump'!A:A,AB467)</f>
        <v>0</v>
      </c>
      <c r="Y467" s="4">
        <f t="shared" si="22"/>
        <v>0</v>
      </c>
      <c r="Z467" s="41"/>
      <c r="AA467" s="12" t="str">
        <f>iferror(IF(VLOOKUP(C467,'Weekly Dump'!B:B,1,0)=C467,"Yes","Missing"),"")</f>
        <v/>
      </c>
      <c r="AB467" s="66"/>
    </row>
    <row r="468">
      <c r="B468" s="63"/>
      <c r="C468" s="63"/>
      <c r="G468" s="3" t="str">
        <f t="shared" si="26"/>
        <v/>
      </c>
      <c r="I468" s="4">
        <f>SUMIFS('Weekly Dump'!D:D,'Weekly Dump'!B:B,C468)</f>
        <v>0</v>
      </c>
      <c r="J468" s="5">
        <f>SUMIFS('Weekly Dump'!AE:AE,'Weekly Dump'!B:B,C468)</f>
        <v>0</v>
      </c>
      <c r="K468" s="4">
        <f>SUMPRODUCT(
  (TEXT('Weekly Dump'!$A$2:$A1009,"mmm-yy")=TEXT($AB468,"mmm-yy"))*
  ('Weekly Dump'!$B$2:$B1009=$C468)*
  'Weekly Dump'!$D$2:$D1009)</f>
        <v>0</v>
      </c>
      <c r="L468" s="4">
        <f>SUMPRODUCT(
  (TEXT('Weekly Dump'!$A$2:$A1009,"mmm-yy")=TEXT($AB468,"mmm-yy"))*
  ('Weekly Dump'!$B$2:$B1009=$C468)*
  'Weekly Dump'!$E$2:$E1009
)</f>
        <v>0</v>
      </c>
      <c r="M468" s="4">
        <f>SUMPRODUCT(
  (TEXT('Weekly Dump'!$A$2:$A1009,"mmm-yy")=TEXT($AB468,"mmm-yy"))*
  ('Weekly Dump'!$B$2:$B1009=$C468)*
  'Weekly Dump'!$P$2:$P1009
)</f>
        <v>0</v>
      </c>
      <c r="N468" s="39"/>
      <c r="O468" s="40">
        <f>SUMIFS('Weekly Dump'!$D:$D,'Weekly Dump'!$B:$B,$C468,'Weekly Dump'!$A:$A,$AB468)</f>
        <v>0</v>
      </c>
      <c r="P468" s="40">
        <f>SUMIFS('Weekly Dump'!R:R,'Weekly Dump'!B:B,C468,'Weekly Dump'!A:A,AB468)</f>
        <v>0</v>
      </c>
      <c r="Q468" s="40">
        <f t="shared" si="20"/>
        <v>0</v>
      </c>
      <c r="R468" s="41"/>
      <c r="T468" s="4">
        <f>SUMIFS('Weekly Dump'!E:E,'Weekly Dump'!B:B,C468,'Weekly Dump'!A:A,AB468)</f>
        <v>0</v>
      </c>
      <c r="U468" s="3">
        <f t="shared" si="21"/>
        <v>0</v>
      </c>
      <c r="V468" s="42"/>
      <c r="X468" s="4">
        <f>SUMIFS('Weekly Dump'!P:P,'Weekly Dump'!B:B,C468,'Weekly Dump'!A:A,AB468)</f>
        <v>0</v>
      </c>
      <c r="Y468" s="4">
        <f t="shared" si="22"/>
        <v>0</v>
      </c>
      <c r="Z468" s="41"/>
      <c r="AA468" s="12" t="str">
        <f>iferror(IF(VLOOKUP(C468,'Weekly Dump'!B:B,1,0)=C468,"Yes","Missing"),"")</f>
        <v/>
      </c>
      <c r="AB468" s="66"/>
    </row>
    <row r="469">
      <c r="B469" s="63"/>
      <c r="C469" s="63"/>
      <c r="G469" s="3" t="str">
        <f t="shared" si="26"/>
        <v/>
      </c>
      <c r="I469" s="4">
        <f>SUMIFS('Weekly Dump'!D:D,'Weekly Dump'!B:B,C469)</f>
        <v>0</v>
      </c>
      <c r="J469" s="5">
        <f>SUMIFS('Weekly Dump'!AE:AE,'Weekly Dump'!B:B,C469)</f>
        <v>0</v>
      </c>
      <c r="K469" s="4">
        <f>SUMPRODUCT(
  (TEXT('Weekly Dump'!$A$2:$A1009,"mmm-yy")=TEXT($AB469,"mmm-yy"))*
  ('Weekly Dump'!$B$2:$B1009=$C469)*
  'Weekly Dump'!$D$2:$D1009)</f>
        <v>0</v>
      </c>
      <c r="L469" s="4">
        <f>SUMPRODUCT(
  (TEXT('Weekly Dump'!$A$2:$A1009,"mmm-yy")=TEXT($AB469,"mmm-yy"))*
  ('Weekly Dump'!$B$2:$B1009=$C469)*
  'Weekly Dump'!$E$2:$E1009
)</f>
        <v>0</v>
      </c>
      <c r="M469" s="4">
        <f>SUMPRODUCT(
  (TEXT('Weekly Dump'!$A$2:$A1009,"mmm-yy")=TEXT($AB469,"mmm-yy"))*
  ('Weekly Dump'!$B$2:$B1009=$C469)*
  'Weekly Dump'!$P$2:$P1009
)</f>
        <v>0</v>
      </c>
      <c r="N469" s="39"/>
      <c r="O469" s="40">
        <f>SUMIFS('Weekly Dump'!$D:$D,'Weekly Dump'!$B:$B,$C469,'Weekly Dump'!$A:$A,$AB469)</f>
        <v>0</v>
      </c>
      <c r="P469" s="40">
        <f>SUMIFS('Weekly Dump'!R:R,'Weekly Dump'!B:B,C469,'Weekly Dump'!A:A,AB469)</f>
        <v>0</v>
      </c>
      <c r="Q469" s="40">
        <f t="shared" si="20"/>
        <v>0</v>
      </c>
      <c r="R469" s="41"/>
      <c r="T469" s="4">
        <f>SUMIFS('Weekly Dump'!E:E,'Weekly Dump'!B:B,C469,'Weekly Dump'!A:A,AB469)</f>
        <v>0</v>
      </c>
      <c r="U469" s="3">
        <f t="shared" si="21"/>
        <v>0</v>
      </c>
      <c r="V469" s="42"/>
      <c r="X469" s="4">
        <f>SUMIFS('Weekly Dump'!P:P,'Weekly Dump'!B:B,C469,'Weekly Dump'!A:A,AB469)</f>
        <v>0</v>
      </c>
      <c r="Y469" s="4">
        <f t="shared" si="22"/>
        <v>0</v>
      </c>
      <c r="Z469" s="41"/>
      <c r="AA469" s="12" t="str">
        <f>iferror(IF(VLOOKUP(C469,'Weekly Dump'!B:B,1,0)=C469,"Yes","Missing"),"")</f>
        <v/>
      </c>
      <c r="AB469" s="66"/>
    </row>
    <row r="470">
      <c r="B470" s="63"/>
      <c r="C470" s="63"/>
      <c r="G470" s="3" t="str">
        <f t="shared" si="26"/>
        <v/>
      </c>
      <c r="I470" s="4">
        <f>SUMIFS('Weekly Dump'!D:D,'Weekly Dump'!B:B,C470)</f>
        <v>0</v>
      </c>
      <c r="J470" s="5">
        <f>SUMIFS('Weekly Dump'!AE:AE,'Weekly Dump'!B:B,C470)</f>
        <v>0</v>
      </c>
      <c r="K470" s="4">
        <f>SUMPRODUCT(
  (TEXT('Weekly Dump'!$A$2:$A1009,"mmm-yy")=TEXT($AB470,"mmm-yy"))*
  ('Weekly Dump'!$B$2:$B1009=$C470)*
  'Weekly Dump'!$D$2:$D1009)</f>
        <v>0</v>
      </c>
      <c r="L470" s="4">
        <f>SUMPRODUCT(
  (TEXT('Weekly Dump'!$A$2:$A1009,"mmm-yy")=TEXT($AB470,"mmm-yy"))*
  ('Weekly Dump'!$B$2:$B1009=$C470)*
  'Weekly Dump'!$E$2:$E1009
)</f>
        <v>0</v>
      </c>
      <c r="M470" s="4">
        <f>SUMPRODUCT(
  (TEXT('Weekly Dump'!$A$2:$A1009,"mmm-yy")=TEXT($AB470,"mmm-yy"))*
  ('Weekly Dump'!$B$2:$B1009=$C470)*
  'Weekly Dump'!$P$2:$P1009
)</f>
        <v>0</v>
      </c>
      <c r="N470" s="39"/>
      <c r="O470" s="40">
        <f>SUMIFS('Weekly Dump'!$D:$D,'Weekly Dump'!$B:$B,$C470,'Weekly Dump'!$A:$A,$AB470)</f>
        <v>0</v>
      </c>
      <c r="P470" s="40">
        <f>SUMIFS('Weekly Dump'!R:R,'Weekly Dump'!B:B,C470,'Weekly Dump'!A:A,AB470)</f>
        <v>0</v>
      </c>
      <c r="Q470" s="40">
        <f t="shared" si="20"/>
        <v>0</v>
      </c>
      <c r="R470" s="41"/>
      <c r="T470" s="4">
        <f>SUMIFS('Weekly Dump'!E:E,'Weekly Dump'!B:B,C470,'Weekly Dump'!A:A,AB470)</f>
        <v>0</v>
      </c>
      <c r="U470" s="3">
        <f t="shared" si="21"/>
        <v>0</v>
      </c>
      <c r="V470" s="42"/>
      <c r="X470" s="4">
        <f>SUMIFS('Weekly Dump'!P:P,'Weekly Dump'!B:B,C470,'Weekly Dump'!A:A,AB470)</f>
        <v>0</v>
      </c>
      <c r="Y470" s="4">
        <f t="shared" si="22"/>
        <v>0</v>
      </c>
      <c r="Z470" s="41"/>
      <c r="AA470" s="12" t="str">
        <f>iferror(IF(VLOOKUP(C470,'Weekly Dump'!B:B,1,0)=C470,"Yes","Missing"),"")</f>
        <v/>
      </c>
      <c r="AB470" s="66"/>
    </row>
    <row r="471">
      <c r="B471" s="63"/>
      <c r="C471" s="63"/>
      <c r="G471" s="3" t="str">
        <f t="shared" si="26"/>
        <v/>
      </c>
      <c r="I471" s="4">
        <f>SUMIFS('Weekly Dump'!D:D,'Weekly Dump'!B:B,C471)</f>
        <v>0</v>
      </c>
      <c r="J471" s="5">
        <f>SUMIFS('Weekly Dump'!AE:AE,'Weekly Dump'!B:B,C471)</f>
        <v>0</v>
      </c>
      <c r="K471" s="4">
        <f>SUMPRODUCT(
  (TEXT('Weekly Dump'!$A$2:$A1009,"mmm-yy")=TEXT($AB471,"mmm-yy"))*
  ('Weekly Dump'!$B$2:$B1009=$C471)*
  'Weekly Dump'!$D$2:$D1009)</f>
        <v>0</v>
      </c>
      <c r="L471" s="4">
        <f>SUMPRODUCT(
  (TEXT('Weekly Dump'!$A$2:$A1009,"mmm-yy")=TEXT($AB471,"mmm-yy"))*
  ('Weekly Dump'!$B$2:$B1009=$C471)*
  'Weekly Dump'!$E$2:$E1009
)</f>
        <v>0</v>
      </c>
      <c r="M471" s="4">
        <f>SUMPRODUCT(
  (TEXT('Weekly Dump'!$A$2:$A1009,"mmm-yy")=TEXT($AB471,"mmm-yy"))*
  ('Weekly Dump'!$B$2:$B1009=$C471)*
  'Weekly Dump'!$P$2:$P1009
)</f>
        <v>0</v>
      </c>
      <c r="N471" s="39"/>
      <c r="O471" s="40">
        <f>SUMIFS('Weekly Dump'!$D:$D,'Weekly Dump'!$B:$B,$C471,'Weekly Dump'!$A:$A,$AB471)</f>
        <v>0</v>
      </c>
      <c r="P471" s="40">
        <f>SUMIFS('Weekly Dump'!R:R,'Weekly Dump'!B:B,C471,'Weekly Dump'!A:A,AB471)</f>
        <v>0</v>
      </c>
      <c r="Q471" s="40">
        <f t="shared" si="20"/>
        <v>0</v>
      </c>
      <c r="R471" s="41"/>
      <c r="T471" s="4">
        <f>SUMIFS('Weekly Dump'!E:E,'Weekly Dump'!B:B,C471,'Weekly Dump'!A:A,AB471)</f>
        <v>0</v>
      </c>
      <c r="U471" s="3">
        <f t="shared" si="21"/>
        <v>0</v>
      </c>
      <c r="V471" s="42"/>
      <c r="X471" s="4">
        <f>SUMIFS('Weekly Dump'!P:P,'Weekly Dump'!B:B,C471,'Weekly Dump'!A:A,AB471)</f>
        <v>0</v>
      </c>
      <c r="Y471" s="4">
        <f t="shared" si="22"/>
        <v>0</v>
      </c>
      <c r="Z471" s="41"/>
      <c r="AA471" s="12" t="str">
        <f>iferror(IF(VLOOKUP(C471,'Weekly Dump'!B:B,1,0)=C471,"Yes","Missing"),"")</f>
        <v/>
      </c>
      <c r="AB471" s="66"/>
    </row>
    <row r="472">
      <c r="B472" s="63"/>
      <c r="C472" s="63"/>
      <c r="G472" s="3" t="str">
        <f t="shared" si="26"/>
        <v/>
      </c>
      <c r="I472" s="4">
        <f>SUMIFS('Weekly Dump'!D:D,'Weekly Dump'!B:B,C472)</f>
        <v>0</v>
      </c>
      <c r="J472" s="5">
        <f>SUMIFS('Weekly Dump'!AE:AE,'Weekly Dump'!B:B,C472)</f>
        <v>0</v>
      </c>
      <c r="K472" s="4">
        <f>SUMPRODUCT(
  (TEXT('Weekly Dump'!$A$2:$A1009,"mmm-yy")=TEXT($AB472,"mmm-yy"))*
  ('Weekly Dump'!$B$2:$B1009=$C472)*
  'Weekly Dump'!$D$2:$D1009)</f>
        <v>0</v>
      </c>
      <c r="L472" s="4">
        <f>SUMPRODUCT(
  (TEXT('Weekly Dump'!$A$2:$A1009,"mmm-yy")=TEXT($AB472,"mmm-yy"))*
  ('Weekly Dump'!$B$2:$B1009=$C472)*
  'Weekly Dump'!$E$2:$E1009
)</f>
        <v>0</v>
      </c>
      <c r="M472" s="4">
        <f>SUMPRODUCT(
  (TEXT('Weekly Dump'!$A$2:$A1009,"mmm-yy")=TEXT($AB472,"mmm-yy"))*
  ('Weekly Dump'!$B$2:$B1009=$C472)*
  'Weekly Dump'!$P$2:$P1009
)</f>
        <v>0</v>
      </c>
      <c r="N472" s="39"/>
      <c r="O472" s="40">
        <f>SUMIFS('Weekly Dump'!$D:$D,'Weekly Dump'!$B:$B,$C472,'Weekly Dump'!$A:$A,$AB472)</f>
        <v>0</v>
      </c>
      <c r="P472" s="40">
        <f>SUMIFS('Weekly Dump'!R:R,'Weekly Dump'!B:B,C472,'Weekly Dump'!A:A,AB472)</f>
        <v>0</v>
      </c>
      <c r="Q472" s="40">
        <f t="shared" si="20"/>
        <v>0</v>
      </c>
      <c r="R472" s="41"/>
      <c r="T472" s="4">
        <f>SUMIFS('Weekly Dump'!E:E,'Weekly Dump'!B:B,C472,'Weekly Dump'!A:A,AB472)</f>
        <v>0</v>
      </c>
      <c r="U472" s="3">
        <f t="shared" si="21"/>
        <v>0</v>
      </c>
      <c r="V472" s="42"/>
      <c r="X472" s="4">
        <f>SUMIFS('Weekly Dump'!P:P,'Weekly Dump'!B:B,C472,'Weekly Dump'!A:A,AB472)</f>
        <v>0</v>
      </c>
      <c r="Y472" s="4">
        <f t="shared" si="22"/>
        <v>0</v>
      </c>
      <c r="Z472" s="41"/>
      <c r="AA472" s="12" t="str">
        <f>iferror(IF(VLOOKUP(C472,'Weekly Dump'!B:B,1,0)=C472,"Yes","Missing"),"")</f>
        <v/>
      </c>
      <c r="AB472" s="66"/>
    </row>
    <row r="473">
      <c r="B473" s="63"/>
      <c r="C473" s="63"/>
      <c r="G473" s="3" t="str">
        <f t="shared" si="26"/>
        <v/>
      </c>
      <c r="I473" s="4">
        <f>SUMIFS('Weekly Dump'!D:D,'Weekly Dump'!B:B,C473)</f>
        <v>0</v>
      </c>
      <c r="J473" s="5">
        <f>SUMIFS('Weekly Dump'!AE:AE,'Weekly Dump'!B:B,C473)</f>
        <v>0</v>
      </c>
      <c r="K473" s="4">
        <f>SUMPRODUCT(
  (TEXT('Weekly Dump'!$A$2:$A1009,"mmm-yy")=TEXT($AB473,"mmm-yy"))*
  ('Weekly Dump'!$B$2:$B1009=$C473)*
  'Weekly Dump'!$D$2:$D1009)</f>
        <v>0</v>
      </c>
      <c r="L473" s="4">
        <f>SUMPRODUCT(
  (TEXT('Weekly Dump'!$A$2:$A1009,"mmm-yy")=TEXT($AB473,"mmm-yy"))*
  ('Weekly Dump'!$B$2:$B1009=$C473)*
  'Weekly Dump'!$E$2:$E1009
)</f>
        <v>0</v>
      </c>
      <c r="M473" s="4">
        <f>SUMPRODUCT(
  (TEXT('Weekly Dump'!$A$2:$A1009,"mmm-yy")=TEXT($AB473,"mmm-yy"))*
  ('Weekly Dump'!$B$2:$B1009=$C473)*
  'Weekly Dump'!$P$2:$P1009
)</f>
        <v>0</v>
      </c>
      <c r="N473" s="39"/>
      <c r="O473" s="40">
        <f>SUMIFS('Weekly Dump'!$D:$D,'Weekly Dump'!$B:$B,$C473,'Weekly Dump'!$A:$A,$AB473)</f>
        <v>0</v>
      </c>
      <c r="P473" s="40">
        <f>SUMIFS('Weekly Dump'!R:R,'Weekly Dump'!B:B,C473,'Weekly Dump'!A:A,AB473)</f>
        <v>0</v>
      </c>
      <c r="Q473" s="40">
        <f t="shared" si="20"/>
        <v>0</v>
      </c>
      <c r="R473" s="41"/>
      <c r="T473" s="4">
        <f>SUMIFS('Weekly Dump'!E:E,'Weekly Dump'!B:B,C473,'Weekly Dump'!A:A,AB473)</f>
        <v>0</v>
      </c>
      <c r="U473" s="3">
        <f t="shared" si="21"/>
        <v>0</v>
      </c>
      <c r="V473" s="42"/>
      <c r="X473" s="4">
        <f>SUMIFS('Weekly Dump'!P:P,'Weekly Dump'!B:B,C473,'Weekly Dump'!A:A,AB473)</f>
        <v>0</v>
      </c>
      <c r="Y473" s="4">
        <f t="shared" si="22"/>
        <v>0</v>
      </c>
      <c r="Z473" s="41"/>
      <c r="AA473" s="12" t="str">
        <f>iferror(IF(VLOOKUP(C473,'Weekly Dump'!B:B,1,0)=C473,"Yes","Missing"),"")</f>
        <v/>
      </c>
      <c r="AB473" s="66"/>
    </row>
    <row r="474">
      <c r="B474" s="63"/>
      <c r="C474" s="63"/>
      <c r="G474" s="3" t="str">
        <f t="shared" si="26"/>
        <v/>
      </c>
      <c r="I474" s="4">
        <f>SUMIFS('Weekly Dump'!D:D,'Weekly Dump'!B:B,C474)</f>
        <v>0</v>
      </c>
      <c r="J474" s="5">
        <f>SUMIFS('Weekly Dump'!AE:AE,'Weekly Dump'!B:B,C474)</f>
        <v>0</v>
      </c>
      <c r="K474" s="4">
        <f>SUMPRODUCT(
  (TEXT('Weekly Dump'!$A$2:$A1009,"mmm-yy")=TEXT($AB474,"mmm-yy"))*
  ('Weekly Dump'!$B$2:$B1009=$C474)*
  'Weekly Dump'!$D$2:$D1009)</f>
        <v>0</v>
      </c>
      <c r="L474" s="4">
        <f>SUMPRODUCT(
  (TEXT('Weekly Dump'!$A$2:$A1009,"mmm-yy")=TEXT($AB474,"mmm-yy"))*
  ('Weekly Dump'!$B$2:$B1009=$C474)*
  'Weekly Dump'!$E$2:$E1009
)</f>
        <v>0</v>
      </c>
      <c r="M474" s="4">
        <f>SUMPRODUCT(
  (TEXT('Weekly Dump'!$A$2:$A1009,"mmm-yy")=TEXT($AB474,"mmm-yy"))*
  ('Weekly Dump'!$B$2:$B1009=$C474)*
  'Weekly Dump'!$P$2:$P1009
)</f>
        <v>0</v>
      </c>
      <c r="N474" s="39"/>
      <c r="O474" s="40">
        <f>SUMIFS('Weekly Dump'!$D:$D,'Weekly Dump'!$B:$B,$C474,'Weekly Dump'!$A:$A,$AB474)</f>
        <v>0</v>
      </c>
      <c r="P474" s="40">
        <f>SUMIFS('Weekly Dump'!R:R,'Weekly Dump'!B:B,C474,'Weekly Dump'!A:A,AB474)</f>
        <v>0</v>
      </c>
      <c r="Q474" s="40">
        <f t="shared" si="20"/>
        <v>0</v>
      </c>
      <c r="R474" s="41"/>
      <c r="T474" s="4">
        <f>SUMIFS('Weekly Dump'!E:E,'Weekly Dump'!B:B,C474,'Weekly Dump'!A:A,AB474)</f>
        <v>0</v>
      </c>
      <c r="U474" s="3">
        <f t="shared" si="21"/>
        <v>0</v>
      </c>
      <c r="V474" s="42"/>
      <c r="X474" s="4">
        <f>SUMIFS('Weekly Dump'!P:P,'Weekly Dump'!B:B,C474,'Weekly Dump'!A:A,AB474)</f>
        <v>0</v>
      </c>
      <c r="Y474" s="4">
        <f t="shared" si="22"/>
        <v>0</v>
      </c>
      <c r="Z474" s="41"/>
      <c r="AA474" s="12" t="str">
        <f>iferror(IF(VLOOKUP(C474,'Weekly Dump'!B:B,1,0)=C474,"Yes","Missing"),"")</f>
        <v/>
      </c>
      <c r="AB474" s="66"/>
    </row>
    <row r="475">
      <c r="B475" s="63"/>
      <c r="C475" s="63"/>
      <c r="G475" s="3" t="str">
        <f t="shared" si="26"/>
        <v/>
      </c>
      <c r="I475" s="4">
        <f>SUMIFS('Weekly Dump'!D:D,'Weekly Dump'!B:B,C475)</f>
        <v>0</v>
      </c>
      <c r="J475" s="5">
        <f>SUMIFS('Weekly Dump'!AE:AE,'Weekly Dump'!B:B,C475)</f>
        <v>0</v>
      </c>
      <c r="K475" s="4">
        <f>SUMPRODUCT(
  (TEXT('Weekly Dump'!$A$2:$A1009,"mmm-yy")=TEXT($AB475,"mmm-yy"))*
  ('Weekly Dump'!$B$2:$B1009=$C475)*
  'Weekly Dump'!$D$2:$D1009)</f>
        <v>0</v>
      </c>
      <c r="L475" s="4">
        <f>SUMPRODUCT(
  (TEXT('Weekly Dump'!$A$2:$A1009,"mmm-yy")=TEXT($AB475,"mmm-yy"))*
  ('Weekly Dump'!$B$2:$B1009=$C475)*
  'Weekly Dump'!$E$2:$E1009
)</f>
        <v>0</v>
      </c>
      <c r="M475" s="4">
        <f>SUMPRODUCT(
  (TEXT('Weekly Dump'!$A$2:$A1009,"mmm-yy")=TEXT($AB475,"mmm-yy"))*
  ('Weekly Dump'!$B$2:$B1009=$C475)*
  'Weekly Dump'!$P$2:$P1009
)</f>
        <v>0</v>
      </c>
      <c r="N475" s="39"/>
      <c r="O475" s="40">
        <f>SUMIFS('Weekly Dump'!$D:$D,'Weekly Dump'!$B:$B,$C475,'Weekly Dump'!$A:$A,$AB475)</f>
        <v>0</v>
      </c>
      <c r="P475" s="40">
        <f>SUMIFS('Weekly Dump'!R:R,'Weekly Dump'!B:B,C475,'Weekly Dump'!A:A,AB475)</f>
        <v>0</v>
      </c>
      <c r="Q475" s="40">
        <f t="shared" si="20"/>
        <v>0</v>
      </c>
      <c r="R475" s="41"/>
      <c r="T475" s="4">
        <f>SUMIFS('Weekly Dump'!E:E,'Weekly Dump'!B:B,C475,'Weekly Dump'!A:A,AB475)</f>
        <v>0</v>
      </c>
      <c r="U475" s="3">
        <f t="shared" si="21"/>
        <v>0</v>
      </c>
      <c r="V475" s="42"/>
      <c r="X475" s="4">
        <f>SUMIFS('Weekly Dump'!P:P,'Weekly Dump'!B:B,C475,'Weekly Dump'!A:A,AB475)</f>
        <v>0</v>
      </c>
      <c r="Y475" s="4">
        <f t="shared" si="22"/>
        <v>0</v>
      </c>
      <c r="Z475" s="41"/>
      <c r="AA475" s="12" t="str">
        <f>iferror(IF(VLOOKUP(C475,'Weekly Dump'!B:B,1,0)=C475,"Yes","Missing"),"")</f>
        <v/>
      </c>
      <c r="AB475" s="66"/>
    </row>
    <row r="476">
      <c r="B476" s="63"/>
      <c r="C476" s="63"/>
      <c r="G476" s="3" t="str">
        <f t="shared" si="26"/>
        <v/>
      </c>
      <c r="I476" s="4">
        <f>SUMIFS('Weekly Dump'!D:D,'Weekly Dump'!B:B,C476)</f>
        <v>0</v>
      </c>
      <c r="J476" s="5">
        <f>SUMIFS('Weekly Dump'!AE:AE,'Weekly Dump'!B:B,C476)</f>
        <v>0</v>
      </c>
      <c r="K476" s="4">
        <f>SUMPRODUCT(
  (TEXT('Weekly Dump'!$A$2:$A1009,"mmm-yy")=TEXT($AB476,"mmm-yy"))*
  ('Weekly Dump'!$B$2:$B1009=$C476)*
  'Weekly Dump'!$D$2:$D1009)</f>
        <v>0</v>
      </c>
      <c r="L476" s="4">
        <f>SUMPRODUCT(
  (TEXT('Weekly Dump'!$A$2:$A1009,"mmm-yy")=TEXT($AB476,"mmm-yy"))*
  ('Weekly Dump'!$B$2:$B1009=$C476)*
  'Weekly Dump'!$E$2:$E1009
)</f>
        <v>0</v>
      </c>
      <c r="M476" s="4">
        <f>SUMPRODUCT(
  (TEXT('Weekly Dump'!$A$2:$A1009,"mmm-yy")=TEXT($AB476,"mmm-yy"))*
  ('Weekly Dump'!$B$2:$B1009=$C476)*
  'Weekly Dump'!$P$2:$P1009
)</f>
        <v>0</v>
      </c>
      <c r="N476" s="39"/>
      <c r="O476" s="40">
        <f>SUMIFS('Weekly Dump'!$D:$D,'Weekly Dump'!$B:$B,$C476,'Weekly Dump'!$A:$A,$AB476)</f>
        <v>0</v>
      </c>
      <c r="P476" s="40">
        <f>SUMIFS('Weekly Dump'!R:R,'Weekly Dump'!B:B,C476,'Weekly Dump'!A:A,AB476)</f>
        <v>0</v>
      </c>
      <c r="Q476" s="40">
        <f t="shared" si="20"/>
        <v>0</v>
      </c>
      <c r="R476" s="41"/>
      <c r="T476" s="4">
        <f>SUMIFS('Weekly Dump'!E:E,'Weekly Dump'!B:B,C476,'Weekly Dump'!A:A,AB476)</f>
        <v>0</v>
      </c>
      <c r="U476" s="3">
        <f t="shared" si="21"/>
        <v>0</v>
      </c>
      <c r="V476" s="42"/>
      <c r="X476" s="4">
        <f>SUMIFS('Weekly Dump'!P:P,'Weekly Dump'!B:B,C476,'Weekly Dump'!A:A,AB476)</f>
        <v>0</v>
      </c>
      <c r="Y476" s="4">
        <f t="shared" si="22"/>
        <v>0</v>
      </c>
      <c r="Z476" s="41"/>
      <c r="AA476" s="12" t="str">
        <f>iferror(IF(VLOOKUP(C476,'Weekly Dump'!B:B,1,0)=C476,"Yes","Missing"),"")</f>
        <v/>
      </c>
      <c r="AB476" s="66"/>
    </row>
    <row r="477">
      <c r="B477" s="63"/>
      <c r="C477" s="63"/>
      <c r="G477" s="3" t="str">
        <f t="shared" si="26"/>
        <v/>
      </c>
      <c r="I477" s="4">
        <f>SUMIFS('Weekly Dump'!D:D,'Weekly Dump'!B:B,C477)</f>
        <v>0</v>
      </c>
      <c r="J477" s="5">
        <f>SUMIFS('Weekly Dump'!AE:AE,'Weekly Dump'!B:B,C477)</f>
        <v>0</v>
      </c>
      <c r="K477" s="4">
        <f>SUMPRODUCT(
  (TEXT('Weekly Dump'!$A$2:$A1009,"mmm-yy")=TEXT($AB477,"mmm-yy"))*
  ('Weekly Dump'!$B$2:$B1009=$C477)*
  'Weekly Dump'!$D$2:$D1009)</f>
        <v>0</v>
      </c>
      <c r="L477" s="4">
        <f>SUMPRODUCT(
  (TEXT('Weekly Dump'!$A$2:$A1009,"mmm-yy")=TEXT($AB477,"mmm-yy"))*
  ('Weekly Dump'!$B$2:$B1009=$C477)*
  'Weekly Dump'!$E$2:$E1009
)</f>
        <v>0</v>
      </c>
      <c r="M477" s="4">
        <f>SUMPRODUCT(
  (TEXT('Weekly Dump'!$A$2:$A1009,"mmm-yy")=TEXT($AB477,"mmm-yy"))*
  ('Weekly Dump'!$B$2:$B1009=$C477)*
  'Weekly Dump'!$P$2:$P1009
)</f>
        <v>0</v>
      </c>
      <c r="N477" s="39"/>
      <c r="O477" s="40">
        <f>SUMIFS('Weekly Dump'!$D:$D,'Weekly Dump'!$B:$B,$C477,'Weekly Dump'!$A:$A,$AB477)</f>
        <v>0</v>
      </c>
      <c r="P477" s="40">
        <f>SUMIFS('Weekly Dump'!R:R,'Weekly Dump'!B:B,C477,'Weekly Dump'!A:A,AB477)</f>
        <v>0</v>
      </c>
      <c r="Q477" s="40">
        <f t="shared" si="20"/>
        <v>0</v>
      </c>
      <c r="R477" s="41"/>
      <c r="T477" s="4">
        <f>SUMIFS('Weekly Dump'!E:E,'Weekly Dump'!B:B,C477,'Weekly Dump'!A:A,AB477)</f>
        <v>0</v>
      </c>
      <c r="U477" s="3">
        <f t="shared" si="21"/>
        <v>0</v>
      </c>
      <c r="V477" s="42"/>
      <c r="X477" s="4">
        <f>SUMIFS('Weekly Dump'!P:P,'Weekly Dump'!B:B,C477,'Weekly Dump'!A:A,AB477)</f>
        <v>0</v>
      </c>
      <c r="Y477" s="4">
        <f t="shared" si="22"/>
        <v>0</v>
      </c>
      <c r="Z477" s="41"/>
      <c r="AA477" s="12" t="str">
        <f>iferror(IF(VLOOKUP(C477,'Weekly Dump'!B:B,1,0)=C477,"Yes","Missing"),"")</f>
        <v/>
      </c>
      <c r="AB477" s="66"/>
    </row>
    <row r="478">
      <c r="B478" s="63"/>
      <c r="C478" s="63"/>
      <c r="G478" s="3" t="str">
        <f t="shared" si="26"/>
        <v/>
      </c>
      <c r="I478" s="4">
        <f>SUMIFS('Weekly Dump'!D:D,'Weekly Dump'!B:B,C478)</f>
        <v>0</v>
      </c>
      <c r="J478" s="5">
        <f>SUMIFS('Weekly Dump'!AE:AE,'Weekly Dump'!B:B,C478)</f>
        <v>0</v>
      </c>
      <c r="K478" s="4">
        <f>SUMPRODUCT(
  (TEXT('Weekly Dump'!$A$2:$A1009,"mmm-yy")=TEXT($AB478,"mmm-yy"))*
  ('Weekly Dump'!$B$2:$B1009=$C478)*
  'Weekly Dump'!$D$2:$D1009)</f>
        <v>0</v>
      </c>
      <c r="L478" s="4">
        <f>SUMPRODUCT(
  (TEXT('Weekly Dump'!$A$2:$A1009,"mmm-yy")=TEXT($AB478,"mmm-yy"))*
  ('Weekly Dump'!$B$2:$B1009=$C478)*
  'Weekly Dump'!$E$2:$E1009
)</f>
        <v>0</v>
      </c>
      <c r="M478" s="4">
        <f>SUMPRODUCT(
  (TEXT('Weekly Dump'!$A$2:$A1009,"mmm-yy")=TEXT($AB478,"mmm-yy"))*
  ('Weekly Dump'!$B$2:$B1009=$C478)*
  'Weekly Dump'!$P$2:$P1009
)</f>
        <v>0</v>
      </c>
      <c r="N478" s="39"/>
      <c r="O478" s="40">
        <f>SUMIFS('Weekly Dump'!$D:$D,'Weekly Dump'!$B:$B,$C478,'Weekly Dump'!$A:$A,$AB478)</f>
        <v>0</v>
      </c>
      <c r="P478" s="40">
        <f>SUMIFS('Weekly Dump'!R:R,'Weekly Dump'!B:B,C478,'Weekly Dump'!A:A,AB478)</f>
        <v>0</v>
      </c>
      <c r="Q478" s="40">
        <f t="shared" si="20"/>
        <v>0</v>
      </c>
      <c r="R478" s="41"/>
      <c r="T478" s="4">
        <f>SUMIFS('Weekly Dump'!E:E,'Weekly Dump'!B:B,C478,'Weekly Dump'!A:A,AB478)</f>
        <v>0</v>
      </c>
      <c r="U478" s="3">
        <f t="shared" si="21"/>
        <v>0</v>
      </c>
      <c r="V478" s="42"/>
      <c r="X478" s="4">
        <f>SUMIFS('Weekly Dump'!P:P,'Weekly Dump'!B:B,C478,'Weekly Dump'!A:A,AB478)</f>
        <v>0</v>
      </c>
      <c r="Y478" s="4">
        <f t="shared" si="22"/>
        <v>0</v>
      </c>
      <c r="Z478" s="41"/>
      <c r="AA478" s="12" t="str">
        <f>iferror(IF(VLOOKUP(C478,'Weekly Dump'!B:B,1,0)=C478,"Yes","Missing"),"")</f>
        <v/>
      </c>
      <c r="AB478" s="66"/>
    </row>
    <row r="479">
      <c r="B479" s="63"/>
      <c r="C479" s="63"/>
      <c r="G479" s="3" t="str">
        <f t="shared" si="26"/>
        <v/>
      </c>
      <c r="I479" s="4">
        <f>SUMIFS('Weekly Dump'!D:D,'Weekly Dump'!B:B,C479)</f>
        <v>0</v>
      </c>
      <c r="J479" s="5">
        <f>SUMIFS('Weekly Dump'!AE:AE,'Weekly Dump'!B:B,C479)</f>
        <v>0</v>
      </c>
      <c r="K479" s="4">
        <f>SUMPRODUCT(
  (TEXT('Weekly Dump'!$A$2:$A1009,"mmm-yy")=TEXT($AB479,"mmm-yy"))*
  ('Weekly Dump'!$B$2:$B1009=$C479)*
  'Weekly Dump'!$D$2:$D1009)</f>
        <v>0</v>
      </c>
      <c r="L479" s="4">
        <f>SUMPRODUCT(
  (TEXT('Weekly Dump'!$A$2:$A1009,"mmm-yy")=TEXT($AB479,"mmm-yy"))*
  ('Weekly Dump'!$B$2:$B1009=$C479)*
  'Weekly Dump'!$E$2:$E1009
)</f>
        <v>0</v>
      </c>
      <c r="M479" s="4">
        <f>SUMPRODUCT(
  (TEXT('Weekly Dump'!$A$2:$A1009,"mmm-yy")=TEXT($AB479,"mmm-yy"))*
  ('Weekly Dump'!$B$2:$B1009=$C479)*
  'Weekly Dump'!$P$2:$P1009
)</f>
        <v>0</v>
      </c>
      <c r="N479" s="39"/>
      <c r="O479" s="40">
        <f>SUMIFS('Weekly Dump'!$D:$D,'Weekly Dump'!$B:$B,$C479,'Weekly Dump'!$A:$A,$AB479)</f>
        <v>0</v>
      </c>
      <c r="P479" s="40">
        <f>SUMIFS('Weekly Dump'!R:R,'Weekly Dump'!B:B,C479,'Weekly Dump'!A:A,AB479)</f>
        <v>0</v>
      </c>
      <c r="Q479" s="40">
        <f t="shared" si="20"/>
        <v>0</v>
      </c>
      <c r="R479" s="41"/>
      <c r="T479" s="4">
        <f>SUMIFS('Weekly Dump'!E:E,'Weekly Dump'!B:B,C479,'Weekly Dump'!A:A,AB479)</f>
        <v>0</v>
      </c>
      <c r="U479" s="3">
        <f t="shared" si="21"/>
        <v>0</v>
      </c>
      <c r="V479" s="42"/>
      <c r="X479" s="4">
        <f>SUMIFS('Weekly Dump'!P:P,'Weekly Dump'!B:B,C479,'Weekly Dump'!A:A,AB479)</f>
        <v>0</v>
      </c>
      <c r="Y479" s="4">
        <f t="shared" si="22"/>
        <v>0</v>
      </c>
      <c r="Z479" s="41"/>
      <c r="AA479" s="12" t="str">
        <f>iferror(IF(VLOOKUP(C479,'Weekly Dump'!B:B,1,0)=C479,"Yes","Missing"),"")</f>
        <v/>
      </c>
      <c r="AB479" s="66"/>
    </row>
    <row r="480">
      <c r="B480" s="63"/>
      <c r="C480" s="63"/>
      <c r="G480" s="3" t="str">
        <f t="shared" si="26"/>
        <v/>
      </c>
      <c r="I480" s="4">
        <f>SUMIFS('Weekly Dump'!D:D,'Weekly Dump'!B:B,C480)</f>
        <v>0</v>
      </c>
      <c r="J480" s="5">
        <f>SUMIFS('Weekly Dump'!AE:AE,'Weekly Dump'!B:B,C480)</f>
        <v>0</v>
      </c>
      <c r="K480" s="4">
        <f>SUMPRODUCT(
  (TEXT('Weekly Dump'!$A$2:$A1009,"mmm-yy")=TEXT($AB480,"mmm-yy"))*
  ('Weekly Dump'!$B$2:$B1009=$C480)*
  'Weekly Dump'!$D$2:$D1009)</f>
        <v>0</v>
      </c>
      <c r="L480" s="4">
        <f>SUMPRODUCT(
  (TEXT('Weekly Dump'!$A$2:$A1009,"mmm-yy")=TEXT($AB480,"mmm-yy"))*
  ('Weekly Dump'!$B$2:$B1009=$C480)*
  'Weekly Dump'!$E$2:$E1009
)</f>
        <v>0</v>
      </c>
      <c r="M480" s="4">
        <f>SUMPRODUCT(
  (TEXT('Weekly Dump'!$A$2:$A1009,"mmm-yy")=TEXT($AB480,"mmm-yy"))*
  ('Weekly Dump'!$B$2:$B1009=$C480)*
  'Weekly Dump'!$P$2:$P1009
)</f>
        <v>0</v>
      </c>
      <c r="N480" s="39"/>
      <c r="O480" s="40">
        <f>SUMIFS('Weekly Dump'!$D:$D,'Weekly Dump'!$B:$B,$C480,'Weekly Dump'!$A:$A,$AB480)</f>
        <v>0</v>
      </c>
      <c r="P480" s="40">
        <f>SUMIFS('Weekly Dump'!R:R,'Weekly Dump'!B:B,C480,'Weekly Dump'!A:A,AB480)</f>
        <v>0</v>
      </c>
      <c r="Q480" s="40">
        <f t="shared" si="20"/>
        <v>0</v>
      </c>
      <c r="R480" s="41"/>
      <c r="T480" s="4">
        <f>SUMIFS('Weekly Dump'!E:E,'Weekly Dump'!B:B,C480,'Weekly Dump'!A:A,AB480)</f>
        <v>0</v>
      </c>
      <c r="U480" s="3">
        <f t="shared" si="21"/>
        <v>0</v>
      </c>
      <c r="V480" s="42"/>
      <c r="X480" s="4">
        <f>SUMIFS('Weekly Dump'!P:P,'Weekly Dump'!B:B,C480,'Weekly Dump'!A:A,AB480)</f>
        <v>0</v>
      </c>
      <c r="Y480" s="4">
        <f t="shared" si="22"/>
        <v>0</v>
      </c>
      <c r="Z480" s="41"/>
      <c r="AA480" s="12" t="str">
        <f>iferror(IF(VLOOKUP(C480,'Weekly Dump'!B:B,1,0)=C480,"Yes","Missing"),"")</f>
        <v/>
      </c>
      <c r="AB480" s="66"/>
    </row>
    <row r="481">
      <c r="B481" s="63"/>
      <c r="C481" s="63"/>
      <c r="G481" s="3" t="str">
        <f t="shared" si="26"/>
        <v/>
      </c>
      <c r="I481" s="4">
        <f>SUMIFS('Weekly Dump'!D:D,'Weekly Dump'!B:B,C481)</f>
        <v>0</v>
      </c>
      <c r="J481" s="5">
        <f>SUMIFS('Weekly Dump'!AE:AE,'Weekly Dump'!B:B,C481)</f>
        <v>0</v>
      </c>
      <c r="K481" s="4">
        <f>SUMPRODUCT(
  (TEXT('Weekly Dump'!$A$2:$A1009,"mmm-yy")=TEXT($AB481,"mmm-yy"))*
  ('Weekly Dump'!$B$2:$B1009=$C481)*
  'Weekly Dump'!$D$2:$D1009)</f>
        <v>0</v>
      </c>
      <c r="L481" s="4">
        <f>SUMPRODUCT(
  (TEXT('Weekly Dump'!$A$2:$A1009,"mmm-yy")=TEXT($AB481,"mmm-yy"))*
  ('Weekly Dump'!$B$2:$B1009=$C481)*
  'Weekly Dump'!$E$2:$E1009
)</f>
        <v>0</v>
      </c>
      <c r="M481" s="4">
        <f>SUMPRODUCT(
  (TEXT('Weekly Dump'!$A$2:$A1009,"mmm-yy")=TEXT($AB481,"mmm-yy"))*
  ('Weekly Dump'!$B$2:$B1009=$C481)*
  'Weekly Dump'!$P$2:$P1009
)</f>
        <v>0</v>
      </c>
      <c r="N481" s="39"/>
      <c r="O481" s="40">
        <f>SUMIFS('Weekly Dump'!$D:$D,'Weekly Dump'!$B:$B,$C481,'Weekly Dump'!$A:$A,$AB481)</f>
        <v>0</v>
      </c>
      <c r="P481" s="40">
        <f>SUMIFS('Weekly Dump'!R:R,'Weekly Dump'!B:B,C481,'Weekly Dump'!A:A,AB481)</f>
        <v>0</v>
      </c>
      <c r="Q481" s="40">
        <f t="shared" si="20"/>
        <v>0</v>
      </c>
      <c r="R481" s="41"/>
      <c r="T481" s="4">
        <f>SUMIFS('Weekly Dump'!E:E,'Weekly Dump'!B:B,C481,'Weekly Dump'!A:A,AB481)</f>
        <v>0</v>
      </c>
      <c r="U481" s="3">
        <f t="shared" si="21"/>
        <v>0</v>
      </c>
      <c r="V481" s="42"/>
      <c r="X481" s="4">
        <f>SUMIFS('Weekly Dump'!P:P,'Weekly Dump'!B:B,C481,'Weekly Dump'!A:A,AB481)</f>
        <v>0</v>
      </c>
      <c r="Y481" s="4">
        <f t="shared" si="22"/>
        <v>0</v>
      </c>
      <c r="Z481" s="41"/>
      <c r="AA481" s="12" t="str">
        <f>iferror(IF(VLOOKUP(C481,'Weekly Dump'!B:B,1,0)=C481,"Yes","Missing"),"")</f>
        <v/>
      </c>
      <c r="AB481" s="66"/>
    </row>
    <row r="482">
      <c r="B482" s="63"/>
      <c r="C482" s="63"/>
      <c r="G482" s="3" t="str">
        <f t="shared" si="26"/>
        <v/>
      </c>
      <c r="I482" s="4">
        <f>SUMIFS('Weekly Dump'!D:D,'Weekly Dump'!B:B,C482)</f>
        <v>0</v>
      </c>
      <c r="J482" s="5">
        <f>SUMIFS('Weekly Dump'!AE:AE,'Weekly Dump'!B:B,C482)</f>
        <v>0</v>
      </c>
      <c r="K482" s="4">
        <f>SUMPRODUCT(
  (TEXT('Weekly Dump'!$A$2:$A1009,"mmm-yy")=TEXT($AB482,"mmm-yy"))*
  ('Weekly Dump'!$B$2:$B1009=$C482)*
  'Weekly Dump'!$D$2:$D1009)</f>
        <v>0</v>
      </c>
      <c r="L482" s="4">
        <f>SUMPRODUCT(
  (TEXT('Weekly Dump'!$A$2:$A1009,"mmm-yy")=TEXT($AB482,"mmm-yy"))*
  ('Weekly Dump'!$B$2:$B1009=$C482)*
  'Weekly Dump'!$E$2:$E1009
)</f>
        <v>0</v>
      </c>
      <c r="M482" s="4">
        <f>SUMPRODUCT(
  (TEXT('Weekly Dump'!$A$2:$A1009,"mmm-yy")=TEXT($AB482,"mmm-yy"))*
  ('Weekly Dump'!$B$2:$B1009=$C482)*
  'Weekly Dump'!$P$2:$P1009
)</f>
        <v>0</v>
      </c>
      <c r="N482" s="39"/>
      <c r="O482" s="40">
        <f>SUMIFS('Weekly Dump'!$D:$D,'Weekly Dump'!$B:$B,$C482,'Weekly Dump'!$A:$A,$AB482)</f>
        <v>0</v>
      </c>
      <c r="P482" s="40">
        <f>SUMIFS('Weekly Dump'!R:R,'Weekly Dump'!B:B,C482,'Weekly Dump'!A:A,AB482)</f>
        <v>0</v>
      </c>
      <c r="Q482" s="40">
        <f t="shared" si="20"/>
        <v>0</v>
      </c>
      <c r="R482" s="41"/>
      <c r="T482" s="4">
        <f>SUMIFS('Weekly Dump'!E:E,'Weekly Dump'!B:B,C482,'Weekly Dump'!A:A,AB482)</f>
        <v>0</v>
      </c>
      <c r="U482" s="3">
        <f t="shared" si="21"/>
        <v>0</v>
      </c>
      <c r="V482" s="42"/>
      <c r="X482" s="4">
        <f>SUMIFS('Weekly Dump'!P:P,'Weekly Dump'!B:B,C482,'Weekly Dump'!A:A,AB482)</f>
        <v>0</v>
      </c>
      <c r="Y482" s="4">
        <f t="shared" si="22"/>
        <v>0</v>
      </c>
      <c r="Z482" s="41"/>
      <c r="AA482" s="12" t="str">
        <f>iferror(IF(VLOOKUP(C482,'Weekly Dump'!B:B,1,0)=C482,"Yes","Missing"),"")</f>
        <v/>
      </c>
      <c r="AB482" s="66"/>
    </row>
    <row r="483">
      <c r="B483" s="63"/>
      <c r="C483" s="63"/>
      <c r="G483" s="3" t="str">
        <f t="shared" si="26"/>
        <v/>
      </c>
      <c r="I483" s="4">
        <f>SUMIFS('Weekly Dump'!D:D,'Weekly Dump'!B:B,C483)</f>
        <v>0</v>
      </c>
      <c r="J483" s="5">
        <f>SUMIFS('Weekly Dump'!AE:AE,'Weekly Dump'!B:B,C483)</f>
        <v>0</v>
      </c>
      <c r="K483" s="4">
        <f>SUMPRODUCT(
  (TEXT('Weekly Dump'!$A$2:$A1009,"mmm-yy")=TEXT($AB483,"mmm-yy"))*
  ('Weekly Dump'!$B$2:$B1009=$C483)*
  'Weekly Dump'!$D$2:$D1009)</f>
        <v>0</v>
      </c>
      <c r="L483" s="4">
        <f>SUMPRODUCT(
  (TEXT('Weekly Dump'!$A$2:$A1009,"mmm-yy")=TEXT($AB483,"mmm-yy"))*
  ('Weekly Dump'!$B$2:$B1009=$C483)*
  'Weekly Dump'!$E$2:$E1009
)</f>
        <v>0</v>
      </c>
      <c r="M483" s="4">
        <f>SUMPRODUCT(
  (TEXT('Weekly Dump'!$A$2:$A1009,"mmm-yy")=TEXT($AB483,"mmm-yy"))*
  ('Weekly Dump'!$B$2:$B1009=$C483)*
  'Weekly Dump'!$P$2:$P1009
)</f>
        <v>0</v>
      </c>
      <c r="N483" s="39"/>
      <c r="O483" s="40">
        <f>SUMIFS('Weekly Dump'!$D:$D,'Weekly Dump'!$B:$B,$C483,'Weekly Dump'!$A:$A,$AB483)</f>
        <v>0</v>
      </c>
      <c r="P483" s="40">
        <f>SUMIFS('Weekly Dump'!R:R,'Weekly Dump'!B:B,C483,'Weekly Dump'!A:A,AB483)</f>
        <v>0</v>
      </c>
      <c r="Q483" s="40">
        <f t="shared" si="20"/>
        <v>0</v>
      </c>
      <c r="R483" s="41"/>
      <c r="T483" s="4">
        <f>SUMIFS('Weekly Dump'!E:E,'Weekly Dump'!B:B,C483,'Weekly Dump'!A:A,AB483)</f>
        <v>0</v>
      </c>
      <c r="U483" s="3">
        <f t="shared" si="21"/>
        <v>0</v>
      </c>
      <c r="V483" s="42"/>
      <c r="X483" s="4">
        <f>SUMIFS('Weekly Dump'!P:P,'Weekly Dump'!B:B,C483,'Weekly Dump'!A:A,AB483)</f>
        <v>0</v>
      </c>
      <c r="Y483" s="4">
        <f t="shared" si="22"/>
        <v>0</v>
      </c>
      <c r="Z483" s="41"/>
      <c r="AA483" s="12" t="str">
        <f>iferror(IF(VLOOKUP(C483,'Weekly Dump'!B:B,1,0)=C483,"Yes","Missing"),"")</f>
        <v/>
      </c>
      <c r="AB483" s="66"/>
    </row>
    <row r="484">
      <c r="B484" s="63"/>
      <c r="C484" s="63"/>
      <c r="G484" s="3" t="str">
        <f t="shared" si="26"/>
        <v/>
      </c>
      <c r="I484" s="4">
        <f>SUMIFS('Weekly Dump'!D:D,'Weekly Dump'!B:B,C484)</f>
        <v>0</v>
      </c>
      <c r="J484" s="5">
        <f>SUMIFS('Weekly Dump'!AE:AE,'Weekly Dump'!B:B,C484)</f>
        <v>0</v>
      </c>
      <c r="K484" s="4">
        <f>SUMPRODUCT(
  (TEXT('Weekly Dump'!$A$2:$A1009,"mmm-yy")=TEXT($AB484,"mmm-yy"))*
  ('Weekly Dump'!$B$2:$B1009=$C484)*
  'Weekly Dump'!$D$2:$D1009)</f>
        <v>0</v>
      </c>
      <c r="L484" s="4">
        <f>SUMPRODUCT(
  (TEXT('Weekly Dump'!$A$2:$A1009,"mmm-yy")=TEXT($AB484,"mmm-yy"))*
  ('Weekly Dump'!$B$2:$B1009=$C484)*
  'Weekly Dump'!$E$2:$E1009
)</f>
        <v>0</v>
      </c>
      <c r="M484" s="4">
        <f>SUMPRODUCT(
  (TEXT('Weekly Dump'!$A$2:$A1009,"mmm-yy")=TEXT($AB484,"mmm-yy"))*
  ('Weekly Dump'!$B$2:$B1009=$C484)*
  'Weekly Dump'!$P$2:$P1009
)</f>
        <v>0</v>
      </c>
      <c r="N484" s="39"/>
      <c r="O484" s="40">
        <f>SUMIFS('Weekly Dump'!$D:$D,'Weekly Dump'!$B:$B,$C484,'Weekly Dump'!$A:$A,$AB484)</f>
        <v>0</v>
      </c>
      <c r="P484" s="40">
        <f>SUMIFS('Weekly Dump'!R:R,'Weekly Dump'!B:B,C484,'Weekly Dump'!A:A,AB484)</f>
        <v>0</v>
      </c>
      <c r="Q484" s="40">
        <f t="shared" si="20"/>
        <v>0</v>
      </c>
      <c r="R484" s="41"/>
      <c r="T484" s="4">
        <f>SUMIFS('Weekly Dump'!E:E,'Weekly Dump'!B:B,C484,'Weekly Dump'!A:A,AB484)</f>
        <v>0</v>
      </c>
      <c r="U484" s="3">
        <f t="shared" si="21"/>
        <v>0</v>
      </c>
      <c r="V484" s="42"/>
      <c r="X484" s="4">
        <f>SUMIFS('Weekly Dump'!P:P,'Weekly Dump'!B:B,C484,'Weekly Dump'!A:A,AB484)</f>
        <v>0</v>
      </c>
      <c r="Y484" s="4">
        <f t="shared" si="22"/>
        <v>0</v>
      </c>
      <c r="Z484" s="41"/>
      <c r="AA484" s="12" t="str">
        <f>iferror(IF(VLOOKUP(C484,'Weekly Dump'!B:B,1,0)=C484,"Yes","Missing"),"")</f>
        <v/>
      </c>
      <c r="AB484" s="66"/>
    </row>
    <row r="485">
      <c r="B485" s="63"/>
      <c r="C485" s="63"/>
      <c r="G485" s="3" t="str">
        <f t="shared" si="26"/>
        <v/>
      </c>
      <c r="I485" s="4">
        <f>SUMIFS('Weekly Dump'!D:D,'Weekly Dump'!B:B,C485)</f>
        <v>0</v>
      </c>
      <c r="J485" s="5">
        <f>SUMIFS('Weekly Dump'!AE:AE,'Weekly Dump'!B:B,C485)</f>
        <v>0</v>
      </c>
      <c r="K485" s="4">
        <f>SUMPRODUCT(
  (TEXT('Weekly Dump'!$A$2:$A1009,"mmm-yy")=TEXT($AB485,"mmm-yy"))*
  ('Weekly Dump'!$B$2:$B1009=$C485)*
  'Weekly Dump'!$D$2:$D1009)</f>
        <v>0</v>
      </c>
      <c r="L485" s="4">
        <f>SUMPRODUCT(
  (TEXT('Weekly Dump'!$A$2:$A1009,"mmm-yy")=TEXT($AB485,"mmm-yy"))*
  ('Weekly Dump'!$B$2:$B1009=$C485)*
  'Weekly Dump'!$E$2:$E1009
)</f>
        <v>0</v>
      </c>
      <c r="M485" s="4">
        <f>SUMPRODUCT(
  (TEXT('Weekly Dump'!$A$2:$A1009,"mmm-yy")=TEXT($AB485,"mmm-yy"))*
  ('Weekly Dump'!$B$2:$B1009=$C485)*
  'Weekly Dump'!$P$2:$P1009
)</f>
        <v>0</v>
      </c>
      <c r="N485" s="39"/>
      <c r="O485" s="40">
        <f>SUMIFS('Weekly Dump'!$D:$D,'Weekly Dump'!$B:$B,$C485,'Weekly Dump'!$A:$A,$AB485)</f>
        <v>0</v>
      </c>
      <c r="P485" s="40">
        <f>SUMIFS('Weekly Dump'!R:R,'Weekly Dump'!B:B,C485,'Weekly Dump'!A:A,AB485)</f>
        <v>0</v>
      </c>
      <c r="Q485" s="40">
        <f t="shared" si="20"/>
        <v>0</v>
      </c>
      <c r="R485" s="41"/>
      <c r="T485" s="4">
        <f>SUMIFS('Weekly Dump'!E:E,'Weekly Dump'!B:B,C485,'Weekly Dump'!A:A,AB485)</f>
        <v>0</v>
      </c>
      <c r="U485" s="3">
        <f t="shared" si="21"/>
        <v>0</v>
      </c>
      <c r="V485" s="42"/>
      <c r="X485" s="4">
        <f>SUMIFS('Weekly Dump'!P:P,'Weekly Dump'!B:B,C485,'Weekly Dump'!A:A,AB485)</f>
        <v>0</v>
      </c>
      <c r="Y485" s="4">
        <f t="shared" si="22"/>
        <v>0</v>
      </c>
      <c r="Z485" s="41"/>
      <c r="AA485" s="12" t="str">
        <f>iferror(IF(VLOOKUP(C485,'Weekly Dump'!B:B,1,0)=C485,"Yes","Missing"),"")</f>
        <v/>
      </c>
      <c r="AB485" s="66"/>
    </row>
    <row r="486">
      <c r="B486" s="63"/>
      <c r="C486" s="63"/>
      <c r="G486" s="3" t="str">
        <f t="shared" si="26"/>
        <v/>
      </c>
      <c r="I486" s="4">
        <f>SUMIFS('Weekly Dump'!D:D,'Weekly Dump'!B:B,C486)</f>
        <v>0</v>
      </c>
      <c r="J486" s="5">
        <f>SUMIFS('Weekly Dump'!AE:AE,'Weekly Dump'!B:B,C486)</f>
        <v>0</v>
      </c>
      <c r="K486" s="4">
        <f>SUMPRODUCT(
  (TEXT('Weekly Dump'!$A$2:$A1009,"mmm-yy")=TEXT($AB486,"mmm-yy"))*
  ('Weekly Dump'!$B$2:$B1009=$C486)*
  'Weekly Dump'!$D$2:$D1009)</f>
        <v>0</v>
      </c>
      <c r="L486" s="4">
        <f>SUMPRODUCT(
  (TEXT('Weekly Dump'!$A$2:$A1009,"mmm-yy")=TEXT($AB486,"mmm-yy"))*
  ('Weekly Dump'!$B$2:$B1009=$C486)*
  'Weekly Dump'!$E$2:$E1009
)</f>
        <v>0</v>
      </c>
      <c r="M486" s="4">
        <f>SUMPRODUCT(
  (TEXT('Weekly Dump'!$A$2:$A1009,"mmm-yy")=TEXT($AB486,"mmm-yy"))*
  ('Weekly Dump'!$B$2:$B1009=$C486)*
  'Weekly Dump'!$P$2:$P1009
)</f>
        <v>0</v>
      </c>
      <c r="N486" s="39"/>
      <c r="O486" s="40">
        <f>SUMIFS('Weekly Dump'!$D:$D,'Weekly Dump'!$B:$B,$C486,'Weekly Dump'!$A:$A,$AB486)</f>
        <v>0</v>
      </c>
      <c r="P486" s="40">
        <f>SUMIFS('Weekly Dump'!R:R,'Weekly Dump'!B:B,C486,'Weekly Dump'!A:A,AB486)</f>
        <v>0</v>
      </c>
      <c r="Q486" s="40">
        <f t="shared" si="20"/>
        <v>0</v>
      </c>
      <c r="R486" s="41"/>
      <c r="T486" s="4">
        <f>SUMIFS('Weekly Dump'!E:E,'Weekly Dump'!B:B,C486,'Weekly Dump'!A:A,AB486)</f>
        <v>0</v>
      </c>
      <c r="U486" s="3">
        <f t="shared" si="21"/>
        <v>0</v>
      </c>
      <c r="V486" s="42"/>
      <c r="X486" s="4">
        <f>SUMIFS('Weekly Dump'!P:P,'Weekly Dump'!B:B,C486,'Weekly Dump'!A:A,AB486)</f>
        <v>0</v>
      </c>
      <c r="Y486" s="4">
        <f t="shared" si="22"/>
        <v>0</v>
      </c>
      <c r="Z486" s="41"/>
      <c r="AA486" s="12" t="str">
        <f>iferror(IF(VLOOKUP(C486,'Weekly Dump'!B:B,1,0)=C486,"Yes","Missing"),"")</f>
        <v/>
      </c>
      <c r="AB486" s="66"/>
    </row>
    <row r="487">
      <c r="B487" s="63"/>
      <c r="C487" s="63"/>
      <c r="G487" s="3" t="str">
        <f t="shared" si="26"/>
        <v/>
      </c>
      <c r="I487" s="4">
        <f>SUMIFS('Weekly Dump'!D:D,'Weekly Dump'!B:B,C487)</f>
        <v>0</v>
      </c>
      <c r="J487" s="5">
        <f>SUMIFS('Weekly Dump'!AE:AE,'Weekly Dump'!B:B,C487)</f>
        <v>0</v>
      </c>
      <c r="K487" s="4">
        <f>SUMPRODUCT(
  (TEXT('Weekly Dump'!$A$2:$A1009,"mmm-yy")=TEXT($AB487,"mmm-yy"))*
  ('Weekly Dump'!$B$2:$B1009=$C487)*
  'Weekly Dump'!$D$2:$D1009)</f>
        <v>0</v>
      </c>
      <c r="L487" s="4">
        <f>SUMPRODUCT(
  (TEXT('Weekly Dump'!$A$2:$A1009,"mmm-yy")=TEXT($AB487,"mmm-yy"))*
  ('Weekly Dump'!$B$2:$B1009=$C487)*
  'Weekly Dump'!$E$2:$E1009
)</f>
        <v>0</v>
      </c>
      <c r="M487" s="4">
        <f>SUMPRODUCT(
  (TEXT('Weekly Dump'!$A$2:$A1009,"mmm-yy")=TEXT($AB487,"mmm-yy"))*
  ('Weekly Dump'!$B$2:$B1009=$C487)*
  'Weekly Dump'!$P$2:$P1009
)</f>
        <v>0</v>
      </c>
      <c r="N487" s="39"/>
      <c r="O487" s="40">
        <f>SUMIFS('Weekly Dump'!$D:$D,'Weekly Dump'!$B:$B,$C487,'Weekly Dump'!$A:$A,$AB487)</f>
        <v>0</v>
      </c>
      <c r="P487" s="40">
        <f>SUMIFS('Weekly Dump'!R:R,'Weekly Dump'!B:B,C487,'Weekly Dump'!A:A,AB487)</f>
        <v>0</v>
      </c>
      <c r="Q487" s="40">
        <f t="shared" si="20"/>
        <v>0</v>
      </c>
      <c r="R487" s="41"/>
      <c r="T487" s="4">
        <f>SUMIFS('Weekly Dump'!E:E,'Weekly Dump'!B:B,C487,'Weekly Dump'!A:A,AB487)</f>
        <v>0</v>
      </c>
      <c r="U487" s="3">
        <f t="shared" si="21"/>
        <v>0</v>
      </c>
      <c r="V487" s="42"/>
      <c r="X487" s="4">
        <f>SUMIFS('Weekly Dump'!P:P,'Weekly Dump'!B:B,C487,'Weekly Dump'!A:A,AB487)</f>
        <v>0</v>
      </c>
      <c r="Y487" s="4">
        <f t="shared" si="22"/>
        <v>0</v>
      </c>
      <c r="Z487" s="41"/>
      <c r="AA487" s="12" t="str">
        <f>iferror(IF(VLOOKUP(C487,'Weekly Dump'!B:B,1,0)=C487,"Yes","Missing"),"")</f>
        <v/>
      </c>
      <c r="AB487" s="66"/>
    </row>
    <row r="488">
      <c r="B488" s="63"/>
      <c r="C488" s="63"/>
      <c r="G488" s="3" t="str">
        <f t="shared" si="26"/>
        <v/>
      </c>
      <c r="I488" s="4">
        <f>SUMIFS('Weekly Dump'!D:D,'Weekly Dump'!B:B,C488)</f>
        <v>0</v>
      </c>
      <c r="J488" s="5">
        <f>SUMIFS('Weekly Dump'!AE:AE,'Weekly Dump'!B:B,C488)</f>
        <v>0</v>
      </c>
      <c r="K488" s="4">
        <f>SUMPRODUCT(
  (TEXT('Weekly Dump'!$A$2:$A1009,"mmm-yy")=TEXT($AB488,"mmm-yy"))*
  ('Weekly Dump'!$B$2:$B1009=$C488)*
  'Weekly Dump'!$D$2:$D1009)</f>
        <v>0</v>
      </c>
      <c r="L488" s="4">
        <f>SUMPRODUCT(
  (TEXT('Weekly Dump'!$A$2:$A1009,"mmm-yy")=TEXT($AB488,"mmm-yy"))*
  ('Weekly Dump'!$B$2:$B1009=$C488)*
  'Weekly Dump'!$E$2:$E1009
)</f>
        <v>0</v>
      </c>
      <c r="M488" s="4">
        <f>SUMPRODUCT(
  (TEXT('Weekly Dump'!$A$2:$A1009,"mmm-yy")=TEXT($AB488,"mmm-yy"))*
  ('Weekly Dump'!$B$2:$B1009=$C488)*
  'Weekly Dump'!$P$2:$P1009
)</f>
        <v>0</v>
      </c>
      <c r="N488" s="39"/>
      <c r="O488" s="40">
        <f>SUMIFS('Weekly Dump'!$D:$D,'Weekly Dump'!$B:$B,$C488,'Weekly Dump'!$A:$A,$AB488)</f>
        <v>0</v>
      </c>
      <c r="P488" s="40">
        <f>SUMIFS('Weekly Dump'!R:R,'Weekly Dump'!B:B,C488,'Weekly Dump'!A:A,AB488)</f>
        <v>0</v>
      </c>
      <c r="Q488" s="40">
        <f t="shared" si="20"/>
        <v>0</v>
      </c>
      <c r="R488" s="41"/>
      <c r="T488" s="4">
        <f>SUMIFS('Weekly Dump'!E:E,'Weekly Dump'!B:B,C488,'Weekly Dump'!A:A,AB488)</f>
        <v>0</v>
      </c>
      <c r="U488" s="3">
        <f t="shared" si="21"/>
        <v>0</v>
      </c>
      <c r="V488" s="42"/>
      <c r="X488" s="4">
        <f>SUMIFS('Weekly Dump'!P:P,'Weekly Dump'!B:B,C488,'Weekly Dump'!A:A,AB488)</f>
        <v>0</v>
      </c>
      <c r="Y488" s="4">
        <f t="shared" si="22"/>
        <v>0</v>
      </c>
      <c r="Z488" s="41"/>
      <c r="AA488" s="12" t="str">
        <f>iferror(IF(VLOOKUP(C488,'Weekly Dump'!B:B,1,0)=C488,"Yes","Missing"),"")</f>
        <v/>
      </c>
      <c r="AB488" s="66"/>
    </row>
    <row r="489">
      <c r="B489" s="63"/>
      <c r="C489" s="63"/>
      <c r="G489" s="3" t="str">
        <f t="shared" si="26"/>
        <v/>
      </c>
      <c r="I489" s="4">
        <f>SUMIFS('Weekly Dump'!D:D,'Weekly Dump'!B:B,C489)</f>
        <v>0</v>
      </c>
      <c r="J489" s="5">
        <f>SUMIFS('Weekly Dump'!AE:AE,'Weekly Dump'!B:B,C489)</f>
        <v>0</v>
      </c>
      <c r="K489" s="4">
        <f>SUMPRODUCT(
  (TEXT('Weekly Dump'!$A$2:$A1009,"mmm-yy")=TEXT($AB489,"mmm-yy"))*
  ('Weekly Dump'!$B$2:$B1009=$C489)*
  'Weekly Dump'!$D$2:$D1009)</f>
        <v>0</v>
      </c>
      <c r="L489" s="4">
        <f>SUMPRODUCT(
  (TEXT('Weekly Dump'!$A$2:$A1009,"mmm-yy")=TEXT($AB489,"mmm-yy"))*
  ('Weekly Dump'!$B$2:$B1009=$C489)*
  'Weekly Dump'!$E$2:$E1009
)</f>
        <v>0</v>
      </c>
      <c r="M489" s="4">
        <f>SUMPRODUCT(
  (TEXT('Weekly Dump'!$A$2:$A1009,"mmm-yy")=TEXT($AB489,"mmm-yy"))*
  ('Weekly Dump'!$B$2:$B1009=$C489)*
  'Weekly Dump'!$P$2:$P1009
)</f>
        <v>0</v>
      </c>
      <c r="N489" s="39"/>
      <c r="O489" s="40">
        <f>SUMIFS('Weekly Dump'!$D:$D,'Weekly Dump'!$B:$B,$C489,'Weekly Dump'!$A:$A,$AB489)</f>
        <v>0</v>
      </c>
      <c r="P489" s="40">
        <f>SUMIFS('Weekly Dump'!R:R,'Weekly Dump'!B:B,C489,'Weekly Dump'!A:A,AB489)</f>
        <v>0</v>
      </c>
      <c r="Q489" s="40">
        <f t="shared" si="20"/>
        <v>0</v>
      </c>
      <c r="R489" s="41"/>
      <c r="T489" s="4">
        <f>SUMIFS('Weekly Dump'!E:E,'Weekly Dump'!B:B,C489,'Weekly Dump'!A:A,AB489)</f>
        <v>0</v>
      </c>
      <c r="U489" s="3">
        <f t="shared" si="21"/>
        <v>0</v>
      </c>
      <c r="V489" s="42"/>
      <c r="X489" s="4">
        <f>SUMIFS('Weekly Dump'!P:P,'Weekly Dump'!B:B,C489,'Weekly Dump'!A:A,AB489)</f>
        <v>0</v>
      </c>
      <c r="Y489" s="4">
        <f t="shared" si="22"/>
        <v>0</v>
      </c>
      <c r="Z489" s="41"/>
      <c r="AA489" s="12" t="str">
        <f>iferror(IF(VLOOKUP(C489,'Weekly Dump'!B:B,1,0)=C489,"Yes","Missing"),"")</f>
        <v/>
      </c>
      <c r="AB489" s="66"/>
    </row>
    <row r="490">
      <c r="B490" s="63"/>
      <c r="C490" s="63"/>
      <c r="G490" s="3" t="str">
        <f t="shared" si="26"/>
        <v/>
      </c>
      <c r="I490" s="4">
        <f>SUMIFS('Weekly Dump'!D:D,'Weekly Dump'!B:B,C490)</f>
        <v>0</v>
      </c>
      <c r="J490" s="5">
        <f>SUMIFS('Weekly Dump'!AE:AE,'Weekly Dump'!B:B,C490)</f>
        <v>0</v>
      </c>
      <c r="K490" s="4">
        <f>SUMPRODUCT(
  (TEXT('Weekly Dump'!$A$2:$A1009,"mmm-yy")=TEXT($AB490,"mmm-yy"))*
  ('Weekly Dump'!$B$2:$B1009=$C490)*
  'Weekly Dump'!$D$2:$D1009)</f>
        <v>0</v>
      </c>
      <c r="L490" s="4">
        <f>SUMPRODUCT(
  (TEXT('Weekly Dump'!$A$2:$A1009,"mmm-yy")=TEXT($AB490,"mmm-yy"))*
  ('Weekly Dump'!$B$2:$B1009=$C490)*
  'Weekly Dump'!$E$2:$E1009
)</f>
        <v>0</v>
      </c>
      <c r="M490" s="4">
        <f>SUMPRODUCT(
  (TEXT('Weekly Dump'!$A$2:$A1009,"mmm-yy")=TEXT($AB490,"mmm-yy"))*
  ('Weekly Dump'!$B$2:$B1009=$C490)*
  'Weekly Dump'!$P$2:$P1009
)</f>
        <v>0</v>
      </c>
      <c r="N490" s="39"/>
      <c r="O490" s="40">
        <f>SUMIFS('Weekly Dump'!$D:$D,'Weekly Dump'!$B:$B,$C490,'Weekly Dump'!$A:$A,$AB490)</f>
        <v>0</v>
      </c>
      <c r="P490" s="40">
        <f>SUMIFS('Weekly Dump'!R:R,'Weekly Dump'!B:B,C490,'Weekly Dump'!A:A,AB490)</f>
        <v>0</v>
      </c>
      <c r="Q490" s="40">
        <f t="shared" si="20"/>
        <v>0</v>
      </c>
      <c r="R490" s="41"/>
      <c r="T490" s="4">
        <f>SUMIFS('Weekly Dump'!E:E,'Weekly Dump'!B:B,C490,'Weekly Dump'!A:A,AB490)</f>
        <v>0</v>
      </c>
      <c r="U490" s="3">
        <f t="shared" si="21"/>
        <v>0</v>
      </c>
      <c r="V490" s="42"/>
      <c r="X490" s="4">
        <f>SUMIFS('Weekly Dump'!P:P,'Weekly Dump'!B:B,C490,'Weekly Dump'!A:A,AB490)</f>
        <v>0</v>
      </c>
      <c r="Y490" s="4">
        <f t="shared" si="22"/>
        <v>0</v>
      </c>
      <c r="Z490" s="41"/>
      <c r="AA490" s="12" t="str">
        <f>iferror(IF(VLOOKUP(C490,'Weekly Dump'!B:B,1,0)=C490,"Yes","Missing"),"")</f>
        <v/>
      </c>
      <c r="AB490" s="66"/>
    </row>
    <row r="491">
      <c r="B491" s="63"/>
      <c r="C491" s="63"/>
      <c r="G491" s="3" t="str">
        <f t="shared" si="26"/>
        <v/>
      </c>
      <c r="I491" s="4">
        <f>SUMIFS('Weekly Dump'!D:D,'Weekly Dump'!B:B,C491)</f>
        <v>0</v>
      </c>
      <c r="J491" s="5">
        <f>SUMIFS('Weekly Dump'!AE:AE,'Weekly Dump'!B:B,C491)</f>
        <v>0</v>
      </c>
      <c r="K491" s="4">
        <f>SUMPRODUCT(
  (TEXT('Weekly Dump'!$A$2:$A1009,"mmm-yy")=TEXT($AB491,"mmm-yy"))*
  ('Weekly Dump'!$B$2:$B1009=$C491)*
  'Weekly Dump'!$D$2:$D1009)</f>
        <v>0</v>
      </c>
      <c r="L491" s="4">
        <f>SUMPRODUCT(
  (TEXT('Weekly Dump'!$A$2:$A1009,"mmm-yy")=TEXT($AB491,"mmm-yy"))*
  ('Weekly Dump'!$B$2:$B1009=$C491)*
  'Weekly Dump'!$E$2:$E1009
)</f>
        <v>0</v>
      </c>
      <c r="M491" s="4">
        <f>SUMPRODUCT(
  (TEXT('Weekly Dump'!$A$2:$A1009,"mmm-yy")=TEXT($AB491,"mmm-yy"))*
  ('Weekly Dump'!$B$2:$B1009=$C491)*
  'Weekly Dump'!$P$2:$P1009
)</f>
        <v>0</v>
      </c>
      <c r="N491" s="39"/>
      <c r="O491" s="40">
        <f>SUMIFS('Weekly Dump'!$D:$D,'Weekly Dump'!$B:$B,$C491,'Weekly Dump'!$A:$A,$AB491)</f>
        <v>0</v>
      </c>
      <c r="P491" s="40">
        <f>SUMIFS('Weekly Dump'!R:R,'Weekly Dump'!B:B,C491,'Weekly Dump'!A:A,AB491)</f>
        <v>0</v>
      </c>
      <c r="Q491" s="40">
        <f t="shared" si="20"/>
        <v>0</v>
      </c>
      <c r="R491" s="41"/>
      <c r="T491" s="4">
        <f>SUMIFS('Weekly Dump'!E:E,'Weekly Dump'!B:B,C491,'Weekly Dump'!A:A,AB491)</f>
        <v>0</v>
      </c>
      <c r="U491" s="3">
        <f t="shared" si="21"/>
        <v>0</v>
      </c>
      <c r="V491" s="42"/>
      <c r="X491" s="4">
        <f>SUMIFS('Weekly Dump'!P:P,'Weekly Dump'!B:B,C491,'Weekly Dump'!A:A,AB491)</f>
        <v>0</v>
      </c>
      <c r="Y491" s="4">
        <f t="shared" si="22"/>
        <v>0</v>
      </c>
      <c r="Z491" s="41"/>
      <c r="AA491" s="12" t="str">
        <f>iferror(IF(VLOOKUP(C491,'Weekly Dump'!B:B,1,0)=C491,"Yes","Missing"),"")</f>
        <v/>
      </c>
      <c r="AB491" s="66"/>
    </row>
    <row r="492">
      <c r="B492" s="63"/>
      <c r="C492" s="63"/>
      <c r="G492" s="3" t="str">
        <f t="shared" si="26"/>
        <v/>
      </c>
      <c r="I492" s="4">
        <f>SUMIFS('Weekly Dump'!D:D,'Weekly Dump'!B:B,C492)</f>
        <v>0</v>
      </c>
      <c r="J492" s="5">
        <f>SUMIFS('Weekly Dump'!AE:AE,'Weekly Dump'!B:B,C492)</f>
        <v>0</v>
      </c>
      <c r="K492" s="4">
        <f>SUMPRODUCT(
  (TEXT('Weekly Dump'!$A$2:$A1009,"mmm-yy")=TEXT($AB492,"mmm-yy"))*
  ('Weekly Dump'!$B$2:$B1009=$C492)*
  'Weekly Dump'!$D$2:$D1009)</f>
        <v>0</v>
      </c>
      <c r="L492" s="4">
        <f>SUMPRODUCT(
  (TEXT('Weekly Dump'!$A$2:$A1009,"mmm-yy")=TEXT($AB492,"mmm-yy"))*
  ('Weekly Dump'!$B$2:$B1009=$C492)*
  'Weekly Dump'!$E$2:$E1009
)</f>
        <v>0</v>
      </c>
      <c r="M492" s="4">
        <f>SUMPRODUCT(
  (TEXT('Weekly Dump'!$A$2:$A1009,"mmm-yy")=TEXT($AB492,"mmm-yy"))*
  ('Weekly Dump'!$B$2:$B1009=$C492)*
  'Weekly Dump'!$P$2:$P1009
)</f>
        <v>0</v>
      </c>
      <c r="N492" s="39"/>
      <c r="O492" s="40">
        <f>SUMIFS('Weekly Dump'!$D:$D,'Weekly Dump'!$B:$B,$C492,'Weekly Dump'!$A:$A,$AB492)</f>
        <v>0</v>
      </c>
      <c r="P492" s="40">
        <f>SUMIFS('Weekly Dump'!R:R,'Weekly Dump'!B:B,C492,'Weekly Dump'!A:A,AB492)</f>
        <v>0</v>
      </c>
      <c r="Q492" s="40">
        <f t="shared" si="20"/>
        <v>0</v>
      </c>
      <c r="R492" s="41"/>
      <c r="T492" s="4">
        <f>SUMIFS('Weekly Dump'!E:E,'Weekly Dump'!B:B,C492,'Weekly Dump'!A:A,AB492)</f>
        <v>0</v>
      </c>
      <c r="U492" s="3">
        <f t="shared" si="21"/>
        <v>0</v>
      </c>
      <c r="V492" s="42"/>
      <c r="X492" s="4">
        <f>SUMIFS('Weekly Dump'!P:P,'Weekly Dump'!B:B,C492,'Weekly Dump'!A:A,AB492)</f>
        <v>0</v>
      </c>
      <c r="Y492" s="4">
        <f t="shared" si="22"/>
        <v>0</v>
      </c>
      <c r="Z492" s="41"/>
      <c r="AA492" s="12" t="str">
        <f>iferror(IF(VLOOKUP(C492,'Weekly Dump'!B:B,1,0)=C492,"Yes","Missing"),"")</f>
        <v/>
      </c>
      <c r="AB492" s="66"/>
    </row>
    <row r="493">
      <c r="B493" s="63"/>
      <c r="C493" s="63"/>
      <c r="G493" s="3" t="str">
        <f t="shared" si="26"/>
        <v/>
      </c>
      <c r="I493" s="4">
        <f>SUMIFS('Weekly Dump'!D:D,'Weekly Dump'!B:B,C493)</f>
        <v>0</v>
      </c>
      <c r="J493" s="5">
        <f>SUMIFS('Weekly Dump'!AE:AE,'Weekly Dump'!B:B,C493)</f>
        <v>0</v>
      </c>
      <c r="K493" s="4">
        <f>SUMPRODUCT(
  (TEXT('Weekly Dump'!$A$2:$A1009,"mmm-yy")=TEXT($AB493,"mmm-yy"))*
  ('Weekly Dump'!$B$2:$B1009=$C493)*
  'Weekly Dump'!$D$2:$D1009)</f>
        <v>0</v>
      </c>
      <c r="L493" s="4">
        <f>SUMPRODUCT(
  (TEXT('Weekly Dump'!$A$2:$A1009,"mmm-yy")=TEXT($AB493,"mmm-yy"))*
  ('Weekly Dump'!$B$2:$B1009=$C493)*
  'Weekly Dump'!$E$2:$E1009
)</f>
        <v>0</v>
      </c>
      <c r="M493" s="4">
        <f>SUMPRODUCT(
  (TEXT('Weekly Dump'!$A$2:$A1009,"mmm-yy")=TEXT($AB493,"mmm-yy"))*
  ('Weekly Dump'!$B$2:$B1009=$C493)*
  'Weekly Dump'!$P$2:$P1009
)</f>
        <v>0</v>
      </c>
      <c r="N493" s="39"/>
      <c r="O493" s="40">
        <f>SUMIFS('Weekly Dump'!$D:$D,'Weekly Dump'!$B:$B,$C493,'Weekly Dump'!$A:$A,$AB493)</f>
        <v>0</v>
      </c>
      <c r="P493" s="40">
        <f>SUMIFS('Weekly Dump'!R:R,'Weekly Dump'!B:B,C493,'Weekly Dump'!A:A,AB493)</f>
        <v>0</v>
      </c>
      <c r="Q493" s="40">
        <f t="shared" si="20"/>
        <v>0</v>
      </c>
      <c r="R493" s="41"/>
      <c r="T493" s="4">
        <f>SUMIFS('Weekly Dump'!E:E,'Weekly Dump'!B:B,C493,'Weekly Dump'!A:A,AB493)</f>
        <v>0</v>
      </c>
      <c r="U493" s="3">
        <f t="shared" si="21"/>
        <v>0</v>
      </c>
      <c r="V493" s="42"/>
      <c r="X493" s="4">
        <f>SUMIFS('Weekly Dump'!P:P,'Weekly Dump'!B:B,C493,'Weekly Dump'!A:A,AB493)</f>
        <v>0</v>
      </c>
      <c r="Y493" s="4">
        <f t="shared" si="22"/>
        <v>0</v>
      </c>
      <c r="Z493" s="41"/>
      <c r="AA493" s="12" t="str">
        <f>iferror(IF(VLOOKUP(C493,'Weekly Dump'!B:B,1,0)=C493,"Yes","Missing"),"")</f>
        <v/>
      </c>
      <c r="AB493" s="66"/>
    </row>
    <row r="494">
      <c r="B494" s="63"/>
      <c r="C494" s="63"/>
      <c r="G494" s="3" t="str">
        <f t="shared" si="26"/>
        <v/>
      </c>
      <c r="I494" s="4">
        <f>SUMIFS('Weekly Dump'!D:D,'Weekly Dump'!B:B,C494)</f>
        <v>0</v>
      </c>
      <c r="J494" s="5">
        <f>SUMIFS('Weekly Dump'!AE:AE,'Weekly Dump'!B:B,C494)</f>
        <v>0</v>
      </c>
      <c r="K494" s="4">
        <f>SUMPRODUCT(
  (TEXT('Weekly Dump'!$A$2:$A1009,"mmm-yy")=TEXT($AB494,"mmm-yy"))*
  ('Weekly Dump'!$B$2:$B1009=$C494)*
  'Weekly Dump'!$D$2:$D1009)</f>
        <v>0</v>
      </c>
      <c r="L494" s="4">
        <f>SUMPRODUCT(
  (TEXT('Weekly Dump'!$A$2:$A1009,"mmm-yy")=TEXT($AB494,"mmm-yy"))*
  ('Weekly Dump'!$B$2:$B1009=$C494)*
  'Weekly Dump'!$E$2:$E1009
)</f>
        <v>0</v>
      </c>
      <c r="M494" s="4">
        <f>SUMPRODUCT(
  (TEXT('Weekly Dump'!$A$2:$A1009,"mmm-yy")=TEXT($AB494,"mmm-yy"))*
  ('Weekly Dump'!$B$2:$B1009=$C494)*
  'Weekly Dump'!$P$2:$P1009
)</f>
        <v>0</v>
      </c>
      <c r="N494" s="39"/>
      <c r="O494" s="40">
        <f>SUMIFS('Weekly Dump'!$D:$D,'Weekly Dump'!$B:$B,$C494,'Weekly Dump'!$A:$A,$AB494)</f>
        <v>0</v>
      </c>
      <c r="P494" s="40">
        <f>SUMIFS('Weekly Dump'!R:R,'Weekly Dump'!B:B,C494,'Weekly Dump'!A:A,AB494)</f>
        <v>0</v>
      </c>
      <c r="Q494" s="40">
        <f t="shared" si="20"/>
        <v>0</v>
      </c>
      <c r="R494" s="41"/>
      <c r="T494" s="4">
        <f>SUMIFS('Weekly Dump'!E:E,'Weekly Dump'!B:B,C494,'Weekly Dump'!A:A,AB494)</f>
        <v>0</v>
      </c>
      <c r="U494" s="3">
        <f t="shared" si="21"/>
        <v>0</v>
      </c>
      <c r="V494" s="42"/>
      <c r="X494" s="4">
        <f>SUMIFS('Weekly Dump'!P:P,'Weekly Dump'!B:B,C494,'Weekly Dump'!A:A,AB494)</f>
        <v>0</v>
      </c>
      <c r="Y494" s="4">
        <f t="shared" si="22"/>
        <v>0</v>
      </c>
      <c r="Z494" s="41"/>
      <c r="AA494" s="12" t="str">
        <f>iferror(IF(VLOOKUP(C494,'Weekly Dump'!B:B,1,0)=C494,"Yes","Missing"),"")</f>
        <v/>
      </c>
      <c r="AB494" s="66"/>
    </row>
    <row r="495">
      <c r="B495" s="63"/>
      <c r="C495" s="63"/>
      <c r="G495" s="3" t="str">
        <f t="shared" si="26"/>
        <v/>
      </c>
      <c r="I495" s="4">
        <f>SUMIFS('Weekly Dump'!D:D,'Weekly Dump'!B:B,C495)</f>
        <v>0</v>
      </c>
      <c r="J495" s="5">
        <f>SUMIFS('Weekly Dump'!AE:AE,'Weekly Dump'!B:B,C495)</f>
        <v>0</v>
      </c>
      <c r="K495" s="4">
        <f>SUMPRODUCT(
  (TEXT('Weekly Dump'!$A$2:$A1009,"mmm-yy")=TEXT($AB495,"mmm-yy"))*
  ('Weekly Dump'!$B$2:$B1009=$C495)*
  'Weekly Dump'!$D$2:$D1009)</f>
        <v>0</v>
      </c>
      <c r="L495" s="4">
        <f>SUMPRODUCT(
  (TEXT('Weekly Dump'!$A$2:$A1009,"mmm-yy")=TEXT($AB495,"mmm-yy"))*
  ('Weekly Dump'!$B$2:$B1009=$C495)*
  'Weekly Dump'!$E$2:$E1009
)</f>
        <v>0</v>
      </c>
      <c r="M495" s="4">
        <f>SUMPRODUCT(
  (TEXT('Weekly Dump'!$A$2:$A1009,"mmm-yy")=TEXT($AB495,"mmm-yy"))*
  ('Weekly Dump'!$B$2:$B1009=$C495)*
  'Weekly Dump'!$P$2:$P1009
)</f>
        <v>0</v>
      </c>
      <c r="N495" s="39"/>
      <c r="O495" s="40">
        <f>SUMIFS('Weekly Dump'!$D:$D,'Weekly Dump'!$B:$B,$C495,'Weekly Dump'!$A:$A,$AB495)</f>
        <v>0</v>
      </c>
      <c r="P495" s="40">
        <f>SUMIFS('Weekly Dump'!R:R,'Weekly Dump'!B:B,C495,'Weekly Dump'!A:A,AB495)</f>
        <v>0</v>
      </c>
      <c r="Q495" s="40">
        <f t="shared" si="20"/>
        <v>0</v>
      </c>
      <c r="R495" s="41"/>
      <c r="T495" s="4">
        <f>SUMIFS('Weekly Dump'!E:E,'Weekly Dump'!B:B,C495,'Weekly Dump'!A:A,AB495)</f>
        <v>0</v>
      </c>
      <c r="U495" s="3">
        <f t="shared" si="21"/>
        <v>0</v>
      </c>
      <c r="V495" s="42"/>
      <c r="X495" s="4">
        <f>SUMIFS('Weekly Dump'!P:P,'Weekly Dump'!B:B,C495,'Weekly Dump'!A:A,AB495)</f>
        <v>0</v>
      </c>
      <c r="Y495" s="4">
        <f t="shared" si="22"/>
        <v>0</v>
      </c>
      <c r="Z495" s="41"/>
      <c r="AA495" s="12" t="str">
        <f>iferror(IF(VLOOKUP(C495,'Weekly Dump'!B:B,1,0)=C495,"Yes","Missing"),"")</f>
        <v/>
      </c>
      <c r="AB495" s="66"/>
    </row>
    <row r="496">
      <c r="B496" s="63"/>
      <c r="C496" s="63"/>
      <c r="G496" s="3" t="str">
        <f t="shared" si="26"/>
        <v/>
      </c>
      <c r="I496" s="4">
        <f>SUMIFS('Weekly Dump'!D:D,'Weekly Dump'!B:B,C496)</f>
        <v>0</v>
      </c>
      <c r="J496" s="5">
        <f>SUMIFS('Weekly Dump'!AE:AE,'Weekly Dump'!B:B,C496)</f>
        <v>0</v>
      </c>
      <c r="K496" s="4">
        <f>SUMPRODUCT(
  (TEXT('Weekly Dump'!$A$2:$A1009,"mmm-yy")=TEXT($AB496,"mmm-yy"))*
  ('Weekly Dump'!$B$2:$B1009=$C496)*
  'Weekly Dump'!$D$2:$D1009)</f>
        <v>0</v>
      </c>
      <c r="L496" s="4">
        <f>SUMPRODUCT(
  (TEXT('Weekly Dump'!$A$2:$A1009,"mmm-yy")=TEXT($AB496,"mmm-yy"))*
  ('Weekly Dump'!$B$2:$B1009=$C496)*
  'Weekly Dump'!$E$2:$E1009
)</f>
        <v>0</v>
      </c>
      <c r="M496" s="4">
        <f>SUMPRODUCT(
  (TEXT('Weekly Dump'!$A$2:$A1009,"mmm-yy")=TEXT($AB496,"mmm-yy"))*
  ('Weekly Dump'!$B$2:$B1009=$C496)*
  'Weekly Dump'!$P$2:$P1009
)</f>
        <v>0</v>
      </c>
      <c r="N496" s="39"/>
      <c r="O496" s="40">
        <f>SUMIFS('Weekly Dump'!$D:$D,'Weekly Dump'!$B:$B,$C496,'Weekly Dump'!$A:$A,$AB496)</f>
        <v>0</v>
      </c>
      <c r="P496" s="40">
        <f>SUMIFS('Weekly Dump'!R:R,'Weekly Dump'!B:B,C496,'Weekly Dump'!A:A,AB496)</f>
        <v>0</v>
      </c>
      <c r="Q496" s="40">
        <f t="shared" si="20"/>
        <v>0</v>
      </c>
      <c r="R496" s="41"/>
      <c r="T496" s="4">
        <f>SUMIFS('Weekly Dump'!E:E,'Weekly Dump'!B:B,C496,'Weekly Dump'!A:A,AB496)</f>
        <v>0</v>
      </c>
      <c r="U496" s="3">
        <f t="shared" si="21"/>
        <v>0</v>
      </c>
      <c r="V496" s="42"/>
      <c r="X496" s="4">
        <f>SUMIFS('Weekly Dump'!P:P,'Weekly Dump'!B:B,C496,'Weekly Dump'!A:A,AB496)</f>
        <v>0</v>
      </c>
      <c r="Y496" s="4">
        <f t="shared" si="22"/>
        <v>0</v>
      </c>
      <c r="Z496" s="41"/>
      <c r="AA496" s="12" t="str">
        <f>iferror(IF(VLOOKUP(C496,'Weekly Dump'!B:B,1,0)=C496,"Yes","Missing"),"")</f>
        <v/>
      </c>
      <c r="AB496" s="66"/>
    </row>
    <row r="497">
      <c r="B497" s="63"/>
      <c r="C497" s="63"/>
      <c r="G497" s="3" t="str">
        <f t="shared" si="26"/>
        <v/>
      </c>
      <c r="I497" s="4">
        <f>SUMIFS('Weekly Dump'!D:D,'Weekly Dump'!B:B,C497)</f>
        <v>0</v>
      </c>
      <c r="J497" s="5">
        <f>SUMIFS('Weekly Dump'!AE:AE,'Weekly Dump'!B:B,C497)</f>
        <v>0</v>
      </c>
      <c r="K497" s="4">
        <f>SUMPRODUCT(
  (TEXT('Weekly Dump'!$A$2:$A1009,"mmm-yy")=TEXT($AB497,"mmm-yy"))*
  ('Weekly Dump'!$B$2:$B1009=$C497)*
  'Weekly Dump'!$D$2:$D1009)</f>
        <v>0</v>
      </c>
      <c r="L497" s="4">
        <f>SUMPRODUCT(
  (TEXT('Weekly Dump'!$A$2:$A1009,"mmm-yy")=TEXT($AB497,"mmm-yy"))*
  ('Weekly Dump'!$B$2:$B1009=$C497)*
  'Weekly Dump'!$E$2:$E1009
)</f>
        <v>0</v>
      </c>
      <c r="M497" s="4">
        <f>SUMPRODUCT(
  (TEXT('Weekly Dump'!$A$2:$A1009,"mmm-yy")=TEXT($AB497,"mmm-yy"))*
  ('Weekly Dump'!$B$2:$B1009=$C497)*
  'Weekly Dump'!$P$2:$P1009
)</f>
        <v>0</v>
      </c>
      <c r="N497" s="39"/>
      <c r="O497" s="40">
        <f>SUMIFS('Weekly Dump'!$D:$D,'Weekly Dump'!$B:$B,$C497,'Weekly Dump'!$A:$A,$AB497)</f>
        <v>0</v>
      </c>
      <c r="P497" s="40">
        <f>SUMIFS('Weekly Dump'!R:R,'Weekly Dump'!B:B,C497,'Weekly Dump'!A:A,AB497)</f>
        <v>0</v>
      </c>
      <c r="Q497" s="40">
        <f t="shared" si="20"/>
        <v>0</v>
      </c>
      <c r="R497" s="41"/>
      <c r="T497" s="4">
        <f>SUMIFS('Weekly Dump'!E:E,'Weekly Dump'!B:B,C497,'Weekly Dump'!A:A,AB497)</f>
        <v>0</v>
      </c>
      <c r="U497" s="3">
        <f t="shared" si="21"/>
        <v>0</v>
      </c>
      <c r="V497" s="42"/>
      <c r="X497" s="4">
        <f>SUMIFS('Weekly Dump'!P:P,'Weekly Dump'!B:B,C497,'Weekly Dump'!A:A,AB497)</f>
        <v>0</v>
      </c>
      <c r="Y497" s="4">
        <f t="shared" si="22"/>
        <v>0</v>
      </c>
      <c r="Z497" s="41"/>
      <c r="AA497" s="12" t="str">
        <f>iferror(IF(VLOOKUP(C497,'Weekly Dump'!B:B,1,0)=C497,"Yes","Missing"),"")</f>
        <v/>
      </c>
      <c r="AB497" s="66"/>
    </row>
    <row r="498">
      <c r="B498" s="63"/>
      <c r="C498" s="63"/>
      <c r="G498" s="3" t="str">
        <f t="shared" si="26"/>
        <v/>
      </c>
      <c r="I498" s="4">
        <f>SUMIFS('Weekly Dump'!D:D,'Weekly Dump'!B:B,C498)</f>
        <v>0</v>
      </c>
      <c r="J498" s="5">
        <f>SUMIFS('Weekly Dump'!AE:AE,'Weekly Dump'!B:B,C498)</f>
        <v>0</v>
      </c>
      <c r="K498" s="4">
        <f>SUMPRODUCT(
  (TEXT('Weekly Dump'!$A$2:$A1009,"mmm-yy")=TEXT($AB498,"mmm-yy"))*
  ('Weekly Dump'!$B$2:$B1009=$C498)*
  'Weekly Dump'!$D$2:$D1009)</f>
        <v>0</v>
      </c>
      <c r="L498" s="4">
        <f>SUMPRODUCT(
  (TEXT('Weekly Dump'!$A$2:$A1009,"mmm-yy")=TEXT($AB498,"mmm-yy"))*
  ('Weekly Dump'!$B$2:$B1009=$C498)*
  'Weekly Dump'!$E$2:$E1009
)</f>
        <v>0</v>
      </c>
      <c r="M498" s="4">
        <f>SUMPRODUCT(
  (TEXT('Weekly Dump'!$A$2:$A1009,"mmm-yy")=TEXT($AB498,"mmm-yy"))*
  ('Weekly Dump'!$B$2:$B1009=$C498)*
  'Weekly Dump'!$P$2:$P1009
)</f>
        <v>0</v>
      </c>
      <c r="N498" s="39"/>
      <c r="O498" s="40">
        <f>SUMIFS('Weekly Dump'!$D:$D,'Weekly Dump'!$B:$B,$C498,'Weekly Dump'!$A:$A,$AB498)</f>
        <v>0</v>
      </c>
      <c r="P498" s="40">
        <f>SUMIFS('Weekly Dump'!R:R,'Weekly Dump'!B:B,C498,'Weekly Dump'!A:A,AB498)</f>
        <v>0</v>
      </c>
      <c r="Q498" s="40">
        <f t="shared" si="20"/>
        <v>0</v>
      </c>
      <c r="R498" s="41"/>
      <c r="T498" s="4">
        <f>SUMIFS('Weekly Dump'!E:E,'Weekly Dump'!B:B,C498,'Weekly Dump'!A:A,AB498)</f>
        <v>0</v>
      </c>
      <c r="U498" s="3">
        <f t="shared" si="21"/>
        <v>0</v>
      </c>
      <c r="V498" s="42"/>
      <c r="X498" s="4">
        <f>SUMIFS('Weekly Dump'!P:P,'Weekly Dump'!B:B,C498,'Weekly Dump'!A:A,AB498)</f>
        <v>0</v>
      </c>
      <c r="Y498" s="4">
        <f t="shared" si="22"/>
        <v>0</v>
      </c>
      <c r="Z498" s="41"/>
      <c r="AA498" s="12" t="str">
        <f>iferror(IF(VLOOKUP(C498,'Weekly Dump'!B:B,1,0)=C498,"Yes","Missing"),"")</f>
        <v/>
      </c>
      <c r="AB498" s="66"/>
    </row>
    <row r="499">
      <c r="B499" s="63"/>
      <c r="C499" s="63"/>
      <c r="G499" s="3" t="str">
        <f t="shared" si="26"/>
        <v/>
      </c>
      <c r="I499" s="4">
        <f>SUMIFS('Weekly Dump'!D:D,'Weekly Dump'!B:B,C499)</f>
        <v>0</v>
      </c>
      <c r="J499" s="5">
        <f>SUMIFS('Weekly Dump'!AE:AE,'Weekly Dump'!B:B,C499)</f>
        <v>0</v>
      </c>
      <c r="K499" s="4">
        <f>SUMPRODUCT(
  (TEXT('Weekly Dump'!$A$2:$A1009,"mmm-yy")=TEXT($AB499,"mmm-yy"))*
  ('Weekly Dump'!$B$2:$B1009=$C499)*
  'Weekly Dump'!$D$2:$D1009)</f>
        <v>0</v>
      </c>
      <c r="L499" s="4">
        <f>SUMPRODUCT(
  (TEXT('Weekly Dump'!$A$2:$A1009,"mmm-yy")=TEXT($AB499,"mmm-yy"))*
  ('Weekly Dump'!$B$2:$B1009=$C499)*
  'Weekly Dump'!$E$2:$E1009
)</f>
        <v>0</v>
      </c>
      <c r="M499" s="4">
        <f>SUMPRODUCT(
  (TEXT('Weekly Dump'!$A$2:$A1009,"mmm-yy")=TEXT($AB499,"mmm-yy"))*
  ('Weekly Dump'!$B$2:$B1009=$C499)*
  'Weekly Dump'!$P$2:$P1009
)</f>
        <v>0</v>
      </c>
      <c r="N499" s="39"/>
      <c r="O499" s="40">
        <f>SUMIFS('Weekly Dump'!$D:$D,'Weekly Dump'!$B:$B,$C499,'Weekly Dump'!$A:$A,$AB499)</f>
        <v>0</v>
      </c>
      <c r="P499" s="40">
        <f>SUMIFS('Weekly Dump'!R:R,'Weekly Dump'!B:B,C499,'Weekly Dump'!A:A,AB499)</f>
        <v>0</v>
      </c>
      <c r="Q499" s="40">
        <f t="shared" si="20"/>
        <v>0</v>
      </c>
      <c r="R499" s="41"/>
      <c r="T499" s="4">
        <f>SUMIFS('Weekly Dump'!E:E,'Weekly Dump'!B:B,C499,'Weekly Dump'!A:A,AB499)</f>
        <v>0</v>
      </c>
      <c r="U499" s="3">
        <f t="shared" si="21"/>
        <v>0</v>
      </c>
      <c r="V499" s="42"/>
      <c r="X499" s="4">
        <f>SUMIFS('Weekly Dump'!P:P,'Weekly Dump'!B:B,C499,'Weekly Dump'!A:A,AB499)</f>
        <v>0</v>
      </c>
      <c r="Y499" s="4">
        <f t="shared" si="22"/>
        <v>0</v>
      </c>
      <c r="Z499" s="41"/>
      <c r="AA499" s="12" t="str">
        <f>iferror(IF(VLOOKUP(C499,'Weekly Dump'!B:B,1,0)=C499,"Yes","Missing"),"")</f>
        <v/>
      </c>
      <c r="AB499" s="66"/>
    </row>
    <row r="500">
      <c r="B500" s="63"/>
      <c r="C500" s="63"/>
      <c r="G500" s="3" t="str">
        <f t="shared" si="26"/>
        <v/>
      </c>
      <c r="I500" s="4">
        <f>SUMIFS('Weekly Dump'!D:D,'Weekly Dump'!B:B,C500)</f>
        <v>0</v>
      </c>
      <c r="J500" s="5">
        <f>SUMIFS('Weekly Dump'!AE:AE,'Weekly Dump'!B:B,C500)</f>
        <v>0</v>
      </c>
      <c r="K500" s="4">
        <f>SUMPRODUCT(
  (TEXT('Weekly Dump'!$A$2:$A1009,"mmm-yy")=TEXT($AB500,"mmm-yy"))*
  ('Weekly Dump'!$B$2:$B1009=$C500)*
  'Weekly Dump'!$D$2:$D1009)</f>
        <v>0</v>
      </c>
      <c r="L500" s="4">
        <f>SUMPRODUCT(
  (TEXT('Weekly Dump'!$A$2:$A1009,"mmm-yy")=TEXT($AB500,"mmm-yy"))*
  ('Weekly Dump'!$B$2:$B1009=$C500)*
  'Weekly Dump'!$E$2:$E1009
)</f>
        <v>0</v>
      </c>
      <c r="M500" s="4">
        <f>SUMPRODUCT(
  (TEXT('Weekly Dump'!$A$2:$A1009,"mmm-yy")=TEXT($AB500,"mmm-yy"))*
  ('Weekly Dump'!$B$2:$B1009=$C500)*
  'Weekly Dump'!$P$2:$P1009
)</f>
        <v>0</v>
      </c>
      <c r="N500" s="39"/>
      <c r="O500" s="40">
        <f>SUMIFS('Weekly Dump'!$D:$D,'Weekly Dump'!$B:$B,$C500,'Weekly Dump'!$A:$A,$AB500)</f>
        <v>0</v>
      </c>
      <c r="P500" s="40">
        <f>SUMIFS('Weekly Dump'!R:R,'Weekly Dump'!B:B,C500,'Weekly Dump'!A:A,AB500)</f>
        <v>0</v>
      </c>
      <c r="Q500" s="40">
        <f t="shared" si="20"/>
        <v>0</v>
      </c>
      <c r="R500" s="41"/>
      <c r="T500" s="4">
        <f>SUMIFS('Weekly Dump'!E:E,'Weekly Dump'!B:B,C500,'Weekly Dump'!A:A,AB500)</f>
        <v>0</v>
      </c>
      <c r="U500" s="3">
        <f t="shared" si="21"/>
        <v>0</v>
      </c>
      <c r="V500" s="42"/>
      <c r="X500" s="4">
        <f>SUMIFS('Weekly Dump'!P:P,'Weekly Dump'!B:B,C500,'Weekly Dump'!A:A,AB500)</f>
        <v>0</v>
      </c>
      <c r="Y500" s="4">
        <f t="shared" si="22"/>
        <v>0</v>
      </c>
      <c r="Z500" s="41"/>
      <c r="AA500" s="12" t="str">
        <f>iferror(IF(VLOOKUP(C500,'Weekly Dump'!B:B,1,0)=C500,"Yes","Missing"),"")</f>
        <v/>
      </c>
      <c r="AB500" s="66"/>
    </row>
    <row r="501">
      <c r="B501" s="63"/>
      <c r="C501" s="63"/>
      <c r="G501" s="3" t="str">
        <f t="shared" si="26"/>
        <v/>
      </c>
      <c r="I501" s="4">
        <f>SUMIFS('Weekly Dump'!D:D,'Weekly Dump'!B:B,C501)</f>
        <v>0</v>
      </c>
      <c r="J501" s="5">
        <f>SUMIFS('Weekly Dump'!AE:AE,'Weekly Dump'!B:B,C501)</f>
        <v>0</v>
      </c>
      <c r="K501" s="4">
        <f>SUMPRODUCT(
  (TEXT('Weekly Dump'!$A$2:$A1009,"mmm-yy")=TEXT($AB501,"mmm-yy"))*
  ('Weekly Dump'!$B$2:$B1009=$C501)*
  'Weekly Dump'!$D$2:$D1009)</f>
        <v>0</v>
      </c>
      <c r="L501" s="4">
        <f>SUMPRODUCT(
  (TEXT('Weekly Dump'!$A$2:$A1009,"mmm-yy")=TEXT($AB501,"mmm-yy"))*
  ('Weekly Dump'!$B$2:$B1009=$C501)*
  'Weekly Dump'!$E$2:$E1009
)</f>
        <v>0</v>
      </c>
      <c r="M501" s="4">
        <f>SUMPRODUCT(
  (TEXT('Weekly Dump'!$A$2:$A1009,"mmm-yy")=TEXT($AB501,"mmm-yy"))*
  ('Weekly Dump'!$B$2:$B1009=$C501)*
  'Weekly Dump'!$P$2:$P1009
)</f>
        <v>0</v>
      </c>
      <c r="N501" s="39"/>
      <c r="O501" s="40">
        <f>SUMIFS('Weekly Dump'!$D:$D,'Weekly Dump'!$B:$B,$C501,'Weekly Dump'!$A:$A,$AB501)</f>
        <v>0</v>
      </c>
      <c r="P501" s="40">
        <f>SUMIFS('Weekly Dump'!R:R,'Weekly Dump'!B:B,C501,'Weekly Dump'!A:A,AB501)</f>
        <v>0</v>
      </c>
      <c r="Q501" s="40">
        <f t="shared" si="20"/>
        <v>0</v>
      </c>
      <c r="R501" s="41"/>
      <c r="T501" s="4">
        <f>SUMIFS('Weekly Dump'!E:E,'Weekly Dump'!B:B,C501,'Weekly Dump'!A:A,AB501)</f>
        <v>0</v>
      </c>
      <c r="U501" s="3">
        <f t="shared" si="21"/>
        <v>0</v>
      </c>
      <c r="V501" s="42"/>
      <c r="X501" s="4">
        <f>SUMIFS('Weekly Dump'!P:P,'Weekly Dump'!B:B,C501,'Weekly Dump'!A:A,AB501)</f>
        <v>0</v>
      </c>
      <c r="Y501" s="4">
        <f t="shared" si="22"/>
        <v>0</v>
      </c>
      <c r="Z501" s="41"/>
      <c r="AA501" s="12" t="str">
        <f>iferror(IF(VLOOKUP(C501,'Weekly Dump'!B:B,1,0)=C501,"Yes","Missing"),"")</f>
        <v/>
      </c>
      <c r="AB501" s="66"/>
    </row>
    <row r="502">
      <c r="B502" s="63"/>
      <c r="C502" s="63"/>
      <c r="G502" s="3" t="str">
        <f t="shared" si="26"/>
        <v/>
      </c>
      <c r="I502" s="4">
        <f>SUMIFS('Weekly Dump'!D:D,'Weekly Dump'!B:B,C502)</f>
        <v>0</v>
      </c>
      <c r="J502" s="5">
        <f>SUMIFS('Weekly Dump'!AE:AE,'Weekly Dump'!B:B,C502)</f>
        <v>0</v>
      </c>
      <c r="K502" s="4">
        <f>SUMPRODUCT(
  (TEXT('Weekly Dump'!$A$2:$A1009,"mmm-yy")=TEXT($AB502,"mmm-yy"))*
  ('Weekly Dump'!$B$2:$B1009=$C502)*
  'Weekly Dump'!$D$2:$D1009)</f>
        <v>0</v>
      </c>
      <c r="L502" s="4">
        <f>SUMPRODUCT(
  (TEXT('Weekly Dump'!$A$2:$A1009,"mmm-yy")=TEXT($AB502,"mmm-yy"))*
  ('Weekly Dump'!$B$2:$B1009=$C502)*
  'Weekly Dump'!$E$2:$E1009
)</f>
        <v>0</v>
      </c>
      <c r="M502" s="4">
        <f>SUMPRODUCT(
  (TEXT('Weekly Dump'!$A$2:$A1009,"mmm-yy")=TEXT($AB502,"mmm-yy"))*
  ('Weekly Dump'!$B$2:$B1009=$C502)*
  'Weekly Dump'!$P$2:$P1009
)</f>
        <v>0</v>
      </c>
      <c r="N502" s="39"/>
      <c r="O502" s="40">
        <f>SUMIFS('Weekly Dump'!$D:$D,'Weekly Dump'!$B:$B,$C502,'Weekly Dump'!$A:$A,$AB502)</f>
        <v>0</v>
      </c>
      <c r="P502" s="40">
        <f>SUMIFS('Weekly Dump'!R:R,'Weekly Dump'!B:B,C502,'Weekly Dump'!A:A,AB502)</f>
        <v>0</v>
      </c>
      <c r="Q502" s="40">
        <f t="shared" si="20"/>
        <v>0</v>
      </c>
      <c r="R502" s="41"/>
      <c r="T502" s="4">
        <f>SUMIFS('Weekly Dump'!E:E,'Weekly Dump'!B:B,C502,'Weekly Dump'!A:A,AB502)</f>
        <v>0</v>
      </c>
      <c r="U502" s="3">
        <f t="shared" si="21"/>
        <v>0</v>
      </c>
      <c r="V502" s="42"/>
      <c r="X502" s="4">
        <f>SUMIFS('Weekly Dump'!P:P,'Weekly Dump'!B:B,C502,'Weekly Dump'!A:A,AB502)</f>
        <v>0</v>
      </c>
      <c r="Y502" s="4">
        <f t="shared" si="22"/>
        <v>0</v>
      </c>
      <c r="Z502" s="41"/>
      <c r="AA502" s="12" t="str">
        <f>iferror(IF(VLOOKUP(C502,'Weekly Dump'!B:B,1,0)=C502,"Yes","Missing"),"")</f>
        <v/>
      </c>
      <c r="AB502" s="66"/>
    </row>
    <row r="503">
      <c r="B503" s="63"/>
      <c r="C503" s="63"/>
      <c r="G503" s="3" t="str">
        <f t="shared" si="26"/>
        <v/>
      </c>
      <c r="I503" s="4">
        <f>SUMIFS('Weekly Dump'!D:D,'Weekly Dump'!B:B,C503)</f>
        <v>0</v>
      </c>
      <c r="J503" s="5">
        <f>SUMIFS('Weekly Dump'!AE:AE,'Weekly Dump'!B:B,C503)</f>
        <v>0</v>
      </c>
      <c r="K503" s="4">
        <f>SUMPRODUCT(
  (TEXT('Weekly Dump'!$A$2:$A1009,"mmm-yy")=TEXT($AB503,"mmm-yy"))*
  ('Weekly Dump'!$B$2:$B1009=$C503)*
  'Weekly Dump'!$D$2:$D1009)</f>
        <v>0</v>
      </c>
      <c r="L503" s="4">
        <f>SUMPRODUCT(
  (TEXT('Weekly Dump'!$A$2:$A1009,"mmm-yy")=TEXT($AB503,"mmm-yy"))*
  ('Weekly Dump'!$B$2:$B1009=$C503)*
  'Weekly Dump'!$E$2:$E1009
)</f>
        <v>0</v>
      </c>
      <c r="M503" s="4">
        <f>SUMPRODUCT(
  (TEXT('Weekly Dump'!$A$2:$A1009,"mmm-yy")=TEXT($AB503,"mmm-yy"))*
  ('Weekly Dump'!$B$2:$B1009=$C503)*
  'Weekly Dump'!$P$2:$P1009
)</f>
        <v>0</v>
      </c>
      <c r="N503" s="39"/>
      <c r="O503" s="40">
        <f>SUMIFS('Weekly Dump'!$D:$D,'Weekly Dump'!$B:$B,$C503,'Weekly Dump'!$A:$A,$AB503)</f>
        <v>0</v>
      </c>
      <c r="P503" s="40">
        <f>SUMIFS('Weekly Dump'!R:R,'Weekly Dump'!B:B,C503,'Weekly Dump'!A:A,AB503)</f>
        <v>0</v>
      </c>
      <c r="Q503" s="40">
        <f t="shared" si="20"/>
        <v>0</v>
      </c>
      <c r="R503" s="41"/>
      <c r="T503" s="4">
        <f>SUMIFS('Weekly Dump'!E:E,'Weekly Dump'!B:B,C503,'Weekly Dump'!A:A,AB503)</f>
        <v>0</v>
      </c>
      <c r="U503" s="3">
        <f t="shared" si="21"/>
        <v>0</v>
      </c>
      <c r="V503" s="42"/>
      <c r="X503" s="4">
        <f>SUMIFS('Weekly Dump'!P:P,'Weekly Dump'!B:B,C503,'Weekly Dump'!A:A,AB503)</f>
        <v>0</v>
      </c>
      <c r="Y503" s="4">
        <f t="shared" si="22"/>
        <v>0</v>
      </c>
      <c r="Z503" s="41"/>
      <c r="AA503" s="12" t="str">
        <f>iferror(IF(VLOOKUP(C503,'Weekly Dump'!B:B,1,0)=C503,"Yes","Missing"),"")</f>
        <v/>
      </c>
      <c r="AB503" s="66"/>
    </row>
    <row r="504">
      <c r="B504" s="63"/>
      <c r="C504" s="63"/>
      <c r="G504" s="3" t="str">
        <f t="shared" si="26"/>
        <v/>
      </c>
      <c r="I504" s="4">
        <f>SUMIFS('Weekly Dump'!D:D,'Weekly Dump'!B:B,C504)</f>
        <v>0</v>
      </c>
      <c r="J504" s="5">
        <f>SUMIFS('Weekly Dump'!AE:AE,'Weekly Dump'!B:B,C504)</f>
        <v>0</v>
      </c>
      <c r="K504" s="4">
        <f>SUMPRODUCT(
  (TEXT('Weekly Dump'!$A$2:$A1009,"mmm-yy")=TEXT($AB504,"mmm-yy"))*
  ('Weekly Dump'!$B$2:$B1009=$C504)*
  'Weekly Dump'!$D$2:$D1009)</f>
        <v>0</v>
      </c>
      <c r="L504" s="4">
        <f>SUMPRODUCT(
  (TEXT('Weekly Dump'!$A$2:$A1009,"mmm-yy")=TEXT($AB504,"mmm-yy"))*
  ('Weekly Dump'!$B$2:$B1009=$C504)*
  'Weekly Dump'!$E$2:$E1009
)</f>
        <v>0</v>
      </c>
      <c r="M504" s="4">
        <f>SUMPRODUCT(
  (TEXT('Weekly Dump'!$A$2:$A1009,"mmm-yy")=TEXT($AB504,"mmm-yy"))*
  ('Weekly Dump'!$B$2:$B1009=$C504)*
  'Weekly Dump'!$P$2:$P1009
)</f>
        <v>0</v>
      </c>
      <c r="N504" s="39"/>
      <c r="O504" s="40">
        <f>SUMIFS('Weekly Dump'!$D:$D,'Weekly Dump'!$B:$B,$C504,'Weekly Dump'!$A:$A,$AB504)</f>
        <v>0</v>
      </c>
      <c r="P504" s="40">
        <f>SUMIFS('Weekly Dump'!R:R,'Weekly Dump'!B:B,C504,'Weekly Dump'!A:A,AB504)</f>
        <v>0</v>
      </c>
      <c r="Q504" s="40">
        <f t="shared" si="20"/>
        <v>0</v>
      </c>
      <c r="R504" s="41"/>
      <c r="T504" s="4">
        <f>SUMIFS('Weekly Dump'!E:E,'Weekly Dump'!B:B,C504,'Weekly Dump'!A:A,AB504)</f>
        <v>0</v>
      </c>
      <c r="U504" s="3">
        <f t="shared" si="21"/>
        <v>0</v>
      </c>
      <c r="V504" s="42"/>
      <c r="X504" s="4">
        <f>SUMIFS('Weekly Dump'!P:P,'Weekly Dump'!B:B,C504,'Weekly Dump'!A:A,AB504)</f>
        <v>0</v>
      </c>
      <c r="Y504" s="4">
        <f t="shared" si="22"/>
        <v>0</v>
      </c>
      <c r="Z504" s="41"/>
      <c r="AA504" s="12" t="str">
        <f>iferror(IF(VLOOKUP(C504,'Weekly Dump'!B:B,1,0)=C504,"Yes","Missing"),"")</f>
        <v/>
      </c>
      <c r="AB504" s="66"/>
    </row>
    <row r="505">
      <c r="B505" s="63"/>
      <c r="C505" s="63"/>
      <c r="G505" s="3" t="str">
        <f t="shared" si="26"/>
        <v/>
      </c>
      <c r="I505" s="4">
        <f>SUMIFS('Weekly Dump'!D:D,'Weekly Dump'!B:B,C505)</f>
        <v>0</v>
      </c>
      <c r="J505" s="5">
        <f>SUMIFS('Weekly Dump'!AE:AE,'Weekly Dump'!B:B,C505)</f>
        <v>0</v>
      </c>
      <c r="K505" s="4">
        <f>SUMPRODUCT(
  (TEXT('Weekly Dump'!$A$2:$A1009,"mmm-yy")=TEXT($AB505,"mmm-yy"))*
  ('Weekly Dump'!$B$2:$B1009=$C505)*
  'Weekly Dump'!$D$2:$D1009)</f>
        <v>0</v>
      </c>
      <c r="L505" s="4">
        <f>SUMPRODUCT(
  (TEXT('Weekly Dump'!$A$2:$A1009,"mmm-yy")=TEXT($AB505,"mmm-yy"))*
  ('Weekly Dump'!$B$2:$B1009=$C505)*
  'Weekly Dump'!$E$2:$E1009
)</f>
        <v>0</v>
      </c>
      <c r="M505" s="4">
        <f>SUMPRODUCT(
  (TEXT('Weekly Dump'!$A$2:$A1009,"mmm-yy")=TEXT($AB505,"mmm-yy"))*
  ('Weekly Dump'!$B$2:$B1009=$C505)*
  'Weekly Dump'!$P$2:$P1009
)</f>
        <v>0</v>
      </c>
      <c r="N505" s="39"/>
      <c r="O505" s="40">
        <f>SUMIFS('Weekly Dump'!$D:$D,'Weekly Dump'!$B:$B,$C505,'Weekly Dump'!$A:$A,$AB505)</f>
        <v>0</v>
      </c>
      <c r="P505" s="40">
        <f>SUMIFS('Weekly Dump'!R:R,'Weekly Dump'!B:B,C505,'Weekly Dump'!A:A,AB505)</f>
        <v>0</v>
      </c>
      <c r="Q505" s="40">
        <f t="shared" si="20"/>
        <v>0</v>
      </c>
      <c r="R505" s="41"/>
      <c r="T505" s="4">
        <f>SUMIFS('Weekly Dump'!E:E,'Weekly Dump'!B:B,C505,'Weekly Dump'!A:A,AB505)</f>
        <v>0</v>
      </c>
      <c r="U505" s="3">
        <f t="shared" si="21"/>
        <v>0</v>
      </c>
      <c r="V505" s="42"/>
      <c r="X505" s="4">
        <f>SUMIFS('Weekly Dump'!P:P,'Weekly Dump'!B:B,C505,'Weekly Dump'!A:A,AB505)</f>
        <v>0</v>
      </c>
      <c r="Y505" s="4">
        <f t="shared" si="22"/>
        <v>0</v>
      </c>
      <c r="Z505" s="41"/>
      <c r="AA505" s="12" t="str">
        <f>iferror(IF(VLOOKUP(C505,'Weekly Dump'!B:B,1,0)=C505,"Yes","Missing"),"")</f>
        <v/>
      </c>
      <c r="AB505" s="66"/>
    </row>
    <row r="506">
      <c r="B506" s="63"/>
      <c r="C506" s="63"/>
      <c r="G506" s="3" t="str">
        <f t="shared" si="26"/>
        <v/>
      </c>
      <c r="I506" s="4">
        <f>SUMIFS('Weekly Dump'!D:D,'Weekly Dump'!B:B,C506)</f>
        <v>0</v>
      </c>
      <c r="J506" s="5">
        <f>SUMIFS('Weekly Dump'!AE:AE,'Weekly Dump'!B:B,C506)</f>
        <v>0</v>
      </c>
      <c r="K506" s="4">
        <f>SUMPRODUCT(
  (TEXT('Weekly Dump'!$A$2:$A1009,"mmm-yy")=TEXT($AB506,"mmm-yy"))*
  ('Weekly Dump'!$B$2:$B1009=$C506)*
  'Weekly Dump'!$D$2:$D1009)</f>
        <v>0</v>
      </c>
      <c r="L506" s="4">
        <f>SUMPRODUCT(
  (TEXT('Weekly Dump'!$A$2:$A1009,"mmm-yy")=TEXT($AB506,"mmm-yy"))*
  ('Weekly Dump'!$B$2:$B1009=$C506)*
  'Weekly Dump'!$E$2:$E1009
)</f>
        <v>0</v>
      </c>
      <c r="M506" s="4">
        <f>SUMPRODUCT(
  (TEXT('Weekly Dump'!$A$2:$A1009,"mmm-yy")=TEXT($AB506,"mmm-yy"))*
  ('Weekly Dump'!$B$2:$B1009=$C506)*
  'Weekly Dump'!$P$2:$P1009
)</f>
        <v>0</v>
      </c>
      <c r="N506" s="39"/>
      <c r="O506" s="40">
        <f>SUMIFS('Weekly Dump'!$D:$D,'Weekly Dump'!$B:$B,$C506,'Weekly Dump'!$A:$A,$AB506)</f>
        <v>0</v>
      </c>
      <c r="P506" s="40">
        <f>SUMIFS('Weekly Dump'!R:R,'Weekly Dump'!B:B,C506,'Weekly Dump'!A:A,AB506)</f>
        <v>0</v>
      </c>
      <c r="Q506" s="40">
        <f t="shared" si="20"/>
        <v>0</v>
      </c>
      <c r="R506" s="41"/>
      <c r="T506" s="4">
        <f>SUMIFS('Weekly Dump'!E:E,'Weekly Dump'!B:B,C506,'Weekly Dump'!A:A,AB506)</f>
        <v>0</v>
      </c>
      <c r="U506" s="3">
        <f t="shared" si="21"/>
        <v>0</v>
      </c>
      <c r="V506" s="42"/>
      <c r="X506" s="4">
        <f>SUMIFS('Weekly Dump'!P:P,'Weekly Dump'!B:B,C506,'Weekly Dump'!A:A,AB506)</f>
        <v>0</v>
      </c>
      <c r="Y506" s="4">
        <f t="shared" si="22"/>
        <v>0</v>
      </c>
      <c r="Z506" s="41"/>
      <c r="AA506" s="12" t="str">
        <f>iferror(IF(VLOOKUP(C506,'Weekly Dump'!B:B,1,0)=C506,"Yes","Missing"),"")</f>
        <v/>
      </c>
      <c r="AB506" s="66"/>
    </row>
    <row r="507">
      <c r="B507" s="63"/>
      <c r="C507" s="63"/>
      <c r="G507" s="3" t="str">
        <f t="shared" si="26"/>
        <v/>
      </c>
      <c r="I507" s="4">
        <f>SUMIFS('Weekly Dump'!D:D,'Weekly Dump'!B:B,C507)</f>
        <v>0</v>
      </c>
      <c r="J507" s="5">
        <f>SUMIFS('Weekly Dump'!AE:AE,'Weekly Dump'!B:B,C507)</f>
        <v>0</v>
      </c>
      <c r="K507" s="4">
        <f>SUMPRODUCT(
  (TEXT('Weekly Dump'!$A$2:$A1009,"mmm-yy")=TEXT($AB507,"mmm-yy"))*
  ('Weekly Dump'!$B$2:$B1009=$C507)*
  'Weekly Dump'!$D$2:$D1009)</f>
        <v>0</v>
      </c>
      <c r="L507" s="4">
        <f>SUMPRODUCT(
  (TEXT('Weekly Dump'!$A$2:$A1009,"mmm-yy")=TEXT($AB507,"mmm-yy"))*
  ('Weekly Dump'!$B$2:$B1009=$C507)*
  'Weekly Dump'!$E$2:$E1009
)</f>
        <v>0</v>
      </c>
      <c r="M507" s="4">
        <f>SUMPRODUCT(
  (TEXT('Weekly Dump'!$A$2:$A1009,"mmm-yy")=TEXT($AB507,"mmm-yy"))*
  ('Weekly Dump'!$B$2:$B1009=$C507)*
  'Weekly Dump'!$P$2:$P1009
)</f>
        <v>0</v>
      </c>
      <c r="N507" s="39"/>
      <c r="O507" s="40">
        <f>SUMIFS('Weekly Dump'!$D:$D,'Weekly Dump'!$B:$B,$C507,'Weekly Dump'!$A:$A,$AB507)</f>
        <v>0</v>
      </c>
      <c r="P507" s="40">
        <f>SUMIFS('Weekly Dump'!R:R,'Weekly Dump'!B:B,C507,'Weekly Dump'!A:A,AB507)</f>
        <v>0</v>
      </c>
      <c r="Q507" s="40">
        <f t="shared" si="20"/>
        <v>0</v>
      </c>
      <c r="R507" s="41"/>
      <c r="T507" s="4">
        <f>SUMIFS('Weekly Dump'!E:E,'Weekly Dump'!B:B,C507,'Weekly Dump'!A:A,AB507)</f>
        <v>0</v>
      </c>
      <c r="U507" s="3">
        <f t="shared" si="21"/>
        <v>0</v>
      </c>
      <c r="V507" s="42"/>
      <c r="X507" s="4">
        <f>SUMIFS('Weekly Dump'!P:P,'Weekly Dump'!B:B,C507,'Weekly Dump'!A:A,AB507)</f>
        <v>0</v>
      </c>
      <c r="Y507" s="4">
        <f t="shared" si="22"/>
        <v>0</v>
      </c>
      <c r="Z507" s="41"/>
      <c r="AA507" s="12" t="str">
        <f>iferror(IF(VLOOKUP(C507,'Weekly Dump'!B:B,1,0)=C507,"Yes","Missing"),"")</f>
        <v/>
      </c>
      <c r="AB507" s="66"/>
    </row>
    <row r="508">
      <c r="B508" s="63"/>
      <c r="C508" s="63"/>
      <c r="G508" s="3" t="str">
        <f t="shared" si="26"/>
        <v/>
      </c>
      <c r="I508" s="4">
        <f>SUMIFS('Weekly Dump'!D:D,'Weekly Dump'!B:B,C508)</f>
        <v>0</v>
      </c>
      <c r="J508" s="5">
        <f>SUMIFS('Weekly Dump'!AE:AE,'Weekly Dump'!B:B,C508)</f>
        <v>0</v>
      </c>
      <c r="K508" s="4">
        <f>SUMPRODUCT(
  (TEXT('Weekly Dump'!$A$2:$A1009,"mmm-yy")=TEXT($AB508,"mmm-yy"))*
  ('Weekly Dump'!$B$2:$B1009=$C508)*
  'Weekly Dump'!$D$2:$D1009)</f>
        <v>0</v>
      </c>
      <c r="L508" s="4">
        <f>SUMPRODUCT(
  (TEXT('Weekly Dump'!$A$2:$A1009,"mmm-yy")=TEXT($AB508,"mmm-yy"))*
  ('Weekly Dump'!$B$2:$B1009=$C508)*
  'Weekly Dump'!$E$2:$E1009
)</f>
        <v>0</v>
      </c>
      <c r="M508" s="4">
        <f>SUMPRODUCT(
  (TEXT('Weekly Dump'!$A$2:$A1009,"mmm-yy")=TEXT($AB508,"mmm-yy"))*
  ('Weekly Dump'!$B$2:$B1009=$C508)*
  'Weekly Dump'!$P$2:$P1009
)</f>
        <v>0</v>
      </c>
      <c r="N508" s="39"/>
      <c r="O508" s="40">
        <f>SUMIFS('Weekly Dump'!$D:$D,'Weekly Dump'!$B:$B,$C508,'Weekly Dump'!$A:$A,$AB508)</f>
        <v>0</v>
      </c>
      <c r="P508" s="40">
        <f>SUMIFS('Weekly Dump'!R:R,'Weekly Dump'!B:B,C508,'Weekly Dump'!A:A,AB508)</f>
        <v>0</v>
      </c>
      <c r="Q508" s="40">
        <f t="shared" si="20"/>
        <v>0</v>
      </c>
      <c r="R508" s="41"/>
      <c r="T508" s="4">
        <f>SUMIFS('Weekly Dump'!E:E,'Weekly Dump'!B:B,C508,'Weekly Dump'!A:A,AB508)</f>
        <v>0</v>
      </c>
      <c r="U508" s="3">
        <f t="shared" si="21"/>
        <v>0</v>
      </c>
      <c r="V508" s="42"/>
      <c r="X508" s="4">
        <f>SUMIFS('Weekly Dump'!P:P,'Weekly Dump'!B:B,C508,'Weekly Dump'!A:A,AB508)</f>
        <v>0</v>
      </c>
      <c r="Y508" s="4">
        <f t="shared" si="22"/>
        <v>0</v>
      </c>
      <c r="Z508" s="41"/>
      <c r="AA508" s="12" t="str">
        <f>iferror(IF(VLOOKUP(C508,'Weekly Dump'!B:B,1,0)=C508,"Yes","Missing"),"")</f>
        <v/>
      </c>
      <c r="AB508" s="66"/>
    </row>
    <row r="509">
      <c r="B509" s="63"/>
      <c r="C509" s="63"/>
      <c r="G509" s="3" t="str">
        <f t="shared" si="26"/>
        <v/>
      </c>
      <c r="I509" s="4">
        <f>SUMIFS('Weekly Dump'!D:D,'Weekly Dump'!B:B,C509)</f>
        <v>0</v>
      </c>
      <c r="J509" s="5">
        <f>SUMIFS('Weekly Dump'!AE:AE,'Weekly Dump'!B:B,C509)</f>
        <v>0</v>
      </c>
      <c r="K509" s="4">
        <f>SUMPRODUCT(
  (TEXT('Weekly Dump'!$A$2:$A1009,"mmm-yy")=TEXT($AB509,"mmm-yy"))*
  ('Weekly Dump'!$B$2:$B1009=$C509)*
  'Weekly Dump'!$D$2:$D1009)</f>
        <v>0</v>
      </c>
      <c r="L509" s="4">
        <f>SUMPRODUCT(
  (TEXT('Weekly Dump'!$A$2:$A1009,"mmm-yy")=TEXT($AB509,"mmm-yy"))*
  ('Weekly Dump'!$B$2:$B1009=$C509)*
  'Weekly Dump'!$E$2:$E1009
)</f>
        <v>0</v>
      </c>
      <c r="M509" s="4">
        <f>SUMPRODUCT(
  (TEXT('Weekly Dump'!$A$2:$A1009,"mmm-yy")=TEXT($AB509,"mmm-yy"))*
  ('Weekly Dump'!$B$2:$B1009=$C509)*
  'Weekly Dump'!$P$2:$P1009
)</f>
        <v>0</v>
      </c>
      <c r="N509" s="39"/>
      <c r="O509" s="40">
        <f>SUMIFS('Weekly Dump'!$D:$D,'Weekly Dump'!$B:$B,$C509,'Weekly Dump'!$A:$A,$AB509)</f>
        <v>0</v>
      </c>
      <c r="P509" s="40">
        <f>SUMIFS('Weekly Dump'!R:R,'Weekly Dump'!B:B,C509,'Weekly Dump'!A:A,AB509)</f>
        <v>0</v>
      </c>
      <c r="Q509" s="40">
        <f t="shared" si="20"/>
        <v>0</v>
      </c>
      <c r="R509" s="41"/>
      <c r="T509" s="4">
        <f>SUMIFS('Weekly Dump'!E:E,'Weekly Dump'!B:B,C509,'Weekly Dump'!A:A,AB509)</f>
        <v>0</v>
      </c>
      <c r="U509" s="3">
        <f t="shared" si="21"/>
        <v>0</v>
      </c>
      <c r="V509" s="42"/>
      <c r="X509" s="4">
        <f>SUMIFS('Weekly Dump'!P:P,'Weekly Dump'!B:B,C509,'Weekly Dump'!A:A,AB509)</f>
        <v>0</v>
      </c>
      <c r="Y509" s="4">
        <f t="shared" si="22"/>
        <v>0</v>
      </c>
      <c r="Z509" s="41"/>
      <c r="AA509" s="12" t="str">
        <f>iferror(IF(VLOOKUP(C509,'Weekly Dump'!B:B,1,0)=C509,"Yes","Missing"),"")</f>
        <v/>
      </c>
      <c r="AB509" s="66"/>
    </row>
    <row r="510">
      <c r="B510" s="63"/>
      <c r="C510" s="63"/>
      <c r="G510" s="3" t="str">
        <f t="shared" si="26"/>
        <v/>
      </c>
      <c r="I510" s="4">
        <f>SUMIFS('Weekly Dump'!D:D,'Weekly Dump'!B:B,C510)</f>
        <v>0</v>
      </c>
      <c r="J510" s="5">
        <f>SUMIFS('Weekly Dump'!AE:AE,'Weekly Dump'!B:B,C510)</f>
        <v>0</v>
      </c>
      <c r="K510" s="4">
        <f>SUMPRODUCT(
  (TEXT('Weekly Dump'!$A$2:$A1009,"mmm-yy")=TEXT($AB510,"mmm-yy"))*
  ('Weekly Dump'!$B$2:$B1009=$C510)*
  'Weekly Dump'!$D$2:$D1009)</f>
        <v>0</v>
      </c>
      <c r="L510" s="4">
        <f>SUMPRODUCT(
  (TEXT('Weekly Dump'!$A$2:$A1009,"mmm-yy")=TEXT($AB510,"mmm-yy"))*
  ('Weekly Dump'!$B$2:$B1009=$C510)*
  'Weekly Dump'!$E$2:$E1009
)</f>
        <v>0</v>
      </c>
      <c r="M510" s="4">
        <f>SUMPRODUCT(
  (TEXT('Weekly Dump'!$A$2:$A1009,"mmm-yy")=TEXT($AB510,"mmm-yy"))*
  ('Weekly Dump'!$B$2:$B1009=$C510)*
  'Weekly Dump'!$P$2:$P1009
)</f>
        <v>0</v>
      </c>
      <c r="N510" s="39"/>
      <c r="O510" s="40">
        <f>SUMIFS('Weekly Dump'!$D:$D,'Weekly Dump'!$B:$B,$C510,'Weekly Dump'!$A:$A,$AB510)</f>
        <v>0</v>
      </c>
      <c r="P510" s="40">
        <f>SUMIFS('Weekly Dump'!R:R,'Weekly Dump'!B:B,C510,'Weekly Dump'!A:A,AB510)</f>
        <v>0</v>
      </c>
      <c r="Q510" s="40">
        <f t="shared" si="20"/>
        <v>0</v>
      </c>
      <c r="R510" s="41"/>
      <c r="T510" s="4">
        <f>SUMIFS('Weekly Dump'!E:E,'Weekly Dump'!B:B,C510,'Weekly Dump'!A:A,AB510)</f>
        <v>0</v>
      </c>
      <c r="U510" s="3">
        <f t="shared" si="21"/>
        <v>0</v>
      </c>
      <c r="V510" s="42"/>
      <c r="X510" s="4">
        <f>SUMIFS('Weekly Dump'!P:P,'Weekly Dump'!B:B,C510,'Weekly Dump'!A:A,AB510)</f>
        <v>0</v>
      </c>
      <c r="Y510" s="4">
        <f t="shared" si="22"/>
        <v>0</v>
      </c>
      <c r="Z510" s="41"/>
      <c r="AA510" s="12" t="str">
        <f>iferror(IF(VLOOKUP(C510,'Weekly Dump'!B:B,1,0)=C510,"Yes","Missing"),"")</f>
        <v/>
      </c>
      <c r="AB510" s="66"/>
    </row>
    <row r="511">
      <c r="B511" s="63"/>
      <c r="C511" s="63"/>
      <c r="G511" s="3" t="str">
        <f t="shared" si="26"/>
        <v/>
      </c>
      <c r="I511" s="4">
        <f>SUMIFS('Weekly Dump'!D:D,'Weekly Dump'!B:B,C511)</f>
        <v>0</v>
      </c>
      <c r="J511" s="5">
        <f>SUMIFS('Weekly Dump'!AE:AE,'Weekly Dump'!B:B,C511)</f>
        <v>0</v>
      </c>
      <c r="K511" s="4">
        <f>SUMPRODUCT(
  (TEXT('Weekly Dump'!$A$2:$A1009,"mmm-yy")=TEXT($AB511,"mmm-yy"))*
  ('Weekly Dump'!$B$2:$B1009=$C511)*
  'Weekly Dump'!$D$2:$D1009)</f>
        <v>0</v>
      </c>
      <c r="L511" s="4">
        <f>SUMPRODUCT(
  (TEXT('Weekly Dump'!$A$2:$A1009,"mmm-yy")=TEXT($AB511,"mmm-yy"))*
  ('Weekly Dump'!$B$2:$B1009=$C511)*
  'Weekly Dump'!$E$2:$E1009
)</f>
        <v>0</v>
      </c>
      <c r="M511" s="4">
        <f>SUMPRODUCT(
  (TEXT('Weekly Dump'!$A$2:$A1009,"mmm-yy")=TEXT($AB511,"mmm-yy"))*
  ('Weekly Dump'!$B$2:$B1009=$C511)*
  'Weekly Dump'!$P$2:$P1009
)</f>
        <v>0</v>
      </c>
      <c r="N511" s="39"/>
      <c r="O511" s="40">
        <f>SUMIFS('Weekly Dump'!$D:$D,'Weekly Dump'!$B:$B,$C511,'Weekly Dump'!$A:$A,$AB511)</f>
        <v>0</v>
      </c>
      <c r="P511" s="40">
        <f>SUMIFS('Weekly Dump'!R:R,'Weekly Dump'!B:B,C511,'Weekly Dump'!A:A,AB511)</f>
        <v>0</v>
      </c>
      <c r="Q511" s="40">
        <f t="shared" si="20"/>
        <v>0</v>
      </c>
      <c r="R511" s="41"/>
      <c r="T511" s="4">
        <f>SUMIFS('Weekly Dump'!E:E,'Weekly Dump'!B:B,C511,'Weekly Dump'!A:A,AB511)</f>
        <v>0</v>
      </c>
      <c r="U511" s="3">
        <f t="shared" si="21"/>
        <v>0</v>
      </c>
      <c r="V511" s="42"/>
      <c r="X511" s="4">
        <f>SUMIFS('Weekly Dump'!P:P,'Weekly Dump'!B:B,C511,'Weekly Dump'!A:A,AB511)</f>
        <v>0</v>
      </c>
      <c r="Y511" s="4">
        <f t="shared" si="22"/>
        <v>0</v>
      </c>
      <c r="Z511" s="41"/>
      <c r="AA511" s="12" t="str">
        <f>iferror(IF(VLOOKUP(C511,'Weekly Dump'!B:B,1,0)=C511,"Yes","Missing"),"")</f>
        <v/>
      </c>
      <c r="AB511" s="66"/>
    </row>
    <row r="512">
      <c r="B512" s="63"/>
      <c r="C512" s="63"/>
      <c r="G512" s="3" t="str">
        <f t="shared" si="26"/>
        <v/>
      </c>
      <c r="I512" s="4">
        <f>SUMIFS('Weekly Dump'!D:D,'Weekly Dump'!B:B,C512)</f>
        <v>0</v>
      </c>
      <c r="J512" s="5">
        <f>SUMIFS('Weekly Dump'!AE:AE,'Weekly Dump'!B:B,C512)</f>
        <v>0</v>
      </c>
      <c r="K512" s="4">
        <f>SUMPRODUCT(
  (TEXT('Weekly Dump'!$A$2:$A1009,"mmm-yy")=TEXT($AB512,"mmm-yy"))*
  ('Weekly Dump'!$B$2:$B1009=$C512)*
  'Weekly Dump'!$D$2:$D1009)</f>
        <v>0</v>
      </c>
      <c r="L512" s="4">
        <f>SUMPRODUCT(
  (TEXT('Weekly Dump'!$A$2:$A1009,"mmm-yy")=TEXT($AB512,"mmm-yy"))*
  ('Weekly Dump'!$B$2:$B1009=$C512)*
  'Weekly Dump'!$E$2:$E1009
)</f>
        <v>0</v>
      </c>
      <c r="M512" s="4">
        <f>SUMPRODUCT(
  (TEXT('Weekly Dump'!$A$2:$A1009,"mmm-yy")=TEXT($AB512,"mmm-yy"))*
  ('Weekly Dump'!$B$2:$B1009=$C512)*
  'Weekly Dump'!$P$2:$P1009
)</f>
        <v>0</v>
      </c>
      <c r="N512" s="39"/>
      <c r="O512" s="40">
        <f>SUMIFS('Weekly Dump'!$D:$D,'Weekly Dump'!$B:$B,$C512,'Weekly Dump'!$A:$A,$AB512)</f>
        <v>0</v>
      </c>
      <c r="P512" s="40">
        <f>SUMIFS('Weekly Dump'!R:R,'Weekly Dump'!B:B,C512,'Weekly Dump'!A:A,AB512)</f>
        <v>0</v>
      </c>
      <c r="Q512" s="40">
        <f t="shared" si="20"/>
        <v>0</v>
      </c>
      <c r="R512" s="41"/>
      <c r="T512" s="4">
        <f>SUMIFS('Weekly Dump'!E:E,'Weekly Dump'!B:B,C512,'Weekly Dump'!A:A,AB512)</f>
        <v>0</v>
      </c>
      <c r="U512" s="3">
        <f t="shared" si="21"/>
        <v>0</v>
      </c>
      <c r="V512" s="42"/>
      <c r="X512" s="4">
        <f>SUMIFS('Weekly Dump'!P:P,'Weekly Dump'!B:B,C512,'Weekly Dump'!A:A,AB512)</f>
        <v>0</v>
      </c>
      <c r="Y512" s="4">
        <f t="shared" si="22"/>
        <v>0</v>
      </c>
      <c r="Z512" s="41"/>
      <c r="AA512" s="12" t="str">
        <f>iferror(IF(VLOOKUP(C512,'Weekly Dump'!B:B,1,0)=C512,"Yes","Missing"),"")</f>
        <v/>
      </c>
      <c r="AB512" s="66"/>
    </row>
    <row r="513">
      <c r="B513" s="63"/>
      <c r="C513" s="63"/>
      <c r="G513" s="3" t="str">
        <f t="shared" si="26"/>
        <v/>
      </c>
      <c r="I513" s="4">
        <f>SUMIFS('Weekly Dump'!D:D,'Weekly Dump'!B:B,C513)</f>
        <v>0</v>
      </c>
      <c r="J513" s="5">
        <f>SUMIFS('Weekly Dump'!AE:AE,'Weekly Dump'!B:B,C513)</f>
        <v>0</v>
      </c>
      <c r="K513" s="4">
        <f>SUMPRODUCT(
  (TEXT('Weekly Dump'!$A$2:$A1009,"mmm-yy")=TEXT($AB513,"mmm-yy"))*
  ('Weekly Dump'!$B$2:$B1009=$C513)*
  'Weekly Dump'!$D$2:$D1009)</f>
        <v>0</v>
      </c>
      <c r="L513" s="4">
        <f>SUMPRODUCT(
  (TEXT('Weekly Dump'!$A$2:$A1009,"mmm-yy")=TEXT($AB513,"mmm-yy"))*
  ('Weekly Dump'!$B$2:$B1009=$C513)*
  'Weekly Dump'!$E$2:$E1009
)</f>
        <v>0</v>
      </c>
      <c r="M513" s="4">
        <f>SUMPRODUCT(
  (TEXT('Weekly Dump'!$A$2:$A1009,"mmm-yy")=TEXT($AB513,"mmm-yy"))*
  ('Weekly Dump'!$B$2:$B1009=$C513)*
  'Weekly Dump'!$P$2:$P1009
)</f>
        <v>0</v>
      </c>
      <c r="N513" s="39"/>
      <c r="O513" s="40">
        <f>SUMIFS('Weekly Dump'!$D:$D,'Weekly Dump'!$B:$B,$C513,'Weekly Dump'!$A:$A,$AB513)</f>
        <v>0</v>
      </c>
      <c r="P513" s="40">
        <f>SUMIFS('Weekly Dump'!R:R,'Weekly Dump'!B:B,C513,'Weekly Dump'!A:A,AB513)</f>
        <v>0</v>
      </c>
      <c r="Q513" s="40">
        <f t="shared" si="20"/>
        <v>0</v>
      </c>
      <c r="R513" s="41"/>
      <c r="T513" s="4">
        <f>SUMIFS('Weekly Dump'!E:E,'Weekly Dump'!B:B,C513,'Weekly Dump'!A:A,AB513)</f>
        <v>0</v>
      </c>
      <c r="U513" s="3">
        <f t="shared" si="21"/>
        <v>0</v>
      </c>
      <c r="V513" s="42"/>
      <c r="X513" s="4">
        <f>SUMIFS('Weekly Dump'!P:P,'Weekly Dump'!B:B,C513,'Weekly Dump'!A:A,AB513)</f>
        <v>0</v>
      </c>
      <c r="Y513" s="4">
        <f t="shared" si="22"/>
        <v>0</v>
      </c>
      <c r="Z513" s="41"/>
      <c r="AA513" s="12" t="str">
        <f>iferror(IF(VLOOKUP(C513,'Weekly Dump'!B:B,1,0)=C513,"Yes","Missing"),"")</f>
        <v/>
      </c>
      <c r="AB513" s="66"/>
    </row>
    <row r="514">
      <c r="B514" s="63"/>
      <c r="C514" s="63"/>
      <c r="G514" s="3" t="str">
        <f t="shared" si="26"/>
        <v/>
      </c>
      <c r="I514" s="4">
        <f>SUMIFS('Weekly Dump'!D:D,'Weekly Dump'!B:B,C514)</f>
        <v>0</v>
      </c>
      <c r="J514" s="5">
        <f>SUMIFS('Weekly Dump'!AE:AE,'Weekly Dump'!B:B,C514)</f>
        <v>0</v>
      </c>
      <c r="K514" s="4">
        <f>SUMPRODUCT(
  (TEXT('Weekly Dump'!$A$2:$A1009,"mmm-yy")=TEXT($AB514,"mmm-yy"))*
  ('Weekly Dump'!$B$2:$B1009=$C514)*
  'Weekly Dump'!$D$2:$D1009)</f>
        <v>0</v>
      </c>
      <c r="L514" s="4">
        <f>SUMPRODUCT(
  (TEXT('Weekly Dump'!$A$2:$A1009,"mmm-yy")=TEXT($AB514,"mmm-yy"))*
  ('Weekly Dump'!$B$2:$B1009=$C514)*
  'Weekly Dump'!$E$2:$E1009
)</f>
        <v>0</v>
      </c>
      <c r="M514" s="4">
        <f>SUMPRODUCT(
  (TEXT('Weekly Dump'!$A$2:$A1009,"mmm-yy")=TEXT($AB514,"mmm-yy"))*
  ('Weekly Dump'!$B$2:$B1009=$C514)*
  'Weekly Dump'!$P$2:$P1009
)</f>
        <v>0</v>
      </c>
      <c r="N514" s="39"/>
      <c r="O514" s="40">
        <f>SUMIFS('Weekly Dump'!$D:$D,'Weekly Dump'!$B:$B,$C514,'Weekly Dump'!$A:$A,$AB514)</f>
        <v>0</v>
      </c>
      <c r="P514" s="40">
        <f>SUMIFS('Weekly Dump'!R:R,'Weekly Dump'!B:B,C514,'Weekly Dump'!A:A,AB514)</f>
        <v>0</v>
      </c>
      <c r="Q514" s="40">
        <f t="shared" si="20"/>
        <v>0</v>
      </c>
      <c r="R514" s="41"/>
      <c r="T514" s="4">
        <f>SUMIFS('Weekly Dump'!E:E,'Weekly Dump'!B:B,C514,'Weekly Dump'!A:A,AB514)</f>
        <v>0</v>
      </c>
      <c r="U514" s="3">
        <f t="shared" si="21"/>
        <v>0</v>
      </c>
      <c r="V514" s="42"/>
      <c r="X514" s="4">
        <f>SUMIFS('Weekly Dump'!P:P,'Weekly Dump'!B:B,C514,'Weekly Dump'!A:A,AB514)</f>
        <v>0</v>
      </c>
      <c r="Y514" s="4">
        <f t="shared" si="22"/>
        <v>0</v>
      </c>
      <c r="Z514" s="41"/>
      <c r="AA514" s="12" t="str">
        <f>iferror(IF(VLOOKUP(C514,'Weekly Dump'!B:B,1,0)=C514,"Yes","Missing"),"")</f>
        <v/>
      </c>
      <c r="AB514" s="66"/>
    </row>
    <row r="515">
      <c r="B515" s="63"/>
      <c r="C515" s="63"/>
      <c r="G515" s="3" t="str">
        <f t="shared" si="26"/>
        <v/>
      </c>
      <c r="I515" s="4">
        <f>SUMIFS('Weekly Dump'!D:D,'Weekly Dump'!B:B,C515)</f>
        <v>0</v>
      </c>
      <c r="J515" s="5">
        <f>SUMIFS('Weekly Dump'!AE:AE,'Weekly Dump'!B:B,C515)</f>
        <v>0</v>
      </c>
      <c r="K515" s="4">
        <f>SUMPRODUCT(
  (TEXT('Weekly Dump'!$A$2:$A1009,"mmm-yy")=TEXT($AB515,"mmm-yy"))*
  ('Weekly Dump'!$B$2:$B1009=$C515)*
  'Weekly Dump'!$D$2:$D1009)</f>
        <v>0</v>
      </c>
      <c r="L515" s="4">
        <f>SUMPRODUCT(
  (TEXT('Weekly Dump'!$A$2:$A1009,"mmm-yy")=TEXT($AB515,"mmm-yy"))*
  ('Weekly Dump'!$B$2:$B1009=$C515)*
  'Weekly Dump'!$E$2:$E1009
)</f>
        <v>0</v>
      </c>
      <c r="M515" s="4">
        <f>SUMPRODUCT(
  (TEXT('Weekly Dump'!$A$2:$A1009,"mmm-yy")=TEXT($AB515,"mmm-yy"))*
  ('Weekly Dump'!$B$2:$B1009=$C515)*
  'Weekly Dump'!$P$2:$P1009
)</f>
        <v>0</v>
      </c>
      <c r="N515" s="39"/>
      <c r="O515" s="40">
        <f>SUMIFS('Weekly Dump'!$D:$D,'Weekly Dump'!$B:$B,$C515,'Weekly Dump'!$A:$A,$AB515)</f>
        <v>0</v>
      </c>
      <c r="P515" s="40">
        <f>SUMIFS('Weekly Dump'!R:R,'Weekly Dump'!B:B,C515,'Weekly Dump'!A:A,AB515)</f>
        <v>0</v>
      </c>
      <c r="Q515" s="40">
        <f t="shared" si="20"/>
        <v>0</v>
      </c>
      <c r="R515" s="41"/>
      <c r="T515" s="4">
        <f>SUMIFS('Weekly Dump'!E:E,'Weekly Dump'!B:B,C515,'Weekly Dump'!A:A,AB515)</f>
        <v>0</v>
      </c>
      <c r="U515" s="3">
        <f t="shared" si="21"/>
        <v>0</v>
      </c>
      <c r="V515" s="42"/>
      <c r="X515" s="4">
        <f>SUMIFS('Weekly Dump'!P:P,'Weekly Dump'!B:B,C515,'Weekly Dump'!A:A,AB515)</f>
        <v>0</v>
      </c>
      <c r="Y515" s="4">
        <f t="shared" si="22"/>
        <v>0</v>
      </c>
      <c r="Z515" s="41"/>
      <c r="AA515" s="12" t="str">
        <f>iferror(IF(VLOOKUP(C515,'Weekly Dump'!B:B,1,0)=C515,"Yes","Missing"),"")</f>
        <v/>
      </c>
      <c r="AB515" s="66"/>
    </row>
    <row r="516">
      <c r="B516" s="63"/>
      <c r="C516" s="63"/>
      <c r="G516" s="3" t="str">
        <f t="shared" si="26"/>
        <v/>
      </c>
      <c r="I516" s="4">
        <f>SUMIFS('Weekly Dump'!D:D,'Weekly Dump'!B:B,C516)</f>
        <v>0</v>
      </c>
      <c r="J516" s="5">
        <f>SUMIFS('Weekly Dump'!AE:AE,'Weekly Dump'!B:B,C516)</f>
        <v>0</v>
      </c>
      <c r="K516" s="4">
        <f>SUMPRODUCT(
  (TEXT('Weekly Dump'!$A$2:$A1009,"mmm-yy")=TEXT($AB516,"mmm-yy"))*
  ('Weekly Dump'!$B$2:$B1009=$C516)*
  'Weekly Dump'!$D$2:$D1009)</f>
        <v>0</v>
      </c>
      <c r="L516" s="4">
        <f>SUMPRODUCT(
  (TEXT('Weekly Dump'!$A$2:$A1009,"mmm-yy")=TEXT($AB516,"mmm-yy"))*
  ('Weekly Dump'!$B$2:$B1009=$C516)*
  'Weekly Dump'!$E$2:$E1009
)</f>
        <v>0</v>
      </c>
      <c r="M516" s="4">
        <f>SUMPRODUCT(
  (TEXT('Weekly Dump'!$A$2:$A1009,"mmm-yy")=TEXT($AB516,"mmm-yy"))*
  ('Weekly Dump'!$B$2:$B1009=$C516)*
  'Weekly Dump'!$P$2:$P1009
)</f>
        <v>0</v>
      </c>
      <c r="N516" s="39"/>
      <c r="O516" s="40">
        <f>SUMIFS('Weekly Dump'!$D:$D,'Weekly Dump'!$B:$B,$C516,'Weekly Dump'!$A:$A,$AB516)</f>
        <v>0</v>
      </c>
      <c r="P516" s="40">
        <f>SUMIFS('Weekly Dump'!R:R,'Weekly Dump'!B:B,C516,'Weekly Dump'!A:A,AB516)</f>
        <v>0</v>
      </c>
      <c r="Q516" s="40">
        <f t="shared" si="20"/>
        <v>0</v>
      </c>
      <c r="R516" s="41"/>
      <c r="T516" s="4">
        <f>SUMIFS('Weekly Dump'!E:E,'Weekly Dump'!B:B,C516,'Weekly Dump'!A:A,AB516)</f>
        <v>0</v>
      </c>
      <c r="U516" s="3">
        <f t="shared" si="21"/>
        <v>0</v>
      </c>
      <c r="V516" s="42"/>
      <c r="X516" s="4">
        <f>SUMIFS('Weekly Dump'!P:P,'Weekly Dump'!B:B,C516,'Weekly Dump'!A:A,AB516)</f>
        <v>0</v>
      </c>
      <c r="Y516" s="4">
        <f t="shared" si="22"/>
        <v>0</v>
      </c>
      <c r="Z516" s="41"/>
      <c r="AA516" s="12" t="str">
        <f>iferror(IF(VLOOKUP(C516,'Weekly Dump'!B:B,1,0)=C516,"Yes","Missing"),"")</f>
        <v/>
      </c>
      <c r="AB516" s="66"/>
    </row>
    <row r="517">
      <c r="B517" s="63"/>
      <c r="C517" s="63"/>
      <c r="G517" s="3" t="str">
        <f t="shared" si="26"/>
        <v/>
      </c>
      <c r="I517" s="4">
        <f>SUMIFS('Weekly Dump'!D:D,'Weekly Dump'!B:B,C517)</f>
        <v>0</v>
      </c>
      <c r="J517" s="5">
        <f>SUMIFS('Weekly Dump'!AE:AE,'Weekly Dump'!B:B,C517)</f>
        <v>0</v>
      </c>
      <c r="K517" s="4">
        <f>SUMPRODUCT(
  (TEXT('Weekly Dump'!$A$2:$A1009,"mmm-yy")=TEXT($AB517,"mmm-yy"))*
  ('Weekly Dump'!$B$2:$B1009=$C517)*
  'Weekly Dump'!$D$2:$D1009)</f>
        <v>0</v>
      </c>
      <c r="L517" s="4">
        <f>SUMPRODUCT(
  (TEXT('Weekly Dump'!$A$2:$A1009,"mmm-yy")=TEXT($AB517,"mmm-yy"))*
  ('Weekly Dump'!$B$2:$B1009=$C517)*
  'Weekly Dump'!$E$2:$E1009
)</f>
        <v>0</v>
      </c>
      <c r="M517" s="4">
        <f>SUMPRODUCT(
  (TEXT('Weekly Dump'!$A$2:$A1009,"mmm-yy")=TEXT($AB517,"mmm-yy"))*
  ('Weekly Dump'!$B$2:$B1009=$C517)*
  'Weekly Dump'!$P$2:$P1009
)</f>
        <v>0</v>
      </c>
      <c r="N517" s="39"/>
      <c r="O517" s="40">
        <f>SUMIFS('Weekly Dump'!$D:$D,'Weekly Dump'!$B:$B,$C517,'Weekly Dump'!$A:$A,$AB517)</f>
        <v>0</v>
      </c>
      <c r="P517" s="40">
        <f>SUMIFS('Weekly Dump'!R:R,'Weekly Dump'!B:B,C517,'Weekly Dump'!A:A,AB517)</f>
        <v>0</v>
      </c>
      <c r="Q517" s="40">
        <f t="shared" si="20"/>
        <v>0</v>
      </c>
      <c r="R517" s="41"/>
      <c r="T517" s="4">
        <f>SUMIFS('Weekly Dump'!E:E,'Weekly Dump'!B:B,C517,'Weekly Dump'!A:A,AB517)</f>
        <v>0</v>
      </c>
      <c r="U517" s="3">
        <f t="shared" si="21"/>
        <v>0</v>
      </c>
      <c r="V517" s="42"/>
      <c r="X517" s="4">
        <f>SUMIFS('Weekly Dump'!P:P,'Weekly Dump'!B:B,C517,'Weekly Dump'!A:A,AB517)</f>
        <v>0</v>
      </c>
      <c r="Y517" s="4">
        <f t="shared" si="22"/>
        <v>0</v>
      </c>
      <c r="Z517" s="41"/>
      <c r="AA517" s="12" t="str">
        <f>iferror(IF(VLOOKUP(C517,'Weekly Dump'!B:B,1,0)=C517,"Yes","Missing"),"")</f>
        <v/>
      </c>
      <c r="AB517" s="66"/>
    </row>
    <row r="518">
      <c r="B518" s="63"/>
      <c r="C518" s="63"/>
      <c r="G518" s="3" t="str">
        <f t="shared" si="26"/>
        <v/>
      </c>
      <c r="I518" s="4">
        <f>SUMIFS('Weekly Dump'!D:D,'Weekly Dump'!B:B,C518)</f>
        <v>0</v>
      </c>
      <c r="J518" s="5">
        <f>SUMIFS('Weekly Dump'!AE:AE,'Weekly Dump'!B:B,C518)</f>
        <v>0</v>
      </c>
      <c r="K518" s="4">
        <f>SUMPRODUCT(
  (TEXT('Weekly Dump'!$A$2:$A1009,"mmm-yy")=TEXT($AB518,"mmm-yy"))*
  ('Weekly Dump'!$B$2:$B1009=$C518)*
  'Weekly Dump'!$D$2:$D1009)</f>
        <v>0</v>
      </c>
      <c r="L518" s="4">
        <f>SUMPRODUCT(
  (TEXT('Weekly Dump'!$A$2:$A1009,"mmm-yy")=TEXT($AB518,"mmm-yy"))*
  ('Weekly Dump'!$B$2:$B1009=$C518)*
  'Weekly Dump'!$E$2:$E1009
)</f>
        <v>0</v>
      </c>
      <c r="M518" s="4">
        <f>SUMPRODUCT(
  (TEXT('Weekly Dump'!$A$2:$A1009,"mmm-yy")=TEXT($AB518,"mmm-yy"))*
  ('Weekly Dump'!$B$2:$B1009=$C518)*
  'Weekly Dump'!$P$2:$P1009
)</f>
        <v>0</v>
      </c>
      <c r="N518" s="39"/>
      <c r="O518" s="40">
        <f>SUMIFS('Weekly Dump'!$D:$D,'Weekly Dump'!$B:$B,$C518,'Weekly Dump'!$A:$A,$AB518)</f>
        <v>0</v>
      </c>
      <c r="P518" s="40">
        <f>SUMIFS('Weekly Dump'!R:R,'Weekly Dump'!B:B,C518,'Weekly Dump'!A:A,AB518)</f>
        <v>0</v>
      </c>
      <c r="Q518" s="40">
        <f t="shared" si="20"/>
        <v>0</v>
      </c>
      <c r="R518" s="41"/>
      <c r="T518" s="4">
        <f>SUMIFS('Weekly Dump'!E:E,'Weekly Dump'!B:B,C518,'Weekly Dump'!A:A,AB518)</f>
        <v>0</v>
      </c>
      <c r="U518" s="3">
        <f t="shared" si="21"/>
        <v>0</v>
      </c>
      <c r="V518" s="42"/>
      <c r="X518" s="4">
        <f>SUMIFS('Weekly Dump'!P:P,'Weekly Dump'!B:B,C518,'Weekly Dump'!A:A,AB518)</f>
        <v>0</v>
      </c>
      <c r="Y518" s="4">
        <f t="shared" si="22"/>
        <v>0</v>
      </c>
      <c r="Z518" s="41"/>
      <c r="AA518" s="12" t="str">
        <f>iferror(IF(VLOOKUP(C518,'Weekly Dump'!B:B,1,0)=C518,"Yes","Missing"),"")</f>
        <v/>
      </c>
      <c r="AB518" s="66"/>
    </row>
    <row r="519">
      <c r="B519" s="63"/>
      <c r="C519" s="63"/>
      <c r="G519" s="3" t="str">
        <f t="shared" si="26"/>
        <v/>
      </c>
      <c r="I519" s="4">
        <f>SUMIFS('Weekly Dump'!D:D,'Weekly Dump'!B:B,C519)</f>
        <v>0</v>
      </c>
      <c r="J519" s="5">
        <f>SUMIFS('Weekly Dump'!AE:AE,'Weekly Dump'!B:B,C519)</f>
        <v>0</v>
      </c>
      <c r="K519" s="4">
        <f>SUMPRODUCT(
  (TEXT('Weekly Dump'!$A$2:$A1009,"mmm-yy")=TEXT($AB519,"mmm-yy"))*
  ('Weekly Dump'!$B$2:$B1009=$C519)*
  'Weekly Dump'!$D$2:$D1009)</f>
        <v>0</v>
      </c>
      <c r="L519" s="4">
        <f>SUMPRODUCT(
  (TEXT('Weekly Dump'!$A$2:$A1009,"mmm-yy")=TEXT($AB519,"mmm-yy"))*
  ('Weekly Dump'!$B$2:$B1009=$C519)*
  'Weekly Dump'!$E$2:$E1009
)</f>
        <v>0</v>
      </c>
      <c r="M519" s="4">
        <f>SUMPRODUCT(
  (TEXT('Weekly Dump'!$A$2:$A1009,"mmm-yy")=TEXT($AB519,"mmm-yy"))*
  ('Weekly Dump'!$B$2:$B1009=$C519)*
  'Weekly Dump'!$P$2:$P1009
)</f>
        <v>0</v>
      </c>
      <c r="N519" s="39"/>
      <c r="O519" s="40">
        <f>SUMIFS('Weekly Dump'!$D:$D,'Weekly Dump'!$B:$B,$C519,'Weekly Dump'!$A:$A,$AB519)</f>
        <v>0</v>
      </c>
      <c r="P519" s="40">
        <f>SUMIFS('Weekly Dump'!R:R,'Weekly Dump'!B:B,C519,'Weekly Dump'!A:A,AB519)</f>
        <v>0</v>
      </c>
      <c r="Q519" s="40">
        <f t="shared" si="20"/>
        <v>0</v>
      </c>
      <c r="R519" s="41"/>
      <c r="T519" s="4">
        <f>SUMIFS('Weekly Dump'!E:E,'Weekly Dump'!B:B,C519,'Weekly Dump'!A:A,AB519)</f>
        <v>0</v>
      </c>
      <c r="U519" s="3">
        <f t="shared" si="21"/>
        <v>0</v>
      </c>
      <c r="V519" s="42"/>
      <c r="X519" s="4">
        <f>SUMIFS('Weekly Dump'!P:P,'Weekly Dump'!B:B,C519,'Weekly Dump'!A:A,AB519)</f>
        <v>0</v>
      </c>
      <c r="Y519" s="4">
        <f t="shared" si="22"/>
        <v>0</v>
      </c>
      <c r="Z519" s="41"/>
      <c r="AA519" s="12" t="str">
        <f>iferror(IF(VLOOKUP(C519,'Weekly Dump'!B:B,1,0)=C519,"Yes","Missing"),"")</f>
        <v/>
      </c>
      <c r="AB519" s="66"/>
    </row>
    <row r="520">
      <c r="B520" s="63"/>
      <c r="C520" s="63"/>
      <c r="G520" s="3" t="str">
        <f t="shared" si="26"/>
        <v/>
      </c>
      <c r="I520" s="4">
        <f>SUMIFS('Weekly Dump'!D:D,'Weekly Dump'!B:B,C520)</f>
        <v>0</v>
      </c>
      <c r="J520" s="5">
        <f>SUMIFS('Weekly Dump'!AE:AE,'Weekly Dump'!B:B,C520)</f>
        <v>0</v>
      </c>
      <c r="K520" s="4">
        <f>SUMPRODUCT(
  (TEXT('Weekly Dump'!$A$2:$A1009,"mmm-yy")=TEXT($AB520,"mmm-yy"))*
  ('Weekly Dump'!$B$2:$B1009=$C520)*
  'Weekly Dump'!$D$2:$D1009)</f>
        <v>0</v>
      </c>
      <c r="L520" s="4">
        <f>SUMPRODUCT(
  (TEXT('Weekly Dump'!$A$2:$A1009,"mmm-yy")=TEXT($AB520,"mmm-yy"))*
  ('Weekly Dump'!$B$2:$B1009=$C520)*
  'Weekly Dump'!$E$2:$E1009
)</f>
        <v>0</v>
      </c>
      <c r="M520" s="4">
        <f>SUMPRODUCT(
  (TEXT('Weekly Dump'!$A$2:$A1009,"mmm-yy")=TEXT($AB520,"mmm-yy"))*
  ('Weekly Dump'!$B$2:$B1009=$C520)*
  'Weekly Dump'!$P$2:$P1009
)</f>
        <v>0</v>
      </c>
      <c r="N520" s="39"/>
      <c r="O520" s="40">
        <f>SUMIFS('Weekly Dump'!$D:$D,'Weekly Dump'!$B:$B,$C520,'Weekly Dump'!$A:$A,$AB520)</f>
        <v>0</v>
      </c>
      <c r="P520" s="40">
        <f>SUMIFS('Weekly Dump'!R:R,'Weekly Dump'!B:B,C520,'Weekly Dump'!A:A,AB520)</f>
        <v>0</v>
      </c>
      <c r="Q520" s="40">
        <f t="shared" si="20"/>
        <v>0</v>
      </c>
      <c r="R520" s="41"/>
      <c r="T520" s="4">
        <f>SUMIFS('Weekly Dump'!E:E,'Weekly Dump'!B:B,C520,'Weekly Dump'!A:A,AB520)</f>
        <v>0</v>
      </c>
      <c r="U520" s="3">
        <f t="shared" si="21"/>
        <v>0</v>
      </c>
      <c r="V520" s="42"/>
      <c r="X520" s="4">
        <f>SUMIFS('Weekly Dump'!P:P,'Weekly Dump'!B:B,C520,'Weekly Dump'!A:A,AB520)</f>
        <v>0</v>
      </c>
      <c r="Y520" s="4">
        <f t="shared" si="22"/>
        <v>0</v>
      </c>
      <c r="Z520" s="41"/>
      <c r="AA520" s="12" t="str">
        <f>iferror(IF(VLOOKUP(C520,'Weekly Dump'!B:B,1,0)=C520,"Yes","Missing"),"")</f>
        <v/>
      </c>
      <c r="AB520" s="66"/>
    </row>
    <row r="521">
      <c r="B521" s="63"/>
      <c r="C521" s="63"/>
      <c r="G521" s="3" t="str">
        <f t="shared" si="26"/>
        <v/>
      </c>
      <c r="I521" s="4">
        <f>SUMIFS('Weekly Dump'!D:D,'Weekly Dump'!B:B,C521)</f>
        <v>0</v>
      </c>
      <c r="J521" s="5">
        <f>SUMIFS('Weekly Dump'!AE:AE,'Weekly Dump'!B:B,C521)</f>
        <v>0</v>
      </c>
      <c r="K521" s="4">
        <f>SUMPRODUCT(
  (TEXT('Weekly Dump'!$A$2:$A1009,"mmm-yy")=TEXT($AB521,"mmm-yy"))*
  ('Weekly Dump'!$B$2:$B1009=$C521)*
  'Weekly Dump'!$D$2:$D1009)</f>
        <v>0</v>
      </c>
      <c r="L521" s="4">
        <f>SUMPRODUCT(
  (TEXT('Weekly Dump'!$A$2:$A1009,"mmm-yy")=TEXT($AB521,"mmm-yy"))*
  ('Weekly Dump'!$B$2:$B1009=$C521)*
  'Weekly Dump'!$E$2:$E1009
)</f>
        <v>0</v>
      </c>
      <c r="M521" s="4">
        <f>SUMPRODUCT(
  (TEXT('Weekly Dump'!$A$2:$A1009,"mmm-yy")=TEXT($AB521,"mmm-yy"))*
  ('Weekly Dump'!$B$2:$B1009=$C521)*
  'Weekly Dump'!$P$2:$P1009
)</f>
        <v>0</v>
      </c>
      <c r="N521" s="39"/>
      <c r="O521" s="40">
        <f>SUMIFS('Weekly Dump'!$D:$D,'Weekly Dump'!$B:$B,$C521,'Weekly Dump'!$A:$A,$AB521)</f>
        <v>0</v>
      </c>
      <c r="P521" s="40">
        <f>SUMIFS('Weekly Dump'!R:R,'Weekly Dump'!B:B,C521,'Weekly Dump'!A:A,AB521)</f>
        <v>0</v>
      </c>
      <c r="Q521" s="40">
        <f t="shared" si="20"/>
        <v>0</v>
      </c>
      <c r="R521" s="41"/>
      <c r="T521" s="4">
        <f>SUMIFS('Weekly Dump'!E:E,'Weekly Dump'!B:B,C521,'Weekly Dump'!A:A,AB521)</f>
        <v>0</v>
      </c>
      <c r="U521" s="3">
        <f t="shared" si="21"/>
        <v>0</v>
      </c>
      <c r="V521" s="42"/>
      <c r="X521" s="4">
        <f>SUMIFS('Weekly Dump'!P:P,'Weekly Dump'!B:B,C521,'Weekly Dump'!A:A,AB521)</f>
        <v>0</v>
      </c>
      <c r="Y521" s="4">
        <f t="shared" si="22"/>
        <v>0</v>
      </c>
      <c r="Z521" s="41"/>
      <c r="AA521" s="12" t="str">
        <f>iferror(IF(VLOOKUP(C521,'Weekly Dump'!B:B,1,0)=C521,"Yes","Missing"),"")</f>
        <v/>
      </c>
      <c r="AB521" s="66"/>
    </row>
    <row r="522">
      <c r="B522" s="63"/>
      <c r="C522" s="63"/>
      <c r="G522" s="3" t="str">
        <f t="shared" si="26"/>
        <v/>
      </c>
      <c r="I522" s="4">
        <f>SUMIFS('Weekly Dump'!D:D,'Weekly Dump'!B:B,C522)</f>
        <v>0</v>
      </c>
      <c r="J522" s="5">
        <f>SUMIFS('Weekly Dump'!AE:AE,'Weekly Dump'!B:B,C522)</f>
        <v>0</v>
      </c>
      <c r="K522" s="4">
        <f>SUMPRODUCT(
  (TEXT('Weekly Dump'!$A$2:$A1009,"mmm-yy")=TEXT($AB522,"mmm-yy"))*
  ('Weekly Dump'!$B$2:$B1009=$C522)*
  'Weekly Dump'!$D$2:$D1009)</f>
        <v>0</v>
      </c>
      <c r="L522" s="4">
        <f>SUMPRODUCT(
  (TEXT('Weekly Dump'!$A$2:$A1009,"mmm-yy")=TEXT($AB522,"mmm-yy"))*
  ('Weekly Dump'!$B$2:$B1009=$C522)*
  'Weekly Dump'!$E$2:$E1009
)</f>
        <v>0</v>
      </c>
      <c r="M522" s="4">
        <f>SUMPRODUCT(
  (TEXT('Weekly Dump'!$A$2:$A1009,"mmm-yy")=TEXT($AB522,"mmm-yy"))*
  ('Weekly Dump'!$B$2:$B1009=$C522)*
  'Weekly Dump'!$P$2:$P1009
)</f>
        <v>0</v>
      </c>
      <c r="N522" s="39"/>
      <c r="O522" s="40">
        <f>SUMIFS('Weekly Dump'!$D:$D,'Weekly Dump'!$B:$B,$C522,'Weekly Dump'!$A:$A,$AB522)</f>
        <v>0</v>
      </c>
      <c r="P522" s="40">
        <f>SUMIFS('Weekly Dump'!R:R,'Weekly Dump'!B:B,C522,'Weekly Dump'!A:A,AB522)</f>
        <v>0</v>
      </c>
      <c r="Q522" s="40">
        <f t="shared" si="20"/>
        <v>0</v>
      </c>
      <c r="R522" s="41"/>
      <c r="T522" s="4">
        <f>SUMIFS('Weekly Dump'!E:E,'Weekly Dump'!B:B,C522,'Weekly Dump'!A:A,AB522)</f>
        <v>0</v>
      </c>
      <c r="U522" s="3">
        <f t="shared" si="21"/>
        <v>0</v>
      </c>
      <c r="V522" s="42"/>
      <c r="X522" s="4">
        <f>SUMIFS('Weekly Dump'!P:P,'Weekly Dump'!B:B,C522,'Weekly Dump'!A:A,AB522)</f>
        <v>0</v>
      </c>
      <c r="Y522" s="4">
        <f t="shared" si="22"/>
        <v>0</v>
      </c>
      <c r="Z522" s="41"/>
      <c r="AA522" s="12" t="str">
        <f>iferror(IF(VLOOKUP(C522,'Weekly Dump'!B:B,1,0)=C522,"Yes","Missing"),"")</f>
        <v/>
      </c>
      <c r="AB522" s="66"/>
    </row>
    <row r="523">
      <c r="B523" s="63"/>
      <c r="C523" s="63"/>
      <c r="G523" s="3" t="str">
        <f t="shared" si="26"/>
        <v/>
      </c>
      <c r="I523" s="4">
        <f>SUMIFS('Weekly Dump'!D:D,'Weekly Dump'!B:B,C523)</f>
        <v>0</v>
      </c>
      <c r="J523" s="5">
        <f>SUMIFS('Weekly Dump'!AE:AE,'Weekly Dump'!B:B,C523)</f>
        <v>0</v>
      </c>
      <c r="K523" s="4">
        <f>SUMPRODUCT(
  (TEXT('Weekly Dump'!$A$2:$A1009,"mmm-yy")=TEXT($AB523,"mmm-yy"))*
  ('Weekly Dump'!$B$2:$B1009=$C523)*
  'Weekly Dump'!$D$2:$D1009)</f>
        <v>0</v>
      </c>
      <c r="L523" s="4">
        <f>SUMPRODUCT(
  (TEXT('Weekly Dump'!$A$2:$A1009,"mmm-yy")=TEXT($AB523,"mmm-yy"))*
  ('Weekly Dump'!$B$2:$B1009=$C523)*
  'Weekly Dump'!$E$2:$E1009
)</f>
        <v>0</v>
      </c>
      <c r="M523" s="4">
        <f>SUMPRODUCT(
  (TEXT('Weekly Dump'!$A$2:$A1009,"mmm-yy")=TEXT($AB523,"mmm-yy"))*
  ('Weekly Dump'!$B$2:$B1009=$C523)*
  'Weekly Dump'!$P$2:$P1009
)</f>
        <v>0</v>
      </c>
      <c r="N523" s="39"/>
      <c r="O523" s="40">
        <f>SUMIFS('Weekly Dump'!$D:$D,'Weekly Dump'!$B:$B,$C523,'Weekly Dump'!$A:$A,$AB523)</f>
        <v>0</v>
      </c>
      <c r="P523" s="40">
        <f>SUMIFS('Weekly Dump'!R:R,'Weekly Dump'!B:B,C523,'Weekly Dump'!A:A,AB523)</f>
        <v>0</v>
      </c>
      <c r="Q523" s="40">
        <f t="shared" si="20"/>
        <v>0</v>
      </c>
      <c r="R523" s="41"/>
      <c r="T523" s="4">
        <f>SUMIFS('Weekly Dump'!E:E,'Weekly Dump'!B:B,C523,'Weekly Dump'!A:A,AB523)</f>
        <v>0</v>
      </c>
      <c r="U523" s="3">
        <f t="shared" si="21"/>
        <v>0</v>
      </c>
      <c r="V523" s="42"/>
      <c r="X523" s="4">
        <f>SUMIFS('Weekly Dump'!P:P,'Weekly Dump'!B:B,C523,'Weekly Dump'!A:A,AB523)</f>
        <v>0</v>
      </c>
      <c r="Y523" s="4">
        <f t="shared" si="22"/>
        <v>0</v>
      </c>
      <c r="Z523" s="41"/>
      <c r="AA523" s="12" t="str">
        <f>iferror(IF(VLOOKUP(C523,'Weekly Dump'!B:B,1,0)=C523,"Yes","Missing"),"")</f>
        <v/>
      </c>
      <c r="AB523" s="66"/>
    </row>
    <row r="524">
      <c r="B524" s="63"/>
      <c r="C524" s="63"/>
      <c r="G524" s="3" t="str">
        <f t="shared" si="26"/>
        <v/>
      </c>
      <c r="I524" s="4">
        <f>SUMIFS('Weekly Dump'!D:D,'Weekly Dump'!B:B,C524)</f>
        <v>0</v>
      </c>
      <c r="J524" s="5">
        <f>SUMIFS('Weekly Dump'!AE:AE,'Weekly Dump'!B:B,C524)</f>
        <v>0</v>
      </c>
      <c r="K524" s="4">
        <f>SUMPRODUCT(
  (TEXT('Weekly Dump'!$A$2:$A1009,"mmm-yy")=TEXT($AB524,"mmm-yy"))*
  ('Weekly Dump'!$B$2:$B1009=$C524)*
  'Weekly Dump'!$D$2:$D1009)</f>
        <v>0</v>
      </c>
      <c r="L524" s="4">
        <f>SUMPRODUCT(
  (TEXT('Weekly Dump'!$A$2:$A1009,"mmm-yy")=TEXT($AB524,"mmm-yy"))*
  ('Weekly Dump'!$B$2:$B1009=$C524)*
  'Weekly Dump'!$E$2:$E1009
)</f>
        <v>0</v>
      </c>
      <c r="M524" s="4">
        <f>SUMPRODUCT(
  (TEXT('Weekly Dump'!$A$2:$A1009,"mmm-yy")=TEXT($AB524,"mmm-yy"))*
  ('Weekly Dump'!$B$2:$B1009=$C524)*
  'Weekly Dump'!$P$2:$P1009
)</f>
        <v>0</v>
      </c>
      <c r="N524" s="39"/>
      <c r="O524" s="40">
        <f>SUMIFS('Weekly Dump'!$D:$D,'Weekly Dump'!$B:$B,$C524,'Weekly Dump'!$A:$A,$AB524)</f>
        <v>0</v>
      </c>
      <c r="P524" s="40">
        <f>SUMIFS('Weekly Dump'!R:R,'Weekly Dump'!B:B,C524,'Weekly Dump'!A:A,AB524)</f>
        <v>0</v>
      </c>
      <c r="Q524" s="40">
        <f t="shared" si="20"/>
        <v>0</v>
      </c>
      <c r="R524" s="41"/>
      <c r="T524" s="4">
        <f>SUMIFS('Weekly Dump'!E:E,'Weekly Dump'!B:B,C524,'Weekly Dump'!A:A,AB524)</f>
        <v>0</v>
      </c>
      <c r="U524" s="3">
        <f t="shared" si="21"/>
        <v>0</v>
      </c>
      <c r="V524" s="42"/>
      <c r="X524" s="4">
        <f>SUMIFS('Weekly Dump'!P:P,'Weekly Dump'!B:B,C524,'Weekly Dump'!A:A,AB524)</f>
        <v>0</v>
      </c>
      <c r="Y524" s="4">
        <f t="shared" si="22"/>
        <v>0</v>
      </c>
      <c r="Z524" s="41"/>
      <c r="AA524" s="12" t="str">
        <f>iferror(IF(VLOOKUP(C524,'Weekly Dump'!B:B,1,0)=C524,"Yes","Missing"),"")</f>
        <v/>
      </c>
      <c r="AB524" s="66"/>
    </row>
    <row r="525">
      <c r="B525" s="63"/>
      <c r="C525" s="63"/>
      <c r="G525" s="3" t="str">
        <f t="shared" si="26"/>
        <v/>
      </c>
      <c r="I525" s="4">
        <f>SUMIFS('Weekly Dump'!D:D,'Weekly Dump'!B:B,C525)</f>
        <v>0</v>
      </c>
      <c r="J525" s="5">
        <f>SUMIFS('Weekly Dump'!AE:AE,'Weekly Dump'!B:B,C525)</f>
        <v>0</v>
      </c>
      <c r="K525" s="4">
        <f>SUMPRODUCT(
  (TEXT('Weekly Dump'!$A$2:$A1009,"mmm-yy")=TEXT($AB525,"mmm-yy"))*
  ('Weekly Dump'!$B$2:$B1009=$C525)*
  'Weekly Dump'!$D$2:$D1009)</f>
        <v>0</v>
      </c>
      <c r="L525" s="4">
        <f>SUMPRODUCT(
  (TEXT('Weekly Dump'!$A$2:$A1009,"mmm-yy")=TEXT($AB525,"mmm-yy"))*
  ('Weekly Dump'!$B$2:$B1009=$C525)*
  'Weekly Dump'!$E$2:$E1009
)</f>
        <v>0</v>
      </c>
      <c r="M525" s="4">
        <f>SUMPRODUCT(
  (TEXT('Weekly Dump'!$A$2:$A1009,"mmm-yy")=TEXT($AB525,"mmm-yy"))*
  ('Weekly Dump'!$B$2:$B1009=$C525)*
  'Weekly Dump'!$P$2:$P1009
)</f>
        <v>0</v>
      </c>
      <c r="N525" s="39"/>
      <c r="O525" s="40">
        <f>SUMIFS('Weekly Dump'!$D:$D,'Weekly Dump'!$B:$B,$C525,'Weekly Dump'!$A:$A,$AB525)</f>
        <v>0</v>
      </c>
      <c r="P525" s="40">
        <f>SUMIFS('Weekly Dump'!R:R,'Weekly Dump'!B:B,C525,'Weekly Dump'!A:A,AB525)</f>
        <v>0</v>
      </c>
      <c r="Q525" s="40">
        <f t="shared" si="20"/>
        <v>0</v>
      </c>
      <c r="R525" s="41"/>
      <c r="T525" s="4">
        <f>SUMIFS('Weekly Dump'!E:E,'Weekly Dump'!B:B,C525,'Weekly Dump'!A:A,AB525)</f>
        <v>0</v>
      </c>
      <c r="U525" s="3">
        <f t="shared" si="21"/>
        <v>0</v>
      </c>
      <c r="V525" s="42"/>
      <c r="X525" s="4">
        <f>SUMIFS('Weekly Dump'!P:P,'Weekly Dump'!B:B,C525,'Weekly Dump'!A:A,AB525)</f>
        <v>0</v>
      </c>
      <c r="Y525" s="4">
        <f t="shared" si="22"/>
        <v>0</v>
      </c>
      <c r="Z525" s="41"/>
      <c r="AA525" s="12" t="str">
        <f>iferror(IF(VLOOKUP(C525,'Weekly Dump'!B:B,1,0)=C525,"Yes","Missing"),"")</f>
        <v/>
      </c>
      <c r="AB525" s="66"/>
    </row>
    <row r="526">
      <c r="B526" s="63"/>
      <c r="C526" s="63"/>
      <c r="G526" s="3" t="str">
        <f t="shared" si="26"/>
        <v/>
      </c>
      <c r="I526" s="4">
        <f>SUMIFS('Weekly Dump'!D:D,'Weekly Dump'!B:B,C526)</f>
        <v>0</v>
      </c>
      <c r="J526" s="5">
        <f>SUMIFS('Weekly Dump'!AE:AE,'Weekly Dump'!B:B,C526)</f>
        <v>0</v>
      </c>
      <c r="K526" s="4">
        <f>SUMPRODUCT(
  (TEXT('Weekly Dump'!$A$2:$A1009,"mmm-yy")=TEXT($AB526,"mmm-yy"))*
  ('Weekly Dump'!$B$2:$B1009=$C526)*
  'Weekly Dump'!$D$2:$D1009)</f>
        <v>0</v>
      </c>
      <c r="L526" s="4">
        <f>SUMPRODUCT(
  (TEXT('Weekly Dump'!$A$2:$A1009,"mmm-yy")=TEXT($AB526,"mmm-yy"))*
  ('Weekly Dump'!$B$2:$B1009=$C526)*
  'Weekly Dump'!$E$2:$E1009
)</f>
        <v>0</v>
      </c>
      <c r="M526" s="4">
        <f>SUMPRODUCT(
  (TEXT('Weekly Dump'!$A$2:$A1009,"mmm-yy")=TEXT($AB526,"mmm-yy"))*
  ('Weekly Dump'!$B$2:$B1009=$C526)*
  'Weekly Dump'!$P$2:$P1009
)</f>
        <v>0</v>
      </c>
      <c r="N526" s="39"/>
      <c r="O526" s="40">
        <f>SUMIFS('Weekly Dump'!$D:$D,'Weekly Dump'!$B:$B,$C526,'Weekly Dump'!$A:$A,$AB526)</f>
        <v>0</v>
      </c>
      <c r="P526" s="40">
        <f>SUMIFS('Weekly Dump'!R:R,'Weekly Dump'!B:B,C526,'Weekly Dump'!A:A,AB526)</f>
        <v>0</v>
      </c>
      <c r="Q526" s="40">
        <f t="shared" si="20"/>
        <v>0</v>
      </c>
      <c r="R526" s="41"/>
      <c r="T526" s="4">
        <f>SUMIFS('Weekly Dump'!E:E,'Weekly Dump'!B:B,C526,'Weekly Dump'!A:A,AB526)</f>
        <v>0</v>
      </c>
      <c r="U526" s="3">
        <f t="shared" si="21"/>
        <v>0</v>
      </c>
      <c r="V526" s="42"/>
      <c r="X526" s="4">
        <f>SUMIFS('Weekly Dump'!P:P,'Weekly Dump'!B:B,C526,'Weekly Dump'!A:A,AB526)</f>
        <v>0</v>
      </c>
      <c r="Y526" s="4">
        <f t="shared" si="22"/>
        <v>0</v>
      </c>
      <c r="Z526" s="41"/>
      <c r="AA526" s="12" t="str">
        <f>iferror(IF(VLOOKUP(C526,'Weekly Dump'!B:B,1,0)=C526,"Yes","Missing"),"")</f>
        <v/>
      </c>
      <c r="AB526" s="66"/>
    </row>
    <row r="527">
      <c r="B527" s="63"/>
      <c r="C527" s="63"/>
      <c r="G527" s="3" t="str">
        <f t="shared" si="26"/>
        <v/>
      </c>
      <c r="I527" s="4">
        <f>SUMIFS('Weekly Dump'!D:D,'Weekly Dump'!B:B,C527)</f>
        <v>0</v>
      </c>
      <c r="J527" s="5">
        <f>SUMIFS('Weekly Dump'!AE:AE,'Weekly Dump'!B:B,C527)</f>
        <v>0</v>
      </c>
      <c r="K527" s="4">
        <f>SUMPRODUCT(
  (TEXT('Weekly Dump'!$A$2:$A1009,"mmm-yy")=TEXT($AB527,"mmm-yy"))*
  ('Weekly Dump'!$B$2:$B1009=$C527)*
  'Weekly Dump'!$D$2:$D1009)</f>
        <v>0</v>
      </c>
      <c r="L527" s="4">
        <f>SUMPRODUCT(
  (TEXT('Weekly Dump'!$A$2:$A1009,"mmm-yy")=TEXT($AB527,"mmm-yy"))*
  ('Weekly Dump'!$B$2:$B1009=$C527)*
  'Weekly Dump'!$E$2:$E1009
)</f>
        <v>0</v>
      </c>
      <c r="M527" s="4">
        <f>SUMPRODUCT(
  (TEXT('Weekly Dump'!$A$2:$A1009,"mmm-yy")=TEXT($AB527,"mmm-yy"))*
  ('Weekly Dump'!$B$2:$B1009=$C527)*
  'Weekly Dump'!$P$2:$P1009
)</f>
        <v>0</v>
      </c>
      <c r="N527" s="39"/>
      <c r="O527" s="40">
        <f>SUMIFS('Weekly Dump'!$D:$D,'Weekly Dump'!$B:$B,$C527,'Weekly Dump'!$A:$A,$AB527)</f>
        <v>0</v>
      </c>
      <c r="P527" s="40">
        <f>SUMIFS('Weekly Dump'!R:R,'Weekly Dump'!B:B,C527,'Weekly Dump'!A:A,AB527)</f>
        <v>0</v>
      </c>
      <c r="Q527" s="40">
        <f t="shared" si="20"/>
        <v>0</v>
      </c>
      <c r="R527" s="41"/>
      <c r="T527" s="4">
        <f>SUMIFS('Weekly Dump'!E:E,'Weekly Dump'!B:B,C527,'Weekly Dump'!A:A,AB527)</f>
        <v>0</v>
      </c>
      <c r="U527" s="3">
        <f t="shared" si="21"/>
        <v>0</v>
      </c>
      <c r="V527" s="42"/>
      <c r="X527" s="4">
        <f>SUMIFS('Weekly Dump'!P:P,'Weekly Dump'!B:B,C527,'Weekly Dump'!A:A,AB527)</f>
        <v>0</v>
      </c>
      <c r="Y527" s="4">
        <f t="shared" si="22"/>
        <v>0</v>
      </c>
      <c r="Z527" s="41"/>
      <c r="AA527" s="12" t="str">
        <f>iferror(IF(VLOOKUP(C527,'Weekly Dump'!B:B,1,0)=C527,"Yes","Missing"),"")</f>
        <v/>
      </c>
      <c r="AB527" s="66"/>
    </row>
    <row r="528">
      <c r="B528" s="63"/>
      <c r="C528" s="63"/>
      <c r="G528" s="3" t="str">
        <f t="shared" si="26"/>
        <v/>
      </c>
      <c r="I528" s="4">
        <f>SUMIFS('Weekly Dump'!D:D,'Weekly Dump'!B:B,C528)</f>
        <v>0</v>
      </c>
      <c r="J528" s="5">
        <f>SUMIFS('Weekly Dump'!AE:AE,'Weekly Dump'!B:B,C528)</f>
        <v>0</v>
      </c>
      <c r="K528" s="4">
        <f>SUMPRODUCT(
  (TEXT('Weekly Dump'!$A$2:$A1009,"mmm-yy")=TEXT($AB528,"mmm-yy"))*
  ('Weekly Dump'!$B$2:$B1009=$C528)*
  'Weekly Dump'!$D$2:$D1009)</f>
        <v>0</v>
      </c>
      <c r="L528" s="4">
        <f>SUMPRODUCT(
  (TEXT('Weekly Dump'!$A$2:$A1009,"mmm-yy")=TEXT($AB528,"mmm-yy"))*
  ('Weekly Dump'!$B$2:$B1009=$C528)*
  'Weekly Dump'!$E$2:$E1009
)</f>
        <v>0</v>
      </c>
      <c r="M528" s="4">
        <f>SUMPRODUCT(
  (TEXT('Weekly Dump'!$A$2:$A1009,"mmm-yy")=TEXT($AB528,"mmm-yy"))*
  ('Weekly Dump'!$B$2:$B1009=$C528)*
  'Weekly Dump'!$P$2:$P1009
)</f>
        <v>0</v>
      </c>
      <c r="N528" s="39"/>
      <c r="O528" s="40">
        <f>SUMIFS('Weekly Dump'!$D:$D,'Weekly Dump'!$B:$B,$C528,'Weekly Dump'!$A:$A,$AB528)</f>
        <v>0</v>
      </c>
      <c r="P528" s="40">
        <f>SUMIFS('Weekly Dump'!R:R,'Weekly Dump'!B:B,C528,'Weekly Dump'!A:A,AB528)</f>
        <v>0</v>
      </c>
      <c r="Q528" s="40">
        <f t="shared" si="20"/>
        <v>0</v>
      </c>
      <c r="R528" s="41"/>
      <c r="T528" s="4">
        <f>SUMIFS('Weekly Dump'!E:E,'Weekly Dump'!B:B,C528,'Weekly Dump'!A:A,AB528)</f>
        <v>0</v>
      </c>
      <c r="U528" s="3">
        <f t="shared" si="21"/>
        <v>0</v>
      </c>
      <c r="V528" s="42"/>
      <c r="X528" s="4">
        <f>SUMIFS('Weekly Dump'!P:P,'Weekly Dump'!B:B,C528,'Weekly Dump'!A:A,AB528)</f>
        <v>0</v>
      </c>
      <c r="Y528" s="4">
        <f t="shared" si="22"/>
        <v>0</v>
      </c>
      <c r="Z528" s="41"/>
      <c r="AA528" s="12" t="str">
        <f>iferror(IF(VLOOKUP(C528,'Weekly Dump'!B:B,1,0)=C528,"Yes","Missing"),"")</f>
        <v/>
      </c>
      <c r="AB528" s="66"/>
    </row>
    <row r="529">
      <c r="B529" s="63"/>
      <c r="C529" s="63"/>
      <c r="G529" s="3" t="str">
        <f t="shared" si="26"/>
        <v/>
      </c>
      <c r="I529" s="4">
        <f>SUMIFS('Weekly Dump'!D:D,'Weekly Dump'!B:B,C529)</f>
        <v>0</v>
      </c>
      <c r="J529" s="5">
        <f>SUMIFS('Weekly Dump'!AE:AE,'Weekly Dump'!B:B,C529)</f>
        <v>0</v>
      </c>
      <c r="K529" s="4">
        <f>SUMPRODUCT(
  (TEXT('Weekly Dump'!$A$2:$A1009,"mmm-yy")=TEXT($AB529,"mmm-yy"))*
  ('Weekly Dump'!$B$2:$B1009=$C529)*
  'Weekly Dump'!$D$2:$D1009)</f>
        <v>0</v>
      </c>
      <c r="L529" s="4">
        <f>SUMPRODUCT(
  (TEXT('Weekly Dump'!$A$2:$A1009,"mmm-yy")=TEXT($AB529,"mmm-yy"))*
  ('Weekly Dump'!$B$2:$B1009=$C529)*
  'Weekly Dump'!$E$2:$E1009
)</f>
        <v>0</v>
      </c>
      <c r="M529" s="4">
        <f>SUMPRODUCT(
  (TEXT('Weekly Dump'!$A$2:$A1009,"mmm-yy")=TEXT($AB529,"mmm-yy"))*
  ('Weekly Dump'!$B$2:$B1009=$C529)*
  'Weekly Dump'!$P$2:$P1009
)</f>
        <v>0</v>
      </c>
      <c r="N529" s="39"/>
      <c r="O529" s="40">
        <f>SUMIFS('Weekly Dump'!$D:$D,'Weekly Dump'!$B:$B,$C529,'Weekly Dump'!$A:$A,$AB529)</f>
        <v>0</v>
      </c>
      <c r="P529" s="40">
        <f>SUMIFS('Weekly Dump'!R:R,'Weekly Dump'!B:B,C529,'Weekly Dump'!A:A,AB529)</f>
        <v>0</v>
      </c>
      <c r="Q529" s="40">
        <f t="shared" si="20"/>
        <v>0</v>
      </c>
      <c r="R529" s="41"/>
      <c r="T529" s="4">
        <f>SUMIFS('Weekly Dump'!E:E,'Weekly Dump'!B:B,C529,'Weekly Dump'!A:A,AB529)</f>
        <v>0</v>
      </c>
      <c r="U529" s="3">
        <f t="shared" si="21"/>
        <v>0</v>
      </c>
      <c r="V529" s="42"/>
      <c r="X529" s="4">
        <f>SUMIFS('Weekly Dump'!P:P,'Weekly Dump'!B:B,C529,'Weekly Dump'!A:A,AB529)</f>
        <v>0</v>
      </c>
      <c r="Y529" s="4">
        <f t="shared" si="22"/>
        <v>0</v>
      </c>
      <c r="Z529" s="41"/>
      <c r="AA529" s="12" t="str">
        <f>iferror(IF(VLOOKUP(C529,'Weekly Dump'!B:B,1,0)=C529,"Yes","Missing"),"")</f>
        <v/>
      </c>
      <c r="AB529" s="66"/>
    </row>
    <row r="530">
      <c r="B530" s="63"/>
      <c r="C530" s="63"/>
      <c r="G530" s="3" t="str">
        <f t="shared" si="26"/>
        <v/>
      </c>
      <c r="I530" s="4">
        <f>SUMIFS('Weekly Dump'!D:D,'Weekly Dump'!B:B,C530)</f>
        <v>0</v>
      </c>
      <c r="J530" s="5">
        <f>SUMIFS('Weekly Dump'!AE:AE,'Weekly Dump'!B:B,C530)</f>
        <v>0</v>
      </c>
      <c r="K530" s="4">
        <f>SUMPRODUCT(
  (TEXT('Weekly Dump'!$A$2:$A1009,"mmm-yy")=TEXT($AB530,"mmm-yy"))*
  ('Weekly Dump'!$B$2:$B1009=$C530)*
  'Weekly Dump'!$D$2:$D1009)</f>
        <v>0</v>
      </c>
      <c r="L530" s="4">
        <f>SUMPRODUCT(
  (TEXT('Weekly Dump'!$A$2:$A1009,"mmm-yy")=TEXT($AB530,"mmm-yy"))*
  ('Weekly Dump'!$B$2:$B1009=$C530)*
  'Weekly Dump'!$E$2:$E1009
)</f>
        <v>0</v>
      </c>
      <c r="M530" s="4">
        <f>SUMPRODUCT(
  (TEXT('Weekly Dump'!$A$2:$A1009,"mmm-yy")=TEXT($AB530,"mmm-yy"))*
  ('Weekly Dump'!$B$2:$B1009=$C530)*
  'Weekly Dump'!$P$2:$P1009
)</f>
        <v>0</v>
      </c>
      <c r="N530" s="39"/>
      <c r="O530" s="40">
        <f>SUMIFS('Weekly Dump'!$D:$D,'Weekly Dump'!$B:$B,$C530,'Weekly Dump'!$A:$A,$AB530)</f>
        <v>0</v>
      </c>
      <c r="P530" s="40">
        <f>SUMIFS('Weekly Dump'!R:R,'Weekly Dump'!B:B,C530,'Weekly Dump'!A:A,AB530)</f>
        <v>0</v>
      </c>
      <c r="Q530" s="40">
        <f t="shared" si="20"/>
        <v>0</v>
      </c>
      <c r="R530" s="41"/>
      <c r="T530" s="4">
        <f>SUMIFS('Weekly Dump'!E:E,'Weekly Dump'!B:B,C530,'Weekly Dump'!A:A,AB530)</f>
        <v>0</v>
      </c>
      <c r="U530" s="3">
        <f t="shared" si="21"/>
        <v>0</v>
      </c>
      <c r="V530" s="42"/>
      <c r="X530" s="4">
        <f>SUMIFS('Weekly Dump'!P:P,'Weekly Dump'!B:B,C530,'Weekly Dump'!A:A,AB530)</f>
        <v>0</v>
      </c>
      <c r="Y530" s="4">
        <f t="shared" si="22"/>
        <v>0</v>
      </c>
      <c r="Z530" s="41"/>
      <c r="AA530" s="12" t="str">
        <f>iferror(IF(VLOOKUP(C530,'Weekly Dump'!B:B,1,0)=C530,"Yes","Missing"),"")</f>
        <v/>
      </c>
      <c r="AB530" s="66"/>
    </row>
    <row r="531">
      <c r="B531" s="63"/>
      <c r="C531" s="63"/>
      <c r="G531" s="3" t="str">
        <f t="shared" si="26"/>
        <v/>
      </c>
      <c r="I531" s="4">
        <f>SUMIFS('Weekly Dump'!D:D,'Weekly Dump'!B:B,C531)</f>
        <v>0</v>
      </c>
      <c r="J531" s="5">
        <f>SUMIFS('Weekly Dump'!AE:AE,'Weekly Dump'!B:B,C531)</f>
        <v>0</v>
      </c>
      <c r="K531" s="4">
        <f>SUMPRODUCT(
  (TEXT('Weekly Dump'!$A$2:$A1009,"mmm-yy")=TEXT($AB531,"mmm-yy"))*
  ('Weekly Dump'!$B$2:$B1009=$C531)*
  'Weekly Dump'!$D$2:$D1009)</f>
        <v>0</v>
      </c>
      <c r="L531" s="4">
        <f>SUMPRODUCT(
  (TEXT('Weekly Dump'!$A$2:$A1009,"mmm-yy")=TEXT($AB531,"mmm-yy"))*
  ('Weekly Dump'!$B$2:$B1009=$C531)*
  'Weekly Dump'!$E$2:$E1009
)</f>
        <v>0</v>
      </c>
      <c r="M531" s="4">
        <f>SUMPRODUCT(
  (TEXT('Weekly Dump'!$A$2:$A1009,"mmm-yy")=TEXT($AB531,"mmm-yy"))*
  ('Weekly Dump'!$B$2:$B1009=$C531)*
  'Weekly Dump'!$P$2:$P1009
)</f>
        <v>0</v>
      </c>
      <c r="N531" s="39"/>
      <c r="O531" s="40">
        <f>SUMIFS('Weekly Dump'!$D:$D,'Weekly Dump'!$B:$B,$C531,'Weekly Dump'!$A:$A,$AB531)</f>
        <v>0</v>
      </c>
      <c r="P531" s="40">
        <f>SUMIFS('Weekly Dump'!R:R,'Weekly Dump'!B:B,C531,'Weekly Dump'!A:A,AB531)</f>
        <v>0</v>
      </c>
      <c r="Q531" s="40">
        <f t="shared" si="20"/>
        <v>0</v>
      </c>
      <c r="R531" s="41"/>
      <c r="T531" s="4">
        <f>SUMIFS('Weekly Dump'!E:E,'Weekly Dump'!B:B,C531,'Weekly Dump'!A:A,AB531)</f>
        <v>0</v>
      </c>
      <c r="U531" s="3">
        <f t="shared" si="21"/>
        <v>0</v>
      </c>
      <c r="V531" s="42"/>
      <c r="X531" s="4">
        <f>SUMIFS('Weekly Dump'!P:P,'Weekly Dump'!B:B,C531,'Weekly Dump'!A:A,AB531)</f>
        <v>0</v>
      </c>
      <c r="Y531" s="4">
        <f t="shared" si="22"/>
        <v>0</v>
      </c>
      <c r="Z531" s="41"/>
      <c r="AA531" s="12" t="str">
        <f>iferror(IF(VLOOKUP(C531,'Weekly Dump'!B:B,1,0)=C531,"Yes","Missing"),"")</f>
        <v/>
      </c>
      <c r="AB531" s="66"/>
    </row>
    <row r="532">
      <c r="B532" s="63"/>
      <c r="C532" s="63"/>
      <c r="G532" s="3" t="str">
        <f t="shared" si="26"/>
        <v/>
      </c>
      <c r="I532" s="4">
        <f>SUMIFS('Weekly Dump'!D:D,'Weekly Dump'!B:B,C532)</f>
        <v>0</v>
      </c>
      <c r="J532" s="5">
        <f>SUMIFS('Weekly Dump'!AE:AE,'Weekly Dump'!B:B,C532)</f>
        <v>0</v>
      </c>
      <c r="K532" s="4">
        <f>SUMPRODUCT(
  (TEXT('Weekly Dump'!$A$2:$A1009,"mmm-yy")=TEXT($AB532,"mmm-yy"))*
  ('Weekly Dump'!$B$2:$B1009=$C532)*
  'Weekly Dump'!$D$2:$D1009)</f>
        <v>0</v>
      </c>
      <c r="L532" s="4">
        <f>SUMPRODUCT(
  (TEXT('Weekly Dump'!$A$2:$A1009,"mmm-yy")=TEXT($AB532,"mmm-yy"))*
  ('Weekly Dump'!$B$2:$B1009=$C532)*
  'Weekly Dump'!$E$2:$E1009
)</f>
        <v>0</v>
      </c>
      <c r="M532" s="4">
        <f>SUMPRODUCT(
  (TEXT('Weekly Dump'!$A$2:$A1009,"mmm-yy")=TEXT($AB532,"mmm-yy"))*
  ('Weekly Dump'!$B$2:$B1009=$C532)*
  'Weekly Dump'!$P$2:$P1009
)</f>
        <v>0</v>
      </c>
      <c r="N532" s="39"/>
      <c r="O532" s="40">
        <f>SUMIFS('Weekly Dump'!$D:$D,'Weekly Dump'!$B:$B,$C532,'Weekly Dump'!$A:$A,$AB532)</f>
        <v>0</v>
      </c>
      <c r="P532" s="40">
        <f>SUMIFS('Weekly Dump'!R:R,'Weekly Dump'!B:B,C532,'Weekly Dump'!A:A,AB532)</f>
        <v>0</v>
      </c>
      <c r="Q532" s="40">
        <f t="shared" si="20"/>
        <v>0</v>
      </c>
      <c r="R532" s="41"/>
      <c r="T532" s="4">
        <f>SUMIFS('Weekly Dump'!E:E,'Weekly Dump'!B:B,C532,'Weekly Dump'!A:A,AB532)</f>
        <v>0</v>
      </c>
      <c r="U532" s="3">
        <f t="shared" si="21"/>
        <v>0</v>
      </c>
      <c r="V532" s="42"/>
      <c r="X532" s="4">
        <f>SUMIFS('Weekly Dump'!P:P,'Weekly Dump'!B:B,C532,'Weekly Dump'!A:A,AB532)</f>
        <v>0</v>
      </c>
      <c r="Y532" s="4">
        <f t="shared" si="22"/>
        <v>0</v>
      </c>
      <c r="Z532" s="41"/>
      <c r="AA532" s="12" t="str">
        <f>iferror(IF(VLOOKUP(C532,'Weekly Dump'!B:B,1,0)=C532,"Yes","Missing"),"")</f>
        <v/>
      </c>
      <c r="AB532" s="66"/>
    </row>
    <row r="533">
      <c r="B533" s="63"/>
      <c r="C533" s="63"/>
      <c r="G533" s="3" t="str">
        <f t="shared" si="26"/>
        <v/>
      </c>
      <c r="I533" s="4">
        <f>SUMIFS('Weekly Dump'!D:D,'Weekly Dump'!B:B,C533)</f>
        <v>0</v>
      </c>
      <c r="J533" s="5">
        <f>SUMIFS('Weekly Dump'!AE:AE,'Weekly Dump'!B:B,C533)</f>
        <v>0</v>
      </c>
      <c r="K533" s="4">
        <f>SUMPRODUCT(
  (TEXT('Weekly Dump'!$A$2:$A1009,"mmm-yy")=TEXT($AB533,"mmm-yy"))*
  ('Weekly Dump'!$B$2:$B1009=$C533)*
  'Weekly Dump'!$D$2:$D1009)</f>
        <v>0</v>
      </c>
      <c r="L533" s="4">
        <f>SUMPRODUCT(
  (TEXT('Weekly Dump'!$A$2:$A1009,"mmm-yy")=TEXT($AB533,"mmm-yy"))*
  ('Weekly Dump'!$B$2:$B1009=$C533)*
  'Weekly Dump'!$E$2:$E1009
)</f>
        <v>0</v>
      </c>
      <c r="M533" s="4">
        <f>SUMPRODUCT(
  (TEXT('Weekly Dump'!$A$2:$A1009,"mmm-yy")=TEXT($AB533,"mmm-yy"))*
  ('Weekly Dump'!$B$2:$B1009=$C533)*
  'Weekly Dump'!$P$2:$P1009
)</f>
        <v>0</v>
      </c>
      <c r="N533" s="39"/>
      <c r="O533" s="40">
        <f>SUMIFS('Weekly Dump'!$D:$D,'Weekly Dump'!$B:$B,$C533,'Weekly Dump'!$A:$A,$AB533)</f>
        <v>0</v>
      </c>
      <c r="P533" s="40">
        <f>SUMIFS('Weekly Dump'!R:R,'Weekly Dump'!B:B,C533,'Weekly Dump'!A:A,AB533)</f>
        <v>0</v>
      </c>
      <c r="Q533" s="40">
        <f t="shared" si="20"/>
        <v>0</v>
      </c>
      <c r="R533" s="41"/>
      <c r="T533" s="4">
        <f>SUMIFS('Weekly Dump'!E:E,'Weekly Dump'!B:B,C533,'Weekly Dump'!A:A,AB533)</f>
        <v>0</v>
      </c>
      <c r="U533" s="3">
        <f t="shared" si="21"/>
        <v>0</v>
      </c>
      <c r="V533" s="42"/>
      <c r="X533" s="4">
        <f>SUMIFS('Weekly Dump'!P:P,'Weekly Dump'!B:B,C533,'Weekly Dump'!A:A,AB533)</f>
        <v>0</v>
      </c>
      <c r="Y533" s="4">
        <f t="shared" si="22"/>
        <v>0</v>
      </c>
      <c r="Z533" s="41"/>
      <c r="AA533" s="12" t="str">
        <f>iferror(IF(VLOOKUP(C533,'Weekly Dump'!B:B,1,0)=C533,"Yes","Missing"),"")</f>
        <v/>
      </c>
      <c r="AB533" s="66"/>
    </row>
    <row r="534">
      <c r="B534" s="63"/>
      <c r="C534" s="63"/>
      <c r="G534" s="3" t="str">
        <f t="shared" si="26"/>
        <v/>
      </c>
      <c r="I534" s="4">
        <f>SUMIFS('Weekly Dump'!D:D,'Weekly Dump'!B:B,C534)</f>
        <v>0</v>
      </c>
      <c r="J534" s="5">
        <f>SUMIFS('Weekly Dump'!AE:AE,'Weekly Dump'!B:B,C534)</f>
        <v>0</v>
      </c>
      <c r="K534" s="4">
        <f>SUMPRODUCT(
  (TEXT('Weekly Dump'!$A$2:$A1009,"mmm-yy")=TEXT($AB534,"mmm-yy"))*
  ('Weekly Dump'!$B$2:$B1009=$C534)*
  'Weekly Dump'!$D$2:$D1009)</f>
        <v>0</v>
      </c>
      <c r="L534" s="4">
        <f>SUMPRODUCT(
  (TEXT('Weekly Dump'!$A$2:$A1009,"mmm-yy")=TEXT($AB534,"mmm-yy"))*
  ('Weekly Dump'!$B$2:$B1009=$C534)*
  'Weekly Dump'!$E$2:$E1009
)</f>
        <v>0</v>
      </c>
      <c r="M534" s="4">
        <f>SUMPRODUCT(
  (TEXT('Weekly Dump'!$A$2:$A1009,"mmm-yy")=TEXT($AB534,"mmm-yy"))*
  ('Weekly Dump'!$B$2:$B1009=$C534)*
  'Weekly Dump'!$P$2:$P1009
)</f>
        <v>0</v>
      </c>
      <c r="N534" s="39"/>
      <c r="O534" s="40">
        <f>SUMIFS('Weekly Dump'!$D:$D,'Weekly Dump'!$B:$B,$C534,'Weekly Dump'!$A:$A,$AB534)</f>
        <v>0</v>
      </c>
      <c r="P534" s="40">
        <f>SUMIFS('Weekly Dump'!R:R,'Weekly Dump'!B:B,C534,'Weekly Dump'!A:A,AB534)</f>
        <v>0</v>
      </c>
      <c r="Q534" s="40">
        <f t="shared" si="20"/>
        <v>0</v>
      </c>
      <c r="R534" s="41"/>
      <c r="T534" s="4">
        <f>SUMIFS('Weekly Dump'!E:E,'Weekly Dump'!B:B,C534,'Weekly Dump'!A:A,AB534)</f>
        <v>0</v>
      </c>
      <c r="U534" s="3">
        <f t="shared" si="21"/>
        <v>0</v>
      </c>
      <c r="V534" s="42"/>
      <c r="X534" s="4">
        <f>SUMIFS('Weekly Dump'!P:P,'Weekly Dump'!B:B,C534,'Weekly Dump'!A:A,AB534)</f>
        <v>0</v>
      </c>
      <c r="Y534" s="4">
        <f t="shared" si="22"/>
        <v>0</v>
      </c>
      <c r="Z534" s="41"/>
      <c r="AA534" s="12" t="str">
        <f>iferror(IF(VLOOKUP(C534,'Weekly Dump'!B:B,1,0)=C534,"Yes","Missing"),"")</f>
        <v/>
      </c>
      <c r="AB534" s="66"/>
    </row>
    <row r="535">
      <c r="B535" s="63"/>
      <c r="C535" s="63"/>
      <c r="G535" s="3" t="str">
        <f t="shared" si="26"/>
        <v/>
      </c>
      <c r="I535" s="4">
        <f>SUMIFS('Weekly Dump'!D:D,'Weekly Dump'!B:B,C535)</f>
        <v>0</v>
      </c>
      <c r="J535" s="5">
        <f>SUMIFS('Weekly Dump'!AE:AE,'Weekly Dump'!B:B,C535)</f>
        <v>0</v>
      </c>
      <c r="K535" s="4">
        <f>SUMPRODUCT(
  (TEXT('Weekly Dump'!$A$2:$A1009,"mmm-yy")=TEXT($AB535,"mmm-yy"))*
  ('Weekly Dump'!$B$2:$B1009=$C535)*
  'Weekly Dump'!$D$2:$D1009)</f>
        <v>0</v>
      </c>
      <c r="L535" s="4">
        <f>SUMPRODUCT(
  (TEXT('Weekly Dump'!$A$2:$A1009,"mmm-yy")=TEXT($AB535,"mmm-yy"))*
  ('Weekly Dump'!$B$2:$B1009=$C535)*
  'Weekly Dump'!$E$2:$E1009
)</f>
        <v>0</v>
      </c>
      <c r="M535" s="4">
        <f>SUMPRODUCT(
  (TEXT('Weekly Dump'!$A$2:$A1009,"mmm-yy")=TEXT($AB535,"mmm-yy"))*
  ('Weekly Dump'!$B$2:$B1009=$C535)*
  'Weekly Dump'!$P$2:$P1009
)</f>
        <v>0</v>
      </c>
      <c r="N535" s="39"/>
      <c r="O535" s="40">
        <f>SUMIFS('Weekly Dump'!$D:$D,'Weekly Dump'!$B:$B,$C535,'Weekly Dump'!$A:$A,$AB535)</f>
        <v>0</v>
      </c>
      <c r="P535" s="40">
        <f>SUMIFS('Weekly Dump'!R:R,'Weekly Dump'!B:B,C535,'Weekly Dump'!A:A,AB535)</f>
        <v>0</v>
      </c>
      <c r="Q535" s="40">
        <f t="shared" si="20"/>
        <v>0</v>
      </c>
      <c r="R535" s="41"/>
      <c r="T535" s="4">
        <f>SUMIFS('Weekly Dump'!E:E,'Weekly Dump'!B:B,C535,'Weekly Dump'!A:A,AB535)</f>
        <v>0</v>
      </c>
      <c r="U535" s="3">
        <f t="shared" si="21"/>
        <v>0</v>
      </c>
      <c r="V535" s="42"/>
      <c r="X535" s="4">
        <f>SUMIFS('Weekly Dump'!P:P,'Weekly Dump'!B:B,C535,'Weekly Dump'!A:A,AB535)</f>
        <v>0</v>
      </c>
      <c r="Y535" s="4">
        <f t="shared" si="22"/>
        <v>0</v>
      </c>
      <c r="Z535" s="41"/>
      <c r="AA535" s="12" t="str">
        <f>iferror(IF(VLOOKUP(C535,'Weekly Dump'!B:B,1,0)=C535,"Yes","Missing"),"")</f>
        <v/>
      </c>
      <c r="AB535" s="66"/>
    </row>
    <row r="536">
      <c r="B536" s="63"/>
      <c r="C536" s="63"/>
      <c r="G536" s="3" t="str">
        <f t="shared" si="26"/>
        <v/>
      </c>
      <c r="I536" s="4">
        <f>SUMIFS('Weekly Dump'!D:D,'Weekly Dump'!B:B,C536)</f>
        <v>0</v>
      </c>
      <c r="J536" s="5">
        <f>SUMIFS('Weekly Dump'!AE:AE,'Weekly Dump'!B:B,C536)</f>
        <v>0</v>
      </c>
      <c r="K536" s="4">
        <f>SUMPRODUCT(
  (TEXT('Weekly Dump'!$A$2:$A1009,"mmm-yy")=TEXT($AB536,"mmm-yy"))*
  ('Weekly Dump'!$B$2:$B1009=$C536)*
  'Weekly Dump'!$D$2:$D1009)</f>
        <v>0</v>
      </c>
      <c r="L536" s="4">
        <f>SUMPRODUCT(
  (TEXT('Weekly Dump'!$A$2:$A1009,"mmm-yy")=TEXT($AB536,"mmm-yy"))*
  ('Weekly Dump'!$B$2:$B1009=$C536)*
  'Weekly Dump'!$E$2:$E1009
)</f>
        <v>0</v>
      </c>
      <c r="M536" s="4">
        <f>SUMPRODUCT(
  (TEXT('Weekly Dump'!$A$2:$A1009,"mmm-yy")=TEXT($AB536,"mmm-yy"))*
  ('Weekly Dump'!$B$2:$B1009=$C536)*
  'Weekly Dump'!$P$2:$P1009
)</f>
        <v>0</v>
      </c>
      <c r="N536" s="39"/>
      <c r="O536" s="40">
        <f>SUMIFS('Weekly Dump'!$D:$D,'Weekly Dump'!$B:$B,$C536,'Weekly Dump'!$A:$A,$AB536)</f>
        <v>0</v>
      </c>
      <c r="P536" s="40">
        <f>SUMIFS('Weekly Dump'!R:R,'Weekly Dump'!B:B,C536,'Weekly Dump'!A:A,AB536)</f>
        <v>0</v>
      </c>
      <c r="Q536" s="40">
        <f t="shared" si="20"/>
        <v>0</v>
      </c>
      <c r="R536" s="41"/>
      <c r="T536" s="4">
        <f>SUMIFS('Weekly Dump'!E:E,'Weekly Dump'!B:B,C536,'Weekly Dump'!A:A,AB536)</f>
        <v>0</v>
      </c>
      <c r="U536" s="3">
        <f t="shared" si="21"/>
        <v>0</v>
      </c>
      <c r="V536" s="42"/>
      <c r="X536" s="4">
        <f>SUMIFS('Weekly Dump'!P:P,'Weekly Dump'!B:B,C536,'Weekly Dump'!A:A,AB536)</f>
        <v>0</v>
      </c>
      <c r="Y536" s="4">
        <f t="shared" si="22"/>
        <v>0</v>
      </c>
      <c r="Z536" s="41"/>
      <c r="AA536" s="12" t="str">
        <f>iferror(IF(VLOOKUP(C536,'Weekly Dump'!B:B,1,0)=C536,"Yes","Missing"),"")</f>
        <v/>
      </c>
      <c r="AB536" s="66"/>
    </row>
    <row r="537">
      <c r="B537" s="63"/>
      <c r="C537" s="63"/>
      <c r="G537" s="3" t="str">
        <f t="shared" si="26"/>
        <v/>
      </c>
      <c r="I537" s="4">
        <f>SUMIFS('Weekly Dump'!D:D,'Weekly Dump'!B:B,C537)</f>
        <v>0</v>
      </c>
      <c r="J537" s="5">
        <f>SUMIFS('Weekly Dump'!AE:AE,'Weekly Dump'!B:B,C537)</f>
        <v>0</v>
      </c>
      <c r="K537" s="4">
        <f>SUMPRODUCT(
  (TEXT('Weekly Dump'!$A$2:$A1009,"mmm-yy")=TEXT($AB537,"mmm-yy"))*
  ('Weekly Dump'!$B$2:$B1009=$C537)*
  'Weekly Dump'!$D$2:$D1009)</f>
        <v>0</v>
      </c>
      <c r="L537" s="4">
        <f>SUMPRODUCT(
  (TEXT('Weekly Dump'!$A$2:$A1009,"mmm-yy")=TEXT($AB537,"mmm-yy"))*
  ('Weekly Dump'!$B$2:$B1009=$C537)*
  'Weekly Dump'!$E$2:$E1009
)</f>
        <v>0</v>
      </c>
      <c r="M537" s="4">
        <f>SUMPRODUCT(
  (TEXT('Weekly Dump'!$A$2:$A1009,"mmm-yy")=TEXT($AB537,"mmm-yy"))*
  ('Weekly Dump'!$B$2:$B1009=$C537)*
  'Weekly Dump'!$P$2:$P1009
)</f>
        <v>0</v>
      </c>
      <c r="N537" s="39"/>
      <c r="O537" s="40">
        <f>SUMIFS('Weekly Dump'!$D:$D,'Weekly Dump'!$B:$B,$C537,'Weekly Dump'!$A:$A,$AB537)</f>
        <v>0</v>
      </c>
      <c r="P537" s="40">
        <f>SUMIFS('Weekly Dump'!R:R,'Weekly Dump'!B:B,C537,'Weekly Dump'!A:A,AB537)</f>
        <v>0</v>
      </c>
      <c r="Q537" s="40">
        <f t="shared" si="20"/>
        <v>0</v>
      </c>
      <c r="R537" s="41"/>
      <c r="T537" s="4">
        <f>SUMIFS('Weekly Dump'!E:E,'Weekly Dump'!B:B,C537,'Weekly Dump'!A:A,AB537)</f>
        <v>0</v>
      </c>
      <c r="U537" s="3">
        <f t="shared" si="21"/>
        <v>0</v>
      </c>
      <c r="V537" s="42"/>
      <c r="X537" s="4">
        <f>SUMIFS('Weekly Dump'!P:P,'Weekly Dump'!B:B,C537,'Weekly Dump'!A:A,AB537)</f>
        <v>0</v>
      </c>
      <c r="Y537" s="4">
        <f t="shared" si="22"/>
        <v>0</v>
      </c>
      <c r="Z537" s="41"/>
      <c r="AA537" s="12" t="str">
        <f>iferror(IF(VLOOKUP(C537,'Weekly Dump'!B:B,1,0)=C537,"Yes","Missing"),"")</f>
        <v/>
      </c>
      <c r="AB537" s="66"/>
    </row>
    <row r="538">
      <c r="B538" s="63"/>
      <c r="C538" s="63"/>
      <c r="G538" s="3" t="str">
        <f t="shared" si="26"/>
        <v/>
      </c>
      <c r="I538" s="4">
        <f>SUMIFS('Weekly Dump'!D:D,'Weekly Dump'!B:B,C538)</f>
        <v>0</v>
      </c>
      <c r="J538" s="5">
        <f>SUMIFS('Weekly Dump'!AE:AE,'Weekly Dump'!B:B,C538)</f>
        <v>0</v>
      </c>
      <c r="K538" s="4">
        <f>SUMPRODUCT(
  (TEXT('Weekly Dump'!$A$2:$A1009,"mmm-yy")=TEXT($AB538,"mmm-yy"))*
  ('Weekly Dump'!$B$2:$B1009=$C538)*
  'Weekly Dump'!$D$2:$D1009)</f>
        <v>0</v>
      </c>
      <c r="L538" s="4">
        <f>SUMPRODUCT(
  (TEXT('Weekly Dump'!$A$2:$A1009,"mmm-yy")=TEXT($AB538,"mmm-yy"))*
  ('Weekly Dump'!$B$2:$B1009=$C538)*
  'Weekly Dump'!$E$2:$E1009
)</f>
        <v>0</v>
      </c>
      <c r="M538" s="4">
        <f>SUMPRODUCT(
  (TEXT('Weekly Dump'!$A$2:$A1009,"mmm-yy")=TEXT($AB538,"mmm-yy"))*
  ('Weekly Dump'!$B$2:$B1009=$C538)*
  'Weekly Dump'!$P$2:$P1009
)</f>
        <v>0</v>
      </c>
      <c r="N538" s="39"/>
      <c r="O538" s="40">
        <f>SUMIFS('Weekly Dump'!$D:$D,'Weekly Dump'!$B:$B,$C538,'Weekly Dump'!$A:$A,$AB538)</f>
        <v>0</v>
      </c>
      <c r="P538" s="40">
        <f>SUMIFS('Weekly Dump'!R:R,'Weekly Dump'!B:B,C538,'Weekly Dump'!A:A,AB538)</f>
        <v>0</v>
      </c>
      <c r="Q538" s="40">
        <f t="shared" si="20"/>
        <v>0</v>
      </c>
      <c r="R538" s="41"/>
      <c r="T538" s="4">
        <f>SUMIFS('Weekly Dump'!E:E,'Weekly Dump'!B:B,C538,'Weekly Dump'!A:A,AB538)</f>
        <v>0</v>
      </c>
      <c r="U538" s="3">
        <f t="shared" si="21"/>
        <v>0</v>
      </c>
      <c r="V538" s="42"/>
      <c r="X538" s="4">
        <f>SUMIFS('Weekly Dump'!P:P,'Weekly Dump'!B:B,C538,'Weekly Dump'!A:A,AB538)</f>
        <v>0</v>
      </c>
      <c r="Y538" s="4">
        <f t="shared" si="22"/>
        <v>0</v>
      </c>
      <c r="Z538" s="41"/>
      <c r="AA538" s="12" t="str">
        <f>iferror(IF(VLOOKUP(C538,'Weekly Dump'!B:B,1,0)=C538,"Yes","Missing"),"")</f>
        <v/>
      </c>
      <c r="AB538" s="66"/>
    </row>
    <row r="539">
      <c r="B539" s="63"/>
      <c r="C539" s="63"/>
      <c r="G539" s="3" t="str">
        <f t="shared" si="26"/>
        <v/>
      </c>
      <c r="I539" s="4">
        <f>SUMIFS('Weekly Dump'!D:D,'Weekly Dump'!B:B,C539)</f>
        <v>0</v>
      </c>
      <c r="J539" s="5">
        <f>SUMIFS('Weekly Dump'!AE:AE,'Weekly Dump'!B:B,C539)</f>
        <v>0</v>
      </c>
      <c r="K539" s="4">
        <f>SUMPRODUCT(
  (TEXT('Weekly Dump'!$A$2:$A1009,"mmm-yy")=TEXT($AB539,"mmm-yy"))*
  ('Weekly Dump'!$B$2:$B1009=$C539)*
  'Weekly Dump'!$D$2:$D1009)</f>
        <v>0</v>
      </c>
      <c r="L539" s="4">
        <f>SUMPRODUCT(
  (TEXT('Weekly Dump'!$A$2:$A1009,"mmm-yy")=TEXT($AB539,"mmm-yy"))*
  ('Weekly Dump'!$B$2:$B1009=$C539)*
  'Weekly Dump'!$E$2:$E1009
)</f>
        <v>0</v>
      </c>
      <c r="M539" s="4">
        <f>SUMPRODUCT(
  (TEXT('Weekly Dump'!$A$2:$A1009,"mmm-yy")=TEXT($AB539,"mmm-yy"))*
  ('Weekly Dump'!$B$2:$B1009=$C539)*
  'Weekly Dump'!$P$2:$P1009
)</f>
        <v>0</v>
      </c>
      <c r="N539" s="39"/>
      <c r="O539" s="40">
        <f>SUMIFS('Weekly Dump'!$D:$D,'Weekly Dump'!$B:$B,$C539,'Weekly Dump'!$A:$A,$AB539)</f>
        <v>0</v>
      </c>
      <c r="P539" s="40">
        <f>SUMIFS('Weekly Dump'!R:R,'Weekly Dump'!B:B,C539,'Weekly Dump'!A:A,AB539)</f>
        <v>0</v>
      </c>
      <c r="Q539" s="40">
        <f t="shared" si="20"/>
        <v>0</v>
      </c>
      <c r="R539" s="41"/>
      <c r="T539" s="4">
        <f>SUMIFS('Weekly Dump'!E:E,'Weekly Dump'!B:B,C539,'Weekly Dump'!A:A,AB539)</f>
        <v>0</v>
      </c>
      <c r="U539" s="3">
        <f t="shared" si="21"/>
        <v>0</v>
      </c>
      <c r="V539" s="42"/>
      <c r="X539" s="4">
        <f>SUMIFS('Weekly Dump'!P:P,'Weekly Dump'!B:B,C539,'Weekly Dump'!A:A,AB539)</f>
        <v>0</v>
      </c>
      <c r="Y539" s="4">
        <f t="shared" si="22"/>
        <v>0</v>
      </c>
      <c r="Z539" s="41"/>
      <c r="AA539" s="12" t="str">
        <f>iferror(IF(VLOOKUP(C539,'Weekly Dump'!B:B,1,0)=C539,"Yes","Missing"),"")</f>
        <v/>
      </c>
      <c r="AB539" s="66"/>
    </row>
    <row r="540">
      <c r="B540" s="63"/>
      <c r="C540" s="63"/>
      <c r="G540" s="3" t="str">
        <f t="shared" si="26"/>
        <v/>
      </c>
      <c r="I540" s="4">
        <f>SUMIFS('Weekly Dump'!D:D,'Weekly Dump'!B:B,C540)</f>
        <v>0</v>
      </c>
      <c r="J540" s="5">
        <f>SUMIFS('Weekly Dump'!AE:AE,'Weekly Dump'!B:B,C540)</f>
        <v>0</v>
      </c>
      <c r="K540" s="4">
        <f>SUMPRODUCT(
  (TEXT('Weekly Dump'!$A$2:$A1009,"mmm-yy")=TEXT($AB540,"mmm-yy"))*
  ('Weekly Dump'!$B$2:$B1009=$C540)*
  'Weekly Dump'!$D$2:$D1009)</f>
        <v>0</v>
      </c>
      <c r="L540" s="4">
        <f>SUMPRODUCT(
  (TEXT('Weekly Dump'!$A$2:$A1009,"mmm-yy")=TEXT($AB540,"mmm-yy"))*
  ('Weekly Dump'!$B$2:$B1009=$C540)*
  'Weekly Dump'!$E$2:$E1009
)</f>
        <v>0</v>
      </c>
      <c r="M540" s="4">
        <f>SUMPRODUCT(
  (TEXT('Weekly Dump'!$A$2:$A1009,"mmm-yy")=TEXT($AB540,"mmm-yy"))*
  ('Weekly Dump'!$B$2:$B1009=$C540)*
  'Weekly Dump'!$P$2:$P1009
)</f>
        <v>0</v>
      </c>
      <c r="N540" s="39"/>
      <c r="O540" s="40">
        <f>SUMIFS('Weekly Dump'!$D:$D,'Weekly Dump'!$B:$B,$C540,'Weekly Dump'!$A:$A,$AB540)</f>
        <v>0</v>
      </c>
      <c r="P540" s="40">
        <f>SUMIFS('Weekly Dump'!R:R,'Weekly Dump'!B:B,C540,'Weekly Dump'!A:A,AB540)</f>
        <v>0</v>
      </c>
      <c r="Q540" s="40">
        <f t="shared" si="20"/>
        <v>0</v>
      </c>
      <c r="R540" s="41"/>
      <c r="T540" s="4">
        <f>SUMIFS('Weekly Dump'!E:E,'Weekly Dump'!B:B,C540,'Weekly Dump'!A:A,AB540)</f>
        <v>0</v>
      </c>
      <c r="U540" s="3">
        <f t="shared" si="21"/>
        <v>0</v>
      </c>
      <c r="V540" s="42"/>
      <c r="X540" s="4">
        <f>SUMIFS('Weekly Dump'!P:P,'Weekly Dump'!B:B,C540,'Weekly Dump'!A:A,AB540)</f>
        <v>0</v>
      </c>
      <c r="Y540" s="4">
        <f t="shared" si="22"/>
        <v>0</v>
      </c>
      <c r="Z540" s="41"/>
      <c r="AA540" s="12" t="str">
        <f>iferror(IF(VLOOKUP(C540,'Weekly Dump'!B:B,1,0)=C540,"Yes","Missing"),"")</f>
        <v/>
      </c>
      <c r="AB540" s="66"/>
    </row>
    <row r="541">
      <c r="B541" s="63"/>
      <c r="C541" s="63"/>
      <c r="G541" s="3" t="str">
        <f t="shared" si="26"/>
        <v/>
      </c>
      <c r="I541" s="4">
        <f>SUMIFS('Weekly Dump'!D:D,'Weekly Dump'!B:B,C541)</f>
        <v>0</v>
      </c>
      <c r="J541" s="5">
        <f>SUMIFS('Weekly Dump'!AE:AE,'Weekly Dump'!B:B,C541)</f>
        <v>0</v>
      </c>
      <c r="K541" s="4">
        <f>SUMPRODUCT(
  (TEXT('Weekly Dump'!$A$2:$A1009,"mmm-yy")=TEXT($AB541,"mmm-yy"))*
  ('Weekly Dump'!$B$2:$B1009=$C541)*
  'Weekly Dump'!$D$2:$D1009)</f>
        <v>0</v>
      </c>
      <c r="L541" s="4">
        <f>SUMPRODUCT(
  (TEXT('Weekly Dump'!$A$2:$A1009,"mmm-yy")=TEXT($AB541,"mmm-yy"))*
  ('Weekly Dump'!$B$2:$B1009=$C541)*
  'Weekly Dump'!$E$2:$E1009
)</f>
        <v>0</v>
      </c>
      <c r="M541" s="4">
        <f>SUMPRODUCT(
  (TEXT('Weekly Dump'!$A$2:$A1009,"mmm-yy")=TEXT($AB541,"mmm-yy"))*
  ('Weekly Dump'!$B$2:$B1009=$C541)*
  'Weekly Dump'!$P$2:$P1009
)</f>
        <v>0</v>
      </c>
      <c r="N541" s="39"/>
      <c r="O541" s="40">
        <f>SUMIFS('Weekly Dump'!$D:$D,'Weekly Dump'!$B:$B,$C541,'Weekly Dump'!$A:$A,$AB541)</f>
        <v>0</v>
      </c>
      <c r="P541" s="40">
        <f>SUMIFS('Weekly Dump'!R:R,'Weekly Dump'!B:B,C541,'Weekly Dump'!A:A,AB541)</f>
        <v>0</v>
      </c>
      <c r="Q541" s="40">
        <f t="shared" si="20"/>
        <v>0</v>
      </c>
      <c r="R541" s="41"/>
      <c r="T541" s="4">
        <f>SUMIFS('Weekly Dump'!E:E,'Weekly Dump'!B:B,C541,'Weekly Dump'!A:A,AB541)</f>
        <v>0</v>
      </c>
      <c r="U541" s="3">
        <f t="shared" si="21"/>
        <v>0</v>
      </c>
      <c r="V541" s="42"/>
      <c r="X541" s="4">
        <f>SUMIFS('Weekly Dump'!P:P,'Weekly Dump'!B:B,C541,'Weekly Dump'!A:A,AB541)</f>
        <v>0</v>
      </c>
      <c r="Y541" s="4">
        <f t="shared" si="22"/>
        <v>0</v>
      </c>
      <c r="Z541" s="41"/>
      <c r="AA541" s="12" t="str">
        <f>iferror(IF(VLOOKUP(C541,'Weekly Dump'!B:B,1,0)=C541,"Yes","Missing"),"")</f>
        <v/>
      </c>
      <c r="AB541" s="66"/>
    </row>
    <row r="542">
      <c r="B542" s="63"/>
      <c r="C542" s="63"/>
      <c r="G542" s="3" t="str">
        <f t="shared" si="26"/>
        <v/>
      </c>
      <c r="I542" s="4">
        <f>SUMIFS('Weekly Dump'!D:D,'Weekly Dump'!B:B,C542)</f>
        <v>0</v>
      </c>
      <c r="J542" s="5">
        <f>SUMIFS('Weekly Dump'!AE:AE,'Weekly Dump'!B:B,C542)</f>
        <v>0</v>
      </c>
      <c r="K542" s="4">
        <f>SUMPRODUCT(
  (TEXT('Weekly Dump'!$A$2:$A1009,"mmm-yy")=TEXT($AB542,"mmm-yy"))*
  ('Weekly Dump'!$B$2:$B1009=$C542)*
  'Weekly Dump'!$D$2:$D1009)</f>
        <v>0</v>
      </c>
      <c r="L542" s="4">
        <f>SUMPRODUCT(
  (TEXT('Weekly Dump'!$A$2:$A1009,"mmm-yy")=TEXT($AB542,"mmm-yy"))*
  ('Weekly Dump'!$B$2:$B1009=$C542)*
  'Weekly Dump'!$E$2:$E1009
)</f>
        <v>0</v>
      </c>
      <c r="M542" s="4">
        <f>SUMPRODUCT(
  (TEXT('Weekly Dump'!$A$2:$A1009,"mmm-yy")=TEXT($AB542,"mmm-yy"))*
  ('Weekly Dump'!$B$2:$B1009=$C542)*
  'Weekly Dump'!$P$2:$P1009
)</f>
        <v>0</v>
      </c>
      <c r="N542" s="39"/>
      <c r="O542" s="40">
        <f>SUMIFS('Weekly Dump'!$D:$D,'Weekly Dump'!$B:$B,$C542,'Weekly Dump'!$A:$A,$AB542)</f>
        <v>0</v>
      </c>
      <c r="P542" s="40">
        <f>SUMIFS('Weekly Dump'!R:R,'Weekly Dump'!B:B,C542,'Weekly Dump'!A:A,AB542)</f>
        <v>0</v>
      </c>
      <c r="Q542" s="40">
        <f t="shared" si="20"/>
        <v>0</v>
      </c>
      <c r="R542" s="41"/>
      <c r="T542" s="4">
        <f>SUMIFS('Weekly Dump'!E:E,'Weekly Dump'!B:B,C542,'Weekly Dump'!A:A,AB542)</f>
        <v>0</v>
      </c>
      <c r="U542" s="3">
        <f t="shared" si="21"/>
        <v>0</v>
      </c>
      <c r="V542" s="42"/>
      <c r="X542" s="4">
        <f>SUMIFS('Weekly Dump'!P:P,'Weekly Dump'!B:B,C542,'Weekly Dump'!A:A,AB542)</f>
        <v>0</v>
      </c>
      <c r="Y542" s="4">
        <f t="shared" si="22"/>
        <v>0</v>
      </c>
      <c r="Z542" s="41"/>
      <c r="AA542" s="12" t="str">
        <f>iferror(IF(VLOOKUP(C542,'Weekly Dump'!B:B,1,0)=C542,"Yes","Missing"),"")</f>
        <v/>
      </c>
      <c r="AB542" s="66"/>
    </row>
    <row r="543">
      <c r="B543" s="63"/>
      <c r="C543" s="63"/>
      <c r="G543" s="3" t="str">
        <f t="shared" si="26"/>
        <v/>
      </c>
      <c r="I543" s="4">
        <f>SUMIFS('Weekly Dump'!D:D,'Weekly Dump'!B:B,C543)</f>
        <v>0</v>
      </c>
      <c r="J543" s="5">
        <f>SUMIFS('Weekly Dump'!AE:AE,'Weekly Dump'!B:B,C543)</f>
        <v>0</v>
      </c>
      <c r="K543" s="4">
        <f>SUMPRODUCT(
  (TEXT('Weekly Dump'!$A$2:$A1009,"mmm-yy")=TEXT($AB543,"mmm-yy"))*
  ('Weekly Dump'!$B$2:$B1009=$C543)*
  'Weekly Dump'!$D$2:$D1009)</f>
        <v>0</v>
      </c>
      <c r="L543" s="4">
        <f>SUMPRODUCT(
  (TEXT('Weekly Dump'!$A$2:$A1009,"mmm-yy")=TEXT($AB543,"mmm-yy"))*
  ('Weekly Dump'!$B$2:$B1009=$C543)*
  'Weekly Dump'!$E$2:$E1009
)</f>
        <v>0</v>
      </c>
      <c r="M543" s="4">
        <f>SUMPRODUCT(
  (TEXT('Weekly Dump'!$A$2:$A1009,"mmm-yy")=TEXT($AB543,"mmm-yy"))*
  ('Weekly Dump'!$B$2:$B1009=$C543)*
  'Weekly Dump'!$P$2:$P1009
)</f>
        <v>0</v>
      </c>
      <c r="N543" s="39"/>
      <c r="O543" s="40">
        <f>SUMIFS('Weekly Dump'!$D:$D,'Weekly Dump'!$B:$B,$C543,'Weekly Dump'!$A:$A,$AB543)</f>
        <v>0</v>
      </c>
      <c r="P543" s="40">
        <f>SUMIFS('Weekly Dump'!R:R,'Weekly Dump'!B:B,C543,'Weekly Dump'!A:A,AB543)</f>
        <v>0</v>
      </c>
      <c r="Q543" s="40">
        <f t="shared" si="20"/>
        <v>0</v>
      </c>
      <c r="R543" s="41"/>
      <c r="T543" s="4">
        <f>SUMIFS('Weekly Dump'!E:E,'Weekly Dump'!B:B,C543,'Weekly Dump'!A:A,AB543)</f>
        <v>0</v>
      </c>
      <c r="U543" s="3">
        <f t="shared" si="21"/>
        <v>0</v>
      </c>
      <c r="V543" s="42"/>
      <c r="X543" s="4">
        <f>SUMIFS('Weekly Dump'!P:P,'Weekly Dump'!B:B,C543,'Weekly Dump'!A:A,AB543)</f>
        <v>0</v>
      </c>
      <c r="Y543" s="4">
        <f t="shared" si="22"/>
        <v>0</v>
      </c>
      <c r="Z543" s="41"/>
      <c r="AA543" s="12" t="str">
        <f>iferror(IF(VLOOKUP(C543,'Weekly Dump'!B:B,1,0)=C543,"Yes","Missing"),"")</f>
        <v/>
      </c>
      <c r="AB543" s="66"/>
    </row>
    <row r="544">
      <c r="B544" s="63"/>
      <c r="C544" s="63"/>
      <c r="G544" s="3" t="str">
        <f t="shared" si="26"/>
        <v/>
      </c>
      <c r="I544" s="4">
        <f>SUMIFS('Weekly Dump'!D:D,'Weekly Dump'!B:B,C544)</f>
        <v>0</v>
      </c>
      <c r="J544" s="5">
        <f>SUMIFS('Weekly Dump'!AE:AE,'Weekly Dump'!B:B,C544)</f>
        <v>0</v>
      </c>
      <c r="K544" s="4">
        <f>SUMPRODUCT(
  (TEXT('Weekly Dump'!$A$2:$A1009,"mmm-yy")=TEXT($AB544,"mmm-yy"))*
  ('Weekly Dump'!$B$2:$B1009=$C544)*
  'Weekly Dump'!$D$2:$D1009)</f>
        <v>0</v>
      </c>
      <c r="L544" s="4">
        <f>SUMPRODUCT(
  (TEXT('Weekly Dump'!$A$2:$A1009,"mmm-yy")=TEXT($AB544,"mmm-yy"))*
  ('Weekly Dump'!$B$2:$B1009=$C544)*
  'Weekly Dump'!$E$2:$E1009
)</f>
        <v>0</v>
      </c>
      <c r="M544" s="4">
        <f>SUMPRODUCT(
  (TEXT('Weekly Dump'!$A$2:$A1009,"mmm-yy")=TEXT($AB544,"mmm-yy"))*
  ('Weekly Dump'!$B$2:$B1009=$C544)*
  'Weekly Dump'!$P$2:$P1009
)</f>
        <v>0</v>
      </c>
      <c r="N544" s="39"/>
      <c r="O544" s="40">
        <f>SUMIFS('Weekly Dump'!$D:$D,'Weekly Dump'!$B:$B,$C544,'Weekly Dump'!$A:$A,$AB544)</f>
        <v>0</v>
      </c>
      <c r="P544" s="40">
        <f>SUMIFS('Weekly Dump'!R:R,'Weekly Dump'!B:B,C544,'Weekly Dump'!A:A,AB544)</f>
        <v>0</v>
      </c>
      <c r="Q544" s="40">
        <f t="shared" si="20"/>
        <v>0</v>
      </c>
      <c r="R544" s="41"/>
      <c r="T544" s="4">
        <f>SUMIFS('Weekly Dump'!E:E,'Weekly Dump'!B:B,C544,'Weekly Dump'!A:A,AB544)</f>
        <v>0</v>
      </c>
      <c r="U544" s="3">
        <f t="shared" si="21"/>
        <v>0</v>
      </c>
      <c r="V544" s="42"/>
      <c r="X544" s="4">
        <f>SUMIFS('Weekly Dump'!P:P,'Weekly Dump'!B:B,C544,'Weekly Dump'!A:A,AB544)</f>
        <v>0</v>
      </c>
      <c r="Y544" s="4">
        <f t="shared" si="22"/>
        <v>0</v>
      </c>
      <c r="Z544" s="41"/>
      <c r="AA544" s="12" t="str">
        <f>iferror(IF(VLOOKUP(C544,'Weekly Dump'!B:B,1,0)=C544,"Yes","Missing"),"")</f>
        <v/>
      </c>
      <c r="AB544" s="66"/>
    </row>
    <row r="545">
      <c r="B545" s="63"/>
      <c r="C545" s="63"/>
      <c r="G545" s="3" t="str">
        <f t="shared" si="26"/>
        <v/>
      </c>
      <c r="I545" s="4">
        <f>SUMIFS('Weekly Dump'!D:D,'Weekly Dump'!B:B,C545)</f>
        <v>0</v>
      </c>
      <c r="J545" s="5">
        <f>SUMIFS('Weekly Dump'!AE:AE,'Weekly Dump'!B:B,C545)</f>
        <v>0</v>
      </c>
      <c r="K545" s="4">
        <f>SUMPRODUCT(
  (TEXT('Weekly Dump'!$A$2:$A1009,"mmm-yy")=TEXT($AB545,"mmm-yy"))*
  ('Weekly Dump'!$B$2:$B1009=$C545)*
  'Weekly Dump'!$D$2:$D1009)</f>
        <v>0</v>
      </c>
      <c r="L545" s="4">
        <f>SUMPRODUCT(
  (TEXT('Weekly Dump'!$A$2:$A1009,"mmm-yy")=TEXT($AB545,"mmm-yy"))*
  ('Weekly Dump'!$B$2:$B1009=$C545)*
  'Weekly Dump'!$E$2:$E1009
)</f>
        <v>0</v>
      </c>
      <c r="M545" s="4">
        <f>SUMPRODUCT(
  (TEXT('Weekly Dump'!$A$2:$A1009,"mmm-yy")=TEXT($AB545,"mmm-yy"))*
  ('Weekly Dump'!$B$2:$B1009=$C545)*
  'Weekly Dump'!$P$2:$P1009
)</f>
        <v>0</v>
      </c>
      <c r="N545" s="39"/>
      <c r="O545" s="40">
        <f>SUMIFS('Weekly Dump'!$D:$D,'Weekly Dump'!$B:$B,$C545,'Weekly Dump'!$A:$A,$AB545)</f>
        <v>0</v>
      </c>
      <c r="P545" s="40">
        <f>SUMIFS('Weekly Dump'!R:R,'Weekly Dump'!B:B,C545,'Weekly Dump'!A:A,AB545)</f>
        <v>0</v>
      </c>
      <c r="Q545" s="40">
        <f t="shared" si="20"/>
        <v>0</v>
      </c>
      <c r="R545" s="41"/>
      <c r="T545" s="4">
        <f>SUMIFS('Weekly Dump'!E:E,'Weekly Dump'!B:B,C545,'Weekly Dump'!A:A,AB545)</f>
        <v>0</v>
      </c>
      <c r="U545" s="3">
        <f t="shared" si="21"/>
        <v>0</v>
      </c>
      <c r="V545" s="42"/>
      <c r="X545" s="4">
        <f>SUMIFS('Weekly Dump'!P:P,'Weekly Dump'!B:B,C545,'Weekly Dump'!A:A,AB545)</f>
        <v>0</v>
      </c>
      <c r="Y545" s="4">
        <f t="shared" si="22"/>
        <v>0</v>
      </c>
      <c r="Z545" s="41"/>
      <c r="AA545" s="12" t="str">
        <f>iferror(IF(VLOOKUP(C545,'Weekly Dump'!B:B,1,0)=C545,"Yes","Missing"),"")</f>
        <v/>
      </c>
      <c r="AB545" s="66"/>
    </row>
    <row r="546">
      <c r="B546" s="63"/>
      <c r="C546" s="63"/>
      <c r="G546" s="3" t="str">
        <f t="shared" si="26"/>
        <v/>
      </c>
      <c r="I546" s="4">
        <f>SUMIFS('Weekly Dump'!D:D,'Weekly Dump'!B:B,C546)</f>
        <v>0</v>
      </c>
      <c r="J546" s="5">
        <f>SUMIFS('Weekly Dump'!AE:AE,'Weekly Dump'!B:B,C546)</f>
        <v>0</v>
      </c>
      <c r="K546" s="4">
        <f>SUMPRODUCT(
  (TEXT('Weekly Dump'!$A$2:$A1009,"mmm-yy")=TEXT($AB546,"mmm-yy"))*
  ('Weekly Dump'!$B$2:$B1009=$C546)*
  'Weekly Dump'!$D$2:$D1009)</f>
        <v>0</v>
      </c>
      <c r="L546" s="4">
        <f>SUMPRODUCT(
  (TEXT('Weekly Dump'!$A$2:$A1009,"mmm-yy")=TEXT($AB546,"mmm-yy"))*
  ('Weekly Dump'!$B$2:$B1009=$C546)*
  'Weekly Dump'!$E$2:$E1009
)</f>
        <v>0</v>
      </c>
      <c r="M546" s="4">
        <f>SUMPRODUCT(
  (TEXT('Weekly Dump'!$A$2:$A1009,"mmm-yy")=TEXT($AB546,"mmm-yy"))*
  ('Weekly Dump'!$B$2:$B1009=$C546)*
  'Weekly Dump'!$P$2:$P1009
)</f>
        <v>0</v>
      </c>
      <c r="N546" s="39"/>
      <c r="O546" s="40">
        <f>SUMIFS('Weekly Dump'!$D:$D,'Weekly Dump'!$B:$B,$C546,'Weekly Dump'!$A:$A,$AB546)</f>
        <v>0</v>
      </c>
      <c r="P546" s="40">
        <f>SUMIFS('Weekly Dump'!R:R,'Weekly Dump'!B:B,C546,'Weekly Dump'!A:A,AB546)</f>
        <v>0</v>
      </c>
      <c r="Q546" s="40">
        <f t="shared" si="20"/>
        <v>0</v>
      </c>
      <c r="R546" s="41"/>
      <c r="T546" s="4">
        <f>SUMIFS('Weekly Dump'!E:E,'Weekly Dump'!B:B,C546,'Weekly Dump'!A:A,AB546)</f>
        <v>0</v>
      </c>
      <c r="U546" s="3">
        <f t="shared" si="21"/>
        <v>0</v>
      </c>
      <c r="V546" s="42"/>
      <c r="X546" s="4">
        <f>SUMIFS('Weekly Dump'!P:P,'Weekly Dump'!B:B,C546,'Weekly Dump'!A:A,AB546)</f>
        <v>0</v>
      </c>
      <c r="Y546" s="4">
        <f t="shared" si="22"/>
        <v>0</v>
      </c>
      <c r="Z546" s="41"/>
      <c r="AA546" s="12" t="str">
        <f>iferror(IF(VLOOKUP(C546,'Weekly Dump'!B:B,1,0)=C546,"Yes","Missing"),"")</f>
        <v/>
      </c>
      <c r="AB546" s="66"/>
    </row>
    <row r="547">
      <c r="B547" s="63"/>
      <c r="C547" s="63"/>
      <c r="G547" s="3" t="str">
        <f t="shared" si="26"/>
        <v/>
      </c>
      <c r="I547" s="4">
        <f>SUMIFS('Weekly Dump'!D:D,'Weekly Dump'!B:B,C547)</f>
        <v>0</v>
      </c>
      <c r="J547" s="5">
        <f>SUMIFS('Weekly Dump'!AE:AE,'Weekly Dump'!B:B,C547)</f>
        <v>0</v>
      </c>
      <c r="K547" s="4">
        <f>SUMPRODUCT(
  (TEXT('Weekly Dump'!$A$2:$A1009,"mmm-yy")=TEXT($AB547,"mmm-yy"))*
  ('Weekly Dump'!$B$2:$B1009=$C547)*
  'Weekly Dump'!$D$2:$D1009)</f>
        <v>0</v>
      </c>
      <c r="L547" s="4">
        <f>SUMPRODUCT(
  (TEXT('Weekly Dump'!$A$2:$A1009,"mmm-yy")=TEXT($AB547,"mmm-yy"))*
  ('Weekly Dump'!$B$2:$B1009=$C547)*
  'Weekly Dump'!$E$2:$E1009
)</f>
        <v>0</v>
      </c>
      <c r="M547" s="4">
        <f>SUMPRODUCT(
  (TEXT('Weekly Dump'!$A$2:$A1009,"mmm-yy")=TEXT($AB547,"mmm-yy"))*
  ('Weekly Dump'!$B$2:$B1009=$C547)*
  'Weekly Dump'!$P$2:$P1009
)</f>
        <v>0</v>
      </c>
      <c r="N547" s="39"/>
      <c r="O547" s="40">
        <f>SUMIFS('Weekly Dump'!$D:$D,'Weekly Dump'!$B:$B,$C547,'Weekly Dump'!$A:$A,$AB547)</f>
        <v>0</v>
      </c>
      <c r="P547" s="40">
        <f>SUMIFS('Weekly Dump'!R:R,'Weekly Dump'!B:B,C547,'Weekly Dump'!A:A,AB547)</f>
        <v>0</v>
      </c>
      <c r="Q547" s="40">
        <f t="shared" si="20"/>
        <v>0</v>
      </c>
      <c r="R547" s="41"/>
      <c r="T547" s="4">
        <f>SUMIFS('Weekly Dump'!E:E,'Weekly Dump'!B:B,C547,'Weekly Dump'!A:A,AB547)</f>
        <v>0</v>
      </c>
      <c r="U547" s="3">
        <f t="shared" si="21"/>
        <v>0</v>
      </c>
      <c r="V547" s="42"/>
      <c r="X547" s="4">
        <f>SUMIFS('Weekly Dump'!P:P,'Weekly Dump'!B:B,C547,'Weekly Dump'!A:A,AB547)</f>
        <v>0</v>
      </c>
      <c r="Y547" s="4">
        <f t="shared" si="22"/>
        <v>0</v>
      </c>
      <c r="Z547" s="41"/>
      <c r="AA547" s="12" t="str">
        <f>iferror(IF(VLOOKUP(C547,'Weekly Dump'!B:B,1,0)=C547,"Yes","Missing"),"")</f>
        <v/>
      </c>
      <c r="AB547" s="66"/>
    </row>
    <row r="548">
      <c r="B548" s="63"/>
      <c r="C548" s="63"/>
      <c r="G548" s="3" t="str">
        <f t="shared" si="26"/>
        <v/>
      </c>
      <c r="I548" s="4">
        <f>SUMIFS('Weekly Dump'!D:D,'Weekly Dump'!B:B,C548)</f>
        <v>0</v>
      </c>
      <c r="J548" s="5">
        <f>SUMIFS('Weekly Dump'!AE:AE,'Weekly Dump'!B:B,C548)</f>
        <v>0</v>
      </c>
      <c r="K548" s="4">
        <f>SUMPRODUCT(
  (TEXT('Weekly Dump'!$A$2:$A1009,"mmm-yy")=TEXT($AB548,"mmm-yy"))*
  ('Weekly Dump'!$B$2:$B1009=$C548)*
  'Weekly Dump'!$D$2:$D1009)</f>
        <v>0</v>
      </c>
      <c r="L548" s="4">
        <f>SUMPRODUCT(
  (TEXT('Weekly Dump'!$A$2:$A1009,"mmm-yy")=TEXT($AB548,"mmm-yy"))*
  ('Weekly Dump'!$B$2:$B1009=$C548)*
  'Weekly Dump'!$E$2:$E1009
)</f>
        <v>0</v>
      </c>
      <c r="M548" s="4">
        <f>SUMPRODUCT(
  (TEXT('Weekly Dump'!$A$2:$A1009,"mmm-yy")=TEXT($AB548,"mmm-yy"))*
  ('Weekly Dump'!$B$2:$B1009=$C548)*
  'Weekly Dump'!$P$2:$P1009
)</f>
        <v>0</v>
      </c>
      <c r="N548" s="39"/>
      <c r="O548" s="40">
        <f>SUMIFS('Weekly Dump'!$D:$D,'Weekly Dump'!$B:$B,$C548,'Weekly Dump'!$A:$A,$AB548)</f>
        <v>0</v>
      </c>
      <c r="P548" s="40">
        <f>SUMIFS('Weekly Dump'!R:R,'Weekly Dump'!B:B,C548,'Weekly Dump'!A:A,AB548)</f>
        <v>0</v>
      </c>
      <c r="Q548" s="40">
        <f t="shared" si="20"/>
        <v>0</v>
      </c>
      <c r="R548" s="41"/>
      <c r="T548" s="4">
        <f>SUMIFS('Weekly Dump'!E:E,'Weekly Dump'!B:B,C548,'Weekly Dump'!A:A,AB548)</f>
        <v>0</v>
      </c>
      <c r="U548" s="3">
        <f t="shared" si="21"/>
        <v>0</v>
      </c>
      <c r="V548" s="42"/>
      <c r="X548" s="4">
        <f>SUMIFS('Weekly Dump'!P:P,'Weekly Dump'!B:B,C548,'Weekly Dump'!A:A,AB548)</f>
        <v>0</v>
      </c>
      <c r="Y548" s="4">
        <f t="shared" si="22"/>
        <v>0</v>
      </c>
      <c r="Z548" s="41"/>
      <c r="AA548" s="12" t="str">
        <f>iferror(IF(VLOOKUP(C548,'Weekly Dump'!B:B,1,0)=C548,"Yes","Missing"),"")</f>
        <v/>
      </c>
      <c r="AB548" s="66"/>
    </row>
    <row r="549">
      <c r="B549" s="63"/>
      <c r="C549" s="63"/>
      <c r="G549" s="3" t="str">
        <f t="shared" si="26"/>
        <v/>
      </c>
      <c r="I549" s="4">
        <f>SUMIFS('Weekly Dump'!D:D,'Weekly Dump'!B:B,C549)</f>
        <v>0</v>
      </c>
      <c r="J549" s="5">
        <f>SUMIFS('Weekly Dump'!AE:AE,'Weekly Dump'!B:B,C549)</f>
        <v>0</v>
      </c>
      <c r="K549" s="4">
        <f>SUMPRODUCT(
  (TEXT('Weekly Dump'!$A$2:$A1009,"mmm-yy")=TEXT($AB549,"mmm-yy"))*
  ('Weekly Dump'!$B$2:$B1009=$C549)*
  'Weekly Dump'!$D$2:$D1009)</f>
        <v>0</v>
      </c>
      <c r="L549" s="4">
        <f>SUMPRODUCT(
  (TEXT('Weekly Dump'!$A$2:$A1009,"mmm-yy")=TEXT($AB549,"mmm-yy"))*
  ('Weekly Dump'!$B$2:$B1009=$C549)*
  'Weekly Dump'!$E$2:$E1009
)</f>
        <v>0</v>
      </c>
      <c r="M549" s="4">
        <f>SUMPRODUCT(
  (TEXT('Weekly Dump'!$A$2:$A1009,"mmm-yy")=TEXT($AB549,"mmm-yy"))*
  ('Weekly Dump'!$B$2:$B1009=$C549)*
  'Weekly Dump'!$P$2:$P1009
)</f>
        <v>0</v>
      </c>
      <c r="N549" s="39"/>
      <c r="O549" s="40">
        <f>SUMIFS('Weekly Dump'!$D:$D,'Weekly Dump'!$B:$B,$C549,'Weekly Dump'!$A:$A,$AB549)</f>
        <v>0</v>
      </c>
      <c r="P549" s="40">
        <f>SUMIFS('Weekly Dump'!R:R,'Weekly Dump'!B:B,C549,'Weekly Dump'!A:A,AB549)</f>
        <v>0</v>
      </c>
      <c r="Q549" s="40">
        <f t="shared" si="20"/>
        <v>0</v>
      </c>
      <c r="R549" s="41"/>
      <c r="T549" s="4">
        <f>SUMIFS('Weekly Dump'!E:E,'Weekly Dump'!B:B,C549,'Weekly Dump'!A:A,AB549)</f>
        <v>0</v>
      </c>
      <c r="U549" s="3">
        <f t="shared" si="21"/>
        <v>0</v>
      </c>
      <c r="V549" s="42"/>
      <c r="X549" s="4">
        <f>SUMIFS('Weekly Dump'!P:P,'Weekly Dump'!B:B,C549,'Weekly Dump'!A:A,AB549)</f>
        <v>0</v>
      </c>
      <c r="Y549" s="4">
        <f t="shared" si="22"/>
        <v>0</v>
      </c>
      <c r="Z549" s="41"/>
      <c r="AA549" s="12" t="str">
        <f>iferror(IF(VLOOKUP(C549,'Weekly Dump'!B:B,1,0)=C549,"Yes","Missing"),"")</f>
        <v/>
      </c>
      <c r="AB549" s="66"/>
    </row>
    <row r="550">
      <c r="B550" s="63"/>
      <c r="C550" s="63"/>
      <c r="G550" s="3" t="str">
        <f t="shared" si="26"/>
        <v/>
      </c>
      <c r="I550" s="4">
        <f>SUMIFS('Weekly Dump'!D:D,'Weekly Dump'!B:B,C550)</f>
        <v>0</v>
      </c>
      <c r="J550" s="5">
        <f>SUMIFS('Weekly Dump'!AE:AE,'Weekly Dump'!B:B,C550)</f>
        <v>0</v>
      </c>
      <c r="K550" s="4">
        <f>SUMPRODUCT(
  (TEXT('Weekly Dump'!$A$2:$A1009,"mmm-yy")=TEXT($AB550,"mmm-yy"))*
  ('Weekly Dump'!$B$2:$B1009=$C550)*
  'Weekly Dump'!$D$2:$D1009)</f>
        <v>0</v>
      </c>
      <c r="L550" s="4">
        <f>SUMPRODUCT(
  (TEXT('Weekly Dump'!$A$2:$A1009,"mmm-yy")=TEXT($AB550,"mmm-yy"))*
  ('Weekly Dump'!$B$2:$B1009=$C550)*
  'Weekly Dump'!$E$2:$E1009
)</f>
        <v>0</v>
      </c>
      <c r="M550" s="4">
        <f>SUMPRODUCT(
  (TEXT('Weekly Dump'!$A$2:$A1009,"mmm-yy")=TEXT($AB550,"mmm-yy"))*
  ('Weekly Dump'!$B$2:$B1009=$C550)*
  'Weekly Dump'!$P$2:$P1009
)</f>
        <v>0</v>
      </c>
      <c r="N550" s="39"/>
      <c r="O550" s="40">
        <f>SUMIFS('Weekly Dump'!$D:$D,'Weekly Dump'!$B:$B,$C550,'Weekly Dump'!$A:$A,$AB550)</f>
        <v>0</v>
      </c>
      <c r="P550" s="40">
        <f>SUMIFS('Weekly Dump'!R:R,'Weekly Dump'!B:B,C550,'Weekly Dump'!A:A,AB550)</f>
        <v>0</v>
      </c>
      <c r="Q550" s="40">
        <f t="shared" si="20"/>
        <v>0</v>
      </c>
      <c r="R550" s="41"/>
      <c r="T550" s="4">
        <f>SUMIFS('Weekly Dump'!E:E,'Weekly Dump'!B:B,C550,'Weekly Dump'!A:A,AB550)</f>
        <v>0</v>
      </c>
      <c r="U550" s="3">
        <f t="shared" si="21"/>
        <v>0</v>
      </c>
      <c r="V550" s="42"/>
      <c r="X550" s="4">
        <f>SUMIFS('Weekly Dump'!P:P,'Weekly Dump'!B:B,C550,'Weekly Dump'!A:A,AB550)</f>
        <v>0</v>
      </c>
      <c r="Y550" s="4">
        <f t="shared" si="22"/>
        <v>0</v>
      </c>
      <c r="Z550" s="41"/>
      <c r="AA550" s="12" t="str">
        <f>iferror(IF(VLOOKUP(C550,'Weekly Dump'!B:B,1,0)=C550,"Yes","Missing"),"")</f>
        <v/>
      </c>
      <c r="AB550" s="66"/>
    </row>
    <row r="551">
      <c r="B551" s="63"/>
      <c r="C551" s="63"/>
      <c r="G551" s="3" t="str">
        <f t="shared" si="26"/>
        <v/>
      </c>
      <c r="I551" s="4">
        <f>SUMIFS('Weekly Dump'!D:D,'Weekly Dump'!B:B,C551)</f>
        <v>0</v>
      </c>
      <c r="J551" s="5">
        <f>SUMIFS('Weekly Dump'!AE:AE,'Weekly Dump'!B:B,C551)</f>
        <v>0</v>
      </c>
      <c r="K551" s="4">
        <f>SUMPRODUCT(
  (TEXT('Weekly Dump'!$A$2:$A1009,"mmm-yy")=TEXT($AB551,"mmm-yy"))*
  ('Weekly Dump'!$B$2:$B1009=$C551)*
  'Weekly Dump'!$D$2:$D1009)</f>
        <v>0</v>
      </c>
      <c r="L551" s="4">
        <f>SUMPRODUCT(
  (TEXT('Weekly Dump'!$A$2:$A1009,"mmm-yy")=TEXT($AB551,"mmm-yy"))*
  ('Weekly Dump'!$B$2:$B1009=$C551)*
  'Weekly Dump'!$E$2:$E1009
)</f>
        <v>0</v>
      </c>
      <c r="M551" s="4">
        <f>SUMPRODUCT(
  (TEXT('Weekly Dump'!$A$2:$A1009,"mmm-yy")=TEXT($AB551,"mmm-yy"))*
  ('Weekly Dump'!$B$2:$B1009=$C551)*
  'Weekly Dump'!$P$2:$P1009
)</f>
        <v>0</v>
      </c>
      <c r="N551" s="39"/>
      <c r="O551" s="40">
        <f>SUMIFS('Weekly Dump'!$D:$D,'Weekly Dump'!$B:$B,$C551,'Weekly Dump'!$A:$A,$AB551)</f>
        <v>0</v>
      </c>
      <c r="P551" s="40">
        <f>SUMIFS('Weekly Dump'!R:R,'Weekly Dump'!B:B,C551,'Weekly Dump'!A:A,AB551)</f>
        <v>0</v>
      </c>
      <c r="Q551" s="40">
        <f t="shared" si="20"/>
        <v>0</v>
      </c>
      <c r="R551" s="41"/>
      <c r="T551" s="4">
        <f>SUMIFS('Weekly Dump'!E:E,'Weekly Dump'!B:B,C551,'Weekly Dump'!A:A,AB551)</f>
        <v>0</v>
      </c>
      <c r="U551" s="3">
        <f t="shared" si="21"/>
        <v>0</v>
      </c>
      <c r="V551" s="42"/>
      <c r="X551" s="4">
        <f>SUMIFS('Weekly Dump'!P:P,'Weekly Dump'!B:B,C551,'Weekly Dump'!A:A,AB551)</f>
        <v>0</v>
      </c>
      <c r="Y551" s="4">
        <f t="shared" si="22"/>
        <v>0</v>
      </c>
      <c r="Z551" s="41"/>
      <c r="AA551" s="12" t="str">
        <f>iferror(IF(VLOOKUP(C551,'Weekly Dump'!B:B,1,0)=C551,"Yes","Missing"),"")</f>
        <v/>
      </c>
      <c r="AB551" s="66"/>
    </row>
    <row r="552">
      <c r="B552" s="63"/>
      <c r="C552" s="63"/>
      <c r="G552" s="3" t="str">
        <f t="shared" si="26"/>
        <v/>
      </c>
      <c r="I552" s="4">
        <f>SUMIFS('Weekly Dump'!D:D,'Weekly Dump'!B:B,C552)</f>
        <v>0</v>
      </c>
      <c r="J552" s="5">
        <f>SUMIFS('Weekly Dump'!AE:AE,'Weekly Dump'!B:B,C552)</f>
        <v>0</v>
      </c>
      <c r="K552" s="4">
        <f>SUMPRODUCT(
  (TEXT('Weekly Dump'!$A$2:$A1009,"mmm-yy")=TEXT($AB552,"mmm-yy"))*
  ('Weekly Dump'!$B$2:$B1009=$C552)*
  'Weekly Dump'!$D$2:$D1009)</f>
        <v>0</v>
      </c>
      <c r="L552" s="4">
        <f>SUMPRODUCT(
  (TEXT('Weekly Dump'!$A$2:$A1009,"mmm-yy")=TEXT($AB552,"mmm-yy"))*
  ('Weekly Dump'!$B$2:$B1009=$C552)*
  'Weekly Dump'!$E$2:$E1009
)</f>
        <v>0</v>
      </c>
      <c r="M552" s="4">
        <f>SUMPRODUCT(
  (TEXT('Weekly Dump'!$A$2:$A1009,"mmm-yy")=TEXT($AB552,"mmm-yy"))*
  ('Weekly Dump'!$B$2:$B1009=$C552)*
  'Weekly Dump'!$P$2:$P1009
)</f>
        <v>0</v>
      </c>
      <c r="N552" s="39"/>
      <c r="O552" s="40">
        <f>SUMIFS('Weekly Dump'!$D:$D,'Weekly Dump'!$B:$B,$C552,'Weekly Dump'!$A:$A,$AB552)</f>
        <v>0</v>
      </c>
      <c r="P552" s="40">
        <f>SUMIFS('Weekly Dump'!R:R,'Weekly Dump'!B:B,C552,'Weekly Dump'!A:A,AB552)</f>
        <v>0</v>
      </c>
      <c r="Q552" s="40">
        <f t="shared" si="20"/>
        <v>0</v>
      </c>
      <c r="R552" s="41"/>
      <c r="T552" s="4">
        <f>SUMIFS('Weekly Dump'!E:E,'Weekly Dump'!B:B,C552,'Weekly Dump'!A:A,AB552)</f>
        <v>0</v>
      </c>
      <c r="U552" s="3">
        <f t="shared" si="21"/>
        <v>0</v>
      </c>
      <c r="V552" s="42"/>
      <c r="X552" s="4">
        <f>SUMIFS('Weekly Dump'!P:P,'Weekly Dump'!B:B,C552,'Weekly Dump'!A:A,AB552)</f>
        <v>0</v>
      </c>
      <c r="Y552" s="4">
        <f t="shared" si="22"/>
        <v>0</v>
      </c>
      <c r="Z552" s="41"/>
      <c r="AA552" s="12" t="str">
        <f>iferror(IF(VLOOKUP(C552,'Weekly Dump'!B:B,1,0)=C552,"Yes","Missing"),"")</f>
        <v/>
      </c>
      <c r="AB552" s="66"/>
    </row>
    <row r="553">
      <c r="B553" s="63"/>
      <c r="C553" s="63"/>
      <c r="G553" s="3" t="str">
        <f t="shared" si="26"/>
        <v/>
      </c>
      <c r="I553" s="4">
        <f>SUMIFS('Weekly Dump'!D:D,'Weekly Dump'!B:B,C553)</f>
        <v>0</v>
      </c>
      <c r="J553" s="5">
        <f>SUMIFS('Weekly Dump'!AE:AE,'Weekly Dump'!B:B,C553)</f>
        <v>0</v>
      </c>
      <c r="K553" s="4">
        <f>SUMPRODUCT(
  (TEXT('Weekly Dump'!$A$2:$A1009,"mmm-yy")=TEXT($AB553,"mmm-yy"))*
  ('Weekly Dump'!$B$2:$B1009=$C553)*
  'Weekly Dump'!$D$2:$D1009)</f>
        <v>0</v>
      </c>
      <c r="L553" s="4">
        <f>SUMPRODUCT(
  (TEXT('Weekly Dump'!$A$2:$A1009,"mmm-yy")=TEXT($AB553,"mmm-yy"))*
  ('Weekly Dump'!$B$2:$B1009=$C553)*
  'Weekly Dump'!$E$2:$E1009
)</f>
        <v>0</v>
      </c>
      <c r="M553" s="4">
        <f>SUMPRODUCT(
  (TEXT('Weekly Dump'!$A$2:$A1009,"mmm-yy")=TEXT($AB553,"mmm-yy"))*
  ('Weekly Dump'!$B$2:$B1009=$C553)*
  'Weekly Dump'!$P$2:$P1009
)</f>
        <v>0</v>
      </c>
      <c r="N553" s="39"/>
      <c r="O553" s="40">
        <f>SUMIFS('Weekly Dump'!$D:$D,'Weekly Dump'!$B:$B,$C553,'Weekly Dump'!$A:$A,$AB553)</f>
        <v>0</v>
      </c>
      <c r="P553" s="40">
        <f>SUMIFS('Weekly Dump'!R:R,'Weekly Dump'!B:B,C553,'Weekly Dump'!A:A,AB553)</f>
        <v>0</v>
      </c>
      <c r="Q553" s="40">
        <f t="shared" si="20"/>
        <v>0</v>
      </c>
      <c r="R553" s="41"/>
      <c r="T553" s="4">
        <f>SUMIFS('Weekly Dump'!E:E,'Weekly Dump'!B:B,C553,'Weekly Dump'!A:A,AB553)</f>
        <v>0</v>
      </c>
      <c r="U553" s="3">
        <f t="shared" si="21"/>
        <v>0</v>
      </c>
      <c r="V553" s="42"/>
      <c r="X553" s="4">
        <f>SUMIFS('Weekly Dump'!P:P,'Weekly Dump'!B:B,C553,'Weekly Dump'!A:A,AB553)</f>
        <v>0</v>
      </c>
      <c r="Y553" s="4">
        <f t="shared" si="22"/>
        <v>0</v>
      </c>
      <c r="Z553" s="41"/>
      <c r="AA553" s="12" t="str">
        <f>iferror(IF(VLOOKUP(C553,'Weekly Dump'!B:B,1,0)=C553,"Yes","Missing"),"")</f>
        <v/>
      </c>
      <c r="AB553" s="66"/>
    </row>
    <row r="554">
      <c r="B554" s="63"/>
      <c r="C554" s="63"/>
      <c r="G554" s="3" t="str">
        <f t="shared" si="26"/>
        <v/>
      </c>
      <c r="I554" s="4">
        <f>SUMIFS('Weekly Dump'!D:D,'Weekly Dump'!B:B,C554)</f>
        <v>0</v>
      </c>
      <c r="J554" s="5">
        <f>SUMIFS('Weekly Dump'!AE:AE,'Weekly Dump'!B:B,C554)</f>
        <v>0</v>
      </c>
      <c r="K554" s="4">
        <f>SUMPRODUCT(
  (TEXT('Weekly Dump'!$A$2:$A1009,"mmm-yy")=TEXT($AB554,"mmm-yy"))*
  ('Weekly Dump'!$B$2:$B1009=$C554)*
  'Weekly Dump'!$D$2:$D1009)</f>
        <v>0</v>
      </c>
      <c r="L554" s="4">
        <f>SUMPRODUCT(
  (TEXT('Weekly Dump'!$A$2:$A1009,"mmm-yy")=TEXT($AB554,"mmm-yy"))*
  ('Weekly Dump'!$B$2:$B1009=$C554)*
  'Weekly Dump'!$E$2:$E1009
)</f>
        <v>0</v>
      </c>
      <c r="M554" s="4">
        <f>SUMPRODUCT(
  (TEXT('Weekly Dump'!$A$2:$A1009,"mmm-yy")=TEXT($AB554,"mmm-yy"))*
  ('Weekly Dump'!$B$2:$B1009=$C554)*
  'Weekly Dump'!$P$2:$P1009
)</f>
        <v>0</v>
      </c>
      <c r="N554" s="39"/>
      <c r="O554" s="40">
        <f>SUMIFS('Weekly Dump'!$D:$D,'Weekly Dump'!$B:$B,$C554,'Weekly Dump'!$A:$A,$AB554)</f>
        <v>0</v>
      </c>
      <c r="P554" s="40">
        <f>SUMIFS('Weekly Dump'!R:R,'Weekly Dump'!B:B,C554,'Weekly Dump'!A:A,AB554)</f>
        <v>0</v>
      </c>
      <c r="Q554" s="40">
        <f t="shared" si="20"/>
        <v>0</v>
      </c>
      <c r="R554" s="41"/>
      <c r="T554" s="4">
        <f>SUMIFS('Weekly Dump'!E:E,'Weekly Dump'!B:B,C554,'Weekly Dump'!A:A,AB554)</f>
        <v>0</v>
      </c>
      <c r="U554" s="3">
        <f t="shared" si="21"/>
        <v>0</v>
      </c>
      <c r="V554" s="42"/>
      <c r="X554" s="4">
        <f>SUMIFS('Weekly Dump'!P:P,'Weekly Dump'!B:B,C554,'Weekly Dump'!A:A,AB554)</f>
        <v>0</v>
      </c>
      <c r="Y554" s="4">
        <f t="shared" si="22"/>
        <v>0</v>
      </c>
      <c r="Z554" s="41"/>
      <c r="AA554" s="12" t="str">
        <f>iferror(IF(VLOOKUP(C554,'Weekly Dump'!B:B,1,0)=C554,"Yes","Missing"),"")</f>
        <v/>
      </c>
      <c r="AB554" s="66"/>
    </row>
    <row r="555">
      <c r="B555" s="63"/>
      <c r="C555" s="63"/>
      <c r="G555" s="3" t="str">
        <f t="shared" si="26"/>
        <v/>
      </c>
      <c r="I555" s="4">
        <f>SUMIFS('Weekly Dump'!D:D,'Weekly Dump'!B:B,C555)</f>
        <v>0</v>
      </c>
      <c r="J555" s="5">
        <f>SUMIFS('Weekly Dump'!AE:AE,'Weekly Dump'!B:B,C555)</f>
        <v>0</v>
      </c>
      <c r="K555" s="4">
        <f>SUMPRODUCT(
  (TEXT('Weekly Dump'!$A$2:$A1009,"mmm-yy")=TEXT($AB555,"mmm-yy"))*
  ('Weekly Dump'!$B$2:$B1009=$C555)*
  'Weekly Dump'!$D$2:$D1009)</f>
        <v>0</v>
      </c>
      <c r="L555" s="4">
        <f>SUMPRODUCT(
  (TEXT('Weekly Dump'!$A$2:$A1009,"mmm-yy")=TEXT($AB555,"mmm-yy"))*
  ('Weekly Dump'!$B$2:$B1009=$C555)*
  'Weekly Dump'!$E$2:$E1009
)</f>
        <v>0</v>
      </c>
      <c r="M555" s="4">
        <f>SUMPRODUCT(
  (TEXT('Weekly Dump'!$A$2:$A1009,"mmm-yy")=TEXT($AB555,"mmm-yy"))*
  ('Weekly Dump'!$B$2:$B1009=$C555)*
  'Weekly Dump'!$P$2:$P1009
)</f>
        <v>0</v>
      </c>
      <c r="N555" s="39"/>
      <c r="O555" s="40">
        <f>SUMIFS('Weekly Dump'!$D:$D,'Weekly Dump'!$B:$B,$C555,'Weekly Dump'!$A:$A,$AB555)</f>
        <v>0</v>
      </c>
      <c r="P555" s="40">
        <f>SUMIFS('Weekly Dump'!R:R,'Weekly Dump'!B:B,C555,'Weekly Dump'!A:A,AB555)</f>
        <v>0</v>
      </c>
      <c r="Q555" s="40">
        <f t="shared" si="20"/>
        <v>0</v>
      </c>
      <c r="R555" s="41"/>
      <c r="T555" s="4">
        <f>SUMIFS('Weekly Dump'!E:E,'Weekly Dump'!B:B,C555,'Weekly Dump'!A:A,AB555)</f>
        <v>0</v>
      </c>
      <c r="U555" s="3">
        <f t="shared" si="21"/>
        <v>0</v>
      </c>
      <c r="V555" s="42"/>
      <c r="X555" s="4">
        <f>SUMIFS('Weekly Dump'!P:P,'Weekly Dump'!B:B,C555,'Weekly Dump'!A:A,AB555)</f>
        <v>0</v>
      </c>
      <c r="Y555" s="4">
        <f t="shared" si="22"/>
        <v>0</v>
      </c>
      <c r="Z555" s="41"/>
      <c r="AA555" s="12" t="str">
        <f>iferror(IF(VLOOKUP(C555,'Weekly Dump'!B:B,1,0)=C555,"Yes","Missing"),"")</f>
        <v/>
      </c>
      <c r="AB555" s="66"/>
    </row>
    <row r="556">
      <c r="B556" s="63"/>
      <c r="C556" s="63"/>
      <c r="G556" s="3" t="str">
        <f t="shared" si="26"/>
        <v/>
      </c>
      <c r="I556" s="4">
        <f>SUMIFS('Weekly Dump'!D:D,'Weekly Dump'!B:B,C556)</f>
        <v>0</v>
      </c>
      <c r="J556" s="5">
        <f>SUMIFS('Weekly Dump'!AE:AE,'Weekly Dump'!B:B,C556)</f>
        <v>0</v>
      </c>
      <c r="K556" s="4">
        <f>SUMPRODUCT(
  (TEXT('Weekly Dump'!$A$2:$A1009,"mmm-yy")=TEXT($AB556,"mmm-yy"))*
  ('Weekly Dump'!$B$2:$B1009=$C556)*
  'Weekly Dump'!$D$2:$D1009)</f>
        <v>0</v>
      </c>
      <c r="L556" s="4">
        <f>SUMPRODUCT(
  (TEXT('Weekly Dump'!$A$2:$A1009,"mmm-yy")=TEXT($AB556,"mmm-yy"))*
  ('Weekly Dump'!$B$2:$B1009=$C556)*
  'Weekly Dump'!$E$2:$E1009
)</f>
        <v>0</v>
      </c>
      <c r="M556" s="4">
        <f>SUMPRODUCT(
  (TEXT('Weekly Dump'!$A$2:$A1009,"mmm-yy")=TEXT($AB556,"mmm-yy"))*
  ('Weekly Dump'!$B$2:$B1009=$C556)*
  'Weekly Dump'!$P$2:$P1009
)</f>
        <v>0</v>
      </c>
      <c r="N556" s="39"/>
      <c r="O556" s="40">
        <f>SUMIFS('Weekly Dump'!$D:$D,'Weekly Dump'!$B:$B,$C556,'Weekly Dump'!$A:$A,$AB556)</f>
        <v>0</v>
      </c>
      <c r="P556" s="40">
        <f>SUMIFS('Weekly Dump'!R:R,'Weekly Dump'!B:B,C556,'Weekly Dump'!A:A,AB556)</f>
        <v>0</v>
      </c>
      <c r="Q556" s="40">
        <f t="shared" si="20"/>
        <v>0</v>
      </c>
      <c r="R556" s="41"/>
      <c r="T556" s="4">
        <f>SUMIFS('Weekly Dump'!E:E,'Weekly Dump'!B:B,C556,'Weekly Dump'!A:A,AB556)</f>
        <v>0</v>
      </c>
      <c r="U556" s="3">
        <f t="shared" si="21"/>
        <v>0</v>
      </c>
      <c r="V556" s="42"/>
      <c r="X556" s="4">
        <f>SUMIFS('Weekly Dump'!P:P,'Weekly Dump'!B:B,C556,'Weekly Dump'!A:A,AB556)</f>
        <v>0</v>
      </c>
      <c r="Y556" s="4">
        <f t="shared" si="22"/>
        <v>0</v>
      </c>
      <c r="Z556" s="41"/>
      <c r="AA556" s="12" t="str">
        <f>iferror(IF(VLOOKUP(C556,'Weekly Dump'!B:B,1,0)=C556,"Yes","Missing"),"")</f>
        <v/>
      </c>
      <c r="AB556" s="66"/>
    </row>
    <row r="557">
      <c r="B557" s="63"/>
      <c r="C557" s="63"/>
      <c r="G557" s="3" t="str">
        <f t="shared" si="26"/>
        <v/>
      </c>
      <c r="I557" s="4">
        <f>SUMIFS('Weekly Dump'!D:D,'Weekly Dump'!B:B,C557)</f>
        <v>0</v>
      </c>
      <c r="J557" s="5">
        <f>SUMIFS('Weekly Dump'!AE:AE,'Weekly Dump'!B:B,C557)</f>
        <v>0</v>
      </c>
      <c r="K557" s="4">
        <f>SUMPRODUCT(
  (TEXT('Weekly Dump'!$A$2:$A1009,"mmm-yy")=TEXT($AB557,"mmm-yy"))*
  ('Weekly Dump'!$B$2:$B1009=$C557)*
  'Weekly Dump'!$D$2:$D1009)</f>
        <v>0</v>
      </c>
      <c r="L557" s="4">
        <f>SUMPRODUCT(
  (TEXT('Weekly Dump'!$A$2:$A1009,"mmm-yy")=TEXT($AB557,"mmm-yy"))*
  ('Weekly Dump'!$B$2:$B1009=$C557)*
  'Weekly Dump'!$E$2:$E1009
)</f>
        <v>0</v>
      </c>
      <c r="M557" s="4">
        <f>SUMPRODUCT(
  (TEXT('Weekly Dump'!$A$2:$A1009,"mmm-yy")=TEXT($AB557,"mmm-yy"))*
  ('Weekly Dump'!$B$2:$B1009=$C557)*
  'Weekly Dump'!$P$2:$P1009
)</f>
        <v>0</v>
      </c>
      <c r="N557" s="39"/>
      <c r="O557" s="40">
        <f>SUMIFS('Weekly Dump'!$D:$D,'Weekly Dump'!$B:$B,$C557,'Weekly Dump'!$A:$A,$AB557)</f>
        <v>0</v>
      </c>
      <c r="P557" s="40">
        <f>SUMIFS('Weekly Dump'!R:R,'Weekly Dump'!B:B,C557,'Weekly Dump'!A:A,AB557)</f>
        <v>0</v>
      </c>
      <c r="Q557" s="40">
        <f t="shared" si="20"/>
        <v>0</v>
      </c>
      <c r="R557" s="41"/>
      <c r="T557" s="4">
        <f>SUMIFS('Weekly Dump'!E:E,'Weekly Dump'!B:B,C557,'Weekly Dump'!A:A,AB557)</f>
        <v>0</v>
      </c>
      <c r="U557" s="3">
        <f t="shared" si="21"/>
        <v>0</v>
      </c>
      <c r="V557" s="42"/>
      <c r="X557" s="4">
        <f>SUMIFS('Weekly Dump'!P:P,'Weekly Dump'!B:B,C557,'Weekly Dump'!A:A,AB557)</f>
        <v>0</v>
      </c>
      <c r="Y557" s="4">
        <f t="shared" si="22"/>
        <v>0</v>
      </c>
      <c r="Z557" s="41"/>
      <c r="AA557" s="12" t="str">
        <f>iferror(IF(VLOOKUP(C557,'Weekly Dump'!B:B,1,0)=C557,"Yes","Missing"),"")</f>
        <v/>
      </c>
      <c r="AB557" s="66"/>
    </row>
    <row r="558">
      <c r="B558" s="63"/>
      <c r="C558" s="63"/>
      <c r="G558" s="3" t="str">
        <f t="shared" si="26"/>
        <v/>
      </c>
      <c r="I558" s="4">
        <f>SUMIFS('Weekly Dump'!D:D,'Weekly Dump'!B:B,C558)</f>
        <v>0</v>
      </c>
      <c r="J558" s="5">
        <f>SUMIFS('Weekly Dump'!AE:AE,'Weekly Dump'!B:B,C558)</f>
        <v>0</v>
      </c>
      <c r="K558" s="4">
        <f>SUMPRODUCT(
  (TEXT('Weekly Dump'!$A$2:$A1009,"mmm-yy")=TEXT($AB558,"mmm-yy"))*
  ('Weekly Dump'!$B$2:$B1009=$C558)*
  'Weekly Dump'!$D$2:$D1009)</f>
        <v>0</v>
      </c>
      <c r="L558" s="4">
        <f>SUMPRODUCT(
  (TEXT('Weekly Dump'!$A$2:$A1009,"mmm-yy")=TEXT($AB558,"mmm-yy"))*
  ('Weekly Dump'!$B$2:$B1009=$C558)*
  'Weekly Dump'!$E$2:$E1009
)</f>
        <v>0</v>
      </c>
      <c r="M558" s="4">
        <f>SUMPRODUCT(
  (TEXT('Weekly Dump'!$A$2:$A1009,"mmm-yy")=TEXT($AB558,"mmm-yy"))*
  ('Weekly Dump'!$B$2:$B1009=$C558)*
  'Weekly Dump'!$P$2:$P1009
)</f>
        <v>0</v>
      </c>
      <c r="N558" s="39"/>
      <c r="O558" s="40">
        <f>SUMIFS('Weekly Dump'!$D:$D,'Weekly Dump'!$B:$B,$C558,'Weekly Dump'!$A:$A,$AB558)</f>
        <v>0</v>
      </c>
      <c r="P558" s="40">
        <f>SUMIFS('Weekly Dump'!R:R,'Weekly Dump'!B:B,C558,'Weekly Dump'!A:A,AB558)</f>
        <v>0</v>
      </c>
      <c r="Q558" s="40">
        <f t="shared" si="20"/>
        <v>0</v>
      </c>
      <c r="R558" s="41"/>
      <c r="T558" s="4">
        <f>SUMIFS('Weekly Dump'!E:E,'Weekly Dump'!B:B,C558,'Weekly Dump'!A:A,AB558)</f>
        <v>0</v>
      </c>
      <c r="U558" s="3">
        <f t="shared" si="21"/>
        <v>0</v>
      </c>
      <c r="V558" s="42"/>
      <c r="X558" s="4">
        <f>SUMIFS('Weekly Dump'!P:P,'Weekly Dump'!B:B,C558,'Weekly Dump'!A:A,AB558)</f>
        <v>0</v>
      </c>
      <c r="Y558" s="4">
        <f t="shared" si="22"/>
        <v>0</v>
      </c>
      <c r="Z558" s="41"/>
      <c r="AA558" s="12" t="str">
        <f>iferror(IF(VLOOKUP(C558,'Weekly Dump'!B:B,1,0)=C558,"Yes","Missing"),"")</f>
        <v/>
      </c>
      <c r="AB558" s="66"/>
    </row>
    <row r="559">
      <c r="B559" s="63"/>
      <c r="C559" s="63"/>
      <c r="G559" s="3" t="str">
        <f t="shared" si="26"/>
        <v/>
      </c>
      <c r="I559" s="4">
        <f>SUMIFS('Weekly Dump'!D:D,'Weekly Dump'!B:B,C559)</f>
        <v>0</v>
      </c>
      <c r="J559" s="5">
        <f>SUMIFS('Weekly Dump'!AE:AE,'Weekly Dump'!B:B,C559)</f>
        <v>0</v>
      </c>
      <c r="K559" s="4">
        <f>SUMPRODUCT(
  (TEXT('Weekly Dump'!$A$2:$A1009,"mmm-yy")=TEXT($AB559,"mmm-yy"))*
  ('Weekly Dump'!$B$2:$B1009=$C559)*
  'Weekly Dump'!$D$2:$D1009)</f>
        <v>0</v>
      </c>
      <c r="L559" s="4">
        <f>SUMPRODUCT(
  (TEXT('Weekly Dump'!$A$2:$A1009,"mmm-yy")=TEXT($AB559,"mmm-yy"))*
  ('Weekly Dump'!$B$2:$B1009=$C559)*
  'Weekly Dump'!$E$2:$E1009
)</f>
        <v>0</v>
      </c>
      <c r="M559" s="4">
        <f>SUMPRODUCT(
  (TEXT('Weekly Dump'!$A$2:$A1009,"mmm-yy")=TEXT($AB559,"mmm-yy"))*
  ('Weekly Dump'!$B$2:$B1009=$C559)*
  'Weekly Dump'!$P$2:$P1009
)</f>
        <v>0</v>
      </c>
      <c r="N559" s="39"/>
      <c r="O559" s="40">
        <f>SUMIFS('Weekly Dump'!$D:$D,'Weekly Dump'!$B:$B,$C559,'Weekly Dump'!$A:$A,$AB559)</f>
        <v>0</v>
      </c>
      <c r="P559" s="40">
        <f>SUMIFS('Weekly Dump'!R:R,'Weekly Dump'!B:B,C559,'Weekly Dump'!A:A,AB559)</f>
        <v>0</v>
      </c>
      <c r="Q559" s="40">
        <f t="shared" si="20"/>
        <v>0</v>
      </c>
      <c r="R559" s="41"/>
      <c r="T559" s="4">
        <f>SUMIFS('Weekly Dump'!E:E,'Weekly Dump'!B:B,C559,'Weekly Dump'!A:A,AB559)</f>
        <v>0</v>
      </c>
      <c r="U559" s="3">
        <f t="shared" si="21"/>
        <v>0</v>
      </c>
      <c r="V559" s="42"/>
      <c r="X559" s="4">
        <f>SUMIFS('Weekly Dump'!P:P,'Weekly Dump'!B:B,C559,'Weekly Dump'!A:A,AB559)</f>
        <v>0</v>
      </c>
      <c r="Y559" s="4">
        <f t="shared" si="22"/>
        <v>0</v>
      </c>
      <c r="Z559" s="41"/>
      <c r="AA559" s="12" t="str">
        <f>iferror(IF(VLOOKUP(C559,'Weekly Dump'!B:B,1,0)=C559,"Yes","Missing"),"")</f>
        <v/>
      </c>
      <c r="AB559" s="66"/>
    </row>
    <row r="560">
      <c r="B560" s="63"/>
      <c r="C560" s="63"/>
      <c r="G560" s="3" t="str">
        <f t="shared" si="26"/>
        <v/>
      </c>
      <c r="I560" s="4">
        <f>SUMIFS('Weekly Dump'!D:D,'Weekly Dump'!B:B,C560)</f>
        <v>0</v>
      </c>
      <c r="J560" s="5">
        <f>SUMIFS('Weekly Dump'!AE:AE,'Weekly Dump'!B:B,C560)</f>
        <v>0</v>
      </c>
      <c r="K560" s="4">
        <f>SUMPRODUCT(
  (TEXT('Weekly Dump'!$A$2:$A1009,"mmm-yy")=TEXT($AB560,"mmm-yy"))*
  ('Weekly Dump'!$B$2:$B1009=$C560)*
  'Weekly Dump'!$D$2:$D1009)</f>
        <v>0</v>
      </c>
      <c r="L560" s="4">
        <f>SUMPRODUCT(
  (TEXT('Weekly Dump'!$A$2:$A1009,"mmm-yy")=TEXT($AB560,"mmm-yy"))*
  ('Weekly Dump'!$B$2:$B1009=$C560)*
  'Weekly Dump'!$E$2:$E1009
)</f>
        <v>0</v>
      </c>
      <c r="M560" s="4">
        <f>SUMPRODUCT(
  (TEXT('Weekly Dump'!$A$2:$A1009,"mmm-yy")=TEXT($AB560,"mmm-yy"))*
  ('Weekly Dump'!$B$2:$B1009=$C560)*
  'Weekly Dump'!$P$2:$P1009
)</f>
        <v>0</v>
      </c>
      <c r="N560" s="39"/>
      <c r="O560" s="40">
        <f>SUMIFS('Weekly Dump'!$D:$D,'Weekly Dump'!$B:$B,$C560,'Weekly Dump'!$A:$A,$AB560)</f>
        <v>0</v>
      </c>
      <c r="P560" s="40">
        <f>SUMIFS('Weekly Dump'!R:R,'Weekly Dump'!B:B,C560,'Weekly Dump'!A:A,AB560)</f>
        <v>0</v>
      </c>
      <c r="Q560" s="40">
        <f t="shared" si="20"/>
        <v>0</v>
      </c>
      <c r="R560" s="41"/>
      <c r="T560" s="4">
        <f>SUMIFS('Weekly Dump'!E:E,'Weekly Dump'!B:B,C560,'Weekly Dump'!A:A,AB560)</f>
        <v>0</v>
      </c>
      <c r="U560" s="3">
        <f t="shared" si="21"/>
        <v>0</v>
      </c>
      <c r="V560" s="42"/>
      <c r="X560" s="4">
        <f>SUMIFS('Weekly Dump'!P:P,'Weekly Dump'!B:B,C560,'Weekly Dump'!A:A,AB560)</f>
        <v>0</v>
      </c>
      <c r="Y560" s="4">
        <f t="shared" si="22"/>
        <v>0</v>
      </c>
      <c r="Z560" s="41"/>
      <c r="AA560" s="12" t="str">
        <f>iferror(IF(VLOOKUP(C560,'Weekly Dump'!B:B,1,0)=C560,"Yes","Missing"),"")</f>
        <v/>
      </c>
      <c r="AB560" s="66"/>
    </row>
    <row r="561">
      <c r="B561" s="63"/>
      <c r="C561" s="63"/>
      <c r="G561" s="3" t="str">
        <f t="shared" si="26"/>
        <v/>
      </c>
      <c r="I561" s="4">
        <f>SUMIFS('Weekly Dump'!D:D,'Weekly Dump'!B:B,C561)</f>
        <v>0</v>
      </c>
      <c r="J561" s="5">
        <f>SUMIFS('Weekly Dump'!AE:AE,'Weekly Dump'!B:B,C561)</f>
        <v>0</v>
      </c>
      <c r="K561" s="4">
        <f>SUMPRODUCT(
  (TEXT('Weekly Dump'!$A$2:$A1009,"mmm-yy")=TEXT($AB561,"mmm-yy"))*
  ('Weekly Dump'!$B$2:$B1009=$C561)*
  'Weekly Dump'!$D$2:$D1009)</f>
        <v>0</v>
      </c>
      <c r="L561" s="4">
        <f>SUMPRODUCT(
  (TEXT('Weekly Dump'!$A$2:$A1009,"mmm-yy")=TEXT($AB561,"mmm-yy"))*
  ('Weekly Dump'!$B$2:$B1009=$C561)*
  'Weekly Dump'!$E$2:$E1009
)</f>
        <v>0</v>
      </c>
      <c r="M561" s="4">
        <f>SUMPRODUCT(
  (TEXT('Weekly Dump'!$A$2:$A1009,"mmm-yy")=TEXT($AB561,"mmm-yy"))*
  ('Weekly Dump'!$B$2:$B1009=$C561)*
  'Weekly Dump'!$P$2:$P1009
)</f>
        <v>0</v>
      </c>
      <c r="N561" s="39"/>
      <c r="O561" s="40">
        <f>SUMIFS('Weekly Dump'!$D:$D,'Weekly Dump'!$B:$B,$C561,'Weekly Dump'!$A:$A,$AB561)</f>
        <v>0</v>
      </c>
      <c r="P561" s="40">
        <f>SUMIFS('Weekly Dump'!R:R,'Weekly Dump'!B:B,C561,'Weekly Dump'!A:A,AB561)</f>
        <v>0</v>
      </c>
      <c r="Q561" s="40">
        <f t="shared" si="20"/>
        <v>0</v>
      </c>
      <c r="R561" s="41"/>
      <c r="T561" s="4">
        <f>SUMIFS('Weekly Dump'!E:E,'Weekly Dump'!B:B,C561,'Weekly Dump'!A:A,AB561)</f>
        <v>0</v>
      </c>
      <c r="U561" s="3">
        <f t="shared" si="21"/>
        <v>0</v>
      </c>
      <c r="V561" s="42"/>
      <c r="X561" s="4">
        <f>SUMIFS('Weekly Dump'!P:P,'Weekly Dump'!B:B,C561,'Weekly Dump'!A:A,AB561)</f>
        <v>0</v>
      </c>
      <c r="Y561" s="4">
        <f t="shared" si="22"/>
        <v>0</v>
      </c>
      <c r="Z561" s="41"/>
      <c r="AA561" s="12" t="str">
        <f>iferror(IF(VLOOKUP(C561,'Weekly Dump'!B:B,1,0)=C561,"Yes","Missing"),"")</f>
        <v/>
      </c>
      <c r="AB561" s="66"/>
    </row>
    <row r="562">
      <c r="B562" s="63"/>
      <c r="C562" s="63"/>
      <c r="G562" s="3" t="str">
        <f t="shared" si="26"/>
        <v/>
      </c>
      <c r="I562" s="4">
        <f>SUMIFS('Weekly Dump'!D:D,'Weekly Dump'!B:B,C562)</f>
        <v>0</v>
      </c>
      <c r="J562" s="5">
        <f>SUMIFS('Weekly Dump'!AE:AE,'Weekly Dump'!B:B,C562)</f>
        <v>0</v>
      </c>
      <c r="K562" s="4">
        <f>SUMPRODUCT(
  (TEXT('Weekly Dump'!$A$2:$A1009,"mmm-yy")=TEXT($AB562,"mmm-yy"))*
  ('Weekly Dump'!$B$2:$B1009=$C562)*
  'Weekly Dump'!$D$2:$D1009)</f>
        <v>0</v>
      </c>
      <c r="L562" s="4">
        <f>SUMPRODUCT(
  (TEXT('Weekly Dump'!$A$2:$A1009,"mmm-yy")=TEXT($AB562,"mmm-yy"))*
  ('Weekly Dump'!$B$2:$B1009=$C562)*
  'Weekly Dump'!$E$2:$E1009
)</f>
        <v>0</v>
      </c>
      <c r="M562" s="4">
        <f>SUMPRODUCT(
  (TEXT('Weekly Dump'!$A$2:$A1009,"mmm-yy")=TEXT($AB562,"mmm-yy"))*
  ('Weekly Dump'!$B$2:$B1009=$C562)*
  'Weekly Dump'!$P$2:$P1009
)</f>
        <v>0</v>
      </c>
      <c r="N562" s="39"/>
      <c r="O562" s="40">
        <f>SUMIFS('Weekly Dump'!$D:$D,'Weekly Dump'!$B:$B,$C562,'Weekly Dump'!$A:$A,$AB562)</f>
        <v>0</v>
      </c>
      <c r="P562" s="40">
        <f>SUMIFS('Weekly Dump'!R:R,'Weekly Dump'!B:B,C562,'Weekly Dump'!A:A,AB562)</f>
        <v>0</v>
      </c>
      <c r="Q562" s="40">
        <f t="shared" si="20"/>
        <v>0</v>
      </c>
      <c r="R562" s="41"/>
      <c r="T562" s="4">
        <f>SUMIFS('Weekly Dump'!E:E,'Weekly Dump'!B:B,C562,'Weekly Dump'!A:A,AB562)</f>
        <v>0</v>
      </c>
      <c r="U562" s="3">
        <f t="shared" si="21"/>
        <v>0</v>
      </c>
      <c r="V562" s="42"/>
      <c r="X562" s="4">
        <f>SUMIFS('Weekly Dump'!P:P,'Weekly Dump'!B:B,C562,'Weekly Dump'!A:A,AB562)</f>
        <v>0</v>
      </c>
      <c r="Y562" s="4">
        <f t="shared" si="22"/>
        <v>0</v>
      </c>
      <c r="Z562" s="41"/>
      <c r="AA562" s="12" t="str">
        <f>iferror(IF(VLOOKUP(C562,'Weekly Dump'!B:B,1,0)=C562,"Yes","Missing"),"")</f>
        <v/>
      </c>
      <c r="AB562" s="66"/>
    </row>
    <row r="563">
      <c r="B563" s="63"/>
      <c r="C563" s="63"/>
      <c r="G563" s="3" t="str">
        <f t="shared" si="26"/>
        <v/>
      </c>
      <c r="I563" s="4">
        <f>SUMIFS('Weekly Dump'!D:D,'Weekly Dump'!B:B,C563)</f>
        <v>0</v>
      </c>
      <c r="J563" s="5">
        <f>SUMIFS('Weekly Dump'!AE:AE,'Weekly Dump'!B:B,C563)</f>
        <v>0</v>
      </c>
      <c r="K563" s="4">
        <f>SUMPRODUCT(
  (TEXT('Weekly Dump'!$A$2:$A1009,"mmm-yy")=TEXT($AB563,"mmm-yy"))*
  ('Weekly Dump'!$B$2:$B1009=$C563)*
  'Weekly Dump'!$D$2:$D1009)</f>
        <v>0</v>
      </c>
      <c r="L563" s="4">
        <f>SUMPRODUCT(
  (TEXT('Weekly Dump'!$A$2:$A1009,"mmm-yy")=TEXT($AB563,"mmm-yy"))*
  ('Weekly Dump'!$B$2:$B1009=$C563)*
  'Weekly Dump'!$E$2:$E1009
)</f>
        <v>0</v>
      </c>
      <c r="M563" s="4">
        <f>SUMPRODUCT(
  (TEXT('Weekly Dump'!$A$2:$A1009,"mmm-yy")=TEXT($AB563,"mmm-yy"))*
  ('Weekly Dump'!$B$2:$B1009=$C563)*
  'Weekly Dump'!$P$2:$P1009
)</f>
        <v>0</v>
      </c>
      <c r="N563" s="39"/>
      <c r="O563" s="40">
        <f>SUMIFS('Weekly Dump'!$D:$D,'Weekly Dump'!$B:$B,$C563,'Weekly Dump'!$A:$A,$AB563)</f>
        <v>0</v>
      </c>
      <c r="P563" s="40">
        <f>SUMIFS('Weekly Dump'!R:R,'Weekly Dump'!B:B,C563,'Weekly Dump'!A:A,AB563)</f>
        <v>0</v>
      </c>
      <c r="Q563" s="40">
        <f t="shared" si="20"/>
        <v>0</v>
      </c>
      <c r="R563" s="41"/>
      <c r="T563" s="4">
        <f>SUMIFS('Weekly Dump'!E:E,'Weekly Dump'!B:B,C563,'Weekly Dump'!A:A,AB563)</f>
        <v>0</v>
      </c>
      <c r="U563" s="3">
        <f t="shared" si="21"/>
        <v>0</v>
      </c>
      <c r="V563" s="42"/>
      <c r="X563" s="4">
        <f>SUMIFS('Weekly Dump'!P:P,'Weekly Dump'!B:B,C563,'Weekly Dump'!A:A,AB563)</f>
        <v>0</v>
      </c>
      <c r="Y563" s="4">
        <f t="shared" si="22"/>
        <v>0</v>
      </c>
      <c r="Z563" s="41"/>
      <c r="AA563" s="12" t="str">
        <f>iferror(IF(VLOOKUP(C563,'Weekly Dump'!B:B,1,0)=C563,"Yes","Missing"),"")</f>
        <v/>
      </c>
      <c r="AB563" s="66"/>
    </row>
    <row r="564">
      <c r="B564" s="63"/>
      <c r="C564" s="63"/>
      <c r="G564" s="3" t="str">
        <f t="shared" si="26"/>
        <v/>
      </c>
      <c r="I564" s="4">
        <f>SUMIFS('Weekly Dump'!D:D,'Weekly Dump'!B:B,C564)</f>
        <v>0</v>
      </c>
      <c r="J564" s="5">
        <f>SUMIFS('Weekly Dump'!AE:AE,'Weekly Dump'!B:B,C564)</f>
        <v>0</v>
      </c>
      <c r="K564" s="4">
        <f>SUMPRODUCT(
  (TEXT('Weekly Dump'!$A$2:$A1009,"mmm-yy")=TEXT($AB564,"mmm-yy"))*
  ('Weekly Dump'!$B$2:$B1009=$C564)*
  'Weekly Dump'!$D$2:$D1009)</f>
        <v>0</v>
      </c>
      <c r="L564" s="4">
        <f>SUMPRODUCT(
  (TEXT('Weekly Dump'!$A$2:$A1009,"mmm-yy")=TEXT($AB564,"mmm-yy"))*
  ('Weekly Dump'!$B$2:$B1009=$C564)*
  'Weekly Dump'!$E$2:$E1009
)</f>
        <v>0</v>
      </c>
      <c r="M564" s="4">
        <f>SUMPRODUCT(
  (TEXT('Weekly Dump'!$A$2:$A1009,"mmm-yy")=TEXT($AB564,"mmm-yy"))*
  ('Weekly Dump'!$B$2:$B1009=$C564)*
  'Weekly Dump'!$P$2:$P1009
)</f>
        <v>0</v>
      </c>
      <c r="N564" s="39"/>
      <c r="O564" s="40">
        <f>SUMIFS('Weekly Dump'!$D:$D,'Weekly Dump'!$B:$B,$C564,'Weekly Dump'!$A:$A,$AB564)</f>
        <v>0</v>
      </c>
      <c r="P564" s="40">
        <f>SUMIFS('Weekly Dump'!R:R,'Weekly Dump'!B:B,C564,'Weekly Dump'!A:A,AB564)</f>
        <v>0</v>
      </c>
      <c r="Q564" s="40">
        <f t="shared" si="20"/>
        <v>0</v>
      </c>
      <c r="R564" s="41"/>
      <c r="T564" s="4">
        <f>SUMIFS('Weekly Dump'!E:E,'Weekly Dump'!B:B,C564,'Weekly Dump'!A:A,AB564)</f>
        <v>0</v>
      </c>
      <c r="U564" s="3">
        <f t="shared" si="21"/>
        <v>0</v>
      </c>
      <c r="V564" s="42"/>
      <c r="X564" s="4">
        <f>SUMIFS('Weekly Dump'!P:P,'Weekly Dump'!B:B,C564,'Weekly Dump'!A:A,AB564)</f>
        <v>0</v>
      </c>
      <c r="Y564" s="4">
        <f t="shared" si="22"/>
        <v>0</v>
      </c>
      <c r="Z564" s="41"/>
      <c r="AA564" s="12" t="str">
        <f>iferror(IF(VLOOKUP(C564,'Weekly Dump'!B:B,1,0)=C564,"Yes","Missing"),"")</f>
        <v/>
      </c>
      <c r="AB564" s="66"/>
    </row>
    <row r="565">
      <c r="B565" s="63"/>
      <c r="C565" s="63"/>
      <c r="G565" s="3" t="str">
        <f t="shared" si="26"/>
        <v/>
      </c>
      <c r="I565" s="4">
        <f>SUMIFS('Weekly Dump'!D:D,'Weekly Dump'!B:B,C565)</f>
        <v>0</v>
      </c>
      <c r="J565" s="5">
        <f>SUMIFS('Weekly Dump'!AE:AE,'Weekly Dump'!B:B,C565)</f>
        <v>0</v>
      </c>
      <c r="K565" s="4">
        <f>SUMPRODUCT(
  (TEXT('Weekly Dump'!$A$2:$A1009,"mmm-yy")=TEXT($AB565,"mmm-yy"))*
  ('Weekly Dump'!$B$2:$B1009=$C565)*
  'Weekly Dump'!$D$2:$D1009)</f>
        <v>0</v>
      </c>
      <c r="L565" s="4">
        <f>SUMPRODUCT(
  (TEXT('Weekly Dump'!$A$2:$A1009,"mmm-yy")=TEXT($AB565,"mmm-yy"))*
  ('Weekly Dump'!$B$2:$B1009=$C565)*
  'Weekly Dump'!$E$2:$E1009
)</f>
        <v>0</v>
      </c>
      <c r="M565" s="4">
        <f>SUMPRODUCT(
  (TEXT('Weekly Dump'!$A$2:$A1009,"mmm-yy")=TEXT($AB565,"mmm-yy"))*
  ('Weekly Dump'!$B$2:$B1009=$C565)*
  'Weekly Dump'!$P$2:$P1009
)</f>
        <v>0</v>
      </c>
      <c r="N565" s="39"/>
      <c r="O565" s="40">
        <f>SUMIFS('Weekly Dump'!$D:$D,'Weekly Dump'!$B:$B,$C565,'Weekly Dump'!$A:$A,$AB565)</f>
        <v>0</v>
      </c>
      <c r="P565" s="40">
        <f>SUMIFS('Weekly Dump'!R:R,'Weekly Dump'!B:B,C565,'Weekly Dump'!A:A,AB565)</f>
        <v>0</v>
      </c>
      <c r="Q565" s="40">
        <f t="shared" si="20"/>
        <v>0</v>
      </c>
      <c r="R565" s="41"/>
      <c r="T565" s="4">
        <f>SUMIFS('Weekly Dump'!E:E,'Weekly Dump'!B:B,C565,'Weekly Dump'!A:A,AB565)</f>
        <v>0</v>
      </c>
      <c r="U565" s="3">
        <f t="shared" si="21"/>
        <v>0</v>
      </c>
      <c r="V565" s="42"/>
      <c r="X565" s="4">
        <f>SUMIFS('Weekly Dump'!P:P,'Weekly Dump'!B:B,C565,'Weekly Dump'!A:A,AB565)</f>
        <v>0</v>
      </c>
      <c r="Y565" s="4">
        <f t="shared" si="22"/>
        <v>0</v>
      </c>
      <c r="Z565" s="41"/>
      <c r="AA565" s="12" t="str">
        <f>iferror(IF(VLOOKUP(C565,'Weekly Dump'!B:B,1,0)=C565,"Yes","Missing"),"")</f>
        <v/>
      </c>
      <c r="AB565" s="66"/>
    </row>
    <row r="566">
      <c r="B566" s="63"/>
      <c r="C566" s="63"/>
      <c r="G566" s="3" t="str">
        <f t="shared" si="26"/>
        <v/>
      </c>
      <c r="I566" s="4">
        <f>SUMIFS('Weekly Dump'!D:D,'Weekly Dump'!B:B,C566)</f>
        <v>0</v>
      </c>
      <c r="J566" s="5">
        <f>SUMIFS('Weekly Dump'!AE:AE,'Weekly Dump'!B:B,C566)</f>
        <v>0</v>
      </c>
      <c r="K566" s="4">
        <f>SUMPRODUCT(
  (TEXT('Weekly Dump'!$A$2:$A1009,"mmm-yy")=TEXT($AB566,"mmm-yy"))*
  ('Weekly Dump'!$B$2:$B1009=$C566)*
  'Weekly Dump'!$D$2:$D1009)</f>
        <v>0</v>
      </c>
      <c r="L566" s="4">
        <f>SUMPRODUCT(
  (TEXT('Weekly Dump'!$A$2:$A1009,"mmm-yy")=TEXT($AB566,"mmm-yy"))*
  ('Weekly Dump'!$B$2:$B1009=$C566)*
  'Weekly Dump'!$E$2:$E1009
)</f>
        <v>0</v>
      </c>
      <c r="M566" s="4">
        <f>SUMPRODUCT(
  (TEXT('Weekly Dump'!$A$2:$A1009,"mmm-yy")=TEXT($AB566,"mmm-yy"))*
  ('Weekly Dump'!$B$2:$B1009=$C566)*
  'Weekly Dump'!$P$2:$P1009
)</f>
        <v>0</v>
      </c>
      <c r="N566" s="39"/>
      <c r="O566" s="40">
        <f>SUMIFS('Weekly Dump'!$D:$D,'Weekly Dump'!$B:$B,$C566,'Weekly Dump'!$A:$A,$AB566)</f>
        <v>0</v>
      </c>
      <c r="P566" s="40">
        <f>SUMIFS('Weekly Dump'!R:R,'Weekly Dump'!B:B,C566,'Weekly Dump'!A:A,AB566)</f>
        <v>0</v>
      </c>
      <c r="Q566" s="40">
        <f t="shared" si="20"/>
        <v>0</v>
      </c>
      <c r="R566" s="41"/>
      <c r="T566" s="4">
        <f>SUMIFS('Weekly Dump'!E:E,'Weekly Dump'!B:B,C566,'Weekly Dump'!A:A,AB566)</f>
        <v>0</v>
      </c>
      <c r="U566" s="3">
        <f t="shared" si="21"/>
        <v>0</v>
      </c>
      <c r="V566" s="42"/>
      <c r="X566" s="4">
        <f>SUMIFS('Weekly Dump'!P:P,'Weekly Dump'!B:B,C566,'Weekly Dump'!A:A,AB566)</f>
        <v>0</v>
      </c>
      <c r="Y566" s="4">
        <f t="shared" si="22"/>
        <v>0</v>
      </c>
      <c r="Z566" s="41"/>
      <c r="AA566" s="12" t="str">
        <f>iferror(IF(VLOOKUP(C566,'Weekly Dump'!B:B,1,0)=C566,"Yes","Missing"),"")</f>
        <v/>
      </c>
      <c r="AB566" s="66"/>
    </row>
    <row r="567">
      <c r="B567" s="63"/>
      <c r="C567" s="63"/>
      <c r="G567" s="3" t="str">
        <f t="shared" si="26"/>
        <v/>
      </c>
      <c r="I567" s="4">
        <f>SUMIFS('Weekly Dump'!D:D,'Weekly Dump'!B:B,C567)</f>
        <v>0</v>
      </c>
      <c r="J567" s="5">
        <f>SUMIFS('Weekly Dump'!AE:AE,'Weekly Dump'!B:B,C567)</f>
        <v>0</v>
      </c>
      <c r="K567" s="4">
        <f>SUMPRODUCT(
  (TEXT('Weekly Dump'!$A$2:$A1009,"mmm-yy")=TEXT($AB567,"mmm-yy"))*
  ('Weekly Dump'!$B$2:$B1009=$C567)*
  'Weekly Dump'!$D$2:$D1009)</f>
        <v>0</v>
      </c>
      <c r="L567" s="4">
        <f>SUMPRODUCT(
  (TEXT('Weekly Dump'!$A$2:$A1009,"mmm-yy")=TEXT($AB567,"mmm-yy"))*
  ('Weekly Dump'!$B$2:$B1009=$C567)*
  'Weekly Dump'!$E$2:$E1009
)</f>
        <v>0</v>
      </c>
      <c r="M567" s="4">
        <f>SUMPRODUCT(
  (TEXT('Weekly Dump'!$A$2:$A1009,"mmm-yy")=TEXT($AB567,"mmm-yy"))*
  ('Weekly Dump'!$B$2:$B1009=$C567)*
  'Weekly Dump'!$P$2:$P1009
)</f>
        <v>0</v>
      </c>
      <c r="N567" s="39"/>
      <c r="O567" s="40">
        <f>SUMIFS('Weekly Dump'!$D:$D,'Weekly Dump'!$B:$B,$C567,'Weekly Dump'!$A:$A,$AB567)</f>
        <v>0</v>
      </c>
      <c r="P567" s="40">
        <f>SUMIFS('Weekly Dump'!R:R,'Weekly Dump'!B:B,C567,'Weekly Dump'!A:A,AB567)</f>
        <v>0</v>
      </c>
      <c r="Q567" s="40">
        <f t="shared" si="20"/>
        <v>0</v>
      </c>
      <c r="R567" s="41"/>
      <c r="T567" s="4">
        <f>SUMIFS('Weekly Dump'!E:E,'Weekly Dump'!B:B,C567,'Weekly Dump'!A:A,AB567)</f>
        <v>0</v>
      </c>
      <c r="U567" s="3">
        <f t="shared" si="21"/>
        <v>0</v>
      </c>
      <c r="V567" s="42"/>
      <c r="X567" s="4">
        <f>SUMIFS('Weekly Dump'!P:P,'Weekly Dump'!B:B,C567,'Weekly Dump'!A:A,AB567)</f>
        <v>0</v>
      </c>
      <c r="Y567" s="4">
        <f t="shared" si="22"/>
        <v>0</v>
      </c>
      <c r="Z567" s="41"/>
      <c r="AA567" s="12" t="str">
        <f>iferror(IF(VLOOKUP(C567,'Weekly Dump'!B:B,1,0)=C567,"Yes","Missing"),"")</f>
        <v/>
      </c>
      <c r="AB567" s="66"/>
    </row>
    <row r="568">
      <c r="B568" s="63"/>
      <c r="C568" s="63"/>
      <c r="G568" s="3" t="str">
        <f t="shared" si="26"/>
        <v/>
      </c>
      <c r="I568" s="4">
        <f>SUMIFS('Weekly Dump'!D:D,'Weekly Dump'!B:B,C568)</f>
        <v>0</v>
      </c>
      <c r="J568" s="5">
        <f>SUMIFS('Weekly Dump'!AE:AE,'Weekly Dump'!B:B,C568)</f>
        <v>0</v>
      </c>
      <c r="K568" s="4">
        <f>SUMPRODUCT(
  (TEXT('Weekly Dump'!$A$2:$A1009,"mmm-yy")=TEXT($AB568,"mmm-yy"))*
  ('Weekly Dump'!$B$2:$B1009=$C568)*
  'Weekly Dump'!$D$2:$D1009)</f>
        <v>0</v>
      </c>
      <c r="L568" s="4">
        <f>SUMPRODUCT(
  (TEXT('Weekly Dump'!$A$2:$A1009,"mmm-yy")=TEXT($AB568,"mmm-yy"))*
  ('Weekly Dump'!$B$2:$B1009=$C568)*
  'Weekly Dump'!$E$2:$E1009
)</f>
        <v>0</v>
      </c>
      <c r="M568" s="4">
        <f>SUMPRODUCT(
  (TEXT('Weekly Dump'!$A$2:$A1009,"mmm-yy")=TEXT($AB568,"mmm-yy"))*
  ('Weekly Dump'!$B$2:$B1009=$C568)*
  'Weekly Dump'!$P$2:$P1009
)</f>
        <v>0</v>
      </c>
      <c r="N568" s="39"/>
      <c r="O568" s="40">
        <f>SUMIFS('Weekly Dump'!$D:$D,'Weekly Dump'!$B:$B,$C568,'Weekly Dump'!$A:$A,$AB568)</f>
        <v>0</v>
      </c>
      <c r="P568" s="40">
        <f>SUMIFS('Weekly Dump'!R:R,'Weekly Dump'!B:B,C568,'Weekly Dump'!A:A,AB568)</f>
        <v>0</v>
      </c>
      <c r="Q568" s="40">
        <f t="shared" si="20"/>
        <v>0</v>
      </c>
      <c r="R568" s="41"/>
      <c r="T568" s="4">
        <f>SUMIFS('Weekly Dump'!E:E,'Weekly Dump'!B:B,C568,'Weekly Dump'!A:A,AB568)</f>
        <v>0</v>
      </c>
      <c r="U568" s="3">
        <f t="shared" si="21"/>
        <v>0</v>
      </c>
      <c r="V568" s="42"/>
      <c r="X568" s="4">
        <f>SUMIFS('Weekly Dump'!P:P,'Weekly Dump'!B:B,C568,'Weekly Dump'!A:A,AB568)</f>
        <v>0</v>
      </c>
      <c r="Y568" s="4">
        <f t="shared" si="22"/>
        <v>0</v>
      </c>
      <c r="Z568" s="41"/>
      <c r="AA568" s="12" t="str">
        <f>iferror(IF(VLOOKUP(C568,'Weekly Dump'!B:B,1,0)=C568,"Yes","Missing"),"")</f>
        <v/>
      </c>
      <c r="AB568" s="66"/>
    </row>
    <row r="569">
      <c r="B569" s="63"/>
      <c r="C569" s="63"/>
      <c r="G569" s="3" t="str">
        <f t="shared" si="26"/>
        <v/>
      </c>
      <c r="I569" s="4">
        <f>SUMIFS('Weekly Dump'!D:D,'Weekly Dump'!B:B,C569)</f>
        <v>0</v>
      </c>
      <c r="J569" s="5">
        <f>SUMIFS('Weekly Dump'!AE:AE,'Weekly Dump'!B:B,C569)</f>
        <v>0</v>
      </c>
      <c r="K569" s="4">
        <f>SUMPRODUCT(
  (TEXT('Weekly Dump'!$A$2:$A1009,"mmm-yy")=TEXT($AB569,"mmm-yy"))*
  ('Weekly Dump'!$B$2:$B1009=$C569)*
  'Weekly Dump'!$D$2:$D1009)</f>
        <v>0</v>
      </c>
      <c r="L569" s="4">
        <f>SUMPRODUCT(
  (TEXT('Weekly Dump'!$A$2:$A1009,"mmm-yy")=TEXT($AB569,"mmm-yy"))*
  ('Weekly Dump'!$B$2:$B1009=$C569)*
  'Weekly Dump'!$E$2:$E1009
)</f>
        <v>0</v>
      </c>
      <c r="M569" s="4">
        <f>SUMPRODUCT(
  (TEXT('Weekly Dump'!$A$2:$A1009,"mmm-yy")=TEXT($AB569,"mmm-yy"))*
  ('Weekly Dump'!$B$2:$B1009=$C569)*
  'Weekly Dump'!$P$2:$P1009
)</f>
        <v>0</v>
      </c>
      <c r="N569" s="39"/>
      <c r="O569" s="40">
        <f>SUMIFS('Weekly Dump'!$D:$D,'Weekly Dump'!$B:$B,$C569,'Weekly Dump'!$A:$A,$AB569)</f>
        <v>0</v>
      </c>
      <c r="P569" s="40">
        <f>SUMIFS('Weekly Dump'!R:R,'Weekly Dump'!B:B,C569,'Weekly Dump'!A:A,AB569)</f>
        <v>0</v>
      </c>
      <c r="Q569" s="40">
        <f t="shared" si="20"/>
        <v>0</v>
      </c>
      <c r="R569" s="41"/>
      <c r="T569" s="4">
        <f>SUMIFS('Weekly Dump'!E:E,'Weekly Dump'!B:B,C569,'Weekly Dump'!A:A,AB569)</f>
        <v>0</v>
      </c>
      <c r="U569" s="3">
        <f t="shared" si="21"/>
        <v>0</v>
      </c>
      <c r="V569" s="42"/>
      <c r="X569" s="4">
        <f>SUMIFS('Weekly Dump'!P:P,'Weekly Dump'!B:B,C569,'Weekly Dump'!A:A,AB569)</f>
        <v>0</v>
      </c>
      <c r="Y569" s="4">
        <f t="shared" si="22"/>
        <v>0</v>
      </c>
      <c r="Z569" s="41"/>
      <c r="AA569" s="12" t="str">
        <f>iferror(IF(VLOOKUP(C569,'Weekly Dump'!B:B,1,0)=C569,"Yes","Missing"),"")</f>
        <v/>
      </c>
      <c r="AB569" s="66"/>
    </row>
    <row r="570">
      <c r="B570" s="63"/>
      <c r="C570" s="63"/>
      <c r="G570" s="3" t="str">
        <f t="shared" si="26"/>
        <v/>
      </c>
      <c r="I570" s="4">
        <f>SUMIFS('Weekly Dump'!D:D,'Weekly Dump'!B:B,C570)</f>
        <v>0</v>
      </c>
      <c r="J570" s="5">
        <f>SUMIFS('Weekly Dump'!AE:AE,'Weekly Dump'!B:B,C570)</f>
        <v>0</v>
      </c>
      <c r="K570" s="4">
        <f>SUMPRODUCT(
  (TEXT('Weekly Dump'!$A$2:$A1009,"mmm-yy")=TEXT($AB570,"mmm-yy"))*
  ('Weekly Dump'!$B$2:$B1009=$C570)*
  'Weekly Dump'!$D$2:$D1009)</f>
        <v>0</v>
      </c>
      <c r="L570" s="4">
        <f>SUMPRODUCT(
  (TEXT('Weekly Dump'!$A$2:$A1009,"mmm-yy")=TEXT($AB570,"mmm-yy"))*
  ('Weekly Dump'!$B$2:$B1009=$C570)*
  'Weekly Dump'!$E$2:$E1009
)</f>
        <v>0</v>
      </c>
      <c r="M570" s="4">
        <f>SUMPRODUCT(
  (TEXT('Weekly Dump'!$A$2:$A1009,"mmm-yy")=TEXT($AB570,"mmm-yy"))*
  ('Weekly Dump'!$B$2:$B1009=$C570)*
  'Weekly Dump'!$P$2:$P1009
)</f>
        <v>0</v>
      </c>
      <c r="N570" s="39"/>
      <c r="O570" s="40">
        <f>SUMIFS('Weekly Dump'!$D:$D,'Weekly Dump'!$B:$B,$C570,'Weekly Dump'!$A:$A,$AB570)</f>
        <v>0</v>
      </c>
      <c r="P570" s="40">
        <f>SUMIFS('Weekly Dump'!R:R,'Weekly Dump'!B:B,C570,'Weekly Dump'!A:A,AB570)</f>
        <v>0</v>
      </c>
      <c r="Q570" s="40">
        <f t="shared" si="20"/>
        <v>0</v>
      </c>
      <c r="R570" s="41"/>
      <c r="T570" s="4">
        <f>SUMIFS('Weekly Dump'!E:E,'Weekly Dump'!B:B,C570,'Weekly Dump'!A:A,AB570)</f>
        <v>0</v>
      </c>
      <c r="U570" s="3">
        <f t="shared" si="21"/>
        <v>0</v>
      </c>
      <c r="V570" s="42"/>
      <c r="X570" s="4">
        <f>SUMIFS('Weekly Dump'!P:P,'Weekly Dump'!B:B,C570,'Weekly Dump'!A:A,AB570)</f>
        <v>0</v>
      </c>
      <c r="Y570" s="4">
        <f t="shared" si="22"/>
        <v>0</v>
      </c>
      <c r="Z570" s="41"/>
      <c r="AA570" s="12" t="str">
        <f>iferror(IF(VLOOKUP(C570,'Weekly Dump'!B:B,1,0)=C570,"Yes","Missing"),"")</f>
        <v/>
      </c>
      <c r="AB570" s="66"/>
    </row>
    <row r="571">
      <c r="B571" s="63"/>
      <c r="C571" s="63"/>
      <c r="G571" s="3" t="str">
        <f t="shared" si="26"/>
        <v/>
      </c>
      <c r="I571" s="4">
        <f>SUMIFS('Weekly Dump'!D:D,'Weekly Dump'!B:B,C571)</f>
        <v>0</v>
      </c>
      <c r="J571" s="5">
        <f>SUMIFS('Weekly Dump'!AE:AE,'Weekly Dump'!B:B,C571)</f>
        <v>0</v>
      </c>
      <c r="K571" s="4">
        <f>SUMPRODUCT(
  (TEXT('Weekly Dump'!$A$2:$A1009,"mmm-yy")=TEXT($AB571,"mmm-yy"))*
  ('Weekly Dump'!$B$2:$B1009=$C571)*
  'Weekly Dump'!$D$2:$D1009)</f>
        <v>0</v>
      </c>
      <c r="L571" s="4">
        <f>SUMPRODUCT(
  (TEXT('Weekly Dump'!$A$2:$A1009,"mmm-yy")=TEXT($AB571,"mmm-yy"))*
  ('Weekly Dump'!$B$2:$B1009=$C571)*
  'Weekly Dump'!$E$2:$E1009
)</f>
        <v>0</v>
      </c>
      <c r="M571" s="4">
        <f>SUMPRODUCT(
  (TEXT('Weekly Dump'!$A$2:$A1009,"mmm-yy")=TEXT($AB571,"mmm-yy"))*
  ('Weekly Dump'!$B$2:$B1009=$C571)*
  'Weekly Dump'!$P$2:$P1009
)</f>
        <v>0</v>
      </c>
      <c r="N571" s="39"/>
      <c r="O571" s="40">
        <f>SUMIFS('Weekly Dump'!$D:$D,'Weekly Dump'!$B:$B,$C571,'Weekly Dump'!$A:$A,$AB571)</f>
        <v>0</v>
      </c>
      <c r="P571" s="40">
        <f>SUMIFS('Weekly Dump'!R:R,'Weekly Dump'!B:B,C571,'Weekly Dump'!A:A,AB571)</f>
        <v>0</v>
      </c>
      <c r="Q571" s="40">
        <f t="shared" si="20"/>
        <v>0</v>
      </c>
      <c r="R571" s="41"/>
      <c r="T571" s="4">
        <f>SUMIFS('Weekly Dump'!E:E,'Weekly Dump'!B:B,C571,'Weekly Dump'!A:A,AB571)</f>
        <v>0</v>
      </c>
      <c r="U571" s="3">
        <f t="shared" si="21"/>
        <v>0</v>
      </c>
      <c r="V571" s="42"/>
      <c r="X571" s="4">
        <f>SUMIFS('Weekly Dump'!P:P,'Weekly Dump'!B:B,C571,'Weekly Dump'!A:A,AB571)</f>
        <v>0</v>
      </c>
      <c r="Y571" s="4">
        <f t="shared" si="22"/>
        <v>0</v>
      </c>
      <c r="Z571" s="41"/>
      <c r="AA571" s="12" t="str">
        <f>iferror(IF(VLOOKUP(C571,'Weekly Dump'!B:B,1,0)=C571,"Yes","Missing"),"")</f>
        <v/>
      </c>
      <c r="AB571" s="66"/>
    </row>
    <row r="572">
      <c r="B572" s="63"/>
      <c r="C572" s="63"/>
      <c r="G572" s="3" t="str">
        <f t="shared" si="26"/>
        <v/>
      </c>
      <c r="I572" s="4">
        <f>SUMIFS('Weekly Dump'!D:D,'Weekly Dump'!B:B,C572)</f>
        <v>0</v>
      </c>
      <c r="J572" s="5">
        <f>SUMIFS('Weekly Dump'!AE:AE,'Weekly Dump'!B:B,C572)</f>
        <v>0</v>
      </c>
      <c r="K572" s="4">
        <f>SUMPRODUCT(
  (TEXT('Weekly Dump'!$A$2:$A1009,"mmm-yy")=TEXT($AB572,"mmm-yy"))*
  ('Weekly Dump'!$B$2:$B1009=$C572)*
  'Weekly Dump'!$D$2:$D1009)</f>
        <v>0</v>
      </c>
      <c r="L572" s="4">
        <f>SUMPRODUCT(
  (TEXT('Weekly Dump'!$A$2:$A1009,"mmm-yy")=TEXT($AB572,"mmm-yy"))*
  ('Weekly Dump'!$B$2:$B1009=$C572)*
  'Weekly Dump'!$E$2:$E1009
)</f>
        <v>0</v>
      </c>
      <c r="M572" s="4">
        <f>SUMPRODUCT(
  (TEXT('Weekly Dump'!$A$2:$A1009,"mmm-yy")=TEXT($AB572,"mmm-yy"))*
  ('Weekly Dump'!$B$2:$B1009=$C572)*
  'Weekly Dump'!$P$2:$P1009
)</f>
        <v>0</v>
      </c>
      <c r="N572" s="39"/>
      <c r="O572" s="40">
        <f>SUMIFS('Weekly Dump'!$D:$D,'Weekly Dump'!$B:$B,$C572,'Weekly Dump'!$A:$A,$AB572)</f>
        <v>0</v>
      </c>
      <c r="P572" s="40">
        <f>SUMIFS('Weekly Dump'!R:R,'Weekly Dump'!B:B,C572,'Weekly Dump'!A:A,AB572)</f>
        <v>0</v>
      </c>
      <c r="Q572" s="40">
        <f t="shared" si="20"/>
        <v>0</v>
      </c>
      <c r="R572" s="41"/>
      <c r="T572" s="4">
        <f>SUMIFS('Weekly Dump'!E:E,'Weekly Dump'!B:B,C572,'Weekly Dump'!A:A,AB572)</f>
        <v>0</v>
      </c>
      <c r="U572" s="3">
        <f t="shared" si="21"/>
        <v>0</v>
      </c>
      <c r="V572" s="42"/>
      <c r="X572" s="4">
        <f>SUMIFS('Weekly Dump'!P:P,'Weekly Dump'!B:B,C572,'Weekly Dump'!A:A,AB572)</f>
        <v>0</v>
      </c>
      <c r="Y572" s="4">
        <f t="shared" si="22"/>
        <v>0</v>
      </c>
      <c r="Z572" s="41"/>
      <c r="AA572" s="12" t="str">
        <f>iferror(IF(VLOOKUP(C572,'Weekly Dump'!B:B,1,0)=C572,"Yes","Missing"),"")</f>
        <v/>
      </c>
      <c r="AB572" s="66"/>
    </row>
    <row r="573">
      <c r="B573" s="63"/>
      <c r="C573" s="63"/>
      <c r="G573" s="3" t="str">
        <f t="shared" si="26"/>
        <v/>
      </c>
      <c r="I573" s="4">
        <f>SUMIFS('Weekly Dump'!D:D,'Weekly Dump'!B:B,C573)</f>
        <v>0</v>
      </c>
      <c r="J573" s="5">
        <f>SUMIFS('Weekly Dump'!AE:AE,'Weekly Dump'!B:B,C573)</f>
        <v>0</v>
      </c>
      <c r="K573" s="4">
        <f>SUMPRODUCT(
  (TEXT('Weekly Dump'!$A$2:$A1009,"mmm-yy")=TEXT($AB573,"mmm-yy"))*
  ('Weekly Dump'!$B$2:$B1009=$C573)*
  'Weekly Dump'!$D$2:$D1009)</f>
        <v>0</v>
      </c>
      <c r="L573" s="4">
        <f>SUMPRODUCT(
  (TEXT('Weekly Dump'!$A$2:$A1009,"mmm-yy")=TEXT($AB573,"mmm-yy"))*
  ('Weekly Dump'!$B$2:$B1009=$C573)*
  'Weekly Dump'!$E$2:$E1009
)</f>
        <v>0</v>
      </c>
      <c r="M573" s="4">
        <f>SUMPRODUCT(
  (TEXT('Weekly Dump'!$A$2:$A1009,"mmm-yy")=TEXT($AB573,"mmm-yy"))*
  ('Weekly Dump'!$B$2:$B1009=$C573)*
  'Weekly Dump'!$P$2:$P1009
)</f>
        <v>0</v>
      </c>
      <c r="N573" s="39"/>
      <c r="O573" s="40">
        <f>SUMIFS('Weekly Dump'!$D:$D,'Weekly Dump'!$B:$B,$C573,'Weekly Dump'!$A:$A,$AB573)</f>
        <v>0</v>
      </c>
      <c r="P573" s="40">
        <f>SUMIFS('Weekly Dump'!R:R,'Weekly Dump'!B:B,C573,'Weekly Dump'!A:A,AB573)</f>
        <v>0</v>
      </c>
      <c r="Q573" s="40">
        <f t="shared" si="20"/>
        <v>0</v>
      </c>
      <c r="R573" s="41"/>
      <c r="T573" s="4">
        <f>SUMIFS('Weekly Dump'!E:E,'Weekly Dump'!B:B,C573,'Weekly Dump'!A:A,AB573)</f>
        <v>0</v>
      </c>
      <c r="U573" s="3">
        <f t="shared" si="21"/>
        <v>0</v>
      </c>
      <c r="V573" s="42"/>
      <c r="X573" s="4">
        <f>SUMIFS('Weekly Dump'!P:P,'Weekly Dump'!B:B,C573,'Weekly Dump'!A:A,AB573)</f>
        <v>0</v>
      </c>
      <c r="Y573" s="4">
        <f t="shared" si="22"/>
        <v>0</v>
      </c>
      <c r="Z573" s="41"/>
      <c r="AA573" s="12" t="str">
        <f>iferror(IF(VLOOKUP(C573,'Weekly Dump'!B:B,1,0)=C573,"Yes","Missing"),"")</f>
        <v/>
      </c>
      <c r="AB573" s="66"/>
    </row>
    <row r="574">
      <c r="B574" s="63"/>
      <c r="C574" s="63"/>
      <c r="G574" s="3" t="str">
        <f t="shared" si="26"/>
        <v/>
      </c>
      <c r="I574" s="4">
        <f>SUMIFS('Weekly Dump'!D:D,'Weekly Dump'!B:B,C574)</f>
        <v>0</v>
      </c>
      <c r="J574" s="5">
        <f>SUMIFS('Weekly Dump'!AE:AE,'Weekly Dump'!B:B,C574)</f>
        <v>0</v>
      </c>
      <c r="K574" s="4">
        <f>SUMPRODUCT(
  (TEXT('Weekly Dump'!$A$2:$A1009,"mmm-yy")=TEXT($AB574,"mmm-yy"))*
  ('Weekly Dump'!$B$2:$B1009=$C574)*
  'Weekly Dump'!$D$2:$D1009)</f>
        <v>0</v>
      </c>
      <c r="L574" s="4">
        <f>SUMPRODUCT(
  (TEXT('Weekly Dump'!$A$2:$A1009,"mmm-yy")=TEXT($AB574,"mmm-yy"))*
  ('Weekly Dump'!$B$2:$B1009=$C574)*
  'Weekly Dump'!$E$2:$E1009
)</f>
        <v>0</v>
      </c>
      <c r="M574" s="4">
        <f>SUMPRODUCT(
  (TEXT('Weekly Dump'!$A$2:$A1009,"mmm-yy")=TEXT($AB574,"mmm-yy"))*
  ('Weekly Dump'!$B$2:$B1009=$C574)*
  'Weekly Dump'!$P$2:$P1009
)</f>
        <v>0</v>
      </c>
      <c r="N574" s="39"/>
      <c r="O574" s="40">
        <f>SUMIFS('Weekly Dump'!$D:$D,'Weekly Dump'!$B:$B,$C574,'Weekly Dump'!$A:$A,$AB574)</f>
        <v>0</v>
      </c>
      <c r="P574" s="40">
        <f>SUMIFS('Weekly Dump'!R:R,'Weekly Dump'!B:B,C574,'Weekly Dump'!A:A,AB574)</f>
        <v>0</v>
      </c>
      <c r="Q574" s="40">
        <f t="shared" si="20"/>
        <v>0</v>
      </c>
      <c r="R574" s="41"/>
      <c r="T574" s="4">
        <f>SUMIFS('Weekly Dump'!E:E,'Weekly Dump'!B:B,C574,'Weekly Dump'!A:A,AB574)</f>
        <v>0</v>
      </c>
      <c r="U574" s="3">
        <f t="shared" si="21"/>
        <v>0</v>
      </c>
      <c r="V574" s="42"/>
      <c r="X574" s="4">
        <f>SUMIFS('Weekly Dump'!P:P,'Weekly Dump'!B:B,C574,'Weekly Dump'!A:A,AB574)</f>
        <v>0</v>
      </c>
      <c r="Y574" s="4">
        <f t="shared" si="22"/>
        <v>0</v>
      </c>
      <c r="Z574" s="41"/>
      <c r="AA574" s="12" t="str">
        <f>iferror(IF(VLOOKUP(C574,'Weekly Dump'!B:B,1,0)=C574,"Yes","Missing"),"")</f>
        <v/>
      </c>
      <c r="AB574" s="66"/>
    </row>
    <row r="575">
      <c r="B575" s="63"/>
      <c r="C575" s="63"/>
      <c r="G575" s="3" t="str">
        <f t="shared" si="26"/>
        <v/>
      </c>
      <c r="I575" s="4">
        <f>SUMIFS('Weekly Dump'!D:D,'Weekly Dump'!B:B,C575)</f>
        <v>0</v>
      </c>
      <c r="J575" s="5">
        <f>SUMIFS('Weekly Dump'!AE:AE,'Weekly Dump'!B:B,C575)</f>
        <v>0</v>
      </c>
      <c r="K575" s="4">
        <f>SUMPRODUCT(
  (TEXT('Weekly Dump'!$A$2:$A1009,"mmm-yy")=TEXT($AB575,"mmm-yy"))*
  ('Weekly Dump'!$B$2:$B1009=$C575)*
  'Weekly Dump'!$D$2:$D1009)</f>
        <v>0</v>
      </c>
      <c r="L575" s="4">
        <f>SUMPRODUCT(
  (TEXT('Weekly Dump'!$A$2:$A1009,"mmm-yy")=TEXT($AB575,"mmm-yy"))*
  ('Weekly Dump'!$B$2:$B1009=$C575)*
  'Weekly Dump'!$E$2:$E1009
)</f>
        <v>0</v>
      </c>
      <c r="M575" s="4">
        <f>SUMPRODUCT(
  (TEXT('Weekly Dump'!$A$2:$A1009,"mmm-yy")=TEXT($AB575,"mmm-yy"))*
  ('Weekly Dump'!$B$2:$B1009=$C575)*
  'Weekly Dump'!$P$2:$P1009
)</f>
        <v>0</v>
      </c>
      <c r="N575" s="39"/>
      <c r="O575" s="40">
        <f>SUMIFS('Weekly Dump'!$D:$D,'Weekly Dump'!$B:$B,$C575,'Weekly Dump'!$A:$A,$AB575)</f>
        <v>0</v>
      </c>
      <c r="P575" s="40">
        <f>SUMIFS('Weekly Dump'!R:R,'Weekly Dump'!B:B,C575,'Weekly Dump'!A:A,AB575)</f>
        <v>0</v>
      </c>
      <c r="Q575" s="40">
        <f t="shared" si="20"/>
        <v>0</v>
      </c>
      <c r="R575" s="41"/>
      <c r="T575" s="4">
        <f>SUMIFS('Weekly Dump'!E:E,'Weekly Dump'!B:B,C575,'Weekly Dump'!A:A,AB575)</f>
        <v>0</v>
      </c>
      <c r="U575" s="3">
        <f t="shared" si="21"/>
        <v>0</v>
      </c>
      <c r="V575" s="42"/>
      <c r="X575" s="4">
        <f>SUMIFS('Weekly Dump'!P:P,'Weekly Dump'!B:B,C575,'Weekly Dump'!A:A,AB575)</f>
        <v>0</v>
      </c>
      <c r="Y575" s="4">
        <f t="shared" si="22"/>
        <v>0</v>
      </c>
      <c r="Z575" s="41"/>
      <c r="AA575" s="12" t="str">
        <f>iferror(IF(VLOOKUP(C575,'Weekly Dump'!B:B,1,0)=C575,"Yes","Missing"),"")</f>
        <v/>
      </c>
      <c r="AB575" s="66"/>
    </row>
    <row r="576">
      <c r="B576" s="63"/>
      <c r="C576" s="63"/>
      <c r="G576" s="3" t="str">
        <f t="shared" si="26"/>
        <v/>
      </c>
      <c r="I576" s="4">
        <f>SUMIFS('Weekly Dump'!D:D,'Weekly Dump'!B:B,C576)</f>
        <v>0</v>
      </c>
      <c r="J576" s="5">
        <f>SUMIFS('Weekly Dump'!AE:AE,'Weekly Dump'!B:B,C576)</f>
        <v>0</v>
      </c>
      <c r="K576" s="4">
        <f>SUMPRODUCT(
  (TEXT('Weekly Dump'!$A$2:$A1009,"mmm-yy")=TEXT($AB576,"mmm-yy"))*
  ('Weekly Dump'!$B$2:$B1009=$C576)*
  'Weekly Dump'!$D$2:$D1009)</f>
        <v>0</v>
      </c>
      <c r="L576" s="4">
        <f>SUMPRODUCT(
  (TEXT('Weekly Dump'!$A$2:$A1009,"mmm-yy")=TEXT($AB576,"mmm-yy"))*
  ('Weekly Dump'!$B$2:$B1009=$C576)*
  'Weekly Dump'!$E$2:$E1009
)</f>
        <v>0</v>
      </c>
      <c r="M576" s="4">
        <f>SUMPRODUCT(
  (TEXT('Weekly Dump'!$A$2:$A1009,"mmm-yy")=TEXT($AB576,"mmm-yy"))*
  ('Weekly Dump'!$B$2:$B1009=$C576)*
  'Weekly Dump'!$P$2:$P1009
)</f>
        <v>0</v>
      </c>
      <c r="N576" s="39"/>
      <c r="O576" s="40">
        <f>SUMIFS('Weekly Dump'!$D:$D,'Weekly Dump'!$B:$B,$C576,'Weekly Dump'!$A:$A,$AB576)</f>
        <v>0</v>
      </c>
      <c r="P576" s="40">
        <f>SUMIFS('Weekly Dump'!R:R,'Weekly Dump'!B:B,C576,'Weekly Dump'!A:A,AB576)</f>
        <v>0</v>
      </c>
      <c r="Q576" s="40">
        <f t="shared" si="20"/>
        <v>0</v>
      </c>
      <c r="R576" s="41"/>
      <c r="T576" s="4">
        <f>SUMIFS('Weekly Dump'!E:E,'Weekly Dump'!B:B,C576,'Weekly Dump'!A:A,AB576)</f>
        <v>0</v>
      </c>
      <c r="U576" s="3">
        <f t="shared" si="21"/>
        <v>0</v>
      </c>
      <c r="V576" s="42"/>
      <c r="X576" s="4">
        <f>SUMIFS('Weekly Dump'!P:P,'Weekly Dump'!B:B,C576,'Weekly Dump'!A:A,AB576)</f>
        <v>0</v>
      </c>
      <c r="Y576" s="4">
        <f t="shared" si="22"/>
        <v>0</v>
      </c>
      <c r="Z576" s="41"/>
      <c r="AA576" s="12" t="str">
        <f>iferror(IF(VLOOKUP(C576,'Weekly Dump'!B:B,1,0)=C576,"Yes","Missing"),"")</f>
        <v/>
      </c>
      <c r="AB576" s="66"/>
    </row>
    <row r="577">
      <c r="B577" s="63"/>
      <c r="C577" s="63"/>
      <c r="G577" s="3" t="str">
        <f t="shared" si="26"/>
        <v/>
      </c>
      <c r="I577" s="4">
        <f>SUMIFS('Weekly Dump'!D:D,'Weekly Dump'!B:B,C577)</f>
        <v>0</v>
      </c>
      <c r="J577" s="5">
        <f>SUMIFS('Weekly Dump'!AE:AE,'Weekly Dump'!B:B,C577)</f>
        <v>0</v>
      </c>
      <c r="K577" s="4">
        <f>SUMPRODUCT(
  (TEXT('Weekly Dump'!$A$2:$A1009,"mmm-yy")=TEXT($AB577,"mmm-yy"))*
  ('Weekly Dump'!$B$2:$B1009=$C577)*
  'Weekly Dump'!$D$2:$D1009)</f>
        <v>0</v>
      </c>
      <c r="L577" s="4">
        <f>SUMPRODUCT(
  (TEXT('Weekly Dump'!$A$2:$A1009,"mmm-yy")=TEXT($AB577,"mmm-yy"))*
  ('Weekly Dump'!$B$2:$B1009=$C577)*
  'Weekly Dump'!$E$2:$E1009
)</f>
        <v>0</v>
      </c>
      <c r="M577" s="4">
        <f>SUMPRODUCT(
  (TEXT('Weekly Dump'!$A$2:$A1009,"mmm-yy")=TEXT($AB577,"mmm-yy"))*
  ('Weekly Dump'!$B$2:$B1009=$C577)*
  'Weekly Dump'!$P$2:$P1009
)</f>
        <v>0</v>
      </c>
      <c r="N577" s="39"/>
      <c r="O577" s="40">
        <f>SUMIFS('Weekly Dump'!$D:$D,'Weekly Dump'!$B:$B,$C577,'Weekly Dump'!$A:$A,$AB577)</f>
        <v>0</v>
      </c>
      <c r="P577" s="40">
        <f>SUMIFS('Weekly Dump'!R:R,'Weekly Dump'!B:B,C577,'Weekly Dump'!A:A,AB577)</f>
        <v>0</v>
      </c>
      <c r="Q577" s="40">
        <f t="shared" si="20"/>
        <v>0</v>
      </c>
      <c r="R577" s="41"/>
      <c r="T577" s="4">
        <f>SUMIFS('Weekly Dump'!E:E,'Weekly Dump'!B:B,C577,'Weekly Dump'!A:A,AB577)</f>
        <v>0</v>
      </c>
      <c r="U577" s="3">
        <f t="shared" si="21"/>
        <v>0</v>
      </c>
      <c r="V577" s="42"/>
      <c r="X577" s="4">
        <f>SUMIFS('Weekly Dump'!P:P,'Weekly Dump'!B:B,C577,'Weekly Dump'!A:A,AB577)</f>
        <v>0</v>
      </c>
      <c r="Y577" s="4">
        <f t="shared" si="22"/>
        <v>0</v>
      </c>
      <c r="Z577" s="41"/>
      <c r="AA577" s="12" t="str">
        <f>iferror(IF(VLOOKUP(C577,'Weekly Dump'!B:B,1,0)=C577,"Yes","Missing"),"")</f>
        <v/>
      </c>
      <c r="AB577" s="66"/>
    </row>
    <row r="578">
      <c r="B578" s="63"/>
      <c r="C578" s="63"/>
      <c r="G578" s="3" t="str">
        <f t="shared" si="26"/>
        <v/>
      </c>
      <c r="I578" s="4">
        <f>SUMIFS('Weekly Dump'!D:D,'Weekly Dump'!B:B,C578)</f>
        <v>0</v>
      </c>
      <c r="J578" s="5">
        <f>SUMIFS('Weekly Dump'!AE:AE,'Weekly Dump'!B:B,C578)</f>
        <v>0</v>
      </c>
      <c r="K578" s="4">
        <f>SUMPRODUCT(
  (TEXT('Weekly Dump'!$A$2:$A1009,"mmm-yy")=TEXT($AB578,"mmm-yy"))*
  ('Weekly Dump'!$B$2:$B1009=$C578)*
  'Weekly Dump'!$D$2:$D1009)</f>
        <v>0</v>
      </c>
      <c r="L578" s="4">
        <f>SUMPRODUCT(
  (TEXT('Weekly Dump'!$A$2:$A1009,"mmm-yy")=TEXT($AB578,"mmm-yy"))*
  ('Weekly Dump'!$B$2:$B1009=$C578)*
  'Weekly Dump'!$E$2:$E1009
)</f>
        <v>0</v>
      </c>
      <c r="M578" s="4">
        <f>SUMPRODUCT(
  (TEXT('Weekly Dump'!$A$2:$A1009,"mmm-yy")=TEXT($AB578,"mmm-yy"))*
  ('Weekly Dump'!$B$2:$B1009=$C578)*
  'Weekly Dump'!$P$2:$P1009
)</f>
        <v>0</v>
      </c>
      <c r="N578" s="39"/>
      <c r="O578" s="40">
        <f>SUMIFS('Weekly Dump'!$D:$D,'Weekly Dump'!$B:$B,$C578,'Weekly Dump'!$A:$A,$AB578)</f>
        <v>0</v>
      </c>
      <c r="P578" s="40">
        <f>SUMIFS('Weekly Dump'!R:R,'Weekly Dump'!B:B,C578,'Weekly Dump'!A:A,AB578)</f>
        <v>0</v>
      </c>
      <c r="Q578" s="40">
        <f t="shared" si="20"/>
        <v>0</v>
      </c>
      <c r="R578" s="41"/>
      <c r="T578" s="4">
        <f>SUMIFS('Weekly Dump'!E:E,'Weekly Dump'!B:B,C578,'Weekly Dump'!A:A,AB578)</f>
        <v>0</v>
      </c>
      <c r="U578" s="3">
        <f t="shared" si="21"/>
        <v>0</v>
      </c>
      <c r="V578" s="42"/>
      <c r="X578" s="4">
        <f>SUMIFS('Weekly Dump'!P:P,'Weekly Dump'!B:B,C578,'Weekly Dump'!A:A,AB578)</f>
        <v>0</v>
      </c>
      <c r="Y578" s="4">
        <f t="shared" si="22"/>
        <v>0</v>
      </c>
      <c r="Z578" s="41"/>
      <c r="AA578" s="12" t="str">
        <f>iferror(IF(VLOOKUP(C578,'Weekly Dump'!B:B,1,0)=C578,"Yes","Missing"),"")</f>
        <v/>
      </c>
      <c r="AB578" s="66"/>
    </row>
    <row r="579">
      <c r="B579" s="63"/>
      <c r="C579" s="63"/>
      <c r="G579" s="3" t="str">
        <f t="shared" si="26"/>
        <v/>
      </c>
      <c r="I579" s="4">
        <f>SUMIFS('Weekly Dump'!D:D,'Weekly Dump'!B:B,C579)</f>
        <v>0</v>
      </c>
      <c r="J579" s="5">
        <f>SUMIFS('Weekly Dump'!AE:AE,'Weekly Dump'!B:B,C579)</f>
        <v>0</v>
      </c>
      <c r="K579" s="4">
        <f>SUMPRODUCT(
  (TEXT('Weekly Dump'!$A$2:$A1009,"mmm-yy")=TEXT($AB579,"mmm-yy"))*
  ('Weekly Dump'!$B$2:$B1009=$C579)*
  'Weekly Dump'!$D$2:$D1009)</f>
        <v>0</v>
      </c>
      <c r="L579" s="4">
        <f>SUMPRODUCT(
  (TEXT('Weekly Dump'!$A$2:$A1009,"mmm-yy")=TEXT($AB579,"mmm-yy"))*
  ('Weekly Dump'!$B$2:$B1009=$C579)*
  'Weekly Dump'!$E$2:$E1009
)</f>
        <v>0</v>
      </c>
      <c r="M579" s="4">
        <f>SUMPRODUCT(
  (TEXT('Weekly Dump'!$A$2:$A1009,"mmm-yy")=TEXT($AB579,"mmm-yy"))*
  ('Weekly Dump'!$B$2:$B1009=$C579)*
  'Weekly Dump'!$P$2:$P1009
)</f>
        <v>0</v>
      </c>
      <c r="N579" s="39"/>
      <c r="O579" s="40">
        <f>SUMIFS('Weekly Dump'!$D:$D,'Weekly Dump'!$B:$B,$C579,'Weekly Dump'!$A:$A,$AB579)</f>
        <v>0</v>
      </c>
      <c r="P579" s="40">
        <f>SUMIFS('Weekly Dump'!R:R,'Weekly Dump'!B:B,C579,'Weekly Dump'!A:A,AB579)</f>
        <v>0</v>
      </c>
      <c r="Q579" s="40">
        <f t="shared" si="20"/>
        <v>0</v>
      </c>
      <c r="R579" s="41"/>
      <c r="T579" s="4">
        <f>SUMIFS('Weekly Dump'!E:E,'Weekly Dump'!B:B,C579,'Weekly Dump'!A:A,AB579)</f>
        <v>0</v>
      </c>
      <c r="U579" s="3">
        <f t="shared" si="21"/>
        <v>0</v>
      </c>
      <c r="V579" s="42"/>
      <c r="X579" s="4">
        <f>SUMIFS('Weekly Dump'!P:P,'Weekly Dump'!B:B,C579,'Weekly Dump'!A:A,AB579)</f>
        <v>0</v>
      </c>
      <c r="Y579" s="4">
        <f t="shared" si="22"/>
        <v>0</v>
      </c>
      <c r="Z579" s="41"/>
      <c r="AA579" s="12" t="str">
        <f>iferror(IF(VLOOKUP(C579,'Weekly Dump'!B:B,1,0)=C579,"Yes","Missing"),"")</f>
        <v/>
      </c>
      <c r="AB579" s="66"/>
    </row>
    <row r="580">
      <c r="B580" s="63"/>
      <c r="C580" s="63"/>
      <c r="G580" s="3" t="str">
        <f t="shared" si="26"/>
        <v/>
      </c>
      <c r="I580" s="4">
        <f>SUMIFS('Weekly Dump'!D:D,'Weekly Dump'!B:B,C580)</f>
        <v>0</v>
      </c>
      <c r="J580" s="5">
        <f>SUMIFS('Weekly Dump'!AE:AE,'Weekly Dump'!B:B,C580)</f>
        <v>0</v>
      </c>
      <c r="K580" s="4">
        <f>SUMPRODUCT(
  (TEXT('Weekly Dump'!$A$2:$A1009,"mmm-yy")=TEXT($AB580,"mmm-yy"))*
  ('Weekly Dump'!$B$2:$B1009=$C580)*
  'Weekly Dump'!$D$2:$D1009)</f>
        <v>0</v>
      </c>
      <c r="L580" s="4">
        <f>SUMPRODUCT(
  (TEXT('Weekly Dump'!$A$2:$A1009,"mmm-yy")=TEXT($AB580,"mmm-yy"))*
  ('Weekly Dump'!$B$2:$B1009=$C580)*
  'Weekly Dump'!$E$2:$E1009
)</f>
        <v>0</v>
      </c>
      <c r="M580" s="4">
        <f>SUMPRODUCT(
  (TEXT('Weekly Dump'!$A$2:$A1009,"mmm-yy")=TEXT($AB580,"mmm-yy"))*
  ('Weekly Dump'!$B$2:$B1009=$C580)*
  'Weekly Dump'!$P$2:$P1009
)</f>
        <v>0</v>
      </c>
      <c r="N580" s="39"/>
      <c r="O580" s="40">
        <f>SUMIFS('Weekly Dump'!$D:$D,'Weekly Dump'!$B:$B,$C580,'Weekly Dump'!$A:$A,$AB580)</f>
        <v>0</v>
      </c>
      <c r="P580" s="40">
        <f>SUMIFS('Weekly Dump'!R:R,'Weekly Dump'!B:B,C580,'Weekly Dump'!A:A,AB580)</f>
        <v>0</v>
      </c>
      <c r="Q580" s="40">
        <f t="shared" si="20"/>
        <v>0</v>
      </c>
      <c r="R580" s="41"/>
      <c r="T580" s="4">
        <f>SUMIFS('Weekly Dump'!E:E,'Weekly Dump'!B:B,C580,'Weekly Dump'!A:A,AB580)</f>
        <v>0</v>
      </c>
      <c r="U580" s="3">
        <f t="shared" si="21"/>
        <v>0</v>
      </c>
      <c r="V580" s="42"/>
      <c r="X580" s="4">
        <f>SUMIFS('Weekly Dump'!P:P,'Weekly Dump'!B:B,C580,'Weekly Dump'!A:A,AB580)</f>
        <v>0</v>
      </c>
      <c r="Y580" s="4">
        <f t="shared" si="22"/>
        <v>0</v>
      </c>
      <c r="Z580" s="41"/>
      <c r="AA580" s="12" t="str">
        <f>iferror(IF(VLOOKUP(C580,'Weekly Dump'!B:B,1,0)=C580,"Yes","Missing"),"")</f>
        <v/>
      </c>
      <c r="AB580" s="66"/>
    </row>
    <row r="581">
      <c r="B581" s="63"/>
      <c r="C581" s="63"/>
      <c r="G581" s="3" t="str">
        <f t="shared" si="26"/>
        <v/>
      </c>
      <c r="I581" s="4">
        <f>SUMIFS('Weekly Dump'!D:D,'Weekly Dump'!B:B,C581)</f>
        <v>0</v>
      </c>
      <c r="J581" s="5">
        <f>SUMIFS('Weekly Dump'!AE:AE,'Weekly Dump'!B:B,C581)</f>
        <v>0</v>
      </c>
      <c r="K581" s="4">
        <f>SUMPRODUCT(
  (TEXT('Weekly Dump'!$A$2:$A1009,"mmm-yy")=TEXT($AB581,"mmm-yy"))*
  ('Weekly Dump'!$B$2:$B1009=$C581)*
  'Weekly Dump'!$D$2:$D1009)</f>
        <v>0</v>
      </c>
      <c r="L581" s="4">
        <f>SUMPRODUCT(
  (TEXT('Weekly Dump'!$A$2:$A1009,"mmm-yy")=TEXT($AB581,"mmm-yy"))*
  ('Weekly Dump'!$B$2:$B1009=$C581)*
  'Weekly Dump'!$E$2:$E1009
)</f>
        <v>0</v>
      </c>
      <c r="M581" s="4">
        <f>SUMPRODUCT(
  (TEXT('Weekly Dump'!$A$2:$A1009,"mmm-yy")=TEXT($AB581,"mmm-yy"))*
  ('Weekly Dump'!$B$2:$B1009=$C581)*
  'Weekly Dump'!$P$2:$P1009
)</f>
        <v>0</v>
      </c>
      <c r="N581" s="39"/>
      <c r="O581" s="40">
        <f>SUMIFS('Weekly Dump'!$D:$D,'Weekly Dump'!$B:$B,$C581,'Weekly Dump'!$A:$A,$AB581)</f>
        <v>0</v>
      </c>
      <c r="P581" s="40">
        <f>SUMIFS('Weekly Dump'!R:R,'Weekly Dump'!B:B,C581,'Weekly Dump'!A:A,AB581)</f>
        <v>0</v>
      </c>
      <c r="Q581" s="40">
        <f t="shared" si="20"/>
        <v>0</v>
      </c>
      <c r="R581" s="41"/>
      <c r="T581" s="4">
        <f>SUMIFS('Weekly Dump'!E:E,'Weekly Dump'!B:B,C581,'Weekly Dump'!A:A,AB581)</f>
        <v>0</v>
      </c>
      <c r="U581" s="3">
        <f t="shared" si="21"/>
        <v>0</v>
      </c>
      <c r="V581" s="42"/>
      <c r="X581" s="4">
        <f>SUMIFS('Weekly Dump'!P:P,'Weekly Dump'!B:B,C581,'Weekly Dump'!A:A,AB581)</f>
        <v>0</v>
      </c>
      <c r="Y581" s="4">
        <f t="shared" si="22"/>
        <v>0</v>
      </c>
      <c r="Z581" s="41"/>
      <c r="AA581" s="12" t="str">
        <f>iferror(IF(VLOOKUP(C581,'Weekly Dump'!B:B,1,0)=C581,"Yes","Missing"),"")</f>
        <v/>
      </c>
      <c r="AB581" s="66"/>
    </row>
    <row r="582">
      <c r="B582" s="63"/>
      <c r="C582" s="63"/>
      <c r="G582" s="3" t="str">
        <f t="shared" si="26"/>
        <v/>
      </c>
      <c r="I582" s="4">
        <f>SUMIFS('Weekly Dump'!D:D,'Weekly Dump'!B:B,C582)</f>
        <v>0</v>
      </c>
      <c r="J582" s="5">
        <f>SUMIFS('Weekly Dump'!AE:AE,'Weekly Dump'!B:B,C582)</f>
        <v>0</v>
      </c>
      <c r="K582" s="4">
        <f>SUMPRODUCT(
  (TEXT('Weekly Dump'!$A$2:$A1009,"mmm-yy")=TEXT($AB582,"mmm-yy"))*
  ('Weekly Dump'!$B$2:$B1009=$C582)*
  'Weekly Dump'!$D$2:$D1009)</f>
        <v>0</v>
      </c>
      <c r="L582" s="4">
        <f>SUMPRODUCT(
  (TEXT('Weekly Dump'!$A$2:$A1009,"mmm-yy")=TEXT($AB582,"mmm-yy"))*
  ('Weekly Dump'!$B$2:$B1009=$C582)*
  'Weekly Dump'!$E$2:$E1009
)</f>
        <v>0</v>
      </c>
      <c r="M582" s="4">
        <f>SUMPRODUCT(
  (TEXT('Weekly Dump'!$A$2:$A1009,"mmm-yy")=TEXT($AB582,"mmm-yy"))*
  ('Weekly Dump'!$B$2:$B1009=$C582)*
  'Weekly Dump'!$P$2:$P1009
)</f>
        <v>0</v>
      </c>
      <c r="N582" s="39"/>
      <c r="O582" s="40">
        <f>SUMIFS('Weekly Dump'!$D:$D,'Weekly Dump'!$B:$B,$C582,'Weekly Dump'!$A:$A,$AB582)</f>
        <v>0</v>
      </c>
      <c r="P582" s="40">
        <f>SUMIFS('Weekly Dump'!R:R,'Weekly Dump'!B:B,C582,'Weekly Dump'!A:A,AB582)</f>
        <v>0</v>
      </c>
      <c r="Q582" s="40">
        <f t="shared" si="20"/>
        <v>0</v>
      </c>
      <c r="R582" s="41"/>
      <c r="T582" s="4">
        <f>SUMIFS('Weekly Dump'!E:E,'Weekly Dump'!B:B,C582,'Weekly Dump'!A:A,AB582)</f>
        <v>0</v>
      </c>
      <c r="U582" s="3">
        <f t="shared" si="21"/>
        <v>0</v>
      </c>
      <c r="V582" s="42"/>
      <c r="X582" s="4">
        <f>SUMIFS('Weekly Dump'!P:P,'Weekly Dump'!B:B,C582,'Weekly Dump'!A:A,AB582)</f>
        <v>0</v>
      </c>
      <c r="Y582" s="4">
        <f t="shared" si="22"/>
        <v>0</v>
      </c>
      <c r="Z582" s="41"/>
      <c r="AA582" s="12" t="str">
        <f>iferror(IF(VLOOKUP(C582,'Weekly Dump'!B:B,1,0)=C582,"Yes","Missing"),"")</f>
        <v/>
      </c>
      <c r="AB582" s="66"/>
    </row>
    <row r="583">
      <c r="B583" s="63"/>
      <c r="C583" s="63"/>
      <c r="G583" s="3" t="str">
        <f t="shared" si="26"/>
        <v/>
      </c>
      <c r="I583" s="4">
        <f>SUMIFS('Weekly Dump'!D:D,'Weekly Dump'!B:B,C583)</f>
        <v>0</v>
      </c>
      <c r="J583" s="5">
        <f>SUMIFS('Weekly Dump'!AE:AE,'Weekly Dump'!B:B,C583)</f>
        <v>0</v>
      </c>
      <c r="K583" s="4">
        <f>SUMPRODUCT(
  (TEXT('Weekly Dump'!$A$2:$A1009,"mmm-yy")=TEXT($AB583,"mmm-yy"))*
  ('Weekly Dump'!$B$2:$B1009=$C583)*
  'Weekly Dump'!$D$2:$D1009)</f>
        <v>0</v>
      </c>
      <c r="L583" s="4">
        <f>SUMPRODUCT(
  (TEXT('Weekly Dump'!$A$2:$A1009,"mmm-yy")=TEXT($AB583,"mmm-yy"))*
  ('Weekly Dump'!$B$2:$B1009=$C583)*
  'Weekly Dump'!$E$2:$E1009
)</f>
        <v>0</v>
      </c>
      <c r="M583" s="4">
        <f>SUMPRODUCT(
  (TEXT('Weekly Dump'!$A$2:$A1009,"mmm-yy")=TEXT($AB583,"mmm-yy"))*
  ('Weekly Dump'!$B$2:$B1009=$C583)*
  'Weekly Dump'!$P$2:$P1009
)</f>
        <v>0</v>
      </c>
      <c r="N583" s="39"/>
      <c r="O583" s="40">
        <f>SUMIFS('Weekly Dump'!$D:$D,'Weekly Dump'!$B:$B,$C583,'Weekly Dump'!$A:$A,$AB583)</f>
        <v>0</v>
      </c>
      <c r="P583" s="40">
        <f>SUMIFS('Weekly Dump'!R:R,'Weekly Dump'!B:B,C583,'Weekly Dump'!A:A,AB583)</f>
        <v>0</v>
      </c>
      <c r="Q583" s="40">
        <f t="shared" si="20"/>
        <v>0</v>
      </c>
      <c r="R583" s="41"/>
      <c r="T583" s="4">
        <f>SUMIFS('Weekly Dump'!E:E,'Weekly Dump'!B:B,C583,'Weekly Dump'!A:A,AB583)</f>
        <v>0</v>
      </c>
      <c r="U583" s="3">
        <f t="shared" si="21"/>
        <v>0</v>
      </c>
      <c r="V583" s="42"/>
      <c r="X583" s="4">
        <f>SUMIFS('Weekly Dump'!P:P,'Weekly Dump'!B:B,C583,'Weekly Dump'!A:A,AB583)</f>
        <v>0</v>
      </c>
      <c r="Y583" s="4">
        <f t="shared" si="22"/>
        <v>0</v>
      </c>
      <c r="Z583" s="41"/>
      <c r="AA583" s="12" t="str">
        <f>iferror(IF(VLOOKUP(C583,'Weekly Dump'!B:B,1,0)=C583,"Yes","Missing"),"")</f>
        <v/>
      </c>
      <c r="AB583" s="66"/>
    </row>
    <row r="584">
      <c r="B584" s="63"/>
      <c r="C584" s="63"/>
      <c r="G584" s="3" t="str">
        <f t="shared" si="26"/>
        <v/>
      </c>
      <c r="I584" s="4">
        <f>SUMIFS('Weekly Dump'!D:D,'Weekly Dump'!B:B,C584)</f>
        <v>0</v>
      </c>
      <c r="J584" s="5">
        <f>SUMIFS('Weekly Dump'!AE:AE,'Weekly Dump'!B:B,C584)</f>
        <v>0</v>
      </c>
      <c r="K584" s="4">
        <f>SUMPRODUCT(
  (TEXT('Weekly Dump'!$A$2:$A1009,"mmm-yy")=TEXT($AB584,"mmm-yy"))*
  ('Weekly Dump'!$B$2:$B1009=$C584)*
  'Weekly Dump'!$D$2:$D1009)</f>
        <v>0</v>
      </c>
      <c r="L584" s="4">
        <f>SUMPRODUCT(
  (TEXT('Weekly Dump'!$A$2:$A1009,"mmm-yy")=TEXT($AB584,"mmm-yy"))*
  ('Weekly Dump'!$B$2:$B1009=$C584)*
  'Weekly Dump'!$E$2:$E1009
)</f>
        <v>0</v>
      </c>
      <c r="M584" s="4">
        <f>SUMPRODUCT(
  (TEXT('Weekly Dump'!$A$2:$A1009,"mmm-yy")=TEXT($AB584,"mmm-yy"))*
  ('Weekly Dump'!$B$2:$B1009=$C584)*
  'Weekly Dump'!$P$2:$P1009
)</f>
        <v>0</v>
      </c>
      <c r="N584" s="39"/>
      <c r="O584" s="40">
        <f>SUMIFS('Weekly Dump'!$D:$D,'Weekly Dump'!$B:$B,$C584,'Weekly Dump'!$A:$A,$AB584)</f>
        <v>0</v>
      </c>
      <c r="P584" s="40">
        <f>SUMIFS('Weekly Dump'!R:R,'Weekly Dump'!B:B,C584,'Weekly Dump'!A:A,AB584)</f>
        <v>0</v>
      </c>
      <c r="Q584" s="40">
        <f t="shared" si="20"/>
        <v>0</v>
      </c>
      <c r="R584" s="41"/>
      <c r="T584" s="4">
        <f>SUMIFS('Weekly Dump'!E:E,'Weekly Dump'!B:B,C584,'Weekly Dump'!A:A,AB584)</f>
        <v>0</v>
      </c>
      <c r="U584" s="3">
        <f t="shared" si="21"/>
        <v>0</v>
      </c>
      <c r="V584" s="42"/>
      <c r="X584" s="4">
        <f>SUMIFS('Weekly Dump'!P:P,'Weekly Dump'!B:B,C584,'Weekly Dump'!A:A,AB584)</f>
        <v>0</v>
      </c>
      <c r="Y584" s="4">
        <f t="shared" si="22"/>
        <v>0</v>
      </c>
      <c r="Z584" s="41"/>
      <c r="AA584" s="12" t="str">
        <f>iferror(IF(VLOOKUP(C584,'Weekly Dump'!B:B,1,0)=C584,"Yes","Missing"),"")</f>
        <v/>
      </c>
      <c r="AB584" s="66"/>
    </row>
    <row r="585">
      <c r="B585" s="63"/>
      <c r="C585" s="63"/>
      <c r="G585" s="3" t="str">
        <f t="shared" si="26"/>
        <v/>
      </c>
      <c r="I585" s="4">
        <f>SUMIFS('Weekly Dump'!D:D,'Weekly Dump'!B:B,C585)</f>
        <v>0</v>
      </c>
      <c r="J585" s="5">
        <f>SUMIFS('Weekly Dump'!AE:AE,'Weekly Dump'!B:B,C585)</f>
        <v>0</v>
      </c>
      <c r="K585" s="4">
        <f>SUMPRODUCT(
  (TEXT('Weekly Dump'!$A$2:$A1009,"mmm-yy")=TEXT($AB585,"mmm-yy"))*
  ('Weekly Dump'!$B$2:$B1009=$C585)*
  'Weekly Dump'!$D$2:$D1009)</f>
        <v>0</v>
      </c>
      <c r="L585" s="4">
        <f>SUMPRODUCT(
  (TEXT('Weekly Dump'!$A$2:$A1009,"mmm-yy")=TEXT($AB585,"mmm-yy"))*
  ('Weekly Dump'!$B$2:$B1009=$C585)*
  'Weekly Dump'!$E$2:$E1009
)</f>
        <v>0</v>
      </c>
      <c r="M585" s="4">
        <f>SUMPRODUCT(
  (TEXT('Weekly Dump'!$A$2:$A1009,"mmm-yy")=TEXT($AB585,"mmm-yy"))*
  ('Weekly Dump'!$B$2:$B1009=$C585)*
  'Weekly Dump'!$P$2:$P1009
)</f>
        <v>0</v>
      </c>
      <c r="N585" s="39"/>
      <c r="O585" s="40">
        <f>SUMIFS('Weekly Dump'!$D:$D,'Weekly Dump'!$B:$B,$C585,'Weekly Dump'!$A:$A,$AB585)</f>
        <v>0</v>
      </c>
      <c r="P585" s="40">
        <f>SUMIFS('Weekly Dump'!R:R,'Weekly Dump'!B:B,C585,'Weekly Dump'!A:A,AB585)</f>
        <v>0</v>
      </c>
      <c r="Q585" s="40">
        <f t="shared" si="20"/>
        <v>0</v>
      </c>
      <c r="R585" s="41"/>
      <c r="T585" s="4">
        <f>SUMIFS('Weekly Dump'!E:E,'Weekly Dump'!B:B,C585,'Weekly Dump'!A:A,AB585)</f>
        <v>0</v>
      </c>
      <c r="U585" s="3">
        <f t="shared" si="21"/>
        <v>0</v>
      </c>
      <c r="V585" s="42"/>
      <c r="X585" s="4">
        <f>SUMIFS('Weekly Dump'!P:P,'Weekly Dump'!B:B,C585,'Weekly Dump'!A:A,AB585)</f>
        <v>0</v>
      </c>
      <c r="Y585" s="4">
        <f t="shared" si="22"/>
        <v>0</v>
      </c>
      <c r="Z585" s="41"/>
      <c r="AA585" s="12" t="str">
        <f>iferror(IF(VLOOKUP(C585,'Weekly Dump'!B:B,1,0)=C585,"Yes","Missing"),"")</f>
        <v/>
      </c>
      <c r="AB585" s="66"/>
    </row>
    <row r="586">
      <c r="B586" s="63"/>
      <c r="C586" s="63"/>
      <c r="G586" s="3" t="str">
        <f t="shared" si="26"/>
        <v/>
      </c>
      <c r="I586" s="4">
        <f>SUMIFS('Weekly Dump'!D:D,'Weekly Dump'!B:B,C586)</f>
        <v>0</v>
      </c>
      <c r="J586" s="5">
        <f>SUMIFS('Weekly Dump'!AE:AE,'Weekly Dump'!B:B,C586)</f>
        <v>0</v>
      </c>
      <c r="K586" s="4">
        <f>SUMPRODUCT(
  (TEXT('Weekly Dump'!$A$2:$A1009,"mmm-yy")=TEXT($AB586,"mmm-yy"))*
  ('Weekly Dump'!$B$2:$B1009=$C586)*
  'Weekly Dump'!$D$2:$D1009)</f>
        <v>0</v>
      </c>
      <c r="L586" s="4">
        <f>SUMPRODUCT(
  (TEXT('Weekly Dump'!$A$2:$A1009,"mmm-yy")=TEXT($AB586,"mmm-yy"))*
  ('Weekly Dump'!$B$2:$B1009=$C586)*
  'Weekly Dump'!$E$2:$E1009
)</f>
        <v>0</v>
      </c>
      <c r="M586" s="4">
        <f>SUMPRODUCT(
  (TEXT('Weekly Dump'!$A$2:$A1009,"mmm-yy")=TEXT($AB586,"mmm-yy"))*
  ('Weekly Dump'!$B$2:$B1009=$C586)*
  'Weekly Dump'!$P$2:$P1009
)</f>
        <v>0</v>
      </c>
      <c r="N586" s="39"/>
      <c r="O586" s="40">
        <f>SUMIFS('Weekly Dump'!$D:$D,'Weekly Dump'!$B:$B,$C586,'Weekly Dump'!$A:$A,$AB586)</f>
        <v>0</v>
      </c>
      <c r="P586" s="40">
        <f>SUMIFS('Weekly Dump'!R:R,'Weekly Dump'!B:B,C586,'Weekly Dump'!A:A,AB586)</f>
        <v>0</v>
      </c>
      <c r="Q586" s="40">
        <f t="shared" si="20"/>
        <v>0</v>
      </c>
      <c r="R586" s="41"/>
      <c r="T586" s="4">
        <f>SUMIFS('Weekly Dump'!E:E,'Weekly Dump'!B:B,C586,'Weekly Dump'!A:A,AB586)</f>
        <v>0</v>
      </c>
      <c r="U586" s="3">
        <f t="shared" si="21"/>
        <v>0</v>
      </c>
      <c r="V586" s="42"/>
      <c r="X586" s="4">
        <f>SUMIFS('Weekly Dump'!P:P,'Weekly Dump'!B:B,C586,'Weekly Dump'!A:A,AB586)</f>
        <v>0</v>
      </c>
      <c r="Y586" s="4">
        <f t="shared" si="22"/>
        <v>0</v>
      </c>
      <c r="Z586" s="41"/>
      <c r="AA586" s="12" t="str">
        <f>iferror(IF(VLOOKUP(C586,'Weekly Dump'!B:B,1,0)=C586,"Yes","Missing"),"")</f>
        <v/>
      </c>
      <c r="AB586" s="66"/>
    </row>
    <row r="587">
      <c r="B587" s="63"/>
      <c r="C587" s="63"/>
      <c r="G587" s="3" t="str">
        <f t="shared" si="26"/>
        <v/>
      </c>
      <c r="I587" s="4">
        <f>SUMIFS('Weekly Dump'!D:D,'Weekly Dump'!B:B,C587)</f>
        <v>0</v>
      </c>
      <c r="J587" s="5">
        <f>SUMIFS('Weekly Dump'!AE:AE,'Weekly Dump'!B:B,C587)</f>
        <v>0</v>
      </c>
      <c r="K587" s="4">
        <f>SUMPRODUCT(
  (TEXT('Weekly Dump'!$A$2:$A1009,"mmm-yy")=TEXT($AB587,"mmm-yy"))*
  ('Weekly Dump'!$B$2:$B1009=$C587)*
  'Weekly Dump'!$D$2:$D1009)</f>
        <v>0</v>
      </c>
      <c r="L587" s="4">
        <f>SUMPRODUCT(
  (TEXT('Weekly Dump'!$A$2:$A1009,"mmm-yy")=TEXT($AB587,"mmm-yy"))*
  ('Weekly Dump'!$B$2:$B1009=$C587)*
  'Weekly Dump'!$E$2:$E1009
)</f>
        <v>0</v>
      </c>
      <c r="M587" s="4">
        <f>SUMPRODUCT(
  (TEXT('Weekly Dump'!$A$2:$A1009,"mmm-yy")=TEXT($AB587,"mmm-yy"))*
  ('Weekly Dump'!$B$2:$B1009=$C587)*
  'Weekly Dump'!$P$2:$P1009
)</f>
        <v>0</v>
      </c>
      <c r="N587" s="39"/>
      <c r="O587" s="40">
        <f>SUMIFS('Weekly Dump'!$D:$D,'Weekly Dump'!$B:$B,$C587,'Weekly Dump'!$A:$A,$AB587)</f>
        <v>0</v>
      </c>
      <c r="P587" s="40">
        <f>SUMIFS('Weekly Dump'!R:R,'Weekly Dump'!B:B,C587,'Weekly Dump'!A:A,AB587)</f>
        <v>0</v>
      </c>
      <c r="Q587" s="40">
        <f t="shared" si="20"/>
        <v>0</v>
      </c>
      <c r="R587" s="41"/>
      <c r="T587" s="4">
        <f>SUMIFS('Weekly Dump'!E:E,'Weekly Dump'!B:B,C587,'Weekly Dump'!A:A,AB587)</f>
        <v>0</v>
      </c>
      <c r="U587" s="3">
        <f t="shared" si="21"/>
        <v>0</v>
      </c>
      <c r="V587" s="42"/>
      <c r="X587" s="4">
        <f>SUMIFS('Weekly Dump'!P:P,'Weekly Dump'!B:B,C587,'Weekly Dump'!A:A,AB587)</f>
        <v>0</v>
      </c>
      <c r="Y587" s="4">
        <f t="shared" si="22"/>
        <v>0</v>
      </c>
      <c r="Z587" s="41"/>
      <c r="AA587" s="12" t="str">
        <f>iferror(IF(VLOOKUP(C587,'Weekly Dump'!B:B,1,0)=C587,"Yes","Missing"),"")</f>
        <v/>
      </c>
      <c r="AB587" s="66"/>
    </row>
    <row r="588">
      <c r="B588" s="63"/>
      <c r="C588" s="63"/>
      <c r="G588" s="3" t="str">
        <f t="shared" si="26"/>
        <v/>
      </c>
      <c r="I588" s="4">
        <f>SUMIFS('Weekly Dump'!D:D,'Weekly Dump'!B:B,C588)</f>
        <v>0</v>
      </c>
      <c r="J588" s="5">
        <f>SUMIFS('Weekly Dump'!AE:AE,'Weekly Dump'!B:B,C588)</f>
        <v>0</v>
      </c>
      <c r="K588" s="4">
        <f>SUMPRODUCT(
  (TEXT('Weekly Dump'!$A$2:$A1009,"mmm-yy")=TEXT($AB588,"mmm-yy"))*
  ('Weekly Dump'!$B$2:$B1009=$C588)*
  'Weekly Dump'!$D$2:$D1009)</f>
        <v>0</v>
      </c>
      <c r="L588" s="4">
        <f>SUMPRODUCT(
  (TEXT('Weekly Dump'!$A$2:$A1009,"mmm-yy")=TEXT($AB588,"mmm-yy"))*
  ('Weekly Dump'!$B$2:$B1009=$C588)*
  'Weekly Dump'!$E$2:$E1009
)</f>
        <v>0</v>
      </c>
      <c r="M588" s="4">
        <f>SUMPRODUCT(
  (TEXT('Weekly Dump'!$A$2:$A1009,"mmm-yy")=TEXT($AB588,"mmm-yy"))*
  ('Weekly Dump'!$B$2:$B1009=$C588)*
  'Weekly Dump'!$P$2:$P1009
)</f>
        <v>0</v>
      </c>
      <c r="N588" s="39"/>
      <c r="O588" s="40">
        <f>SUMIFS('Weekly Dump'!$D:$D,'Weekly Dump'!$B:$B,$C588,'Weekly Dump'!$A:$A,$AB588)</f>
        <v>0</v>
      </c>
      <c r="P588" s="40">
        <f>SUMIFS('Weekly Dump'!R:R,'Weekly Dump'!B:B,C588,'Weekly Dump'!A:A,AB588)</f>
        <v>0</v>
      </c>
      <c r="Q588" s="40">
        <f t="shared" si="20"/>
        <v>0</v>
      </c>
      <c r="R588" s="41"/>
      <c r="T588" s="4">
        <f>SUMIFS('Weekly Dump'!E:E,'Weekly Dump'!B:B,C588,'Weekly Dump'!A:A,AB588)</f>
        <v>0</v>
      </c>
      <c r="U588" s="3">
        <f t="shared" si="21"/>
        <v>0</v>
      </c>
      <c r="V588" s="42"/>
      <c r="X588" s="4">
        <f>SUMIFS('Weekly Dump'!P:P,'Weekly Dump'!B:B,C588,'Weekly Dump'!A:A,AB588)</f>
        <v>0</v>
      </c>
      <c r="Y588" s="4">
        <f t="shared" si="22"/>
        <v>0</v>
      </c>
      <c r="Z588" s="41"/>
      <c r="AA588" s="12" t="str">
        <f>iferror(IF(VLOOKUP(C588,'Weekly Dump'!B:B,1,0)=C588,"Yes","Missing"),"")</f>
        <v/>
      </c>
      <c r="AB588" s="66"/>
    </row>
    <row r="589">
      <c r="B589" s="63"/>
      <c r="C589" s="63"/>
      <c r="G589" s="3" t="str">
        <f t="shared" si="26"/>
        <v/>
      </c>
      <c r="I589" s="4">
        <f>SUMIFS('Weekly Dump'!D:D,'Weekly Dump'!B:B,C589)</f>
        <v>0</v>
      </c>
      <c r="J589" s="5">
        <f>SUMIFS('Weekly Dump'!AE:AE,'Weekly Dump'!B:B,C589)</f>
        <v>0</v>
      </c>
      <c r="K589" s="4">
        <f>SUMPRODUCT(
  (TEXT('Weekly Dump'!$A$2:$A1009,"mmm-yy")=TEXT($AB589,"mmm-yy"))*
  ('Weekly Dump'!$B$2:$B1009=$C589)*
  'Weekly Dump'!$D$2:$D1009)</f>
        <v>0</v>
      </c>
      <c r="L589" s="4">
        <f>SUMPRODUCT(
  (TEXT('Weekly Dump'!$A$2:$A1009,"mmm-yy")=TEXT($AB589,"mmm-yy"))*
  ('Weekly Dump'!$B$2:$B1009=$C589)*
  'Weekly Dump'!$E$2:$E1009
)</f>
        <v>0</v>
      </c>
      <c r="M589" s="4">
        <f>SUMPRODUCT(
  (TEXT('Weekly Dump'!$A$2:$A1009,"mmm-yy")=TEXT($AB589,"mmm-yy"))*
  ('Weekly Dump'!$B$2:$B1009=$C589)*
  'Weekly Dump'!$P$2:$P1009
)</f>
        <v>0</v>
      </c>
      <c r="N589" s="39"/>
      <c r="O589" s="40">
        <f>SUMIFS('Weekly Dump'!$D:$D,'Weekly Dump'!$B:$B,$C589,'Weekly Dump'!$A:$A,$AB589)</f>
        <v>0</v>
      </c>
      <c r="P589" s="40">
        <f>SUMIFS('Weekly Dump'!R:R,'Weekly Dump'!B:B,C589,'Weekly Dump'!A:A,AB589)</f>
        <v>0</v>
      </c>
      <c r="Q589" s="40">
        <f t="shared" si="20"/>
        <v>0</v>
      </c>
      <c r="R589" s="41"/>
      <c r="T589" s="4">
        <f>SUMIFS('Weekly Dump'!E:E,'Weekly Dump'!B:B,C589,'Weekly Dump'!A:A,AB589)</f>
        <v>0</v>
      </c>
      <c r="U589" s="3">
        <f t="shared" si="21"/>
        <v>0</v>
      </c>
      <c r="V589" s="42"/>
      <c r="X589" s="4">
        <f>SUMIFS('Weekly Dump'!P:P,'Weekly Dump'!B:B,C589,'Weekly Dump'!A:A,AB589)</f>
        <v>0</v>
      </c>
      <c r="Y589" s="4">
        <f t="shared" si="22"/>
        <v>0</v>
      </c>
      <c r="Z589" s="41"/>
      <c r="AA589" s="12" t="str">
        <f>iferror(IF(VLOOKUP(C589,'Weekly Dump'!B:B,1,0)=C589,"Yes","Missing"),"")</f>
        <v/>
      </c>
      <c r="AB589" s="66"/>
    </row>
    <row r="590">
      <c r="B590" s="63"/>
      <c r="C590" s="63"/>
      <c r="G590" s="3" t="str">
        <f t="shared" si="26"/>
        <v/>
      </c>
      <c r="I590" s="4">
        <f>SUMIFS('Weekly Dump'!D:D,'Weekly Dump'!B:B,C590)</f>
        <v>0</v>
      </c>
      <c r="J590" s="5">
        <f>SUMIFS('Weekly Dump'!AE:AE,'Weekly Dump'!B:B,C590)</f>
        <v>0</v>
      </c>
      <c r="K590" s="4">
        <f>SUMPRODUCT(
  (TEXT('Weekly Dump'!$A$2:$A1009,"mmm-yy")=TEXT($AB590,"mmm-yy"))*
  ('Weekly Dump'!$B$2:$B1009=$C590)*
  'Weekly Dump'!$D$2:$D1009)</f>
        <v>0</v>
      </c>
      <c r="L590" s="4">
        <f>SUMPRODUCT(
  (TEXT('Weekly Dump'!$A$2:$A1009,"mmm-yy")=TEXT($AB590,"mmm-yy"))*
  ('Weekly Dump'!$B$2:$B1009=$C590)*
  'Weekly Dump'!$E$2:$E1009
)</f>
        <v>0</v>
      </c>
      <c r="M590" s="4">
        <f>SUMPRODUCT(
  (TEXT('Weekly Dump'!$A$2:$A1009,"mmm-yy")=TEXT($AB590,"mmm-yy"))*
  ('Weekly Dump'!$B$2:$B1009=$C590)*
  'Weekly Dump'!$P$2:$P1009
)</f>
        <v>0</v>
      </c>
      <c r="N590" s="39"/>
      <c r="O590" s="40">
        <f>SUMIFS('Weekly Dump'!$D:$D,'Weekly Dump'!$B:$B,$C590,'Weekly Dump'!$A:$A,$AB590)</f>
        <v>0</v>
      </c>
      <c r="P590" s="40">
        <f>SUMIFS('Weekly Dump'!R:R,'Weekly Dump'!B:B,C590,'Weekly Dump'!A:A,AB590)</f>
        <v>0</v>
      </c>
      <c r="Q590" s="40">
        <f t="shared" si="20"/>
        <v>0</v>
      </c>
      <c r="R590" s="41"/>
      <c r="T590" s="4">
        <f>SUMIFS('Weekly Dump'!E:E,'Weekly Dump'!B:B,C590,'Weekly Dump'!A:A,AB590)</f>
        <v>0</v>
      </c>
      <c r="U590" s="3">
        <f t="shared" si="21"/>
        <v>0</v>
      </c>
      <c r="V590" s="42"/>
      <c r="X590" s="4">
        <f>SUMIFS('Weekly Dump'!P:P,'Weekly Dump'!B:B,C590,'Weekly Dump'!A:A,AB590)</f>
        <v>0</v>
      </c>
      <c r="Y590" s="4">
        <f t="shared" si="22"/>
        <v>0</v>
      </c>
      <c r="Z590" s="41"/>
      <c r="AA590" s="12" t="str">
        <f>iferror(IF(VLOOKUP(C590,'Weekly Dump'!B:B,1,0)=C590,"Yes","Missing"),"")</f>
        <v/>
      </c>
      <c r="AB590" s="66"/>
    </row>
    <row r="591">
      <c r="B591" s="63"/>
      <c r="C591" s="63"/>
      <c r="G591" s="3" t="str">
        <f t="shared" si="26"/>
        <v/>
      </c>
      <c r="I591" s="4">
        <f>SUMIFS('Weekly Dump'!D:D,'Weekly Dump'!B:B,C591)</f>
        <v>0</v>
      </c>
      <c r="J591" s="5">
        <f>SUMIFS('Weekly Dump'!AE:AE,'Weekly Dump'!B:B,C591)</f>
        <v>0</v>
      </c>
      <c r="K591" s="4">
        <f>SUMPRODUCT(
  (TEXT('Weekly Dump'!$A$2:$A1009,"mmm-yy")=TEXT($AB591,"mmm-yy"))*
  ('Weekly Dump'!$B$2:$B1009=$C591)*
  'Weekly Dump'!$D$2:$D1009)</f>
        <v>0</v>
      </c>
      <c r="L591" s="4">
        <f>SUMPRODUCT(
  (TEXT('Weekly Dump'!$A$2:$A1009,"mmm-yy")=TEXT($AB591,"mmm-yy"))*
  ('Weekly Dump'!$B$2:$B1009=$C591)*
  'Weekly Dump'!$E$2:$E1009
)</f>
        <v>0</v>
      </c>
      <c r="M591" s="4">
        <f>SUMPRODUCT(
  (TEXT('Weekly Dump'!$A$2:$A1009,"mmm-yy")=TEXT($AB591,"mmm-yy"))*
  ('Weekly Dump'!$B$2:$B1009=$C591)*
  'Weekly Dump'!$P$2:$P1009
)</f>
        <v>0</v>
      </c>
      <c r="N591" s="39"/>
      <c r="O591" s="40">
        <f>SUMIFS('Weekly Dump'!$D:$D,'Weekly Dump'!$B:$B,$C591,'Weekly Dump'!$A:$A,$AB591)</f>
        <v>0</v>
      </c>
      <c r="P591" s="40">
        <f>SUMIFS('Weekly Dump'!R:R,'Weekly Dump'!B:B,C591,'Weekly Dump'!A:A,AB591)</f>
        <v>0</v>
      </c>
      <c r="Q591" s="40">
        <f t="shared" si="20"/>
        <v>0</v>
      </c>
      <c r="R591" s="41"/>
      <c r="T591" s="4">
        <f>SUMIFS('Weekly Dump'!E:E,'Weekly Dump'!B:B,C591,'Weekly Dump'!A:A,AB591)</f>
        <v>0</v>
      </c>
      <c r="U591" s="3">
        <f t="shared" si="21"/>
        <v>0</v>
      </c>
      <c r="V591" s="42"/>
      <c r="X591" s="4">
        <f>SUMIFS('Weekly Dump'!P:P,'Weekly Dump'!B:B,C591,'Weekly Dump'!A:A,AB591)</f>
        <v>0</v>
      </c>
      <c r="Y591" s="4">
        <f t="shared" si="22"/>
        <v>0</v>
      </c>
      <c r="Z591" s="41"/>
      <c r="AA591" s="12" t="str">
        <f>iferror(IF(VLOOKUP(C591,'Weekly Dump'!B:B,1,0)=C591,"Yes","Missing"),"")</f>
        <v/>
      </c>
      <c r="AB591" s="66"/>
    </row>
    <row r="592">
      <c r="B592" s="63"/>
      <c r="C592" s="63"/>
      <c r="G592" s="3" t="str">
        <f t="shared" si="26"/>
        <v/>
      </c>
      <c r="I592" s="4">
        <f>SUMIFS('Weekly Dump'!D:D,'Weekly Dump'!B:B,C592)</f>
        <v>0</v>
      </c>
      <c r="J592" s="5">
        <f>SUMIFS('Weekly Dump'!AE:AE,'Weekly Dump'!B:B,C592)</f>
        <v>0</v>
      </c>
      <c r="K592" s="4">
        <f>SUMPRODUCT(
  (TEXT('Weekly Dump'!$A$2:$A1009,"mmm-yy")=TEXT($AB592,"mmm-yy"))*
  ('Weekly Dump'!$B$2:$B1009=$C592)*
  'Weekly Dump'!$D$2:$D1009)</f>
        <v>0</v>
      </c>
      <c r="L592" s="4">
        <f>SUMPRODUCT(
  (TEXT('Weekly Dump'!$A$2:$A1009,"mmm-yy")=TEXT($AB592,"mmm-yy"))*
  ('Weekly Dump'!$B$2:$B1009=$C592)*
  'Weekly Dump'!$E$2:$E1009
)</f>
        <v>0</v>
      </c>
      <c r="M592" s="4">
        <f>SUMPRODUCT(
  (TEXT('Weekly Dump'!$A$2:$A1009,"mmm-yy")=TEXT($AB592,"mmm-yy"))*
  ('Weekly Dump'!$B$2:$B1009=$C592)*
  'Weekly Dump'!$P$2:$P1009
)</f>
        <v>0</v>
      </c>
      <c r="N592" s="39"/>
      <c r="O592" s="40">
        <f>SUMIFS('Weekly Dump'!$D:$D,'Weekly Dump'!$B:$B,$C592,'Weekly Dump'!$A:$A,$AB592)</f>
        <v>0</v>
      </c>
      <c r="P592" s="40">
        <f>SUMIFS('Weekly Dump'!R:R,'Weekly Dump'!B:B,C592,'Weekly Dump'!A:A,AB592)</f>
        <v>0</v>
      </c>
      <c r="Q592" s="40">
        <f t="shared" si="20"/>
        <v>0</v>
      </c>
      <c r="R592" s="41"/>
      <c r="T592" s="4">
        <f>SUMIFS('Weekly Dump'!E:E,'Weekly Dump'!B:B,C592,'Weekly Dump'!A:A,AB592)</f>
        <v>0</v>
      </c>
      <c r="U592" s="3">
        <f t="shared" si="21"/>
        <v>0</v>
      </c>
      <c r="V592" s="42"/>
      <c r="X592" s="4">
        <f>SUMIFS('Weekly Dump'!P:P,'Weekly Dump'!B:B,C592,'Weekly Dump'!A:A,AB592)</f>
        <v>0</v>
      </c>
      <c r="Y592" s="4">
        <f t="shared" si="22"/>
        <v>0</v>
      </c>
      <c r="Z592" s="41"/>
      <c r="AA592" s="12" t="str">
        <f>iferror(IF(VLOOKUP(C592,'Weekly Dump'!B:B,1,0)=C592,"Yes","Missing"),"")</f>
        <v/>
      </c>
      <c r="AB592" s="66"/>
    </row>
    <row r="593">
      <c r="B593" s="63"/>
      <c r="C593" s="63"/>
      <c r="G593" s="3" t="str">
        <f t="shared" si="26"/>
        <v/>
      </c>
      <c r="I593" s="4">
        <f>SUMIFS('Weekly Dump'!D:D,'Weekly Dump'!B:B,C593)</f>
        <v>0</v>
      </c>
      <c r="J593" s="5">
        <f>SUMIFS('Weekly Dump'!AE:AE,'Weekly Dump'!B:B,C593)</f>
        <v>0</v>
      </c>
      <c r="K593" s="4">
        <f>SUMPRODUCT(
  (TEXT('Weekly Dump'!$A$2:$A1009,"mmm-yy")=TEXT($AB593,"mmm-yy"))*
  ('Weekly Dump'!$B$2:$B1009=$C593)*
  'Weekly Dump'!$D$2:$D1009)</f>
        <v>0</v>
      </c>
      <c r="L593" s="4">
        <f>SUMPRODUCT(
  (TEXT('Weekly Dump'!$A$2:$A1009,"mmm-yy")=TEXT($AB593,"mmm-yy"))*
  ('Weekly Dump'!$B$2:$B1009=$C593)*
  'Weekly Dump'!$E$2:$E1009
)</f>
        <v>0</v>
      </c>
      <c r="M593" s="4">
        <f>SUMPRODUCT(
  (TEXT('Weekly Dump'!$A$2:$A1009,"mmm-yy")=TEXT($AB593,"mmm-yy"))*
  ('Weekly Dump'!$B$2:$B1009=$C593)*
  'Weekly Dump'!$P$2:$P1009
)</f>
        <v>0</v>
      </c>
      <c r="N593" s="39"/>
      <c r="O593" s="40">
        <f>SUMIFS('Weekly Dump'!$D:$D,'Weekly Dump'!$B:$B,$C593,'Weekly Dump'!$A:$A,$AB593)</f>
        <v>0</v>
      </c>
      <c r="P593" s="40">
        <f>SUMIFS('Weekly Dump'!R:R,'Weekly Dump'!B:B,C593,'Weekly Dump'!A:A,AB593)</f>
        <v>0</v>
      </c>
      <c r="Q593" s="40">
        <f t="shared" si="20"/>
        <v>0</v>
      </c>
      <c r="R593" s="41"/>
      <c r="T593" s="4">
        <f>SUMIFS('Weekly Dump'!E:E,'Weekly Dump'!B:B,C593,'Weekly Dump'!A:A,AB593)</f>
        <v>0</v>
      </c>
      <c r="U593" s="3">
        <f t="shared" si="21"/>
        <v>0</v>
      </c>
      <c r="V593" s="42"/>
      <c r="X593" s="4">
        <f>SUMIFS('Weekly Dump'!P:P,'Weekly Dump'!B:B,C593,'Weekly Dump'!A:A,AB593)</f>
        <v>0</v>
      </c>
      <c r="Y593" s="4">
        <f t="shared" si="22"/>
        <v>0</v>
      </c>
      <c r="Z593" s="41"/>
      <c r="AA593" s="12" t="str">
        <f>iferror(IF(VLOOKUP(C593,'Weekly Dump'!B:B,1,0)=C593,"Yes","Missing"),"")</f>
        <v/>
      </c>
      <c r="AB593" s="66"/>
    </row>
    <row r="594">
      <c r="B594" s="63"/>
      <c r="C594" s="63"/>
      <c r="G594" s="3" t="str">
        <f t="shared" si="26"/>
        <v/>
      </c>
      <c r="I594" s="4">
        <f>SUMIFS('Weekly Dump'!D:D,'Weekly Dump'!B:B,C594)</f>
        <v>0</v>
      </c>
      <c r="J594" s="5">
        <f>SUMIFS('Weekly Dump'!AE:AE,'Weekly Dump'!B:B,C594)</f>
        <v>0</v>
      </c>
      <c r="K594" s="4">
        <f>SUMPRODUCT(
  (TEXT('Weekly Dump'!$A$2:$A1009,"mmm-yy")=TEXT($AB594,"mmm-yy"))*
  ('Weekly Dump'!$B$2:$B1009=$C594)*
  'Weekly Dump'!$D$2:$D1009)</f>
        <v>0</v>
      </c>
      <c r="L594" s="4">
        <f>SUMPRODUCT(
  (TEXT('Weekly Dump'!$A$2:$A1009,"mmm-yy")=TEXT($AB594,"mmm-yy"))*
  ('Weekly Dump'!$B$2:$B1009=$C594)*
  'Weekly Dump'!$E$2:$E1009
)</f>
        <v>0</v>
      </c>
      <c r="M594" s="4">
        <f>SUMPRODUCT(
  (TEXT('Weekly Dump'!$A$2:$A1009,"mmm-yy")=TEXT($AB594,"mmm-yy"))*
  ('Weekly Dump'!$B$2:$B1009=$C594)*
  'Weekly Dump'!$P$2:$P1009
)</f>
        <v>0</v>
      </c>
      <c r="N594" s="39"/>
      <c r="O594" s="40">
        <f>SUMIFS('Weekly Dump'!$D:$D,'Weekly Dump'!$B:$B,$C594,'Weekly Dump'!$A:$A,$AB594)</f>
        <v>0</v>
      </c>
      <c r="P594" s="40">
        <f>SUMIFS('Weekly Dump'!R:R,'Weekly Dump'!B:B,C594,'Weekly Dump'!A:A,AB594)</f>
        <v>0</v>
      </c>
      <c r="Q594" s="40">
        <f t="shared" si="20"/>
        <v>0</v>
      </c>
      <c r="R594" s="41"/>
      <c r="T594" s="4">
        <f>SUMIFS('Weekly Dump'!E:E,'Weekly Dump'!B:B,C594,'Weekly Dump'!A:A,AB594)</f>
        <v>0</v>
      </c>
      <c r="U594" s="3">
        <f t="shared" si="21"/>
        <v>0</v>
      </c>
      <c r="V594" s="42"/>
      <c r="X594" s="4">
        <f>SUMIFS('Weekly Dump'!P:P,'Weekly Dump'!B:B,C594,'Weekly Dump'!A:A,AB594)</f>
        <v>0</v>
      </c>
      <c r="Y594" s="4">
        <f t="shared" si="22"/>
        <v>0</v>
      </c>
      <c r="Z594" s="41"/>
      <c r="AA594" s="12" t="str">
        <f>iferror(IF(VLOOKUP(C594,'Weekly Dump'!B:B,1,0)=C594,"Yes","Missing"),"")</f>
        <v/>
      </c>
      <c r="AB594" s="66"/>
    </row>
    <row r="595">
      <c r="B595" s="63"/>
      <c r="C595" s="63"/>
      <c r="G595" s="3" t="str">
        <f t="shared" si="26"/>
        <v/>
      </c>
      <c r="I595" s="4">
        <f>SUMIFS('Weekly Dump'!D:D,'Weekly Dump'!B:B,C595)</f>
        <v>0</v>
      </c>
      <c r="J595" s="5">
        <f>SUMIFS('Weekly Dump'!AE:AE,'Weekly Dump'!B:B,C595)</f>
        <v>0</v>
      </c>
      <c r="K595" s="4">
        <f>SUMPRODUCT(
  (TEXT('Weekly Dump'!$A$2:$A1009,"mmm-yy")=TEXT($AB595,"mmm-yy"))*
  ('Weekly Dump'!$B$2:$B1009=$C595)*
  'Weekly Dump'!$D$2:$D1009)</f>
        <v>0</v>
      </c>
      <c r="L595" s="4">
        <f>SUMPRODUCT(
  (TEXT('Weekly Dump'!$A$2:$A1009,"mmm-yy")=TEXT($AB595,"mmm-yy"))*
  ('Weekly Dump'!$B$2:$B1009=$C595)*
  'Weekly Dump'!$E$2:$E1009
)</f>
        <v>0</v>
      </c>
      <c r="M595" s="4">
        <f>SUMPRODUCT(
  (TEXT('Weekly Dump'!$A$2:$A1009,"mmm-yy")=TEXT($AB595,"mmm-yy"))*
  ('Weekly Dump'!$B$2:$B1009=$C595)*
  'Weekly Dump'!$P$2:$P1009
)</f>
        <v>0</v>
      </c>
      <c r="N595" s="39"/>
      <c r="O595" s="40">
        <f>SUMIFS('Weekly Dump'!$D:$D,'Weekly Dump'!$B:$B,$C595,'Weekly Dump'!$A:$A,$AB595)</f>
        <v>0</v>
      </c>
      <c r="P595" s="40">
        <f>SUMIFS('Weekly Dump'!R:R,'Weekly Dump'!B:B,C595,'Weekly Dump'!A:A,AB595)</f>
        <v>0</v>
      </c>
      <c r="Q595" s="40">
        <f t="shared" si="20"/>
        <v>0</v>
      </c>
      <c r="R595" s="41"/>
      <c r="T595" s="4">
        <f>SUMIFS('Weekly Dump'!E:E,'Weekly Dump'!B:B,C595,'Weekly Dump'!A:A,AB595)</f>
        <v>0</v>
      </c>
      <c r="U595" s="3">
        <f t="shared" si="21"/>
        <v>0</v>
      </c>
      <c r="V595" s="42"/>
      <c r="X595" s="4">
        <f>SUMIFS('Weekly Dump'!P:P,'Weekly Dump'!B:B,C595,'Weekly Dump'!A:A,AB595)</f>
        <v>0</v>
      </c>
      <c r="Y595" s="4">
        <f t="shared" si="22"/>
        <v>0</v>
      </c>
      <c r="Z595" s="41"/>
      <c r="AA595" s="12" t="str">
        <f>iferror(IF(VLOOKUP(C595,'Weekly Dump'!B:B,1,0)=C595,"Yes","Missing"),"")</f>
        <v/>
      </c>
      <c r="AB595" s="66"/>
    </row>
    <row r="596">
      <c r="B596" s="63"/>
      <c r="C596" s="63"/>
      <c r="G596" s="3" t="str">
        <f t="shared" si="26"/>
        <v/>
      </c>
      <c r="I596" s="4">
        <f>SUMIFS('Weekly Dump'!D:D,'Weekly Dump'!B:B,C596)</f>
        <v>0</v>
      </c>
      <c r="J596" s="5">
        <f>SUMIFS('Weekly Dump'!AE:AE,'Weekly Dump'!B:B,C596)</f>
        <v>0</v>
      </c>
      <c r="K596" s="4">
        <f>SUMPRODUCT(
  (TEXT('Weekly Dump'!$A$2:$A1009,"mmm-yy")=TEXT($AB596,"mmm-yy"))*
  ('Weekly Dump'!$B$2:$B1009=$C596)*
  'Weekly Dump'!$D$2:$D1009)</f>
        <v>0</v>
      </c>
      <c r="L596" s="4">
        <f>SUMPRODUCT(
  (TEXT('Weekly Dump'!$A$2:$A1009,"mmm-yy")=TEXT($AB596,"mmm-yy"))*
  ('Weekly Dump'!$B$2:$B1009=$C596)*
  'Weekly Dump'!$E$2:$E1009
)</f>
        <v>0</v>
      </c>
      <c r="M596" s="4">
        <f>SUMPRODUCT(
  (TEXT('Weekly Dump'!$A$2:$A1009,"mmm-yy")=TEXT($AB596,"mmm-yy"))*
  ('Weekly Dump'!$B$2:$B1009=$C596)*
  'Weekly Dump'!$P$2:$P1009
)</f>
        <v>0</v>
      </c>
      <c r="N596" s="39"/>
      <c r="O596" s="40">
        <f>SUMIFS('Weekly Dump'!$D:$D,'Weekly Dump'!$B:$B,$C596,'Weekly Dump'!$A:$A,$AB596)</f>
        <v>0</v>
      </c>
      <c r="P596" s="40">
        <f>SUMIFS('Weekly Dump'!R:R,'Weekly Dump'!B:B,C596,'Weekly Dump'!A:A,AB596)</f>
        <v>0</v>
      </c>
      <c r="Q596" s="40">
        <f t="shared" si="20"/>
        <v>0</v>
      </c>
      <c r="R596" s="41"/>
      <c r="T596" s="4">
        <f>SUMIFS('Weekly Dump'!E:E,'Weekly Dump'!B:B,C596,'Weekly Dump'!A:A,AB596)</f>
        <v>0</v>
      </c>
      <c r="U596" s="3">
        <f t="shared" si="21"/>
        <v>0</v>
      </c>
      <c r="V596" s="42"/>
      <c r="X596" s="4">
        <f>SUMIFS('Weekly Dump'!P:P,'Weekly Dump'!B:B,C596,'Weekly Dump'!A:A,AB596)</f>
        <v>0</v>
      </c>
      <c r="Y596" s="4">
        <f t="shared" si="22"/>
        <v>0</v>
      </c>
      <c r="Z596" s="41"/>
      <c r="AA596" s="12" t="str">
        <f>iferror(IF(VLOOKUP(C596,'Weekly Dump'!B:B,1,0)=C596,"Yes","Missing"),"")</f>
        <v/>
      </c>
      <c r="AB596" s="66"/>
    </row>
    <row r="597">
      <c r="B597" s="63"/>
      <c r="C597" s="63"/>
      <c r="G597" s="3" t="str">
        <f t="shared" si="26"/>
        <v/>
      </c>
      <c r="I597" s="4">
        <f>SUMIFS('Weekly Dump'!D:D,'Weekly Dump'!B:B,C597)</f>
        <v>0</v>
      </c>
      <c r="J597" s="5">
        <f>SUMIFS('Weekly Dump'!AE:AE,'Weekly Dump'!B:B,C597)</f>
        <v>0</v>
      </c>
      <c r="K597" s="4">
        <f>SUMPRODUCT(
  (TEXT('Weekly Dump'!$A$2:$A1009,"mmm-yy")=TEXT($AB597,"mmm-yy"))*
  ('Weekly Dump'!$B$2:$B1009=$C597)*
  'Weekly Dump'!$D$2:$D1009)</f>
        <v>0</v>
      </c>
      <c r="L597" s="4">
        <f>SUMPRODUCT(
  (TEXT('Weekly Dump'!$A$2:$A1009,"mmm-yy")=TEXT($AB597,"mmm-yy"))*
  ('Weekly Dump'!$B$2:$B1009=$C597)*
  'Weekly Dump'!$E$2:$E1009
)</f>
        <v>0</v>
      </c>
      <c r="M597" s="4">
        <f>SUMPRODUCT(
  (TEXT('Weekly Dump'!$A$2:$A1009,"mmm-yy")=TEXT($AB597,"mmm-yy"))*
  ('Weekly Dump'!$B$2:$B1009=$C597)*
  'Weekly Dump'!$P$2:$P1009
)</f>
        <v>0</v>
      </c>
      <c r="N597" s="39"/>
      <c r="O597" s="40">
        <f>SUMIFS('Weekly Dump'!$D:$D,'Weekly Dump'!$B:$B,$C597,'Weekly Dump'!$A:$A,$AB597)</f>
        <v>0</v>
      </c>
      <c r="P597" s="40">
        <f>SUMIFS('Weekly Dump'!R:R,'Weekly Dump'!B:B,C597,'Weekly Dump'!A:A,AB597)</f>
        <v>0</v>
      </c>
      <c r="Q597" s="40">
        <f t="shared" si="20"/>
        <v>0</v>
      </c>
      <c r="R597" s="41"/>
      <c r="T597" s="4">
        <f>SUMIFS('Weekly Dump'!E:E,'Weekly Dump'!B:B,C597,'Weekly Dump'!A:A,AB597)</f>
        <v>0</v>
      </c>
      <c r="U597" s="3">
        <f t="shared" si="21"/>
        <v>0</v>
      </c>
      <c r="V597" s="42"/>
      <c r="X597" s="4">
        <f>SUMIFS('Weekly Dump'!P:P,'Weekly Dump'!B:B,C597,'Weekly Dump'!A:A,AB597)</f>
        <v>0</v>
      </c>
      <c r="Y597" s="4">
        <f t="shared" si="22"/>
        <v>0</v>
      </c>
      <c r="Z597" s="41"/>
      <c r="AA597" s="12" t="str">
        <f>iferror(IF(VLOOKUP(C597,'Weekly Dump'!B:B,1,0)=C597,"Yes","Missing"),"")</f>
        <v/>
      </c>
      <c r="AB597" s="66"/>
    </row>
    <row r="598">
      <c r="B598" s="63"/>
      <c r="C598" s="63"/>
      <c r="G598" s="3" t="str">
        <f t="shared" si="26"/>
        <v/>
      </c>
      <c r="I598" s="4">
        <f>SUMIFS('Weekly Dump'!D:D,'Weekly Dump'!B:B,C598)</f>
        <v>0</v>
      </c>
      <c r="J598" s="5">
        <f>SUMIFS('Weekly Dump'!AE:AE,'Weekly Dump'!B:B,C598)</f>
        <v>0</v>
      </c>
      <c r="K598" s="4">
        <f>SUMPRODUCT(
  (TEXT('Weekly Dump'!$A$2:$A1009,"mmm-yy")=TEXT($AB598,"mmm-yy"))*
  ('Weekly Dump'!$B$2:$B1009=$C598)*
  'Weekly Dump'!$D$2:$D1009)</f>
        <v>0</v>
      </c>
      <c r="L598" s="4">
        <f>SUMPRODUCT(
  (TEXT('Weekly Dump'!$A$2:$A1009,"mmm-yy")=TEXT($AB598,"mmm-yy"))*
  ('Weekly Dump'!$B$2:$B1009=$C598)*
  'Weekly Dump'!$E$2:$E1009
)</f>
        <v>0</v>
      </c>
      <c r="M598" s="4">
        <f>SUMPRODUCT(
  (TEXT('Weekly Dump'!$A$2:$A1009,"mmm-yy")=TEXT($AB598,"mmm-yy"))*
  ('Weekly Dump'!$B$2:$B1009=$C598)*
  'Weekly Dump'!$P$2:$P1009
)</f>
        <v>0</v>
      </c>
      <c r="N598" s="39"/>
      <c r="O598" s="40">
        <f>SUMIFS('Weekly Dump'!$D:$D,'Weekly Dump'!$B:$B,$C598,'Weekly Dump'!$A:$A,$AB598)</f>
        <v>0</v>
      </c>
      <c r="P598" s="40">
        <f>SUMIFS('Weekly Dump'!R:R,'Weekly Dump'!B:B,C598,'Weekly Dump'!A:A,AB598)</f>
        <v>0</v>
      </c>
      <c r="Q598" s="40">
        <f t="shared" si="20"/>
        <v>0</v>
      </c>
      <c r="R598" s="41"/>
      <c r="T598" s="4">
        <f>SUMIFS('Weekly Dump'!E:E,'Weekly Dump'!B:B,C598,'Weekly Dump'!A:A,AB598)</f>
        <v>0</v>
      </c>
      <c r="U598" s="3">
        <f t="shared" si="21"/>
        <v>0</v>
      </c>
      <c r="V598" s="42"/>
      <c r="X598" s="4">
        <f>SUMIFS('Weekly Dump'!P:P,'Weekly Dump'!B:B,C598,'Weekly Dump'!A:A,AB598)</f>
        <v>0</v>
      </c>
      <c r="Y598" s="4">
        <f t="shared" si="22"/>
        <v>0</v>
      </c>
      <c r="Z598" s="41"/>
      <c r="AA598" s="12" t="str">
        <f>iferror(IF(VLOOKUP(C598,'Weekly Dump'!B:B,1,0)=C598,"Yes","Missing"),"")</f>
        <v/>
      </c>
      <c r="AB598" s="66"/>
    </row>
    <row r="599">
      <c r="B599" s="63"/>
      <c r="C599" s="63"/>
      <c r="G599" s="3" t="str">
        <f t="shared" si="26"/>
        <v/>
      </c>
      <c r="I599" s="4">
        <f>SUMIFS('Weekly Dump'!D:D,'Weekly Dump'!B:B,C599)</f>
        <v>0</v>
      </c>
      <c r="J599" s="5">
        <f>SUMIFS('Weekly Dump'!AE:AE,'Weekly Dump'!B:B,C599)</f>
        <v>0</v>
      </c>
      <c r="K599" s="4">
        <f>SUMPRODUCT(
  (TEXT('Weekly Dump'!$A$2:$A1009,"mmm-yy")=TEXT($AB599,"mmm-yy"))*
  ('Weekly Dump'!$B$2:$B1009=$C599)*
  'Weekly Dump'!$D$2:$D1009)</f>
        <v>0</v>
      </c>
      <c r="L599" s="4">
        <f>SUMPRODUCT(
  (TEXT('Weekly Dump'!$A$2:$A1009,"mmm-yy")=TEXT($AB599,"mmm-yy"))*
  ('Weekly Dump'!$B$2:$B1009=$C599)*
  'Weekly Dump'!$E$2:$E1009
)</f>
        <v>0</v>
      </c>
      <c r="M599" s="4">
        <f>SUMPRODUCT(
  (TEXT('Weekly Dump'!$A$2:$A1009,"mmm-yy")=TEXT($AB599,"mmm-yy"))*
  ('Weekly Dump'!$B$2:$B1009=$C599)*
  'Weekly Dump'!$P$2:$P1009
)</f>
        <v>0</v>
      </c>
      <c r="N599" s="39"/>
      <c r="O599" s="40">
        <f>SUMIFS('Weekly Dump'!$D:$D,'Weekly Dump'!$B:$B,$C599,'Weekly Dump'!$A:$A,$AB599)</f>
        <v>0</v>
      </c>
      <c r="P599" s="40">
        <f>SUMIFS('Weekly Dump'!R:R,'Weekly Dump'!B:B,C599,'Weekly Dump'!A:A,AB599)</f>
        <v>0</v>
      </c>
      <c r="Q599" s="40">
        <f t="shared" si="20"/>
        <v>0</v>
      </c>
      <c r="R599" s="41"/>
      <c r="T599" s="4">
        <f>SUMIFS('Weekly Dump'!E:E,'Weekly Dump'!B:B,C599,'Weekly Dump'!A:A,AB599)</f>
        <v>0</v>
      </c>
      <c r="U599" s="3">
        <f t="shared" si="21"/>
        <v>0</v>
      </c>
      <c r="V599" s="42"/>
      <c r="X599" s="4">
        <f>SUMIFS('Weekly Dump'!P:P,'Weekly Dump'!B:B,C599,'Weekly Dump'!A:A,AB599)</f>
        <v>0</v>
      </c>
      <c r="Y599" s="4">
        <f t="shared" si="22"/>
        <v>0</v>
      </c>
      <c r="Z599" s="41"/>
      <c r="AA599" s="12" t="str">
        <f>iferror(IF(VLOOKUP(C599,'Weekly Dump'!B:B,1,0)=C599,"Yes","Missing"),"")</f>
        <v/>
      </c>
      <c r="AB599" s="66"/>
    </row>
    <row r="600">
      <c r="B600" s="63"/>
      <c r="C600" s="63"/>
      <c r="G600" s="3" t="str">
        <f t="shared" si="26"/>
        <v/>
      </c>
      <c r="I600" s="4">
        <f>SUMIFS('Weekly Dump'!D:D,'Weekly Dump'!B:B,C600)</f>
        <v>0</v>
      </c>
      <c r="J600" s="5">
        <f>SUMIFS('Weekly Dump'!AE:AE,'Weekly Dump'!B:B,C600)</f>
        <v>0</v>
      </c>
      <c r="K600" s="4">
        <f>SUMPRODUCT(
  (TEXT('Weekly Dump'!$A$2:$A1009,"mmm-yy")=TEXT($AB600,"mmm-yy"))*
  ('Weekly Dump'!$B$2:$B1009=$C600)*
  'Weekly Dump'!$D$2:$D1009)</f>
        <v>0</v>
      </c>
      <c r="L600" s="4">
        <f>SUMPRODUCT(
  (TEXT('Weekly Dump'!$A$2:$A1009,"mmm-yy")=TEXT($AB600,"mmm-yy"))*
  ('Weekly Dump'!$B$2:$B1009=$C600)*
  'Weekly Dump'!$E$2:$E1009
)</f>
        <v>0</v>
      </c>
      <c r="M600" s="4">
        <f>SUMPRODUCT(
  (TEXT('Weekly Dump'!$A$2:$A1009,"mmm-yy")=TEXT($AB600,"mmm-yy"))*
  ('Weekly Dump'!$B$2:$B1009=$C600)*
  'Weekly Dump'!$P$2:$P1009
)</f>
        <v>0</v>
      </c>
      <c r="N600" s="39"/>
      <c r="O600" s="40">
        <f>SUMIFS('Weekly Dump'!$D:$D,'Weekly Dump'!$B:$B,$C600,'Weekly Dump'!$A:$A,$AB600)</f>
        <v>0</v>
      </c>
      <c r="P600" s="40">
        <f>SUMIFS('Weekly Dump'!R:R,'Weekly Dump'!B:B,C600,'Weekly Dump'!A:A,AB600)</f>
        <v>0</v>
      </c>
      <c r="Q600" s="40">
        <f t="shared" si="20"/>
        <v>0</v>
      </c>
      <c r="R600" s="41"/>
      <c r="T600" s="4">
        <f>SUMIFS('Weekly Dump'!E:E,'Weekly Dump'!B:B,C600,'Weekly Dump'!A:A,AB600)</f>
        <v>0</v>
      </c>
      <c r="U600" s="3">
        <f t="shared" si="21"/>
        <v>0</v>
      </c>
      <c r="V600" s="42"/>
      <c r="X600" s="4">
        <f>SUMIFS('Weekly Dump'!P:P,'Weekly Dump'!B:B,C600,'Weekly Dump'!A:A,AB600)</f>
        <v>0</v>
      </c>
      <c r="Y600" s="4">
        <f t="shared" si="22"/>
        <v>0</v>
      </c>
      <c r="Z600" s="41"/>
      <c r="AA600" s="12" t="str">
        <f>iferror(IF(VLOOKUP(C600,'Weekly Dump'!B:B,1,0)=C600,"Yes","Missing"),"")</f>
        <v/>
      </c>
      <c r="AB600" s="66"/>
    </row>
    <row r="601">
      <c r="B601" s="63"/>
      <c r="C601" s="63"/>
      <c r="G601" s="3" t="str">
        <f t="shared" si="26"/>
        <v/>
      </c>
      <c r="I601" s="4">
        <f>SUMIFS('Weekly Dump'!D:D,'Weekly Dump'!B:B,C601)</f>
        <v>0</v>
      </c>
      <c r="J601" s="5">
        <f>SUMIFS('Weekly Dump'!AE:AE,'Weekly Dump'!B:B,C601)</f>
        <v>0</v>
      </c>
      <c r="K601" s="4">
        <f>SUMPRODUCT(
  (TEXT('Weekly Dump'!$A$2:$A1009,"mmm-yy")=TEXT($AB601,"mmm-yy"))*
  ('Weekly Dump'!$B$2:$B1009=$C601)*
  'Weekly Dump'!$D$2:$D1009)</f>
        <v>0</v>
      </c>
      <c r="L601" s="4">
        <f>SUMPRODUCT(
  (TEXT('Weekly Dump'!$A$2:$A1009,"mmm-yy")=TEXT($AB601,"mmm-yy"))*
  ('Weekly Dump'!$B$2:$B1009=$C601)*
  'Weekly Dump'!$E$2:$E1009
)</f>
        <v>0</v>
      </c>
      <c r="M601" s="4">
        <f>SUMPRODUCT(
  (TEXT('Weekly Dump'!$A$2:$A1009,"mmm-yy")=TEXT($AB601,"mmm-yy"))*
  ('Weekly Dump'!$B$2:$B1009=$C601)*
  'Weekly Dump'!$P$2:$P1009
)</f>
        <v>0</v>
      </c>
      <c r="N601" s="39"/>
      <c r="O601" s="40">
        <f>SUMIFS('Weekly Dump'!$D:$D,'Weekly Dump'!$B:$B,$C601,'Weekly Dump'!$A:$A,$AB601)</f>
        <v>0</v>
      </c>
      <c r="P601" s="40">
        <f>SUMIFS('Weekly Dump'!R:R,'Weekly Dump'!B:B,C601,'Weekly Dump'!A:A,AB601)</f>
        <v>0</v>
      </c>
      <c r="Q601" s="40">
        <f t="shared" si="20"/>
        <v>0</v>
      </c>
      <c r="R601" s="41"/>
      <c r="T601" s="4">
        <f>SUMIFS('Weekly Dump'!E:E,'Weekly Dump'!B:B,C601,'Weekly Dump'!A:A,AB601)</f>
        <v>0</v>
      </c>
      <c r="U601" s="3">
        <f t="shared" si="21"/>
        <v>0</v>
      </c>
      <c r="V601" s="42"/>
      <c r="X601" s="4">
        <f>SUMIFS('Weekly Dump'!P:P,'Weekly Dump'!B:B,C601,'Weekly Dump'!A:A,AB601)</f>
        <v>0</v>
      </c>
      <c r="Y601" s="4">
        <f t="shared" si="22"/>
        <v>0</v>
      </c>
      <c r="Z601" s="41"/>
      <c r="AA601" s="12" t="str">
        <f>iferror(IF(VLOOKUP(C601,'Weekly Dump'!B:B,1,0)=C601,"Yes","Missing"),"")</f>
        <v/>
      </c>
      <c r="AB601" s="66"/>
    </row>
    <row r="602">
      <c r="B602" s="63"/>
      <c r="C602" s="63"/>
      <c r="G602" s="3" t="str">
        <f t="shared" si="26"/>
        <v/>
      </c>
      <c r="I602" s="4">
        <f>SUMIFS('Weekly Dump'!D:D,'Weekly Dump'!B:B,C602)</f>
        <v>0</v>
      </c>
      <c r="J602" s="5">
        <f>SUMIFS('Weekly Dump'!AE:AE,'Weekly Dump'!B:B,C602)</f>
        <v>0</v>
      </c>
      <c r="K602" s="4">
        <f>SUMPRODUCT(
  (TEXT('Weekly Dump'!$A$2:$A1009,"mmm-yy")=TEXT($AB602,"mmm-yy"))*
  ('Weekly Dump'!$B$2:$B1009=$C602)*
  'Weekly Dump'!$D$2:$D1009)</f>
        <v>0</v>
      </c>
      <c r="L602" s="4">
        <f>SUMPRODUCT(
  (TEXT('Weekly Dump'!$A$2:$A1009,"mmm-yy")=TEXT($AB602,"mmm-yy"))*
  ('Weekly Dump'!$B$2:$B1009=$C602)*
  'Weekly Dump'!$E$2:$E1009
)</f>
        <v>0</v>
      </c>
      <c r="M602" s="4">
        <f>SUMPRODUCT(
  (TEXT('Weekly Dump'!$A$2:$A1009,"mmm-yy")=TEXT($AB602,"mmm-yy"))*
  ('Weekly Dump'!$B$2:$B1009=$C602)*
  'Weekly Dump'!$P$2:$P1009
)</f>
        <v>0</v>
      </c>
      <c r="N602" s="39"/>
      <c r="O602" s="40">
        <f>SUMIFS('Weekly Dump'!$D:$D,'Weekly Dump'!$B:$B,$C602,'Weekly Dump'!$A:$A,$AB602)</f>
        <v>0</v>
      </c>
      <c r="P602" s="40">
        <f>SUMIFS('Weekly Dump'!R:R,'Weekly Dump'!B:B,C602,'Weekly Dump'!A:A,AB602)</f>
        <v>0</v>
      </c>
      <c r="Q602" s="40">
        <f t="shared" si="20"/>
        <v>0</v>
      </c>
      <c r="R602" s="41"/>
      <c r="T602" s="4">
        <f>SUMIFS('Weekly Dump'!E:E,'Weekly Dump'!B:B,C602,'Weekly Dump'!A:A,AB602)</f>
        <v>0</v>
      </c>
      <c r="U602" s="3">
        <f t="shared" si="21"/>
        <v>0</v>
      </c>
      <c r="V602" s="42"/>
      <c r="X602" s="4">
        <f>SUMIFS('Weekly Dump'!P:P,'Weekly Dump'!B:B,C602,'Weekly Dump'!A:A,AB602)</f>
        <v>0</v>
      </c>
      <c r="Y602" s="4">
        <f t="shared" si="22"/>
        <v>0</v>
      </c>
      <c r="Z602" s="41"/>
      <c r="AA602" s="12" t="str">
        <f>iferror(IF(VLOOKUP(C602,'Weekly Dump'!B:B,1,0)=C602,"Yes","Missing"),"")</f>
        <v/>
      </c>
      <c r="AB602" s="66"/>
    </row>
    <row r="603">
      <c r="B603" s="63"/>
      <c r="C603" s="63"/>
      <c r="G603" s="3" t="str">
        <f t="shared" si="26"/>
        <v/>
      </c>
      <c r="I603" s="4">
        <f>SUMIFS('Weekly Dump'!D:D,'Weekly Dump'!B:B,C603)</f>
        <v>0</v>
      </c>
      <c r="J603" s="5">
        <f>SUMIFS('Weekly Dump'!AE:AE,'Weekly Dump'!B:B,C603)</f>
        <v>0</v>
      </c>
      <c r="K603" s="4">
        <f>SUMPRODUCT(
  (TEXT('Weekly Dump'!$A$2:$A1009,"mmm-yy")=TEXT($AB603,"mmm-yy"))*
  ('Weekly Dump'!$B$2:$B1009=$C603)*
  'Weekly Dump'!$D$2:$D1009)</f>
        <v>0</v>
      </c>
      <c r="L603" s="4">
        <f>SUMPRODUCT(
  (TEXT('Weekly Dump'!$A$2:$A1009,"mmm-yy")=TEXT($AB603,"mmm-yy"))*
  ('Weekly Dump'!$B$2:$B1009=$C603)*
  'Weekly Dump'!$E$2:$E1009
)</f>
        <v>0</v>
      </c>
      <c r="M603" s="4">
        <f>SUMPRODUCT(
  (TEXT('Weekly Dump'!$A$2:$A1009,"mmm-yy")=TEXT($AB603,"mmm-yy"))*
  ('Weekly Dump'!$B$2:$B1009=$C603)*
  'Weekly Dump'!$P$2:$P1009
)</f>
        <v>0</v>
      </c>
      <c r="N603" s="39"/>
      <c r="O603" s="40">
        <f>SUMIFS('Weekly Dump'!$D:$D,'Weekly Dump'!$B:$B,$C603,'Weekly Dump'!$A:$A,$AB603)</f>
        <v>0</v>
      </c>
      <c r="P603" s="40">
        <f>SUMIFS('Weekly Dump'!R:R,'Weekly Dump'!B:B,C603,'Weekly Dump'!A:A,AB603)</f>
        <v>0</v>
      </c>
      <c r="Q603" s="40">
        <f t="shared" si="20"/>
        <v>0</v>
      </c>
      <c r="R603" s="41"/>
      <c r="T603" s="4">
        <f>SUMIFS('Weekly Dump'!E:E,'Weekly Dump'!B:B,C603,'Weekly Dump'!A:A,AB603)</f>
        <v>0</v>
      </c>
      <c r="U603" s="3">
        <f t="shared" si="21"/>
        <v>0</v>
      </c>
      <c r="V603" s="42"/>
      <c r="X603" s="4">
        <f>SUMIFS('Weekly Dump'!P:P,'Weekly Dump'!B:B,C603,'Weekly Dump'!A:A,AB603)</f>
        <v>0</v>
      </c>
      <c r="Y603" s="4">
        <f t="shared" si="22"/>
        <v>0</v>
      </c>
      <c r="Z603" s="41"/>
      <c r="AA603" s="12" t="str">
        <f>iferror(IF(VLOOKUP(C603,'Weekly Dump'!B:B,1,0)=C603,"Yes","Missing"),"")</f>
        <v/>
      </c>
      <c r="AB603" s="66"/>
    </row>
    <row r="604">
      <c r="B604" s="63"/>
      <c r="C604" s="63"/>
      <c r="G604" s="3" t="str">
        <f t="shared" si="26"/>
        <v/>
      </c>
      <c r="I604" s="4">
        <f>SUMIFS('Weekly Dump'!D:D,'Weekly Dump'!B:B,C604)</f>
        <v>0</v>
      </c>
      <c r="J604" s="5">
        <f>SUMIFS('Weekly Dump'!AE:AE,'Weekly Dump'!B:B,C604)</f>
        <v>0</v>
      </c>
      <c r="K604" s="4">
        <f>SUMPRODUCT(
  (TEXT('Weekly Dump'!$A$2:$A1009,"mmm-yy")=TEXT($AB604,"mmm-yy"))*
  ('Weekly Dump'!$B$2:$B1009=$C604)*
  'Weekly Dump'!$D$2:$D1009)</f>
        <v>0</v>
      </c>
      <c r="L604" s="4">
        <f>SUMPRODUCT(
  (TEXT('Weekly Dump'!$A$2:$A1009,"mmm-yy")=TEXT($AB604,"mmm-yy"))*
  ('Weekly Dump'!$B$2:$B1009=$C604)*
  'Weekly Dump'!$E$2:$E1009
)</f>
        <v>0</v>
      </c>
      <c r="M604" s="4">
        <f>SUMPRODUCT(
  (TEXT('Weekly Dump'!$A$2:$A1009,"mmm-yy")=TEXT($AB604,"mmm-yy"))*
  ('Weekly Dump'!$B$2:$B1009=$C604)*
  'Weekly Dump'!$P$2:$P1009
)</f>
        <v>0</v>
      </c>
      <c r="N604" s="39"/>
      <c r="O604" s="40">
        <f>SUMIFS('Weekly Dump'!$D:$D,'Weekly Dump'!$B:$B,$C604,'Weekly Dump'!$A:$A,$AB604)</f>
        <v>0</v>
      </c>
      <c r="P604" s="40">
        <f>SUMIFS('Weekly Dump'!R:R,'Weekly Dump'!B:B,C604,'Weekly Dump'!A:A,AB604)</f>
        <v>0</v>
      </c>
      <c r="Q604" s="40">
        <f t="shared" si="20"/>
        <v>0</v>
      </c>
      <c r="R604" s="41"/>
      <c r="T604" s="4">
        <f>SUMIFS('Weekly Dump'!E:E,'Weekly Dump'!B:B,C604,'Weekly Dump'!A:A,AB604)</f>
        <v>0</v>
      </c>
      <c r="U604" s="3">
        <f t="shared" si="21"/>
        <v>0</v>
      </c>
      <c r="V604" s="42"/>
      <c r="X604" s="4">
        <f>SUMIFS('Weekly Dump'!P:P,'Weekly Dump'!B:B,C604,'Weekly Dump'!A:A,AB604)</f>
        <v>0</v>
      </c>
      <c r="Y604" s="4">
        <f t="shared" si="22"/>
        <v>0</v>
      </c>
      <c r="Z604" s="41"/>
      <c r="AA604" s="12" t="str">
        <f>iferror(IF(VLOOKUP(C604,'Weekly Dump'!B:B,1,0)=C604,"Yes","Missing"),"")</f>
        <v/>
      </c>
      <c r="AB604" s="66"/>
    </row>
    <row r="605">
      <c r="B605" s="63"/>
      <c r="C605" s="63"/>
      <c r="G605" s="3" t="str">
        <f t="shared" si="26"/>
        <v/>
      </c>
      <c r="I605" s="4">
        <f>SUMIFS('Weekly Dump'!D:D,'Weekly Dump'!B:B,C605)</f>
        <v>0</v>
      </c>
      <c r="J605" s="5">
        <f>SUMIFS('Weekly Dump'!AE:AE,'Weekly Dump'!B:B,C605)</f>
        <v>0</v>
      </c>
      <c r="K605" s="4">
        <f>SUMPRODUCT(
  (TEXT('Weekly Dump'!$A$2:$A1009,"mmm-yy")=TEXT($AB605,"mmm-yy"))*
  ('Weekly Dump'!$B$2:$B1009=$C605)*
  'Weekly Dump'!$D$2:$D1009)</f>
        <v>0</v>
      </c>
      <c r="L605" s="4">
        <f>SUMPRODUCT(
  (TEXT('Weekly Dump'!$A$2:$A1009,"mmm-yy")=TEXT($AB605,"mmm-yy"))*
  ('Weekly Dump'!$B$2:$B1009=$C605)*
  'Weekly Dump'!$E$2:$E1009
)</f>
        <v>0</v>
      </c>
      <c r="M605" s="4">
        <f>SUMPRODUCT(
  (TEXT('Weekly Dump'!$A$2:$A1009,"mmm-yy")=TEXT($AB605,"mmm-yy"))*
  ('Weekly Dump'!$B$2:$B1009=$C605)*
  'Weekly Dump'!$P$2:$P1009
)</f>
        <v>0</v>
      </c>
      <c r="N605" s="39"/>
      <c r="O605" s="40">
        <f>SUMIFS('Weekly Dump'!$D:$D,'Weekly Dump'!$B:$B,$C605,'Weekly Dump'!$A:$A,$AB605)</f>
        <v>0</v>
      </c>
      <c r="P605" s="40">
        <f>SUMIFS('Weekly Dump'!R:R,'Weekly Dump'!B:B,C605,'Weekly Dump'!A:A,AB605)</f>
        <v>0</v>
      </c>
      <c r="Q605" s="40">
        <f t="shared" si="20"/>
        <v>0</v>
      </c>
      <c r="R605" s="41"/>
      <c r="T605" s="4">
        <f>SUMIFS('Weekly Dump'!E:E,'Weekly Dump'!B:B,C605,'Weekly Dump'!A:A,AB605)</f>
        <v>0</v>
      </c>
      <c r="U605" s="3">
        <f t="shared" si="21"/>
        <v>0</v>
      </c>
      <c r="V605" s="42"/>
      <c r="X605" s="4">
        <f>SUMIFS('Weekly Dump'!P:P,'Weekly Dump'!B:B,C605,'Weekly Dump'!A:A,AB605)</f>
        <v>0</v>
      </c>
      <c r="Y605" s="4">
        <f t="shared" si="22"/>
        <v>0</v>
      </c>
      <c r="Z605" s="41"/>
      <c r="AA605" s="12" t="str">
        <f>iferror(IF(VLOOKUP(C605,'Weekly Dump'!B:B,1,0)=C605,"Yes","Missing"),"")</f>
        <v/>
      </c>
      <c r="AB605" s="66"/>
    </row>
    <row r="606">
      <c r="B606" s="63"/>
      <c r="C606" s="63"/>
      <c r="G606" s="3" t="str">
        <f t="shared" si="26"/>
        <v/>
      </c>
      <c r="I606" s="4">
        <f>SUMIFS('Weekly Dump'!D:D,'Weekly Dump'!B:B,C606)</f>
        <v>0</v>
      </c>
      <c r="J606" s="5">
        <f>SUMIFS('Weekly Dump'!AE:AE,'Weekly Dump'!B:B,C606)</f>
        <v>0</v>
      </c>
      <c r="K606" s="4">
        <f>SUMPRODUCT(
  (TEXT('Weekly Dump'!$A$2:$A1009,"mmm-yy")=TEXT($AB606,"mmm-yy"))*
  ('Weekly Dump'!$B$2:$B1009=$C606)*
  'Weekly Dump'!$D$2:$D1009)</f>
        <v>0</v>
      </c>
      <c r="L606" s="4">
        <f>SUMPRODUCT(
  (TEXT('Weekly Dump'!$A$2:$A1009,"mmm-yy")=TEXT($AB606,"mmm-yy"))*
  ('Weekly Dump'!$B$2:$B1009=$C606)*
  'Weekly Dump'!$E$2:$E1009
)</f>
        <v>0</v>
      </c>
      <c r="M606" s="4">
        <f>SUMPRODUCT(
  (TEXT('Weekly Dump'!$A$2:$A1009,"mmm-yy")=TEXT($AB606,"mmm-yy"))*
  ('Weekly Dump'!$B$2:$B1009=$C606)*
  'Weekly Dump'!$P$2:$P1009
)</f>
        <v>0</v>
      </c>
      <c r="N606" s="39"/>
      <c r="O606" s="40">
        <f>SUMIFS('Weekly Dump'!$D:$D,'Weekly Dump'!$B:$B,$C606,'Weekly Dump'!$A:$A,$AB606)</f>
        <v>0</v>
      </c>
      <c r="P606" s="40">
        <f>SUMIFS('Weekly Dump'!R:R,'Weekly Dump'!B:B,C606,'Weekly Dump'!A:A,AB606)</f>
        <v>0</v>
      </c>
      <c r="Q606" s="40">
        <f t="shared" si="20"/>
        <v>0</v>
      </c>
      <c r="R606" s="41"/>
      <c r="T606" s="4">
        <f>SUMIFS('Weekly Dump'!E:E,'Weekly Dump'!B:B,C606,'Weekly Dump'!A:A,AB606)</f>
        <v>0</v>
      </c>
      <c r="U606" s="3">
        <f t="shared" si="21"/>
        <v>0</v>
      </c>
      <c r="V606" s="42"/>
      <c r="X606" s="4">
        <f>SUMIFS('Weekly Dump'!P:P,'Weekly Dump'!B:B,C606,'Weekly Dump'!A:A,AB606)</f>
        <v>0</v>
      </c>
      <c r="Y606" s="4">
        <f t="shared" si="22"/>
        <v>0</v>
      </c>
      <c r="Z606" s="41"/>
      <c r="AA606" s="12" t="str">
        <f>iferror(IF(VLOOKUP(C606,'Weekly Dump'!B:B,1,0)=C606,"Yes","Missing"),"")</f>
        <v/>
      </c>
      <c r="AB606" s="66"/>
    </row>
    <row r="607">
      <c r="B607" s="63"/>
      <c r="C607" s="63"/>
      <c r="G607" s="3" t="str">
        <f t="shared" si="26"/>
        <v/>
      </c>
      <c r="I607" s="4">
        <f>SUMIFS('Weekly Dump'!D:D,'Weekly Dump'!B:B,C607)</f>
        <v>0</v>
      </c>
      <c r="J607" s="5">
        <f>SUMIFS('Weekly Dump'!AE:AE,'Weekly Dump'!B:B,C607)</f>
        <v>0</v>
      </c>
      <c r="K607" s="4">
        <f>SUMPRODUCT(
  (TEXT('Weekly Dump'!$A$2:$A1009,"mmm-yy")=TEXT($AB607,"mmm-yy"))*
  ('Weekly Dump'!$B$2:$B1009=$C607)*
  'Weekly Dump'!$D$2:$D1009)</f>
        <v>0</v>
      </c>
      <c r="L607" s="4">
        <f>SUMPRODUCT(
  (TEXT('Weekly Dump'!$A$2:$A1009,"mmm-yy")=TEXT($AB607,"mmm-yy"))*
  ('Weekly Dump'!$B$2:$B1009=$C607)*
  'Weekly Dump'!$E$2:$E1009
)</f>
        <v>0</v>
      </c>
      <c r="M607" s="4">
        <f>SUMPRODUCT(
  (TEXT('Weekly Dump'!$A$2:$A1009,"mmm-yy")=TEXT($AB607,"mmm-yy"))*
  ('Weekly Dump'!$B$2:$B1009=$C607)*
  'Weekly Dump'!$P$2:$P1009
)</f>
        <v>0</v>
      </c>
      <c r="N607" s="39"/>
      <c r="O607" s="40">
        <f>SUMIFS('Weekly Dump'!$D:$D,'Weekly Dump'!$B:$B,$C607,'Weekly Dump'!$A:$A,$AB607)</f>
        <v>0</v>
      </c>
      <c r="P607" s="40">
        <f>SUMIFS('Weekly Dump'!R:R,'Weekly Dump'!B:B,C607,'Weekly Dump'!A:A,AB607)</f>
        <v>0</v>
      </c>
      <c r="Q607" s="40">
        <f t="shared" si="20"/>
        <v>0</v>
      </c>
      <c r="R607" s="41"/>
      <c r="T607" s="4">
        <f>SUMIFS('Weekly Dump'!E:E,'Weekly Dump'!B:B,C607,'Weekly Dump'!A:A,AB607)</f>
        <v>0</v>
      </c>
      <c r="U607" s="3">
        <f t="shared" si="21"/>
        <v>0</v>
      </c>
      <c r="V607" s="42"/>
      <c r="X607" s="4">
        <f>SUMIFS('Weekly Dump'!P:P,'Weekly Dump'!B:B,C607,'Weekly Dump'!A:A,AB607)</f>
        <v>0</v>
      </c>
      <c r="Y607" s="4">
        <f t="shared" si="22"/>
        <v>0</v>
      </c>
      <c r="Z607" s="41"/>
      <c r="AA607" s="12" t="str">
        <f>iferror(IF(VLOOKUP(C607,'Weekly Dump'!B:B,1,0)=C607,"Yes","Missing"),"")</f>
        <v/>
      </c>
      <c r="AB607" s="66"/>
    </row>
    <row r="608">
      <c r="B608" s="63"/>
      <c r="C608" s="63"/>
      <c r="G608" s="3" t="str">
        <f t="shared" si="26"/>
        <v/>
      </c>
      <c r="I608" s="4">
        <f>SUMIFS('Weekly Dump'!D:D,'Weekly Dump'!B:B,C608)</f>
        <v>0</v>
      </c>
      <c r="J608" s="5">
        <f>SUMIFS('Weekly Dump'!AE:AE,'Weekly Dump'!B:B,C608)</f>
        <v>0</v>
      </c>
      <c r="K608" s="4">
        <f>SUMPRODUCT(
  (TEXT('Weekly Dump'!$A$2:$A1009,"mmm-yy")=TEXT($AB608,"mmm-yy"))*
  ('Weekly Dump'!$B$2:$B1009=$C608)*
  'Weekly Dump'!$D$2:$D1009)</f>
        <v>0</v>
      </c>
      <c r="L608" s="4">
        <f>SUMPRODUCT(
  (TEXT('Weekly Dump'!$A$2:$A1009,"mmm-yy")=TEXT($AB608,"mmm-yy"))*
  ('Weekly Dump'!$B$2:$B1009=$C608)*
  'Weekly Dump'!$E$2:$E1009
)</f>
        <v>0</v>
      </c>
      <c r="M608" s="4">
        <f>SUMPRODUCT(
  (TEXT('Weekly Dump'!$A$2:$A1009,"mmm-yy")=TEXT($AB608,"mmm-yy"))*
  ('Weekly Dump'!$B$2:$B1009=$C608)*
  'Weekly Dump'!$P$2:$P1009
)</f>
        <v>0</v>
      </c>
      <c r="N608" s="39"/>
      <c r="O608" s="40">
        <f>SUMIFS('Weekly Dump'!$D:$D,'Weekly Dump'!$B:$B,$C608,'Weekly Dump'!$A:$A,$AB608)</f>
        <v>0</v>
      </c>
      <c r="P608" s="40">
        <f>SUMIFS('Weekly Dump'!R:R,'Weekly Dump'!B:B,C608,'Weekly Dump'!A:A,AB608)</f>
        <v>0</v>
      </c>
      <c r="Q608" s="40">
        <f t="shared" si="20"/>
        <v>0</v>
      </c>
      <c r="R608" s="41"/>
      <c r="T608" s="4">
        <f>SUMIFS('Weekly Dump'!E:E,'Weekly Dump'!B:B,C608,'Weekly Dump'!A:A,AB608)</f>
        <v>0</v>
      </c>
      <c r="U608" s="3">
        <f t="shared" si="21"/>
        <v>0</v>
      </c>
      <c r="V608" s="42"/>
      <c r="X608" s="4">
        <f>SUMIFS('Weekly Dump'!P:P,'Weekly Dump'!B:B,C608,'Weekly Dump'!A:A,AB608)</f>
        <v>0</v>
      </c>
      <c r="Y608" s="4">
        <f t="shared" si="22"/>
        <v>0</v>
      </c>
      <c r="Z608" s="41"/>
      <c r="AA608" s="12" t="str">
        <f>iferror(IF(VLOOKUP(C608,'Weekly Dump'!B:B,1,0)=C608,"Yes","Missing"),"")</f>
        <v/>
      </c>
      <c r="AB608" s="66"/>
    </row>
    <row r="609">
      <c r="B609" s="63"/>
      <c r="C609" s="63"/>
      <c r="G609" s="3" t="str">
        <f t="shared" si="26"/>
        <v/>
      </c>
      <c r="I609" s="4">
        <f>SUMIFS('Weekly Dump'!D:D,'Weekly Dump'!B:B,C609)</f>
        <v>0</v>
      </c>
      <c r="J609" s="5">
        <f>SUMIFS('Weekly Dump'!AE:AE,'Weekly Dump'!B:B,C609)</f>
        <v>0</v>
      </c>
      <c r="K609" s="4">
        <f>SUMPRODUCT(
  (TEXT('Weekly Dump'!$A$2:$A1009,"mmm-yy")=TEXT($AB609,"mmm-yy"))*
  ('Weekly Dump'!$B$2:$B1009=$C609)*
  'Weekly Dump'!$D$2:$D1009)</f>
        <v>0</v>
      </c>
      <c r="L609" s="4">
        <f>SUMPRODUCT(
  (TEXT('Weekly Dump'!$A$2:$A1009,"mmm-yy")=TEXT($AB609,"mmm-yy"))*
  ('Weekly Dump'!$B$2:$B1009=$C609)*
  'Weekly Dump'!$E$2:$E1009
)</f>
        <v>0</v>
      </c>
      <c r="M609" s="4">
        <f>SUMPRODUCT(
  (TEXT('Weekly Dump'!$A$2:$A1009,"mmm-yy")=TEXT($AB609,"mmm-yy"))*
  ('Weekly Dump'!$B$2:$B1009=$C609)*
  'Weekly Dump'!$P$2:$P1009
)</f>
        <v>0</v>
      </c>
      <c r="N609" s="39"/>
      <c r="O609" s="40">
        <f>SUMIFS('Weekly Dump'!$D:$D,'Weekly Dump'!$B:$B,$C609,'Weekly Dump'!$A:$A,$AB609)</f>
        <v>0</v>
      </c>
      <c r="P609" s="40">
        <f>SUMIFS('Weekly Dump'!R:R,'Weekly Dump'!B:B,C609,'Weekly Dump'!A:A,AB609)</f>
        <v>0</v>
      </c>
      <c r="Q609" s="40">
        <f t="shared" si="20"/>
        <v>0</v>
      </c>
      <c r="R609" s="41"/>
      <c r="T609" s="4">
        <f>SUMIFS('Weekly Dump'!E:E,'Weekly Dump'!B:B,C609,'Weekly Dump'!A:A,AB609)</f>
        <v>0</v>
      </c>
      <c r="U609" s="3">
        <f t="shared" si="21"/>
        <v>0</v>
      </c>
      <c r="V609" s="42"/>
      <c r="X609" s="4">
        <f>SUMIFS('Weekly Dump'!P:P,'Weekly Dump'!B:B,C609,'Weekly Dump'!A:A,AB609)</f>
        <v>0</v>
      </c>
      <c r="Y609" s="4">
        <f t="shared" si="22"/>
        <v>0</v>
      </c>
      <c r="Z609" s="41"/>
      <c r="AA609" s="12" t="str">
        <f>iferror(IF(VLOOKUP(C609,'Weekly Dump'!B:B,1,0)=C609,"Yes","Missing"),"")</f>
        <v/>
      </c>
      <c r="AB609" s="66"/>
    </row>
    <row r="610">
      <c r="B610" s="63"/>
      <c r="C610" s="63"/>
      <c r="G610" s="3" t="str">
        <f t="shared" si="26"/>
        <v/>
      </c>
      <c r="I610" s="4">
        <f>SUMIFS('Weekly Dump'!D:D,'Weekly Dump'!B:B,C610)</f>
        <v>0</v>
      </c>
      <c r="J610" s="5">
        <f>SUMIFS('Weekly Dump'!AE:AE,'Weekly Dump'!B:B,C610)</f>
        <v>0</v>
      </c>
      <c r="K610" s="4">
        <f>SUMPRODUCT(
  (TEXT('Weekly Dump'!$A$2:$A1009,"mmm-yy")=TEXT($AB610,"mmm-yy"))*
  ('Weekly Dump'!$B$2:$B1009=$C610)*
  'Weekly Dump'!$D$2:$D1009)</f>
        <v>0</v>
      </c>
      <c r="L610" s="4">
        <f>SUMPRODUCT(
  (TEXT('Weekly Dump'!$A$2:$A1009,"mmm-yy")=TEXT($AB610,"mmm-yy"))*
  ('Weekly Dump'!$B$2:$B1009=$C610)*
  'Weekly Dump'!$E$2:$E1009
)</f>
        <v>0</v>
      </c>
      <c r="M610" s="4">
        <f>SUMPRODUCT(
  (TEXT('Weekly Dump'!$A$2:$A1009,"mmm-yy")=TEXT($AB610,"mmm-yy"))*
  ('Weekly Dump'!$B$2:$B1009=$C610)*
  'Weekly Dump'!$P$2:$P1009
)</f>
        <v>0</v>
      </c>
      <c r="N610" s="39"/>
      <c r="O610" s="40">
        <f>SUMIFS('Weekly Dump'!$D:$D,'Weekly Dump'!$B:$B,$C610,'Weekly Dump'!$A:$A,$AB610)</f>
        <v>0</v>
      </c>
      <c r="P610" s="40">
        <f>SUMIFS('Weekly Dump'!R:R,'Weekly Dump'!B:B,C610,'Weekly Dump'!A:A,AB610)</f>
        <v>0</v>
      </c>
      <c r="Q610" s="40">
        <f t="shared" si="20"/>
        <v>0</v>
      </c>
      <c r="R610" s="41"/>
      <c r="T610" s="4">
        <f>SUMIFS('Weekly Dump'!E:E,'Weekly Dump'!B:B,C610,'Weekly Dump'!A:A,AB610)</f>
        <v>0</v>
      </c>
      <c r="U610" s="3">
        <f t="shared" si="21"/>
        <v>0</v>
      </c>
      <c r="V610" s="42"/>
      <c r="X610" s="4">
        <f>SUMIFS('Weekly Dump'!P:P,'Weekly Dump'!B:B,C610,'Weekly Dump'!A:A,AB610)</f>
        <v>0</v>
      </c>
      <c r="Y610" s="4">
        <f t="shared" si="22"/>
        <v>0</v>
      </c>
      <c r="Z610" s="41"/>
      <c r="AA610" s="12" t="str">
        <f>iferror(IF(VLOOKUP(C610,'Weekly Dump'!B:B,1,0)=C610,"Yes","Missing"),"")</f>
        <v/>
      </c>
      <c r="AB610" s="66"/>
    </row>
    <row r="611">
      <c r="B611" s="63"/>
      <c r="C611" s="63"/>
      <c r="G611" s="3" t="str">
        <f t="shared" si="26"/>
        <v/>
      </c>
      <c r="I611" s="4">
        <f>SUMIFS('Weekly Dump'!D:D,'Weekly Dump'!B:B,C611)</f>
        <v>0</v>
      </c>
      <c r="J611" s="5">
        <f>SUMIFS('Weekly Dump'!AE:AE,'Weekly Dump'!B:B,C611)</f>
        <v>0</v>
      </c>
      <c r="K611" s="4">
        <f>SUMPRODUCT(
  (TEXT('Weekly Dump'!$A$2:$A1009,"mmm-yy")=TEXT($AB611,"mmm-yy"))*
  ('Weekly Dump'!$B$2:$B1009=$C611)*
  'Weekly Dump'!$D$2:$D1009)</f>
        <v>0</v>
      </c>
      <c r="L611" s="4">
        <f>SUMPRODUCT(
  (TEXT('Weekly Dump'!$A$2:$A1009,"mmm-yy")=TEXT($AB611,"mmm-yy"))*
  ('Weekly Dump'!$B$2:$B1009=$C611)*
  'Weekly Dump'!$E$2:$E1009
)</f>
        <v>0</v>
      </c>
      <c r="M611" s="4">
        <f>SUMPRODUCT(
  (TEXT('Weekly Dump'!$A$2:$A1009,"mmm-yy")=TEXT($AB611,"mmm-yy"))*
  ('Weekly Dump'!$B$2:$B1009=$C611)*
  'Weekly Dump'!$P$2:$P1009
)</f>
        <v>0</v>
      </c>
      <c r="N611" s="39"/>
      <c r="O611" s="40">
        <f>SUMIFS('Weekly Dump'!$D:$D,'Weekly Dump'!$B:$B,$C611,'Weekly Dump'!$A:$A,$AB611)</f>
        <v>0</v>
      </c>
      <c r="P611" s="40">
        <f>SUMIFS('Weekly Dump'!R:R,'Weekly Dump'!B:B,C611,'Weekly Dump'!A:A,AB611)</f>
        <v>0</v>
      </c>
      <c r="Q611" s="40">
        <f t="shared" si="20"/>
        <v>0</v>
      </c>
      <c r="R611" s="41"/>
      <c r="T611" s="4">
        <f>SUMIFS('Weekly Dump'!E:E,'Weekly Dump'!B:B,C611,'Weekly Dump'!A:A,AB611)</f>
        <v>0</v>
      </c>
      <c r="U611" s="3">
        <f t="shared" si="21"/>
        <v>0</v>
      </c>
      <c r="V611" s="42"/>
      <c r="X611" s="4">
        <f>SUMIFS('Weekly Dump'!P:P,'Weekly Dump'!B:B,C611,'Weekly Dump'!A:A,AB611)</f>
        <v>0</v>
      </c>
      <c r="Y611" s="4">
        <f t="shared" si="22"/>
        <v>0</v>
      </c>
      <c r="Z611" s="41"/>
      <c r="AA611" s="12" t="str">
        <f>iferror(IF(VLOOKUP(C611,'Weekly Dump'!B:B,1,0)=C611,"Yes","Missing"),"")</f>
        <v/>
      </c>
      <c r="AB611" s="66"/>
    </row>
    <row r="612">
      <c r="B612" s="63"/>
      <c r="C612" s="63"/>
      <c r="G612" s="3" t="str">
        <f t="shared" si="26"/>
        <v/>
      </c>
      <c r="I612" s="4">
        <f>SUMIFS('Weekly Dump'!D:D,'Weekly Dump'!B:B,C612)</f>
        <v>0</v>
      </c>
      <c r="J612" s="5">
        <f>SUMIFS('Weekly Dump'!AE:AE,'Weekly Dump'!B:B,C612)</f>
        <v>0</v>
      </c>
      <c r="K612" s="4">
        <f>SUMPRODUCT(
  (TEXT('Weekly Dump'!$A$2:$A1009,"mmm-yy")=TEXT($AB612,"mmm-yy"))*
  ('Weekly Dump'!$B$2:$B1009=$C612)*
  'Weekly Dump'!$D$2:$D1009)</f>
        <v>0</v>
      </c>
      <c r="L612" s="4">
        <f>SUMPRODUCT(
  (TEXT('Weekly Dump'!$A$2:$A1009,"mmm-yy")=TEXT($AB612,"mmm-yy"))*
  ('Weekly Dump'!$B$2:$B1009=$C612)*
  'Weekly Dump'!$E$2:$E1009
)</f>
        <v>0</v>
      </c>
      <c r="M612" s="4">
        <f>SUMPRODUCT(
  (TEXT('Weekly Dump'!$A$2:$A1009,"mmm-yy")=TEXT($AB612,"mmm-yy"))*
  ('Weekly Dump'!$B$2:$B1009=$C612)*
  'Weekly Dump'!$P$2:$P1009
)</f>
        <v>0</v>
      </c>
      <c r="N612" s="39"/>
      <c r="O612" s="40">
        <f>SUMIFS('Weekly Dump'!$D:$D,'Weekly Dump'!$B:$B,$C612,'Weekly Dump'!$A:$A,$AB612)</f>
        <v>0</v>
      </c>
      <c r="P612" s="40">
        <f>SUMIFS('Weekly Dump'!R:R,'Weekly Dump'!B:B,C612,'Weekly Dump'!A:A,AB612)</f>
        <v>0</v>
      </c>
      <c r="Q612" s="40">
        <f t="shared" si="20"/>
        <v>0</v>
      </c>
      <c r="R612" s="41"/>
      <c r="T612" s="4">
        <f>SUMIFS('Weekly Dump'!E:E,'Weekly Dump'!B:B,C612,'Weekly Dump'!A:A,AB612)</f>
        <v>0</v>
      </c>
      <c r="U612" s="3">
        <f t="shared" si="21"/>
        <v>0</v>
      </c>
      <c r="V612" s="42"/>
      <c r="X612" s="4">
        <f>SUMIFS('Weekly Dump'!P:P,'Weekly Dump'!B:B,C612,'Weekly Dump'!A:A,AB612)</f>
        <v>0</v>
      </c>
      <c r="Y612" s="4">
        <f t="shared" si="22"/>
        <v>0</v>
      </c>
      <c r="Z612" s="41"/>
      <c r="AA612" s="12" t="str">
        <f>iferror(IF(VLOOKUP(C612,'Weekly Dump'!B:B,1,0)=C612,"Yes","Missing"),"")</f>
        <v/>
      </c>
      <c r="AB612" s="66"/>
    </row>
    <row r="613">
      <c r="B613" s="63"/>
      <c r="C613" s="63"/>
      <c r="G613" s="3" t="str">
        <f t="shared" si="26"/>
        <v/>
      </c>
      <c r="I613" s="4">
        <f>SUMIFS('Weekly Dump'!D:D,'Weekly Dump'!B:B,C613)</f>
        <v>0</v>
      </c>
      <c r="J613" s="5">
        <f>SUMIFS('Weekly Dump'!AE:AE,'Weekly Dump'!B:B,C613)</f>
        <v>0</v>
      </c>
      <c r="K613" s="4">
        <f>SUMPRODUCT(
  (TEXT('Weekly Dump'!$A$2:$A1009,"mmm-yy")=TEXT($AB613,"mmm-yy"))*
  ('Weekly Dump'!$B$2:$B1009=$C613)*
  'Weekly Dump'!$D$2:$D1009)</f>
        <v>0</v>
      </c>
      <c r="L613" s="4">
        <f>SUMPRODUCT(
  (TEXT('Weekly Dump'!$A$2:$A1009,"mmm-yy")=TEXT($AB613,"mmm-yy"))*
  ('Weekly Dump'!$B$2:$B1009=$C613)*
  'Weekly Dump'!$E$2:$E1009
)</f>
        <v>0</v>
      </c>
      <c r="M613" s="4">
        <f>SUMPRODUCT(
  (TEXT('Weekly Dump'!$A$2:$A1009,"mmm-yy")=TEXT($AB613,"mmm-yy"))*
  ('Weekly Dump'!$B$2:$B1009=$C613)*
  'Weekly Dump'!$P$2:$P1009
)</f>
        <v>0</v>
      </c>
      <c r="N613" s="39"/>
      <c r="O613" s="40">
        <f>SUMIFS('Weekly Dump'!$D:$D,'Weekly Dump'!$B:$B,$C613,'Weekly Dump'!$A:$A,$AB613)</f>
        <v>0</v>
      </c>
      <c r="P613" s="40">
        <f>SUMIFS('Weekly Dump'!R:R,'Weekly Dump'!B:B,C613,'Weekly Dump'!A:A,AB613)</f>
        <v>0</v>
      </c>
      <c r="Q613" s="40">
        <f t="shared" si="20"/>
        <v>0</v>
      </c>
      <c r="R613" s="41"/>
      <c r="T613" s="4">
        <f>SUMIFS('Weekly Dump'!E:E,'Weekly Dump'!B:B,C613,'Weekly Dump'!A:A,AB613)</f>
        <v>0</v>
      </c>
      <c r="U613" s="3">
        <f t="shared" si="21"/>
        <v>0</v>
      </c>
      <c r="V613" s="42"/>
      <c r="X613" s="4">
        <f>SUMIFS('Weekly Dump'!P:P,'Weekly Dump'!B:B,C613,'Weekly Dump'!A:A,AB613)</f>
        <v>0</v>
      </c>
      <c r="Y613" s="4">
        <f t="shared" si="22"/>
        <v>0</v>
      </c>
      <c r="Z613" s="41"/>
      <c r="AA613" s="12" t="str">
        <f>iferror(IF(VLOOKUP(C613,'Weekly Dump'!B:B,1,0)=C613,"Yes","Missing"),"")</f>
        <v/>
      </c>
      <c r="AB613" s="66"/>
    </row>
    <row r="614">
      <c r="B614" s="63"/>
      <c r="C614" s="63"/>
      <c r="G614" s="3" t="str">
        <f t="shared" si="26"/>
        <v/>
      </c>
      <c r="I614" s="4">
        <f>SUMIFS('Weekly Dump'!D:D,'Weekly Dump'!B:B,C614)</f>
        <v>0</v>
      </c>
      <c r="J614" s="5">
        <f>SUMIFS('Weekly Dump'!AE:AE,'Weekly Dump'!B:B,C614)</f>
        <v>0</v>
      </c>
      <c r="K614" s="4">
        <f>SUMPRODUCT(
  (TEXT('Weekly Dump'!$A$2:$A1009,"mmm-yy")=TEXT($AB614,"mmm-yy"))*
  ('Weekly Dump'!$B$2:$B1009=$C614)*
  'Weekly Dump'!$D$2:$D1009)</f>
        <v>0</v>
      </c>
      <c r="L614" s="4">
        <f>SUMPRODUCT(
  (TEXT('Weekly Dump'!$A$2:$A1009,"mmm-yy")=TEXT($AB614,"mmm-yy"))*
  ('Weekly Dump'!$B$2:$B1009=$C614)*
  'Weekly Dump'!$E$2:$E1009
)</f>
        <v>0</v>
      </c>
      <c r="M614" s="4">
        <f>SUMPRODUCT(
  (TEXT('Weekly Dump'!$A$2:$A1009,"mmm-yy")=TEXT($AB614,"mmm-yy"))*
  ('Weekly Dump'!$B$2:$B1009=$C614)*
  'Weekly Dump'!$P$2:$P1009
)</f>
        <v>0</v>
      </c>
      <c r="N614" s="39"/>
      <c r="O614" s="40">
        <f>SUMIFS('Weekly Dump'!$D:$D,'Weekly Dump'!$B:$B,$C614,'Weekly Dump'!$A:$A,$AB614)</f>
        <v>0</v>
      </c>
      <c r="P614" s="40">
        <f>SUMIFS('Weekly Dump'!R:R,'Weekly Dump'!B:B,C614,'Weekly Dump'!A:A,AB614)</f>
        <v>0</v>
      </c>
      <c r="Q614" s="40">
        <f t="shared" si="20"/>
        <v>0</v>
      </c>
      <c r="R614" s="41"/>
      <c r="T614" s="4">
        <f>SUMIFS('Weekly Dump'!E:E,'Weekly Dump'!B:B,C614,'Weekly Dump'!A:A,AB614)</f>
        <v>0</v>
      </c>
      <c r="U614" s="3">
        <f t="shared" si="21"/>
        <v>0</v>
      </c>
      <c r="V614" s="42"/>
      <c r="X614" s="4">
        <f>SUMIFS('Weekly Dump'!P:P,'Weekly Dump'!B:B,C614,'Weekly Dump'!A:A,AB614)</f>
        <v>0</v>
      </c>
      <c r="Y614" s="4">
        <f t="shared" si="22"/>
        <v>0</v>
      </c>
      <c r="Z614" s="41"/>
      <c r="AA614" s="12" t="str">
        <f>iferror(IF(VLOOKUP(C614,'Weekly Dump'!B:B,1,0)=C614,"Yes","Missing"),"")</f>
        <v/>
      </c>
      <c r="AB614" s="66"/>
    </row>
    <row r="615">
      <c r="B615" s="63"/>
      <c r="C615" s="63"/>
      <c r="G615" s="3" t="str">
        <f t="shared" si="26"/>
        <v/>
      </c>
      <c r="I615" s="4">
        <f>SUMIFS('Weekly Dump'!D:D,'Weekly Dump'!B:B,C615)</f>
        <v>0</v>
      </c>
      <c r="J615" s="5">
        <f>SUMIFS('Weekly Dump'!AE:AE,'Weekly Dump'!B:B,C615)</f>
        <v>0</v>
      </c>
      <c r="K615" s="4">
        <f>SUMPRODUCT(
  (TEXT('Weekly Dump'!$A$2:$A1009,"mmm-yy")=TEXT($AB615,"mmm-yy"))*
  ('Weekly Dump'!$B$2:$B1009=$C615)*
  'Weekly Dump'!$D$2:$D1009)</f>
        <v>0</v>
      </c>
      <c r="L615" s="4">
        <f>SUMPRODUCT(
  (TEXT('Weekly Dump'!$A$2:$A1009,"mmm-yy")=TEXT($AB615,"mmm-yy"))*
  ('Weekly Dump'!$B$2:$B1009=$C615)*
  'Weekly Dump'!$E$2:$E1009
)</f>
        <v>0</v>
      </c>
      <c r="M615" s="4">
        <f>SUMPRODUCT(
  (TEXT('Weekly Dump'!$A$2:$A1009,"mmm-yy")=TEXT($AB615,"mmm-yy"))*
  ('Weekly Dump'!$B$2:$B1009=$C615)*
  'Weekly Dump'!$P$2:$P1009
)</f>
        <v>0</v>
      </c>
      <c r="N615" s="39"/>
      <c r="O615" s="40">
        <f>SUMIFS('Weekly Dump'!$D:$D,'Weekly Dump'!$B:$B,$C615,'Weekly Dump'!$A:$A,$AB615)</f>
        <v>0</v>
      </c>
      <c r="P615" s="40">
        <f>SUMIFS('Weekly Dump'!R:R,'Weekly Dump'!B:B,C615,'Weekly Dump'!A:A,AB615)</f>
        <v>0</v>
      </c>
      <c r="Q615" s="40">
        <f t="shared" si="20"/>
        <v>0</v>
      </c>
      <c r="R615" s="41"/>
      <c r="T615" s="4">
        <f>SUMIFS('Weekly Dump'!E:E,'Weekly Dump'!B:B,C615,'Weekly Dump'!A:A,AB615)</f>
        <v>0</v>
      </c>
      <c r="U615" s="3">
        <f t="shared" si="21"/>
        <v>0</v>
      </c>
      <c r="V615" s="42"/>
      <c r="X615" s="4">
        <f>SUMIFS('Weekly Dump'!P:P,'Weekly Dump'!B:B,C615,'Weekly Dump'!A:A,AB615)</f>
        <v>0</v>
      </c>
      <c r="Y615" s="4">
        <f t="shared" si="22"/>
        <v>0</v>
      </c>
      <c r="Z615" s="41"/>
      <c r="AA615" s="12" t="str">
        <f>iferror(IF(VLOOKUP(C615,'Weekly Dump'!B:B,1,0)=C615,"Yes","Missing"),"")</f>
        <v/>
      </c>
      <c r="AB615" s="66"/>
    </row>
    <row r="616">
      <c r="B616" s="63"/>
      <c r="C616" s="63"/>
      <c r="G616" s="3" t="str">
        <f t="shared" si="26"/>
        <v/>
      </c>
      <c r="I616" s="4">
        <f>SUMIFS('Weekly Dump'!D:D,'Weekly Dump'!B:B,C616)</f>
        <v>0</v>
      </c>
      <c r="J616" s="5">
        <f>SUMIFS('Weekly Dump'!AE:AE,'Weekly Dump'!B:B,C616)</f>
        <v>0</v>
      </c>
      <c r="K616" s="4">
        <f>SUMPRODUCT(
  (TEXT('Weekly Dump'!$A$2:$A1009,"mmm-yy")=TEXT($AB616,"mmm-yy"))*
  ('Weekly Dump'!$B$2:$B1009=$C616)*
  'Weekly Dump'!$D$2:$D1009)</f>
        <v>0</v>
      </c>
      <c r="L616" s="4">
        <f>SUMPRODUCT(
  (TEXT('Weekly Dump'!$A$2:$A1009,"mmm-yy")=TEXT($AB616,"mmm-yy"))*
  ('Weekly Dump'!$B$2:$B1009=$C616)*
  'Weekly Dump'!$E$2:$E1009
)</f>
        <v>0</v>
      </c>
      <c r="M616" s="4">
        <f>SUMPRODUCT(
  (TEXT('Weekly Dump'!$A$2:$A1009,"mmm-yy")=TEXT($AB616,"mmm-yy"))*
  ('Weekly Dump'!$B$2:$B1009=$C616)*
  'Weekly Dump'!$P$2:$P1009
)</f>
        <v>0</v>
      </c>
      <c r="N616" s="39"/>
      <c r="O616" s="40">
        <f>SUMIFS('Weekly Dump'!$D:$D,'Weekly Dump'!$B:$B,$C616,'Weekly Dump'!$A:$A,$AB616)</f>
        <v>0</v>
      </c>
      <c r="P616" s="40">
        <f>SUMIFS('Weekly Dump'!R:R,'Weekly Dump'!B:B,C616,'Weekly Dump'!A:A,AB616)</f>
        <v>0</v>
      </c>
      <c r="Q616" s="40">
        <f t="shared" si="20"/>
        <v>0</v>
      </c>
      <c r="R616" s="41"/>
      <c r="T616" s="4">
        <f>SUMIFS('Weekly Dump'!E:E,'Weekly Dump'!B:B,C616,'Weekly Dump'!A:A,AB616)</f>
        <v>0</v>
      </c>
      <c r="U616" s="3">
        <f t="shared" si="21"/>
        <v>0</v>
      </c>
      <c r="V616" s="42"/>
      <c r="X616" s="4">
        <f>SUMIFS('Weekly Dump'!P:P,'Weekly Dump'!B:B,C616,'Weekly Dump'!A:A,AB616)</f>
        <v>0</v>
      </c>
      <c r="Y616" s="4">
        <f t="shared" si="22"/>
        <v>0</v>
      </c>
      <c r="Z616" s="41"/>
      <c r="AA616" s="12" t="str">
        <f>iferror(IF(VLOOKUP(C616,'Weekly Dump'!B:B,1,0)=C616,"Yes","Missing"),"")</f>
        <v/>
      </c>
      <c r="AB616" s="66"/>
    </row>
    <row r="617">
      <c r="B617" s="63"/>
      <c r="C617" s="63"/>
      <c r="G617" s="3" t="str">
        <f t="shared" si="26"/>
        <v/>
      </c>
      <c r="I617" s="4">
        <f>SUMIFS('Weekly Dump'!D:D,'Weekly Dump'!B:B,C617)</f>
        <v>0</v>
      </c>
      <c r="J617" s="5">
        <f>SUMIFS('Weekly Dump'!AE:AE,'Weekly Dump'!B:B,C617)</f>
        <v>0</v>
      </c>
      <c r="K617" s="4">
        <f>SUMPRODUCT(
  (TEXT('Weekly Dump'!$A$2:$A1009,"mmm-yy")=TEXT($AB617,"mmm-yy"))*
  ('Weekly Dump'!$B$2:$B1009=$C617)*
  'Weekly Dump'!$D$2:$D1009)</f>
        <v>0</v>
      </c>
      <c r="L617" s="4">
        <f>SUMPRODUCT(
  (TEXT('Weekly Dump'!$A$2:$A1009,"mmm-yy")=TEXT($AB617,"mmm-yy"))*
  ('Weekly Dump'!$B$2:$B1009=$C617)*
  'Weekly Dump'!$E$2:$E1009
)</f>
        <v>0</v>
      </c>
      <c r="M617" s="4">
        <f>SUMPRODUCT(
  (TEXT('Weekly Dump'!$A$2:$A1009,"mmm-yy")=TEXT($AB617,"mmm-yy"))*
  ('Weekly Dump'!$B$2:$B1009=$C617)*
  'Weekly Dump'!$P$2:$P1009
)</f>
        <v>0</v>
      </c>
      <c r="N617" s="39"/>
      <c r="O617" s="40">
        <f>SUMIFS('Weekly Dump'!$D:$D,'Weekly Dump'!$B:$B,$C617,'Weekly Dump'!$A:$A,$AB617)</f>
        <v>0</v>
      </c>
      <c r="P617" s="40">
        <f>SUMIFS('Weekly Dump'!R:R,'Weekly Dump'!B:B,C617,'Weekly Dump'!A:A,AB617)</f>
        <v>0</v>
      </c>
      <c r="Q617" s="40">
        <f t="shared" si="20"/>
        <v>0</v>
      </c>
      <c r="R617" s="41"/>
      <c r="T617" s="4">
        <f>SUMIFS('Weekly Dump'!E:E,'Weekly Dump'!B:B,C617,'Weekly Dump'!A:A,AB617)</f>
        <v>0</v>
      </c>
      <c r="U617" s="3">
        <f t="shared" si="21"/>
        <v>0</v>
      </c>
      <c r="V617" s="42"/>
      <c r="X617" s="4">
        <f>SUMIFS('Weekly Dump'!P:P,'Weekly Dump'!B:B,C617,'Weekly Dump'!A:A,AB617)</f>
        <v>0</v>
      </c>
      <c r="Y617" s="4">
        <f t="shared" si="22"/>
        <v>0</v>
      </c>
      <c r="Z617" s="41"/>
      <c r="AA617" s="12" t="str">
        <f>iferror(IF(VLOOKUP(C617,'Weekly Dump'!B:B,1,0)=C617,"Yes","Missing"),"")</f>
        <v/>
      </c>
      <c r="AB617" s="66"/>
    </row>
    <row r="618">
      <c r="B618" s="63"/>
      <c r="C618" s="63"/>
      <c r="G618" s="3" t="str">
        <f t="shared" si="26"/>
        <v/>
      </c>
      <c r="I618" s="4">
        <f>SUMIFS('Weekly Dump'!D:D,'Weekly Dump'!B:B,C618)</f>
        <v>0</v>
      </c>
      <c r="J618" s="5">
        <f>SUMIFS('Weekly Dump'!AE:AE,'Weekly Dump'!B:B,C618)</f>
        <v>0</v>
      </c>
      <c r="K618" s="4">
        <f>SUMPRODUCT(
  (TEXT('Weekly Dump'!$A$2:$A1009,"mmm-yy")=TEXT($AB618,"mmm-yy"))*
  ('Weekly Dump'!$B$2:$B1009=$C618)*
  'Weekly Dump'!$D$2:$D1009)</f>
        <v>0</v>
      </c>
      <c r="L618" s="4">
        <f>SUMPRODUCT(
  (TEXT('Weekly Dump'!$A$2:$A1009,"mmm-yy")=TEXT($AB618,"mmm-yy"))*
  ('Weekly Dump'!$B$2:$B1009=$C618)*
  'Weekly Dump'!$E$2:$E1009
)</f>
        <v>0</v>
      </c>
      <c r="M618" s="4">
        <f>SUMPRODUCT(
  (TEXT('Weekly Dump'!$A$2:$A1009,"mmm-yy")=TEXT($AB618,"mmm-yy"))*
  ('Weekly Dump'!$B$2:$B1009=$C618)*
  'Weekly Dump'!$P$2:$P1009
)</f>
        <v>0</v>
      </c>
      <c r="N618" s="39"/>
      <c r="O618" s="40">
        <f>SUMIFS('Weekly Dump'!$D:$D,'Weekly Dump'!$B:$B,$C618,'Weekly Dump'!$A:$A,$AB618)</f>
        <v>0</v>
      </c>
      <c r="P618" s="40">
        <f>SUMIFS('Weekly Dump'!R:R,'Weekly Dump'!B:B,C618,'Weekly Dump'!A:A,AB618)</f>
        <v>0</v>
      </c>
      <c r="Q618" s="40">
        <f t="shared" si="20"/>
        <v>0</v>
      </c>
      <c r="R618" s="41"/>
      <c r="T618" s="4">
        <f>SUMIFS('Weekly Dump'!E:E,'Weekly Dump'!B:B,C618,'Weekly Dump'!A:A,AB618)</f>
        <v>0</v>
      </c>
      <c r="U618" s="3">
        <f t="shared" si="21"/>
        <v>0</v>
      </c>
      <c r="V618" s="42"/>
      <c r="X618" s="4">
        <f>SUMIFS('Weekly Dump'!P:P,'Weekly Dump'!B:B,C618,'Weekly Dump'!A:A,AB618)</f>
        <v>0</v>
      </c>
      <c r="Y618" s="4">
        <f t="shared" si="22"/>
        <v>0</v>
      </c>
      <c r="Z618" s="41"/>
      <c r="AA618" s="12" t="str">
        <f>iferror(IF(VLOOKUP(C618,'Weekly Dump'!B:B,1,0)=C618,"Yes","Missing"),"")</f>
        <v/>
      </c>
      <c r="AB618" s="66"/>
    </row>
    <row r="619">
      <c r="B619" s="63"/>
      <c r="C619" s="63"/>
      <c r="G619" s="3" t="str">
        <f t="shared" si="26"/>
        <v/>
      </c>
      <c r="I619" s="4">
        <f>SUMIFS('Weekly Dump'!D:D,'Weekly Dump'!B:B,C619)</f>
        <v>0</v>
      </c>
      <c r="J619" s="5">
        <f>SUMIFS('Weekly Dump'!AE:AE,'Weekly Dump'!B:B,C619)</f>
        <v>0</v>
      </c>
      <c r="K619" s="4">
        <f>SUMPRODUCT(
  (TEXT('Weekly Dump'!$A$2:$A1009,"mmm-yy")=TEXT($AB619,"mmm-yy"))*
  ('Weekly Dump'!$B$2:$B1009=$C619)*
  'Weekly Dump'!$D$2:$D1009)</f>
        <v>0</v>
      </c>
      <c r="L619" s="4">
        <f>SUMPRODUCT(
  (TEXT('Weekly Dump'!$A$2:$A1009,"mmm-yy")=TEXT($AB619,"mmm-yy"))*
  ('Weekly Dump'!$B$2:$B1009=$C619)*
  'Weekly Dump'!$E$2:$E1009
)</f>
        <v>0</v>
      </c>
      <c r="M619" s="4">
        <f>SUMPRODUCT(
  (TEXT('Weekly Dump'!$A$2:$A1009,"mmm-yy")=TEXT($AB619,"mmm-yy"))*
  ('Weekly Dump'!$B$2:$B1009=$C619)*
  'Weekly Dump'!$P$2:$P1009
)</f>
        <v>0</v>
      </c>
      <c r="N619" s="39"/>
      <c r="O619" s="40">
        <f>SUMIFS('Weekly Dump'!$D:$D,'Weekly Dump'!$B:$B,$C619,'Weekly Dump'!$A:$A,$AB619)</f>
        <v>0</v>
      </c>
      <c r="P619" s="40">
        <f>SUMIFS('Weekly Dump'!R:R,'Weekly Dump'!B:B,C619,'Weekly Dump'!A:A,AB619)</f>
        <v>0</v>
      </c>
      <c r="Q619" s="40">
        <f t="shared" si="20"/>
        <v>0</v>
      </c>
      <c r="R619" s="41"/>
      <c r="T619" s="4">
        <f>SUMIFS('Weekly Dump'!E:E,'Weekly Dump'!B:B,C619,'Weekly Dump'!A:A,AB619)</f>
        <v>0</v>
      </c>
      <c r="U619" s="3">
        <f t="shared" si="21"/>
        <v>0</v>
      </c>
      <c r="V619" s="42"/>
      <c r="X619" s="4">
        <f>SUMIFS('Weekly Dump'!P:P,'Weekly Dump'!B:B,C619,'Weekly Dump'!A:A,AB619)</f>
        <v>0</v>
      </c>
      <c r="Y619" s="4">
        <f t="shared" si="22"/>
        <v>0</v>
      </c>
      <c r="Z619" s="41"/>
      <c r="AA619" s="12" t="str">
        <f>iferror(IF(VLOOKUP(C619,'Weekly Dump'!B:B,1,0)=C619,"Yes","Missing"),"")</f>
        <v/>
      </c>
      <c r="AB619" s="66"/>
    </row>
    <row r="620">
      <c r="B620" s="63"/>
      <c r="C620" s="63"/>
      <c r="G620" s="3" t="str">
        <f t="shared" si="26"/>
        <v/>
      </c>
      <c r="I620" s="4">
        <f>SUMIFS('Weekly Dump'!D:D,'Weekly Dump'!B:B,C620)</f>
        <v>0</v>
      </c>
      <c r="J620" s="5">
        <f>SUMIFS('Weekly Dump'!AE:AE,'Weekly Dump'!B:B,C620)</f>
        <v>0</v>
      </c>
      <c r="K620" s="4">
        <f>SUMPRODUCT(
  (TEXT('Weekly Dump'!$A$2:$A1009,"mmm-yy")=TEXT($AB620,"mmm-yy"))*
  ('Weekly Dump'!$B$2:$B1009=$C620)*
  'Weekly Dump'!$D$2:$D1009)</f>
        <v>0</v>
      </c>
      <c r="L620" s="4">
        <f>SUMPRODUCT(
  (TEXT('Weekly Dump'!$A$2:$A1009,"mmm-yy")=TEXT($AB620,"mmm-yy"))*
  ('Weekly Dump'!$B$2:$B1009=$C620)*
  'Weekly Dump'!$E$2:$E1009
)</f>
        <v>0</v>
      </c>
      <c r="M620" s="4">
        <f>SUMPRODUCT(
  (TEXT('Weekly Dump'!$A$2:$A1009,"mmm-yy")=TEXT($AB620,"mmm-yy"))*
  ('Weekly Dump'!$B$2:$B1009=$C620)*
  'Weekly Dump'!$P$2:$P1009
)</f>
        <v>0</v>
      </c>
      <c r="N620" s="39"/>
      <c r="O620" s="40">
        <f>SUMIFS('Weekly Dump'!$D:$D,'Weekly Dump'!$B:$B,$C620,'Weekly Dump'!$A:$A,$AB620)</f>
        <v>0</v>
      </c>
      <c r="P620" s="40">
        <f>SUMIFS('Weekly Dump'!R:R,'Weekly Dump'!B:B,C620,'Weekly Dump'!A:A,AB620)</f>
        <v>0</v>
      </c>
      <c r="Q620" s="40">
        <f t="shared" si="20"/>
        <v>0</v>
      </c>
      <c r="R620" s="41"/>
      <c r="T620" s="4">
        <f>SUMIFS('Weekly Dump'!E:E,'Weekly Dump'!B:B,C620,'Weekly Dump'!A:A,AB620)</f>
        <v>0</v>
      </c>
      <c r="U620" s="3">
        <f t="shared" si="21"/>
        <v>0</v>
      </c>
      <c r="V620" s="42"/>
      <c r="X620" s="4">
        <f>SUMIFS('Weekly Dump'!P:P,'Weekly Dump'!B:B,C620,'Weekly Dump'!A:A,AB620)</f>
        <v>0</v>
      </c>
      <c r="Y620" s="4">
        <f t="shared" si="22"/>
        <v>0</v>
      </c>
      <c r="Z620" s="41"/>
      <c r="AA620" s="12" t="str">
        <f>iferror(IF(VLOOKUP(C620,'Weekly Dump'!B:B,1,0)=C620,"Yes","Missing"),"")</f>
        <v/>
      </c>
      <c r="AB620" s="66"/>
    </row>
    <row r="621">
      <c r="B621" s="63"/>
      <c r="C621" s="63"/>
      <c r="G621" s="3" t="str">
        <f t="shared" si="26"/>
        <v/>
      </c>
      <c r="I621" s="4">
        <f>SUMIFS('Weekly Dump'!D:D,'Weekly Dump'!B:B,C621)</f>
        <v>0</v>
      </c>
      <c r="J621" s="5">
        <f>SUMIFS('Weekly Dump'!AE:AE,'Weekly Dump'!B:B,C621)</f>
        <v>0</v>
      </c>
      <c r="K621" s="4">
        <f>SUMPRODUCT(
  (TEXT('Weekly Dump'!$A$2:$A1009,"mmm-yy")=TEXT($AB621,"mmm-yy"))*
  ('Weekly Dump'!$B$2:$B1009=$C621)*
  'Weekly Dump'!$D$2:$D1009)</f>
        <v>0</v>
      </c>
      <c r="L621" s="4">
        <f>SUMPRODUCT(
  (TEXT('Weekly Dump'!$A$2:$A1009,"mmm-yy")=TEXT($AB621,"mmm-yy"))*
  ('Weekly Dump'!$B$2:$B1009=$C621)*
  'Weekly Dump'!$E$2:$E1009
)</f>
        <v>0</v>
      </c>
      <c r="M621" s="4">
        <f>SUMPRODUCT(
  (TEXT('Weekly Dump'!$A$2:$A1009,"mmm-yy")=TEXT($AB621,"mmm-yy"))*
  ('Weekly Dump'!$B$2:$B1009=$C621)*
  'Weekly Dump'!$P$2:$P1009
)</f>
        <v>0</v>
      </c>
      <c r="N621" s="39"/>
      <c r="O621" s="40">
        <f>SUMIFS('Weekly Dump'!$D:$D,'Weekly Dump'!$B:$B,$C621,'Weekly Dump'!$A:$A,$AB621)</f>
        <v>0</v>
      </c>
      <c r="P621" s="40">
        <f>SUMIFS('Weekly Dump'!R:R,'Weekly Dump'!B:B,C621,'Weekly Dump'!A:A,AB621)</f>
        <v>0</v>
      </c>
      <c r="Q621" s="40">
        <f t="shared" si="20"/>
        <v>0</v>
      </c>
      <c r="R621" s="41"/>
      <c r="T621" s="4">
        <f>SUMIFS('Weekly Dump'!E:E,'Weekly Dump'!B:B,C621,'Weekly Dump'!A:A,AB621)</f>
        <v>0</v>
      </c>
      <c r="U621" s="3">
        <f t="shared" si="21"/>
        <v>0</v>
      </c>
      <c r="V621" s="42"/>
      <c r="X621" s="4">
        <f>SUMIFS('Weekly Dump'!P:P,'Weekly Dump'!B:B,C621,'Weekly Dump'!A:A,AB621)</f>
        <v>0</v>
      </c>
      <c r="Y621" s="4">
        <f t="shared" si="22"/>
        <v>0</v>
      </c>
      <c r="Z621" s="41"/>
      <c r="AA621" s="12" t="str">
        <f>iferror(IF(VLOOKUP(C621,'Weekly Dump'!B:B,1,0)=C621,"Yes","Missing"),"")</f>
        <v/>
      </c>
      <c r="AB621" s="66"/>
    </row>
    <row r="622">
      <c r="B622" s="63"/>
      <c r="C622" s="63"/>
      <c r="G622" s="3" t="str">
        <f t="shared" si="26"/>
        <v/>
      </c>
      <c r="I622" s="4">
        <f>SUMIFS('Weekly Dump'!D:D,'Weekly Dump'!B:B,C622)</f>
        <v>0</v>
      </c>
      <c r="J622" s="5">
        <f>SUMIFS('Weekly Dump'!AE:AE,'Weekly Dump'!B:B,C622)</f>
        <v>0</v>
      </c>
      <c r="K622" s="4">
        <f>SUMPRODUCT(
  (TEXT('Weekly Dump'!$A$2:$A1009,"mmm-yy")=TEXT($AB622,"mmm-yy"))*
  ('Weekly Dump'!$B$2:$B1009=$C622)*
  'Weekly Dump'!$D$2:$D1009)</f>
        <v>0</v>
      </c>
      <c r="L622" s="4">
        <f>SUMPRODUCT(
  (TEXT('Weekly Dump'!$A$2:$A1009,"mmm-yy")=TEXT($AB622,"mmm-yy"))*
  ('Weekly Dump'!$B$2:$B1009=$C622)*
  'Weekly Dump'!$E$2:$E1009
)</f>
        <v>0</v>
      </c>
      <c r="M622" s="4">
        <f>SUMPRODUCT(
  (TEXT('Weekly Dump'!$A$2:$A1009,"mmm-yy")=TEXT($AB622,"mmm-yy"))*
  ('Weekly Dump'!$B$2:$B1009=$C622)*
  'Weekly Dump'!$P$2:$P1009
)</f>
        <v>0</v>
      </c>
      <c r="N622" s="39"/>
      <c r="O622" s="40">
        <f>SUMIFS('Weekly Dump'!$D:$D,'Weekly Dump'!$B:$B,$C622,'Weekly Dump'!$A:$A,$AB622)</f>
        <v>0</v>
      </c>
      <c r="P622" s="40">
        <f>SUMIFS('Weekly Dump'!R:R,'Weekly Dump'!B:B,C622,'Weekly Dump'!A:A,AB622)</f>
        <v>0</v>
      </c>
      <c r="Q622" s="40">
        <f t="shared" si="20"/>
        <v>0</v>
      </c>
      <c r="R622" s="41"/>
      <c r="T622" s="4">
        <f>SUMIFS('Weekly Dump'!E:E,'Weekly Dump'!B:B,C622,'Weekly Dump'!A:A,AB622)</f>
        <v>0</v>
      </c>
      <c r="U622" s="3">
        <f t="shared" si="21"/>
        <v>0</v>
      </c>
      <c r="V622" s="42"/>
      <c r="X622" s="4">
        <f>SUMIFS('Weekly Dump'!P:P,'Weekly Dump'!B:B,C622,'Weekly Dump'!A:A,AB622)</f>
        <v>0</v>
      </c>
      <c r="Y622" s="4">
        <f t="shared" si="22"/>
        <v>0</v>
      </c>
      <c r="Z622" s="41"/>
      <c r="AA622" s="12" t="str">
        <f>iferror(IF(VLOOKUP(C622,'Weekly Dump'!B:B,1,0)=C622,"Yes","Missing"),"")</f>
        <v/>
      </c>
      <c r="AB622" s="66"/>
    </row>
    <row r="623">
      <c r="B623" s="63"/>
      <c r="C623" s="63"/>
      <c r="G623" s="3" t="str">
        <f t="shared" si="26"/>
        <v/>
      </c>
      <c r="I623" s="4">
        <f>SUMIFS('Weekly Dump'!D:D,'Weekly Dump'!B:B,C623)</f>
        <v>0</v>
      </c>
      <c r="J623" s="5">
        <f>SUMIFS('Weekly Dump'!AE:AE,'Weekly Dump'!B:B,C623)</f>
        <v>0</v>
      </c>
      <c r="K623" s="4">
        <f>SUMPRODUCT(
  (TEXT('Weekly Dump'!$A$2:$A1009,"mmm-yy")=TEXT($AB623,"mmm-yy"))*
  ('Weekly Dump'!$B$2:$B1009=$C623)*
  'Weekly Dump'!$D$2:$D1009)</f>
        <v>0</v>
      </c>
      <c r="L623" s="4">
        <f>SUMPRODUCT(
  (TEXT('Weekly Dump'!$A$2:$A1009,"mmm-yy")=TEXT($AB623,"mmm-yy"))*
  ('Weekly Dump'!$B$2:$B1009=$C623)*
  'Weekly Dump'!$E$2:$E1009
)</f>
        <v>0</v>
      </c>
      <c r="M623" s="4">
        <f>SUMPRODUCT(
  (TEXT('Weekly Dump'!$A$2:$A1009,"mmm-yy")=TEXT($AB623,"mmm-yy"))*
  ('Weekly Dump'!$B$2:$B1009=$C623)*
  'Weekly Dump'!$P$2:$P1009
)</f>
        <v>0</v>
      </c>
      <c r="N623" s="39"/>
      <c r="O623" s="40">
        <f>SUMIFS('Weekly Dump'!$D:$D,'Weekly Dump'!$B:$B,$C623,'Weekly Dump'!$A:$A,$AB623)</f>
        <v>0</v>
      </c>
      <c r="P623" s="40">
        <f>SUMIFS('Weekly Dump'!R:R,'Weekly Dump'!B:B,C623,'Weekly Dump'!A:A,AB623)</f>
        <v>0</v>
      </c>
      <c r="Q623" s="40">
        <f t="shared" si="20"/>
        <v>0</v>
      </c>
      <c r="R623" s="41"/>
      <c r="T623" s="4">
        <f>SUMIFS('Weekly Dump'!E:E,'Weekly Dump'!B:B,C623,'Weekly Dump'!A:A,AB623)</f>
        <v>0</v>
      </c>
      <c r="U623" s="3">
        <f t="shared" si="21"/>
        <v>0</v>
      </c>
      <c r="V623" s="42"/>
      <c r="X623" s="4">
        <f>SUMIFS('Weekly Dump'!P:P,'Weekly Dump'!B:B,C623,'Weekly Dump'!A:A,AB623)</f>
        <v>0</v>
      </c>
      <c r="Y623" s="4">
        <f t="shared" si="22"/>
        <v>0</v>
      </c>
      <c r="Z623" s="41"/>
      <c r="AA623" s="12" t="str">
        <f>iferror(IF(VLOOKUP(C623,'Weekly Dump'!B:B,1,0)=C623,"Yes","Missing"),"")</f>
        <v/>
      </c>
      <c r="AB623" s="66"/>
    </row>
    <row r="624">
      <c r="B624" s="63"/>
      <c r="C624" s="63"/>
      <c r="G624" s="3" t="str">
        <f t="shared" si="26"/>
        <v/>
      </c>
      <c r="I624" s="4">
        <f>SUMIFS('Weekly Dump'!D:D,'Weekly Dump'!B:B,C624)</f>
        <v>0</v>
      </c>
      <c r="J624" s="5">
        <f>SUMIFS('Weekly Dump'!AE:AE,'Weekly Dump'!B:B,C624)</f>
        <v>0</v>
      </c>
      <c r="K624" s="4">
        <f>SUMPRODUCT(
  (TEXT('Weekly Dump'!$A$2:$A1009,"mmm-yy")=TEXT($AB624,"mmm-yy"))*
  ('Weekly Dump'!$B$2:$B1009=$C624)*
  'Weekly Dump'!$D$2:$D1009)</f>
        <v>0</v>
      </c>
      <c r="L624" s="4">
        <f>SUMPRODUCT(
  (TEXT('Weekly Dump'!$A$2:$A1009,"mmm-yy")=TEXT($AB624,"mmm-yy"))*
  ('Weekly Dump'!$B$2:$B1009=$C624)*
  'Weekly Dump'!$E$2:$E1009
)</f>
        <v>0</v>
      </c>
      <c r="M624" s="4">
        <f>SUMPRODUCT(
  (TEXT('Weekly Dump'!$A$2:$A1009,"mmm-yy")=TEXT($AB624,"mmm-yy"))*
  ('Weekly Dump'!$B$2:$B1009=$C624)*
  'Weekly Dump'!$P$2:$P1009
)</f>
        <v>0</v>
      </c>
      <c r="N624" s="39"/>
      <c r="O624" s="40">
        <f>SUMIFS('Weekly Dump'!$D:$D,'Weekly Dump'!$B:$B,$C624,'Weekly Dump'!$A:$A,$AB624)</f>
        <v>0</v>
      </c>
      <c r="P624" s="40">
        <f>SUMIFS('Weekly Dump'!R:R,'Weekly Dump'!B:B,C624,'Weekly Dump'!A:A,AB624)</f>
        <v>0</v>
      </c>
      <c r="Q624" s="40">
        <f t="shared" si="20"/>
        <v>0</v>
      </c>
      <c r="R624" s="41"/>
      <c r="T624" s="4">
        <f>SUMIFS('Weekly Dump'!E:E,'Weekly Dump'!B:B,C624,'Weekly Dump'!A:A,AB624)</f>
        <v>0</v>
      </c>
      <c r="U624" s="3">
        <f t="shared" si="21"/>
        <v>0</v>
      </c>
      <c r="V624" s="42"/>
      <c r="X624" s="4">
        <f>SUMIFS('Weekly Dump'!P:P,'Weekly Dump'!B:B,C624,'Weekly Dump'!A:A,AB624)</f>
        <v>0</v>
      </c>
      <c r="Y624" s="4">
        <f t="shared" si="22"/>
        <v>0</v>
      </c>
      <c r="Z624" s="41"/>
      <c r="AA624" s="12" t="str">
        <f>iferror(IF(VLOOKUP(C624,'Weekly Dump'!B:B,1,0)=C624,"Yes","Missing"),"")</f>
        <v/>
      </c>
      <c r="AB624" s="66"/>
    </row>
    <row r="625">
      <c r="B625" s="63"/>
      <c r="C625" s="63"/>
      <c r="G625" s="3" t="str">
        <f t="shared" si="26"/>
        <v/>
      </c>
      <c r="I625" s="4">
        <f>SUMIFS('Weekly Dump'!D:D,'Weekly Dump'!B:B,C625)</f>
        <v>0</v>
      </c>
      <c r="J625" s="5">
        <f>SUMIFS('Weekly Dump'!AE:AE,'Weekly Dump'!B:B,C625)</f>
        <v>0</v>
      </c>
      <c r="K625" s="4">
        <f>SUMPRODUCT(
  (TEXT('Weekly Dump'!$A$2:$A1009,"mmm-yy")=TEXT($AB625,"mmm-yy"))*
  ('Weekly Dump'!$B$2:$B1009=$C625)*
  'Weekly Dump'!$D$2:$D1009)</f>
        <v>0</v>
      </c>
      <c r="L625" s="4">
        <f>SUMPRODUCT(
  (TEXT('Weekly Dump'!$A$2:$A1009,"mmm-yy")=TEXT($AB625,"mmm-yy"))*
  ('Weekly Dump'!$B$2:$B1009=$C625)*
  'Weekly Dump'!$E$2:$E1009
)</f>
        <v>0</v>
      </c>
      <c r="M625" s="4">
        <f>SUMPRODUCT(
  (TEXT('Weekly Dump'!$A$2:$A1009,"mmm-yy")=TEXT($AB625,"mmm-yy"))*
  ('Weekly Dump'!$B$2:$B1009=$C625)*
  'Weekly Dump'!$P$2:$P1009
)</f>
        <v>0</v>
      </c>
      <c r="N625" s="39"/>
      <c r="O625" s="40">
        <f>SUMIFS('Weekly Dump'!$D:$D,'Weekly Dump'!$B:$B,$C625,'Weekly Dump'!$A:$A,$AB625)</f>
        <v>0</v>
      </c>
      <c r="P625" s="40">
        <f>SUMIFS('Weekly Dump'!R:R,'Weekly Dump'!B:B,C625,'Weekly Dump'!A:A,AB625)</f>
        <v>0</v>
      </c>
      <c r="Q625" s="40">
        <f t="shared" si="20"/>
        <v>0</v>
      </c>
      <c r="R625" s="41"/>
      <c r="T625" s="4">
        <f>SUMIFS('Weekly Dump'!E:E,'Weekly Dump'!B:B,C625,'Weekly Dump'!A:A,AB625)</f>
        <v>0</v>
      </c>
      <c r="U625" s="3">
        <f t="shared" si="21"/>
        <v>0</v>
      </c>
      <c r="V625" s="42"/>
      <c r="X625" s="4">
        <f>SUMIFS('Weekly Dump'!P:P,'Weekly Dump'!B:B,C625,'Weekly Dump'!A:A,AB625)</f>
        <v>0</v>
      </c>
      <c r="Y625" s="4">
        <f t="shared" si="22"/>
        <v>0</v>
      </c>
      <c r="Z625" s="41"/>
      <c r="AA625" s="12" t="str">
        <f>iferror(IF(VLOOKUP(C625,'Weekly Dump'!B:B,1,0)=C625,"Yes","Missing"),"")</f>
        <v/>
      </c>
      <c r="AB625" s="66"/>
    </row>
    <row r="626">
      <c r="B626" s="63"/>
      <c r="C626" s="63"/>
      <c r="G626" s="3" t="str">
        <f t="shared" si="26"/>
        <v/>
      </c>
      <c r="I626" s="4">
        <f>SUMIFS('Weekly Dump'!D:D,'Weekly Dump'!B:B,C626)</f>
        <v>0</v>
      </c>
      <c r="J626" s="5">
        <f>SUMIFS('Weekly Dump'!AE:AE,'Weekly Dump'!B:B,C626)</f>
        <v>0</v>
      </c>
      <c r="K626" s="4">
        <f>SUMPRODUCT(
  (TEXT('Weekly Dump'!$A$2:$A1009,"mmm-yy")=TEXT($AB626,"mmm-yy"))*
  ('Weekly Dump'!$B$2:$B1009=$C626)*
  'Weekly Dump'!$D$2:$D1009)</f>
        <v>0</v>
      </c>
      <c r="L626" s="4">
        <f>SUMPRODUCT(
  (TEXT('Weekly Dump'!$A$2:$A1009,"mmm-yy")=TEXT($AB626,"mmm-yy"))*
  ('Weekly Dump'!$B$2:$B1009=$C626)*
  'Weekly Dump'!$E$2:$E1009
)</f>
        <v>0</v>
      </c>
      <c r="M626" s="4">
        <f>SUMPRODUCT(
  (TEXT('Weekly Dump'!$A$2:$A1009,"mmm-yy")=TEXT($AB626,"mmm-yy"))*
  ('Weekly Dump'!$B$2:$B1009=$C626)*
  'Weekly Dump'!$P$2:$P1009
)</f>
        <v>0</v>
      </c>
      <c r="N626" s="39"/>
      <c r="O626" s="40">
        <f>SUMIFS('Weekly Dump'!$D:$D,'Weekly Dump'!$B:$B,$C626,'Weekly Dump'!$A:$A,$AB626)</f>
        <v>0</v>
      </c>
      <c r="P626" s="40">
        <f>SUMIFS('Weekly Dump'!R:R,'Weekly Dump'!B:B,C626,'Weekly Dump'!A:A,AB626)</f>
        <v>0</v>
      </c>
      <c r="Q626" s="40">
        <f t="shared" si="20"/>
        <v>0</v>
      </c>
      <c r="R626" s="41"/>
      <c r="T626" s="4">
        <f>SUMIFS('Weekly Dump'!E:E,'Weekly Dump'!B:B,C626,'Weekly Dump'!A:A,AB626)</f>
        <v>0</v>
      </c>
      <c r="U626" s="3">
        <f t="shared" si="21"/>
        <v>0</v>
      </c>
      <c r="V626" s="42"/>
      <c r="X626" s="4">
        <f>SUMIFS('Weekly Dump'!P:P,'Weekly Dump'!B:B,C626,'Weekly Dump'!A:A,AB626)</f>
        <v>0</v>
      </c>
      <c r="Y626" s="4">
        <f t="shared" si="22"/>
        <v>0</v>
      </c>
      <c r="Z626" s="41"/>
      <c r="AA626" s="12" t="str">
        <f>iferror(IF(VLOOKUP(C626,'Weekly Dump'!B:B,1,0)=C626,"Yes","Missing"),"")</f>
        <v/>
      </c>
      <c r="AB626" s="66"/>
    </row>
    <row r="627">
      <c r="B627" s="63"/>
      <c r="C627" s="63"/>
      <c r="G627" s="3" t="str">
        <f t="shared" si="26"/>
        <v/>
      </c>
      <c r="I627" s="4">
        <f>SUMIFS('Weekly Dump'!D:D,'Weekly Dump'!B:B,C627)</f>
        <v>0</v>
      </c>
      <c r="J627" s="5">
        <f>SUMIFS('Weekly Dump'!AE:AE,'Weekly Dump'!B:B,C627)</f>
        <v>0</v>
      </c>
      <c r="K627" s="4">
        <f>SUMPRODUCT(
  (TEXT('Weekly Dump'!$A$2:$A1009,"mmm-yy")=TEXT($AB627,"mmm-yy"))*
  ('Weekly Dump'!$B$2:$B1009=$C627)*
  'Weekly Dump'!$D$2:$D1009)</f>
        <v>0</v>
      </c>
      <c r="L627" s="4">
        <f>SUMPRODUCT(
  (TEXT('Weekly Dump'!$A$2:$A1009,"mmm-yy")=TEXT($AB627,"mmm-yy"))*
  ('Weekly Dump'!$B$2:$B1009=$C627)*
  'Weekly Dump'!$E$2:$E1009
)</f>
        <v>0</v>
      </c>
      <c r="M627" s="4">
        <f>SUMPRODUCT(
  (TEXT('Weekly Dump'!$A$2:$A1009,"mmm-yy")=TEXT($AB627,"mmm-yy"))*
  ('Weekly Dump'!$B$2:$B1009=$C627)*
  'Weekly Dump'!$P$2:$P1009
)</f>
        <v>0</v>
      </c>
      <c r="N627" s="39"/>
      <c r="O627" s="40">
        <f>SUMIFS('Weekly Dump'!$D:$D,'Weekly Dump'!$B:$B,$C627,'Weekly Dump'!$A:$A,$AB627)</f>
        <v>0</v>
      </c>
      <c r="P627" s="40">
        <f>SUMIFS('Weekly Dump'!R:R,'Weekly Dump'!B:B,C627,'Weekly Dump'!A:A,AB627)</f>
        <v>0</v>
      </c>
      <c r="Q627" s="40">
        <f t="shared" si="20"/>
        <v>0</v>
      </c>
      <c r="R627" s="41"/>
      <c r="T627" s="4">
        <f>SUMIFS('Weekly Dump'!E:E,'Weekly Dump'!B:B,C627,'Weekly Dump'!A:A,AB627)</f>
        <v>0</v>
      </c>
      <c r="U627" s="3">
        <f t="shared" si="21"/>
        <v>0</v>
      </c>
      <c r="V627" s="42"/>
      <c r="X627" s="4">
        <f>SUMIFS('Weekly Dump'!P:P,'Weekly Dump'!B:B,C627,'Weekly Dump'!A:A,AB627)</f>
        <v>0</v>
      </c>
      <c r="Y627" s="4">
        <f t="shared" si="22"/>
        <v>0</v>
      </c>
      <c r="Z627" s="41"/>
      <c r="AA627" s="12" t="str">
        <f>iferror(IF(VLOOKUP(C627,'Weekly Dump'!B:B,1,0)=C627,"Yes","Missing"),"")</f>
        <v/>
      </c>
      <c r="AB627" s="66"/>
    </row>
    <row r="628">
      <c r="B628" s="63"/>
      <c r="C628" s="63"/>
      <c r="G628" s="3" t="str">
        <f t="shared" si="26"/>
        <v/>
      </c>
      <c r="I628" s="4">
        <f>SUMIFS('Weekly Dump'!D:D,'Weekly Dump'!B:B,C628)</f>
        <v>0</v>
      </c>
      <c r="J628" s="5">
        <f>SUMIFS('Weekly Dump'!AE:AE,'Weekly Dump'!B:B,C628)</f>
        <v>0</v>
      </c>
      <c r="K628" s="4">
        <f>SUMPRODUCT(
  (TEXT('Weekly Dump'!$A$2:$A1009,"mmm-yy")=TEXT($AB628,"mmm-yy"))*
  ('Weekly Dump'!$B$2:$B1009=$C628)*
  'Weekly Dump'!$D$2:$D1009)</f>
        <v>0</v>
      </c>
      <c r="L628" s="4">
        <f>SUMPRODUCT(
  (TEXT('Weekly Dump'!$A$2:$A1009,"mmm-yy")=TEXT($AB628,"mmm-yy"))*
  ('Weekly Dump'!$B$2:$B1009=$C628)*
  'Weekly Dump'!$E$2:$E1009
)</f>
        <v>0</v>
      </c>
      <c r="M628" s="4">
        <f>SUMPRODUCT(
  (TEXT('Weekly Dump'!$A$2:$A1009,"mmm-yy")=TEXT($AB628,"mmm-yy"))*
  ('Weekly Dump'!$B$2:$B1009=$C628)*
  'Weekly Dump'!$P$2:$P1009
)</f>
        <v>0</v>
      </c>
      <c r="N628" s="39"/>
      <c r="O628" s="40">
        <f>SUMIFS('Weekly Dump'!$D:$D,'Weekly Dump'!$B:$B,$C628,'Weekly Dump'!$A:$A,$AB628)</f>
        <v>0</v>
      </c>
      <c r="P628" s="40">
        <f>SUMIFS('Weekly Dump'!R:R,'Weekly Dump'!B:B,C628,'Weekly Dump'!A:A,AB628)</f>
        <v>0</v>
      </c>
      <c r="Q628" s="40">
        <f t="shared" si="20"/>
        <v>0</v>
      </c>
      <c r="R628" s="41"/>
      <c r="T628" s="4">
        <f>SUMIFS('Weekly Dump'!E:E,'Weekly Dump'!B:B,C628,'Weekly Dump'!A:A,AB628)</f>
        <v>0</v>
      </c>
      <c r="U628" s="3">
        <f t="shared" si="21"/>
        <v>0</v>
      </c>
      <c r="V628" s="42"/>
      <c r="X628" s="4">
        <f>SUMIFS('Weekly Dump'!P:P,'Weekly Dump'!B:B,C628,'Weekly Dump'!A:A,AB628)</f>
        <v>0</v>
      </c>
      <c r="Y628" s="4">
        <f t="shared" si="22"/>
        <v>0</v>
      </c>
      <c r="Z628" s="41"/>
      <c r="AA628" s="12" t="str">
        <f>iferror(IF(VLOOKUP(C628,'Weekly Dump'!B:B,1,0)=C628,"Yes","Missing"),"")</f>
        <v/>
      </c>
      <c r="AB628" s="66"/>
    </row>
    <row r="629">
      <c r="B629" s="63"/>
      <c r="C629" s="63"/>
      <c r="G629" s="3" t="str">
        <f t="shared" si="26"/>
        <v/>
      </c>
      <c r="I629" s="4">
        <f>SUMIFS('Weekly Dump'!D:D,'Weekly Dump'!B:B,C629)</f>
        <v>0</v>
      </c>
      <c r="J629" s="5">
        <f>SUMIFS('Weekly Dump'!AE:AE,'Weekly Dump'!B:B,C629)</f>
        <v>0</v>
      </c>
      <c r="K629" s="4">
        <f>SUMPRODUCT(
  (TEXT('Weekly Dump'!$A$2:$A1009,"mmm-yy")=TEXT($AB629,"mmm-yy"))*
  ('Weekly Dump'!$B$2:$B1009=$C629)*
  'Weekly Dump'!$D$2:$D1009)</f>
        <v>0</v>
      </c>
      <c r="L629" s="4">
        <f>SUMPRODUCT(
  (TEXT('Weekly Dump'!$A$2:$A1009,"mmm-yy")=TEXT($AB629,"mmm-yy"))*
  ('Weekly Dump'!$B$2:$B1009=$C629)*
  'Weekly Dump'!$E$2:$E1009
)</f>
        <v>0</v>
      </c>
      <c r="M629" s="4">
        <f>SUMPRODUCT(
  (TEXT('Weekly Dump'!$A$2:$A1009,"mmm-yy")=TEXT($AB629,"mmm-yy"))*
  ('Weekly Dump'!$B$2:$B1009=$C629)*
  'Weekly Dump'!$P$2:$P1009
)</f>
        <v>0</v>
      </c>
      <c r="N629" s="39"/>
      <c r="O629" s="40">
        <f>SUMIFS('Weekly Dump'!$D:$D,'Weekly Dump'!$B:$B,$C629,'Weekly Dump'!$A:$A,$AB629)</f>
        <v>0</v>
      </c>
      <c r="P629" s="40">
        <f>SUMIFS('Weekly Dump'!R:R,'Weekly Dump'!B:B,C629,'Weekly Dump'!A:A,AB629)</f>
        <v>0</v>
      </c>
      <c r="Q629" s="40">
        <f t="shared" si="20"/>
        <v>0</v>
      </c>
      <c r="R629" s="41"/>
      <c r="T629" s="4">
        <f>SUMIFS('Weekly Dump'!E:E,'Weekly Dump'!B:B,C629,'Weekly Dump'!A:A,AB629)</f>
        <v>0</v>
      </c>
      <c r="U629" s="3">
        <f t="shared" si="21"/>
        <v>0</v>
      </c>
      <c r="V629" s="42"/>
      <c r="X629" s="4">
        <f>SUMIFS('Weekly Dump'!P:P,'Weekly Dump'!B:B,C629,'Weekly Dump'!A:A,AB629)</f>
        <v>0</v>
      </c>
      <c r="Y629" s="4">
        <f t="shared" si="22"/>
        <v>0</v>
      </c>
      <c r="Z629" s="41"/>
      <c r="AA629" s="12" t="str">
        <f>iferror(IF(VLOOKUP(C629,'Weekly Dump'!B:B,1,0)=C629,"Yes","Missing"),"")</f>
        <v/>
      </c>
      <c r="AB629" s="66"/>
    </row>
    <row r="630">
      <c r="B630" s="63"/>
      <c r="C630" s="63"/>
      <c r="G630" s="3" t="str">
        <f t="shared" si="26"/>
        <v/>
      </c>
      <c r="I630" s="4">
        <f>SUMIFS('Weekly Dump'!D:D,'Weekly Dump'!B:B,C630)</f>
        <v>0</v>
      </c>
      <c r="J630" s="5">
        <f>SUMIFS('Weekly Dump'!AE:AE,'Weekly Dump'!B:B,C630)</f>
        <v>0</v>
      </c>
      <c r="K630" s="4">
        <f>SUMPRODUCT(
  (TEXT('Weekly Dump'!$A$2:$A1009,"mmm-yy")=TEXT($AB630,"mmm-yy"))*
  ('Weekly Dump'!$B$2:$B1009=$C630)*
  'Weekly Dump'!$D$2:$D1009)</f>
        <v>0</v>
      </c>
      <c r="L630" s="4">
        <f>SUMPRODUCT(
  (TEXT('Weekly Dump'!$A$2:$A1009,"mmm-yy")=TEXT($AB630,"mmm-yy"))*
  ('Weekly Dump'!$B$2:$B1009=$C630)*
  'Weekly Dump'!$E$2:$E1009
)</f>
        <v>0</v>
      </c>
      <c r="M630" s="4">
        <f>SUMPRODUCT(
  (TEXT('Weekly Dump'!$A$2:$A1009,"mmm-yy")=TEXT($AB630,"mmm-yy"))*
  ('Weekly Dump'!$B$2:$B1009=$C630)*
  'Weekly Dump'!$P$2:$P1009
)</f>
        <v>0</v>
      </c>
      <c r="N630" s="39"/>
      <c r="O630" s="40">
        <f>SUMIFS('Weekly Dump'!$D:$D,'Weekly Dump'!$B:$B,$C630,'Weekly Dump'!$A:$A,$AB630)</f>
        <v>0</v>
      </c>
      <c r="P630" s="40">
        <f>SUMIFS('Weekly Dump'!R:R,'Weekly Dump'!B:B,C630,'Weekly Dump'!A:A,AB630)</f>
        <v>0</v>
      </c>
      <c r="Q630" s="40">
        <f t="shared" si="20"/>
        <v>0</v>
      </c>
      <c r="R630" s="41"/>
      <c r="T630" s="4">
        <f>SUMIFS('Weekly Dump'!E:E,'Weekly Dump'!B:B,C630,'Weekly Dump'!A:A,AB630)</f>
        <v>0</v>
      </c>
      <c r="U630" s="3">
        <f t="shared" si="21"/>
        <v>0</v>
      </c>
      <c r="V630" s="42"/>
      <c r="X630" s="4">
        <f>SUMIFS('Weekly Dump'!P:P,'Weekly Dump'!B:B,C630,'Weekly Dump'!A:A,AB630)</f>
        <v>0</v>
      </c>
      <c r="Y630" s="4">
        <f t="shared" si="22"/>
        <v>0</v>
      </c>
      <c r="Z630" s="41"/>
      <c r="AA630" s="12" t="str">
        <f>iferror(IF(VLOOKUP(C630,'Weekly Dump'!B:B,1,0)=C630,"Yes","Missing"),"")</f>
        <v/>
      </c>
      <c r="AB630" s="66"/>
    </row>
    <row r="631">
      <c r="B631" s="63"/>
      <c r="C631" s="63"/>
      <c r="G631" s="3" t="str">
        <f t="shared" si="26"/>
        <v/>
      </c>
      <c r="I631" s="4">
        <f>SUMIFS('Weekly Dump'!D:D,'Weekly Dump'!B:B,C631)</f>
        <v>0</v>
      </c>
      <c r="J631" s="5">
        <f>SUMIFS('Weekly Dump'!AE:AE,'Weekly Dump'!B:B,C631)</f>
        <v>0</v>
      </c>
      <c r="K631" s="4">
        <f>SUMPRODUCT(
  (TEXT('Weekly Dump'!$A$2:$A1009,"mmm-yy")=TEXT($AB631,"mmm-yy"))*
  ('Weekly Dump'!$B$2:$B1009=$C631)*
  'Weekly Dump'!$D$2:$D1009)</f>
        <v>0</v>
      </c>
      <c r="L631" s="4">
        <f>SUMPRODUCT(
  (TEXT('Weekly Dump'!$A$2:$A1009,"mmm-yy")=TEXT($AB631,"mmm-yy"))*
  ('Weekly Dump'!$B$2:$B1009=$C631)*
  'Weekly Dump'!$E$2:$E1009
)</f>
        <v>0</v>
      </c>
      <c r="M631" s="4">
        <f>SUMPRODUCT(
  (TEXT('Weekly Dump'!$A$2:$A1009,"mmm-yy")=TEXT($AB631,"mmm-yy"))*
  ('Weekly Dump'!$B$2:$B1009=$C631)*
  'Weekly Dump'!$P$2:$P1009
)</f>
        <v>0</v>
      </c>
      <c r="N631" s="39"/>
      <c r="O631" s="40">
        <f>SUMIFS('Weekly Dump'!$D:$D,'Weekly Dump'!$B:$B,$C631,'Weekly Dump'!$A:$A,$AB631)</f>
        <v>0</v>
      </c>
      <c r="P631" s="40">
        <f>SUMIFS('Weekly Dump'!R:R,'Weekly Dump'!B:B,C631,'Weekly Dump'!A:A,AB631)</f>
        <v>0</v>
      </c>
      <c r="Q631" s="40">
        <f t="shared" si="20"/>
        <v>0</v>
      </c>
      <c r="R631" s="41"/>
      <c r="T631" s="4">
        <f>SUMIFS('Weekly Dump'!E:E,'Weekly Dump'!B:B,C631,'Weekly Dump'!A:A,AB631)</f>
        <v>0</v>
      </c>
      <c r="U631" s="3">
        <f t="shared" si="21"/>
        <v>0</v>
      </c>
      <c r="V631" s="42"/>
      <c r="X631" s="4">
        <f>SUMIFS('Weekly Dump'!P:P,'Weekly Dump'!B:B,C631,'Weekly Dump'!A:A,AB631)</f>
        <v>0</v>
      </c>
      <c r="Y631" s="4">
        <f t="shared" si="22"/>
        <v>0</v>
      </c>
      <c r="Z631" s="41"/>
      <c r="AA631" s="12" t="str">
        <f>iferror(IF(VLOOKUP(C631,'Weekly Dump'!B:B,1,0)=C631,"Yes","Missing"),"")</f>
        <v/>
      </c>
      <c r="AB631" s="66"/>
    </row>
    <row r="632">
      <c r="B632" s="63"/>
      <c r="C632" s="63"/>
      <c r="G632" s="3" t="str">
        <f t="shared" si="26"/>
        <v/>
      </c>
      <c r="I632" s="4">
        <f>SUMIFS('Weekly Dump'!D:D,'Weekly Dump'!B:B,C632)</f>
        <v>0</v>
      </c>
      <c r="J632" s="5">
        <f>SUMIFS('Weekly Dump'!AE:AE,'Weekly Dump'!B:B,C632)</f>
        <v>0</v>
      </c>
      <c r="K632" s="4">
        <f>SUMPRODUCT(
  (TEXT('Weekly Dump'!$A$2:$A1009,"mmm-yy")=TEXT($AB632,"mmm-yy"))*
  ('Weekly Dump'!$B$2:$B1009=$C632)*
  'Weekly Dump'!$D$2:$D1009)</f>
        <v>0</v>
      </c>
      <c r="L632" s="4">
        <f>SUMPRODUCT(
  (TEXT('Weekly Dump'!$A$2:$A1009,"mmm-yy")=TEXT($AB632,"mmm-yy"))*
  ('Weekly Dump'!$B$2:$B1009=$C632)*
  'Weekly Dump'!$E$2:$E1009
)</f>
        <v>0</v>
      </c>
      <c r="M632" s="4">
        <f>SUMPRODUCT(
  (TEXT('Weekly Dump'!$A$2:$A1009,"mmm-yy")=TEXT($AB632,"mmm-yy"))*
  ('Weekly Dump'!$B$2:$B1009=$C632)*
  'Weekly Dump'!$P$2:$P1009
)</f>
        <v>0</v>
      </c>
      <c r="N632" s="39"/>
      <c r="O632" s="40">
        <f>SUMIFS('Weekly Dump'!$D:$D,'Weekly Dump'!$B:$B,$C632,'Weekly Dump'!$A:$A,$AB632)</f>
        <v>0</v>
      </c>
      <c r="P632" s="40">
        <f>SUMIFS('Weekly Dump'!R:R,'Weekly Dump'!B:B,C632,'Weekly Dump'!A:A,AB632)</f>
        <v>0</v>
      </c>
      <c r="Q632" s="40">
        <f t="shared" si="20"/>
        <v>0</v>
      </c>
      <c r="R632" s="41"/>
      <c r="T632" s="4">
        <f>SUMIFS('Weekly Dump'!E:E,'Weekly Dump'!B:B,C632,'Weekly Dump'!A:A,AB632)</f>
        <v>0</v>
      </c>
      <c r="U632" s="3">
        <f t="shared" si="21"/>
        <v>0</v>
      </c>
      <c r="V632" s="42"/>
      <c r="X632" s="4">
        <f>SUMIFS('Weekly Dump'!P:P,'Weekly Dump'!B:B,C632,'Weekly Dump'!A:A,AB632)</f>
        <v>0</v>
      </c>
      <c r="Y632" s="4">
        <f t="shared" si="22"/>
        <v>0</v>
      </c>
      <c r="Z632" s="41"/>
      <c r="AA632" s="12" t="str">
        <f>iferror(IF(VLOOKUP(C632,'Weekly Dump'!B:B,1,0)=C632,"Yes","Missing"),"")</f>
        <v/>
      </c>
      <c r="AB632" s="66"/>
    </row>
    <row r="633">
      <c r="B633" s="63"/>
      <c r="C633" s="63"/>
      <c r="G633" s="3" t="str">
        <f t="shared" si="26"/>
        <v/>
      </c>
      <c r="I633" s="4">
        <f>SUMIFS('Weekly Dump'!D:D,'Weekly Dump'!B:B,C633)</f>
        <v>0</v>
      </c>
      <c r="J633" s="5">
        <f>SUMIFS('Weekly Dump'!AE:AE,'Weekly Dump'!B:B,C633)</f>
        <v>0</v>
      </c>
      <c r="K633" s="4">
        <f>SUMPRODUCT(
  (TEXT('Weekly Dump'!$A$2:$A1009,"mmm-yy")=TEXT($AB633,"mmm-yy"))*
  ('Weekly Dump'!$B$2:$B1009=$C633)*
  'Weekly Dump'!$D$2:$D1009)</f>
        <v>0</v>
      </c>
      <c r="L633" s="4">
        <f>SUMPRODUCT(
  (TEXT('Weekly Dump'!$A$2:$A1009,"mmm-yy")=TEXT($AB633,"mmm-yy"))*
  ('Weekly Dump'!$B$2:$B1009=$C633)*
  'Weekly Dump'!$E$2:$E1009
)</f>
        <v>0</v>
      </c>
      <c r="M633" s="4">
        <f>SUMPRODUCT(
  (TEXT('Weekly Dump'!$A$2:$A1009,"mmm-yy")=TEXT($AB633,"mmm-yy"))*
  ('Weekly Dump'!$B$2:$B1009=$C633)*
  'Weekly Dump'!$P$2:$P1009
)</f>
        <v>0</v>
      </c>
      <c r="N633" s="39"/>
      <c r="O633" s="40">
        <f>SUMIFS('Weekly Dump'!$D:$D,'Weekly Dump'!$B:$B,$C633,'Weekly Dump'!$A:$A,$AB633)</f>
        <v>0</v>
      </c>
      <c r="P633" s="40">
        <f>SUMIFS('Weekly Dump'!R:R,'Weekly Dump'!B:B,C633,'Weekly Dump'!A:A,AB633)</f>
        <v>0</v>
      </c>
      <c r="Q633" s="40">
        <f t="shared" si="20"/>
        <v>0</v>
      </c>
      <c r="R633" s="41"/>
      <c r="T633" s="4">
        <f>SUMIFS('Weekly Dump'!E:E,'Weekly Dump'!B:B,C633,'Weekly Dump'!A:A,AB633)</f>
        <v>0</v>
      </c>
      <c r="U633" s="3">
        <f t="shared" si="21"/>
        <v>0</v>
      </c>
      <c r="V633" s="42"/>
      <c r="X633" s="4">
        <f>SUMIFS('Weekly Dump'!P:P,'Weekly Dump'!B:B,C633,'Weekly Dump'!A:A,AB633)</f>
        <v>0</v>
      </c>
      <c r="Y633" s="4">
        <f t="shared" si="22"/>
        <v>0</v>
      </c>
      <c r="Z633" s="41"/>
      <c r="AA633" s="12" t="str">
        <f>iferror(IF(VLOOKUP(C633,'Weekly Dump'!B:B,1,0)=C633,"Yes","Missing"),"")</f>
        <v/>
      </c>
      <c r="AB633" s="66"/>
    </row>
    <row r="634">
      <c r="B634" s="63"/>
      <c r="C634" s="63"/>
      <c r="G634" s="3" t="str">
        <f t="shared" si="26"/>
        <v/>
      </c>
      <c r="I634" s="4">
        <f>SUMIFS('Weekly Dump'!D:D,'Weekly Dump'!B:B,C634)</f>
        <v>0</v>
      </c>
      <c r="J634" s="5">
        <f>SUMIFS('Weekly Dump'!AE:AE,'Weekly Dump'!B:B,C634)</f>
        <v>0</v>
      </c>
      <c r="K634" s="4">
        <f>SUMPRODUCT(
  (TEXT('Weekly Dump'!$A$2:$A1009,"mmm-yy")=TEXT($AB634,"mmm-yy"))*
  ('Weekly Dump'!$B$2:$B1009=$C634)*
  'Weekly Dump'!$D$2:$D1009)</f>
        <v>0</v>
      </c>
      <c r="L634" s="4">
        <f>SUMPRODUCT(
  (TEXT('Weekly Dump'!$A$2:$A1009,"mmm-yy")=TEXT($AB634,"mmm-yy"))*
  ('Weekly Dump'!$B$2:$B1009=$C634)*
  'Weekly Dump'!$E$2:$E1009
)</f>
        <v>0</v>
      </c>
      <c r="M634" s="4">
        <f>SUMPRODUCT(
  (TEXT('Weekly Dump'!$A$2:$A1009,"mmm-yy")=TEXT($AB634,"mmm-yy"))*
  ('Weekly Dump'!$B$2:$B1009=$C634)*
  'Weekly Dump'!$P$2:$P1009
)</f>
        <v>0</v>
      </c>
      <c r="N634" s="39"/>
      <c r="O634" s="40">
        <f>SUMIFS('Weekly Dump'!$D:$D,'Weekly Dump'!$B:$B,$C634,'Weekly Dump'!$A:$A,$AB634)</f>
        <v>0</v>
      </c>
      <c r="P634" s="40">
        <f>SUMIFS('Weekly Dump'!R:R,'Weekly Dump'!B:B,C634,'Weekly Dump'!A:A,AB634)</f>
        <v>0</v>
      </c>
      <c r="Q634" s="40">
        <f t="shared" si="20"/>
        <v>0</v>
      </c>
      <c r="R634" s="41"/>
      <c r="T634" s="4">
        <f>SUMIFS('Weekly Dump'!E:E,'Weekly Dump'!B:B,C634,'Weekly Dump'!A:A,AB634)</f>
        <v>0</v>
      </c>
      <c r="U634" s="3">
        <f t="shared" si="21"/>
        <v>0</v>
      </c>
      <c r="V634" s="42"/>
      <c r="X634" s="4">
        <f>SUMIFS('Weekly Dump'!P:P,'Weekly Dump'!B:B,C634,'Weekly Dump'!A:A,AB634)</f>
        <v>0</v>
      </c>
      <c r="Y634" s="4">
        <f t="shared" si="22"/>
        <v>0</v>
      </c>
      <c r="Z634" s="41"/>
      <c r="AA634" s="12" t="str">
        <f>iferror(IF(VLOOKUP(C634,'Weekly Dump'!B:B,1,0)=C634,"Yes","Missing"),"")</f>
        <v/>
      </c>
      <c r="AB634" s="66"/>
    </row>
    <row r="635">
      <c r="B635" s="63"/>
      <c r="C635" s="63"/>
      <c r="G635" s="3" t="str">
        <f t="shared" si="26"/>
        <v/>
      </c>
      <c r="I635" s="4">
        <f>SUMIFS('Weekly Dump'!D:D,'Weekly Dump'!B:B,C635)</f>
        <v>0</v>
      </c>
      <c r="J635" s="5">
        <f>SUMIFS('Weekly Dump'!AE:AE,'Weekly Dump'!B:B,C635)</f>
        <v>0</v>
      </c>
      <c r="K635" s="4">
        <f>SUMPRODUCT(
  (TEXT('Weekly Dump'!$A$2:$A1009,"mmm-yy")=TEXT($AB635,"mmm-yy"))*
  ('Weekly Dump'!$B$2:$B1009=$C635)*
  'Weekly Dump'!$D$2:$D1009)</f>
        <v>0</v>
      </c>
      <c r="L635" s="4">
        <f>SUMPRODUCT(
  (TEXT('Weekly Dump'!$A$2:$A1009,"mmm-yy")=TEXT($AB635,"mmm-yy"))*
  ('Weekly Dump'!$B$2:$B1009=$C635)*
  'Weekly Dump'!$E$2:$E1009
)</f>
        <v>0</v>
      </c>
      <c r="M635" s="4">
        <f>SUMPRODUCT(
  (TEXT('Weekly Dump'!$A$2:$A1009,"mmm-yy")=TEXT($AB635,"mmm-yy"))*
  ('Weekly Dump'!$B$2:$B1009=$C635)*
  'Weekly Dump'!$P$2:$P1009
)</f>
        <v>0</v>
      </c>
      <c r="N635" s="39"/>
      <c r="O635" s="40">
        <f>SUMIFS('Weekly Dump'!$D:$D,'Weekly Dump'!$B:$B,$C635,'Weekly Dump'!$A:$A,$AB635)</f>
        <v>0</v>
      </c>
      <c r="P635" s="40">
        <f>SUMIFS('Weekly Dump'!R:R,'Weekly Dump'!B:B,C635,'Weekly Dump'!A:A,AB635)</f>
        <v>0</v>
      </c>
      <c r="Q635" s="40">
        <f t="shared" si="20"/>
        <v>0</v>
      </c>
      <c r="R635" s="41"/>
      <c r="T635" s="4">
        <f>SUMIFS('Weekly Dump'!E:E,'Weekly Dump'!B:B,C635,'Weekly Dump'!A:A,AB635)</f>
        <v>0</v>
      </c>
      <c r="U635" s="3">
        <f t="shared" si="21"/>
        <v>0</v>
      </c>
      <c r="V635" s="42"/>
      <c r="X635" s="4">
        <f>SUMIFS('Weekly Dump'!P:P,'Weekly Dump'!B:B,C635,'Weekly Dump'!A:A,AB635)</f>
        <v>0</v>
      </c>
      <c r="Y635" s="4">
        <f t="shared" si="22"/>
        <v>0</v>
      </c>
      <c r="Z635" s="41"/>
      <c r="AA635" s="12" t="str">
        <f>iferror(IF(VLOOKUP(C635,'Weekly Dump'!B:B,1,0)=C635,"Yes","Missing"),"")</f>
        <v/>
      </c>
      <c r="AB635" s="66"/>
    </row>
    <row r="636">
      <c r="B636" s="63"/>
      <c r="C636" s="63"/>
      <c r="G636" s="3" t="str">
        <f t="shared" si="26"/>
        <v/>
      </c>
      <c r="I636" s="4">
        <f>SUMIFS('Weekly Dump'!D:D,'Weekly Dump'!B:B,C636)</f>
        <v>0</v>
      </c>
      <c r="J636" s="5">
        <f>SUMIFS('Weekly Dump'!AE:AE,'Weekly Dump'!B:B,C636)</f>
        <v>0</v>
      </c>
      <c r="K636" s="4">
        <f>SUMPRODUCT(
  (TEXT('Weekly Dump'!$A$2:$A1009,"mmm-yy")=TEXT($AB636,"mmm-yy"))*
  ('Weekly Dump'!$B$2:$B1009=$C636)*
  'Weekly Dump'!$D$2:$D1009)</f>
        <v>0</v>
      </c>
      <c r="L636" s="4">
        <f>SUMPRODUCT(
  (TEXT('Weekly Dump'!$A$2:$A1009,"mmm-yy")=TEXT($AB636,"mmm-yy"))*
  ('Weekly Dump'!$B$2:$B1009=$C636)*
  'Weekly Dump'!$E$2:$E1009
)</f>
        <v>0</v>
      </c>
      <c r="M636" s="4">
        <f>SUMPRODUCT(
  (TEXT('Weekly Dump'!$A$2:$A1009,"mmm-yy")=TEXT($AB636,"mmm-yy"))*
  ('Weekly Dump'!$B$2:$B1009=$C636)*
  'Weekly Dump'!$P$2:$P1009
)</f>
        <v>0</v>
      </c>
      <c r="N636" s="39"/>
      <c r="O636" s="40">
        <f>SUMIFS('Weekly Dump'!$D:$D,'Weekly Dump'!$B:$B,$C636,'Weekly Dump'!$A:$A,$AB636)</f>
        <v>0</v>
      </c>
      <c r="P636" s="40">
        <f>SUMIFS('Weekly Dump'!R:R,'Weekly Dump'!B:B,C636,'Weekly Dump'!A:A,AB636)</f>
        <v>0</v>
      </c>
      <c r="Q636" s="40">
        <f t="shared" si="20"/>
        <v>0</v>
      </c>
      <c r="R636" s="41"/>
      <c r="T636" s="4">
        <f>SUMIFS('Weekly Dump'!E:E,'Weekly Dump'!B:B,C636,'Weekly Dump'!A:A,AB636)</f>
        <v>0</v>
      </c>
      <c r="U636" s="3">
        <f t="shared" si="21"/>
        <v>0</v>
      </c>
      <c r="V636" s="42"/>
      <c r="X636" s="4">
        <f>SUMIFS('Weekly Dump'!P:P,'Weekly Dump'!B:B,C636,'Weekly Dump'!A:A,AB636)</f>
        <v>0</v>
      </c>
      <c r="Y636" s="4">
        <f t="shared" si="22"/>
        <v>0</v>
      </c>
      <c r="Z636" s="41"/>
      <c r="AA636" s="12" t="str">
        <f>iferror(IF(VLOOKUP(C636,'Weekly Dump'!B:B,1,0)=C636,"Yes","Missing"),"")</f>
        <v/>
      </c>
      <c r="AB636" s="66"/>
    </row>
    <row r="637">
      <c r="B637" s="63"/>
      <c r="C637" s="63"/>
      <c r="G637" s="3" t="str">
        <f t="shared" si="26"/>
        <v/>
      </c>
      <c r="I637" s="4">
        <f>SUMIFS('Weekly Dump'!D:D,'Weekly Dump'!B:B,C637)</f>
        <v>0</v>
      </c>
      <c r="J637" s="5">
        <f>SUMIFS('Weekly Dump'!AE:AE,'Weekly Dump'!B:B,C637)</f>
        <v>0</v>
      </c>
      <c r="K637" s="4">
        <f>SUMPRODUCT(
  (TEXT('Weekly Dump'!$A$2:$A1009,"mmm-yy")=TEXT($AB637,"mmm-yy"))*
  ('Weekly Dump'!$B$2:$B1009=$C637)*
  'Weekly Dump'!$D$2:$D1009)</f>
        <v>0</v>
      </c>
      <c r="L637" s="4">
        <f>SUMPRODUCT(
  (TEXT('Weekly Dump'!$A$2:$A1009,"mmm-yy")=TEXT($AB637,"mmm-yy"))*
  ('Weekly Dump'!$B$2:$B1009=$C637)*
  'Weekly Dump'!$E$2:$E1009
)</f>
        <v>0</v>
      </c>
      <c r="M637" s="4">
        <f>SUMPRODUCT(
  (TEXT('Weekly Dump'!$A$2:$A1009,"mmm-yy")=TEXT($AB637,"mmm-yy"))*
  ('Weekly Dump'!$B$2:$B1009=$C637)*
  'Weekly Dump'!$P$2:$P1009
)</f>
        <v>0</v>
      </c>
      <c r="N637" s="39"/>
      <c r="O637" s="40">
        <f>SUMIFS('Weekly Dump'!$D:$D,'Weekly Dump'!$B:$B,$C637,'Weekly Dump'!$A:$A,$AB637)</f>
        <v>0</v>
      </c>
      <c r="P637" s="40">
        <f>SUMIFS('Weekly Dump'!R:R,'Weekly Dump'!B:B,C637,'Weekly Dump'!A:A,AB637)</f>
        <v>0</v>
      </c>
      <c r="Q637" s="40">
        <f t="shared" si="20"/>
        <v>0</v>
      </c>
      <c r="R637" s="41"/>
      <c r="T637" s="4">
        <f>SUMIFS('Weekly Dump'!E:E,'Weekly Dump'!B:B,C637,'Weekly Dump'!A:A,AB637)</f>
        <v>0</v>
      </c>
      <c r="U637" s="3">
        <f t="shared" si="21"/>
        <v>0</v>
      </c>
      <c r="V637" s="42"/>
      <c r="X637" s="4">
        <f>SUMIFS('Weekly Dump'!P:P,'Weekly Dump'!B:B,C637,'Weekly Dump'!A:A,AB637)</f>
        <v>0</v>
      </c>
      <c r="Y637" s="4">
        <f t="shared" si="22"/>
        <v>0</v>
      </c>
      <c r="Z637" s="41"/>
      <c r="AA637" s="12" t="str">
        <f>iferror(IF(VLOOKUP(C637,'Weekly Dump'!B:B,1,0)=C637,"Yes","Missing"),"")</f>
        <v/>
      </c>
      <c r="AB637" s="66"/>
    </row>
    <row r="638">
      <c r="B638" s="63"/>
      <c r="C638" s="63"/>
      <c r="G638" s="3" t="str">
        <f t="shared" si="26"/>
        <v/>
      </c>
      <c r="I638" s="4">
        <f>SUMIFS('Weekly Dump'!D:D,'Weekly Dump'!B:B,C638)</f>
        <v>0</v>
      </c>
      <c r="J638" s="5">
        <f>SUMIFS('Weekly Dump'!AE:AE,'Weekly Dump'!B:B,C638)</f>
        <v>0</v>
      </c>
      <c r="K638" s="4">
        <f>SUMPRODUCT(
  (TEXT('Weekly Dump'!$A$2:$A1009,"mmm-yy")=TEXT($AB638,"mmm-yy"))*
  ('Weekly Dump'!$B$2:$B1009=$C638)*
  'Weekly Dump'!$D$2:$D1009)</f>
        <v>0</v>
      </c>
      <c r="L638" s="4">
        <f>SUMPRODUCT(
  (TEXT('Weekly Dump'!$A$2:$A1009,"mmm-yy")=TEXT($AB638,"mmm-yy"))*
  ('Weekly Dump'!$B$2:$B1009=$C638)*
  'Weekly Dump'!$E$2:$E1009
)</f>
        <v>0</v>
      </c>
      <c r="M638" s="4">
        <f>SUMPRODUCT(
  (TEXT('Weekly Dump'!$A$2:$A1009,"mmm-yy")=TEXT($AB638,"mmm-yy"))*
  ('Weekly Dump'!$B$2:$B1009=$C638)*
  'Weekly Dump'!$P$2:$P1009
)</f>
        <v>0</v>
      </c>
      <c r="N638" s="39"/>
      <c r="O638" s="40">
        <f>SUMIFS('Weekly Dump'!$D:$D,'Weekly Dump'!$B:$B,$C638,'Weekly Dump'!$A:$A,$AB638)</f>
        <v>0</v>
      </c>
      <c r="P638" s="40">
        <f>SUMIFS('Weekly Dump'!R:R,'Weekly Dump'!B:B,C638,'Weekly Dump'!A:A,AB638)</f>
        <v>0</v>
      </c>
      <c r="Q638" s="40">
        <f t="shared" si="20"/>
        <v>0</v>
      </c>
      <c r="R638" s="41"/>
      <c r="T638" s="4">
        <f>SUMIFS('Weekly Dump'!E:E,'Weekly Dump'!B:B,C638,'Weekly Dump'!A:A,AB638)</f>
        <v>0</v>
      </c>
      <c r="U638" s="3">
        <f t="shared" si="21"/>
        <v>0</v>
      </c>
      <c r="V638" s="42"/>
      <c r="X638" s="4">
        <f>SUMIFS('Weekly Dump'!P:P,'Weekly Dump'!B:B,C638,'Weekly Dump'!A:A,AB638)</f>
        <v>0</v>
      </c>
      <c r="Y638" s="4">
        <f t="shared" si="22"/>
        <v>0</v>
      </c>
      <c r="Z638" s="41"/>
      <c r="AA638" s="12" t="str">
        <f>iferror(IF(VLOOKUP(C638,'Weekly Dump'!B:B,1,0)=C638,"Yes","Missing"),"")</f>
        <v/>
      </c>
      <c r="AB638" s="66"/>
    </row>
    <row r="639">
      <c r="B639" s="63"/>
      <c r="C639" s="63"/>
      <c r="G639" s="3" t="str">
        <f t="shared" si="26"/>
        <v/>
      </c>
      <c r="I639" s="4">
        <f>SUMIFS('Weekly Dump'!D:D,'Weekly Dump'!B:B,C639)</f>
        <v>0</v>
      </c>
      <c r="J639" s="5">
        <f>SUMIFS('Weekly Dump'!AE:AE,'Weekly Dump'!B:B,C639)</f>
        <v>0</v>
      </c>
      <c r="K639" s="4">
        <f>SUMPRODUCT(
  (TEXT('Weekly Dump'!$A$2:$A1009,"mmm-yy")=TEXT($AB639,"mmm-yy"))*
  ('Weekly Dump'!$B$2:$B1009=$C639)*
  'Weekly Dump'!$D$2:$D1009)</f>
        <v>0</v>
      </c>
      <c r="L639" s="4">
        <f>SUMPRODUCT(
  (TEXT('Weekly Dump'!$A$2:$A1009,"mmm-yy")=TEXT($AB639,"mmm-yy"))*
  ('Weekly Dump'!$B$2:$B1009=$C639)*
  'Weekly Dump'!$E$2:$E1009
)</f>
        <v>0</v>
      </c>
      <c r="M639" s="4">
        <f>SUMPRODUCT(
  (TEXT('Weekly Dump'!$A$2:$A1009,"mmm-yy")=TEXT($AB639,"mmm-yy"))*
  ('Weekly Dump'!$B$2:$B1009=$C639)*
  'Weekly Dump'!$P$2:$P1009
)</f>
        <v>0</v>
      </c>
      <c r="N639" s="39"/>
      <c r="O639" s="40">
        <f>SUMIFS('Weekly Dump'!$D:$D,'Weekly Dump'!$B:$B,$C639,'Weekly Dump'!$A:$A,$AB639)</f>
        <v>0</v>
      </c>
      <c r="P639" s="40">
        <f>SUMIFS('Weekly Dump'!R:R,'Weekly Dump'!B:B,C639,'Weekly Dump'!A:A,AB639)</f>
        <v>0</v>
      </c>
      <c r="Q639" s="40">
        <f t="shared" si="20"/>
        <v>0</v>
      </c>
      <c r="R639" s="41"/>
      <c r="T639" s="4">
        <f>SUMIFS('Weekly Dump'!E:E,'Weekly Dump'!B:B,C639,'Weekly Dump'!A:A,AB639)</f>
        <v>0</v>
      </c>
      <c r="U639" s="3">
        <f t="shared" si="21"/>
        <v>0</v>
      </c>
      <c r="V639" s="42"/>
      <c r="X639" s="4">
        <f>SUMIFS('Weekly Dump'!P:P,'Weekly Dump'!B:B,C639,'Weekly Dump'!A:A,AB639)</f>
        <v>0</v>
      </c>
      <c r="Y639" s="4">
        <f t="shared" si="22"/>
        <v>0</v>
      </c>
      <c r="Z639" s="41"/>
      <c r="AA639" s="12" t="str">
        <f>iferror(IF(VLOOKUP(C639,'Weekly Dump'!B:B,1,0)=C639,"Yes","Missing"),"")</f>
        <v/>
      </c>
      <c r="AB639" s="66"/>
    </row>
    <row r="640">
      <c r="B640" s="63"/>
      <c r="C640" s="63"/>
      <c r="G640" s="3" t="str">
        <f t="shared" si="26"/>
        <v/>
      </c>
      <c r="I640" s="4">
        <f>SUMIFS('Weekly Dump'!D:D,'Weekly Dump'!B:B,C640)</f>
        <v>0</v>
      </c>
      <c r="J640" s="5">
        <f>SUMIFS('Weekly Dump'!AE:AE,'Weekly Dump'!B:B,C640)</f>
        <v>0</v>
      </c>
      <c r="K640" s="4">
        <f>SUMPRODUCT(
  (TEXT('Weekly Dump'!$A$2:$A1009,"mmm-yy")=TEXT($AB640,"mmm-yy"))*
  ('Weekly Dump'!$B$2:$B1009=$C640)*
  'Weekly Dump'!$D$2:$D1009)</f>
        <v>0</v>
      </c>
      <c r="L640" s="4">
        <f>SUMPRODUCT(
  (TEXT('Weekly Dump'!$A$2:$A1009,"mmm-yy")=TEXT($AB640,"mmm-yy"))*
  ('Weekly Dump'!$B$2:$B1009=$C640)*
  'Weekly Dump'!$E$2:$E1009
)</f>
        <v>0</v>
      </c>
      <c r="M640" s="4">
        <f>SUMPRODUCT(
  (TEXT('Weekly Dump'!$A$2:$A1009,"mmm-yy")=TEXT($AB640,"mmm-yy"))*
  ('Weekly Dump'!$B$2:$B1009=$C640)*
  'Weekly Dump'!$P$2:$P1009
)</f>
        <v>0</v>
      </c>
      <c r="N640" s="39"/>
      <c r="O640" s="40">
        <f>SUMIFS('Weekly Dump'!$D:$D,'Weekly Dump'!$B:$B,$C640,'Weekly Dump'!$A:$A,$AB640)</f>
        <v>0</v>
      </c>
      <c r="P640" s="40">
        <f>SUMIFS('Weekly Dump'!R:R,'Weekly Dump'!B:B,C640,'Weekly Dump'!A:A,AB640)</f>
        <v>0</v>
      </c>
      <c r="Q640" s="40">
        <f t="shared" si="20"/>
        <v>0</v>
      </c>
      <c r="R640" s="41"/>
      <c r="T640" s="4">
        <f>SUMIFS('Weekly Dump'!E:E,'Weekly Dump'!B:B,C640,'Weekly Dump'!A:A,AB640)</f>
        <v>0</v>
      </c>
      <c r="U640" s="3">
        <f t="shared" si="21"/>
        <v>0</v>
      </c>
      <c r="V640" s="42"/>
      <c r="X640" s="4">
        <f>SUMIFS('Weekly Dump'!P:P,'Weekly Dump'!B:B,C640,'Weekly Dump'!A:A,AB640)</f>
        <v>0</v>
      </c>
      <c r="Y640" s="4">
        <f t="shared" si="22"/>
        <v>0</v>
      </c>
      <c r="Z640" s="41"/>
      <c r="AA640" s="12" t="str">
        <f>iferror(IF(VLOOKUP(C640,'Weekly Dump'!B:B,1,0)=C640,"Yes","Missing"),"")</f>
        <v/>
      </c>
      <c r="AB640" s="66"/>
    </row>
    <row r="641">
      <c r="B641" s="63"/>
      <c r="C641" s="63"/>
      <c r="G641" s="3" t="str">
        <f t="shared" si="26"/>
        <v/>
      </c>
      <c r="I641" s="4">
        <f>SUMIFS('Weekly Dump'!D:D,'Weekly Dump'!B:B,C641)</f>
        <v>0</v>
      </c>
      <c r="J641" s="5">
        <f>SUMIFS('Weekly Dump'!AE:AE,'Weekly Dump'!B:B,C641)</f>
        <v>0</v>
      </c>
      <c r="K641" s="4">
        <f>SUMPRODUCT(
  (TEXT('Weekly Dump'!$A$2:$A1009,"mmm-yy")=TEXT($AB641,"mmm-yy"))*
  ('Weekly Dump'!$B$2:$B1009=$C641)*
  'Weekly Dump'!$D$2:$D1009)</f>
        <v>0</v>
      </c>
      <c r="L641" s="4">
        <f>SUMPRODUCT(
  (TEXT('Weekly Dump'!$A$2:$A1009,"mmm-yy")=TEXT($AB641,"mmm-yy"))*
  ('Weekly Dump'!$B$2:$B1009=$C641)*
  'Weekly Dump'!$E$2:$E1009
)</f>
        <v>0</v>
      </c>
      <c r="M641" s="4">
        <f>SUMPRODUCT(
  (TEXT('Weekly Dump'!$A$2:$A1009,"mmm-yy")=TEXT($AB641,"mmm-yy"))*
  ('Weekly Dump'!$B$2:$B1009=$C641)*
  'Weekly Dump'!$P$2:$P1009
)</f>
        <v>0</v>
      </c>
      <c r="N641" s="39"/>
      <c r="O641" s="40">
        <f>SUMIFS('Weekly Dump'!$D:$D,'Weekly Dump'!$B:$B,$C641,'Weekly Dump'!$A:$A,$AB641)</f>
        <v>0</v>
      </c>
      <c r="P641" s="40">
        <f>SUMIFS('Weekly Dump'!R:R,'Weekly Dump'!B:B,C641,'Weekly Dump'!A:A,AB641)</f>
        <v>0</v>
      </c>
      <c r="Q641" s="40">
        <f t="shared" si="20"/>
        <v>0</v>
      </c>
      <c r="R641" s="41"/>
      <c r="T641" s="4">
        <f>SUMIFS('Weekly Dump'!E:E,'Weekly Dump'!B:B,C641,'Weekly Dump'!A:A,AB641)</f>
        <v>0</v>
      </c>
      <c r="U641" s="3">
        <f t="shared" si="21"/>
        <v>0</v>
      </c>
      <c r="V641" s="42"/>
      <c r="X641" s="4">
        <f>SUMIFS('Weekly Dump'!P:P,'Weekly Dump'!B:B,C641,'Weekly Dump'!A:A,AB641)</f>
        <v>0</v>
      </c>
      <c r="Y641" s="4">
        <f t="shared" si="22"/>
        <v>0</v>
      </c>
      <c r="Z641" s="41"/>
      <c r="AA641" s="12" t="str">
        <f>iferror(IF(VLOOKUP(C641,'Weekly Dump'!B:B,1,0)=C641,"Yes","Missing"),"")</f>
        <v/>
      </c>
      <c r="AB641" s="66"/>
    </row>
    <row r="642">
      <c r="B642" s="63"/>
      <c r="C642" s="63"/>
      <c r="G642" s="3" t="str">
        <f t="shared" si="26"/>
        <v/>
      </c>
      <c r="I642" s="4">
        <f>SUMIFS('Weekly Dump'!D:D,'Weekly Dump'!B:B,C642)</f>
        <v>0</v>
      </c>
      <c r="J642" s="5">
        <f>SUMIFS('Weekly Dump'!AE:AE,'Weekly Dump'!B:B,C642)</f>
        <v>0</v>
      </c>
      <c r="K642" s="4">
        <f>SUMPRODUCT(
  (TEXT('Weekly Dump'!$A$2:$A1009,"mmm-yy")=TEXT($AB642,"mmm-yy"))*
  ('Weekly Dump'!$B$2:$B1009=$C642)*
  'Weekly Dump'!$D$2:$D1009)</f>
        <v>0</v>
      </c>
      <c r="L642" s="4">
        <f>SUMPRODUCT(
  (TEXT('Weekly Dump'!$A$2:$A1009,"mmm-yy")=TEXT($AB642,"mmm-yy"))*
  ('Weekly Dump'!$B$2:$B1009=$C642)*
  'Weekly Dump'!$E$2:$E1009
)</f>
        <v>0</v>
      </c>
      <c r="M642" s="4">
        <f>SUMPRODUCT(
  (TEXT('Weekly Dump'!$A$2:$A1009,"mmm-yy")=TEXT($AB642,"mmm-yy"))*
  ('Weekly Dump'!$B$2:$B1009=$C642)*
  'Weekly Dump'!$P$2:$P1009
)</f>
        <v>0</v>
      </c>
      <c r="N642" s="39"/>
      <c r="O642" s="40">
        <f>SUMIFS('Weekly Dump'!$D:$D,'Weekly Dump'!$B:$B,$C642,'Weekly Dump'!$A:$A,$AB642)</f>
        <v>0</v>
      </c>
      <c r="P642" s="40">
        <f>SUMIFS('Weekly Dump'!R:R,'Weekly Dump'!B:B,C642,'Weekly Dump'!A:A,AB642)</f>
        <v>0</v>
      </c>
      <c r="Q642" s="40">
        <f t="shared" si="20"/>
        <v>0</v>
      </c>
      <c r="R642" s="41"/>
      <c r="T642" s="4">
        <f>SUMIFS('Weekly Dump'!E:E,'Weekly Dump'!B:B,C642,'Weekly Dump'!A:A,AB642)</f>
        <v>0</v>
      </c>
      <c r="U642" s="3">
        <f t="shared" si="21"/>
        <v>0</v>
      </c>
      <c r="V642" s="42"/>
      <c r="X642" s="4">
        <f>SUMIFS('Weekly Dump'!P:P,'Weekly Dump'!B:B,C642,'Weekly Dump'!A:A,AB642)</f>
        <v>0</v>
      </c>
      <c r="Y642" s="4">
        <f t="shared" si="22"/>
        <v>0</v>
      </c>
      <c r="Z642" s="41"/>
      <c r="AA642" s="12" t="str">
        <f>iferror(IF(VLOOKUP(C642,'Weekly Dump'!B:B,1,0)=C642,"Yes","Missing"),"")</f>
        <v/>
      </c>
      <c r="AB642" s="66"/>
    </row>
    <row r="643">
      <c r="B643" s="63"/>
      <c r="C643" s="63"/>
      <c r="G643" s="3" t="str">
        <f t="shared" si="26"/>
        <v/>
      </c>
      <c r="I643" s="4">
        <f>SUMIFS('Weekly Dump'!D:D,'Weekly Dump'!B:B,C643)</f>
        <v>0</v>
      </c>
      <c r="J643" s="5">
        <f>SUMIFS('Weekly Dump'!AE:AE,'Weekly Dump'!B:B,C643)</f>
        <v>0</v>
      </c>
      <c r="K643" s="4">
        <f>SUMPRODUCT(
  (TEXT('Weekly Dump'!$A$2:$A1009,"mmm-yy")=TEXT($AB643,"mmm-yy"))*
  ('Weekly Dump'!$B$2:$B1009=$C643)*
  'Weekly Dump'!$D$2:$D1009)</f>
        <v>0</v>
      </c>
      <c r="L643" s="4">
        <f>SUMPRODUCT(
  (TEXT('Weekly Dump'!$A$2:$A1009,"mmm-yy")=TEXT($AB643,"mmm-yy"))*
  ('Weekly Dump'!$B$2:$B1009=$C643)*
  'Weekly Dump'!$E$2:$E1009
)</f>
        <v>0</v>
      </c>
      <c r="M643" s="4">
        <f>SUMPRODUCT(
  (TEXT('Weekly Dump'!$A$2:$A1009,"mmm-yy")=TEXT($AB643,"mmm-yy"))*
  ('Weekly Dump'!$B$2:$B1009=$C643)*
  'Weekly Dump'!$P$2:$P1009
)</f>
        <v>0</v>
      </c>
      <c r="N643" s="39"/>
      <c r="O643" s="40">
        <f>SUMIFS('Weekly Dump'!$D:$D,'Weekly Dump'!$B:$B,$C643,'Weekly Dump'!$A:$A,$AB643)</f>
        <v>0</v>
      </c>
      <c r="P643" s="40">
        <f>SUMIFS('Weekly Dump'!R:R,'Weekly Dump'!B:B,C643,'Weekly Dump'!A:A,AB643)</f>
        <v>0</v>
      </c>
      <c r="Q643" s="40">
        <f t="shared" si="20"/>
        <v>0</v>
      </c>
      <c r="R643" s="41"/>
      <c r="T643" s="4">
        <f>SUMIFS('Weekly Dump'!E:E,'Weekly Dump'!B:B,C643,'Weekly Dump'!A:A,AB643)</f>
        <v>0</v>
      </c>
      <c r="U643" s="3">
        <f t="shared" si="21"/>
        <v>0</v>
      </c>
      <c r="V643" s="42"/>
      <c r="X643" s="4">
        <f>SUMIFS('Weekly Dump'!P:P,'Weekly Dump'!B:B,C643,'Weekly Dump'!A:A,AB643)</f>
        <v>0</v>
      </c>
      <c r="Y643" s="4">
        <f t="shared" si="22"/>
        <v>0</v>
      </c>
      <c r="Z643" s="41"/>
      <c r="AA643" s="12" t="str">
        <f>iferror(IF(VLOOKUP(C643,'Weekly Dump'!B:B,1,0)=C643,"Yes","Missing"),"")</f>
        <v/>
      </c>
      <c r="AB643" s="66"/>
    </row>
    <row r="644">
      <c r="B644" s="63"/>
      <c r="C644" s="63"/>
      <c r="G644" s="3" t="str">
        <f t="shared" si="26"/>
        <v/>
      </c>
      <c r="I644" s="4">
        <f>SUMIFS('Weekly Dump'!D:D,'Weekly Dump'!B:B,C644)</f>
        <v>0</v>
      </c>
      <c r="J644" s="5">
        <f>SUMIFS('Weekly Dump'!AE:AE,'Weekly Dump'!B:B,C644)</f>
        <v>0</v>
      </c>
      <c r="K644" s="4">
        <f>SUMPRODUCT(
  (TEXT('Weekly Dump'!$A$2:$A1009,"mmm-yy")=TEXT($AB644,"mmm-yy"))*
  ('Weekly Dump'!$B$2:$B1009=$C644)*
  'Weekly Dump'!$D$2:$D1009)</f>
        <v>0</v>
      </c>
      <c r="L644" s="4">
        <f>SUMPRODUCT(
  (TEXT('Weekly Dump'!$A$2:$A1009,"mmm-yy")=TEXT($AB644,"mmm-yy"))*
  ('Weekly Dump'!$B$2:$B1009=$C644)*
  'Weekly Dump'!$E$2:$E1009
)</f>
        <v>0</v>
      </c>
      <c r="M644" s="4">
        <f>SUMPRODUCT(
  (TEXT('Weekly Dump'!$A$2:$A1009,"mmm-yy")=TEXT($AB644,"mmm-yy"))*
  ('Weekly Dump'!$B$2:$B1009=$C644)*
  'Weekly Dump'!$P$2:$P1009
)</f>
        <v>0</v>
      </c>
      <c r="N644" s="39"/>
      <c r="O644" s="40">
        <f>SUMIFS('Weekly Dump'!$D:$D,'Weekly Dump'!$B:$B,$C644,'Weekly Dump'!$A:$A,$AB644)</f>
        <v>0</v>
      </c>
      <c r="P644" s="40">
        <f>SUMIFS('Weekly Dump'!R:R,'Weekly Dump'!B:B,C644,'Weekly Dump'!A:A,AB644)</f>
        <v>0</v>
      </c>
      <c r="Q644" s="40">
        <f t="shared" si="20"/>
        <v>0</v>
      </c>
      <c r="R644" s="41"/>
      <c r="T644" s="4">
        <f>SUMIFS('Weekly Dump'!E:E,'Weekly Dump'!B:B,C644,'Weekly Dump'!A:A,AB644)</f>
        <v>0</v>
      </c>
      <c r="U644" s="3">
        <f t="shared" si="21"/>
        <v>0</v>
      </c>
      <c r="V644" s="42"/>
      <c r="X644" s="4">
        <f>SUMIFS('Weekly Dump'!P:P,'Weekly Dump'!B:B,C644,'Weekly Dump'!A:A,AB644)</f>
        <v>0</v>
      </c>
      <c r="Y644" s="4">
        <f t="shared" si="22"/>
        <v>0</v>
      </c>
      <c r="Z644" s="41"/>
      <c r="AA644" s="12" t="str">
        <f>iferror(IF(VLOOKUP(C644,'Weekly Dump'!B:B,1,0)=C644,"Yes","Missing"),"")</f>
        <v/>
      </c>
      <c r="AB644" s="66"/>
    </row>
    <row r="645">
      <c r="B645" s="63"/>
      <c r="C645" s="63"/>
      <c r="G645" s="3" t="str">
        <f t="shared" si="26"/>
        <v/>
      </c>
      <c r="I645" s="4">
        <f>SUMIFS('Weekly Dump'!D:D,'Weekly Dump'!B:B,C645)</f>
        <v>0</v>
      </c>
      <c r="J645" s="5">
        <f>SUMIFS('Weekly Dump'!AE:AE,'Weekly Dump'!B:B,C645)</f>
        <v>0</v>
      </c>
      <c r="K645" s="4">
        <f>SUMPRODUCT(
  (TEXT('Weekly Dump'!$A$2:$A1009,"mmm-yy")=TEXT($AB645,"mmm-yy"))*
  ('Weekly Dump'!$B$2:$B1009=$C645)*
  'Weekly Dump'!$D$2:$D1009)</f>
        <v>0</v>
      </c>
      <c r="L645" s="4">
        <f>SUMPRODUCT(
  (TEXT('Weekly Dump'!$A$2:$A1009,"mmm-yy")=TEXT($AB645,"mmm-yy"))*
  ('Weekly Dump'!$B$2:$B1009=$C645)*
  'Weekly Dump'!$E$2:$E1009
)</f>
        <v>0</v>
      </c>
      <c r="M645" s="4">
        <f>SUMPRODUCT(
  (TEXT('Weekly Dump'!$A$2:$A1009,"mmm-yy")=TEXT($AB645,"mmm-yy"))*
  ('Weekly Dump'!$B$2:$B1009=$C645)*
  'Weekly Dump'!$P$2:$P1009
)</f>
        <v>0</v>
      </c>
      <c r="N645" s="39"/>
      <c r="O645" s="40">
        <f>SUMIFS('Weekly Dump'!$D:$D,'Weekly Dump'!$B:$B,$C645,'Weekly Dump'!$A:$A,$AB645)</f>
        <v>0</v>
      </c>
      <c r="P645" s="40">
        <f>SUMIFS('Weekly Dump'!R:R,'Weekly Dump'!B:B,C645,'Weekly Dump'!A:A,AB645)</f>
        <v>0</v>
      </c>
      <c r="Q645" s="40">
        <f t="shared" si="20"/>
        <v>0</v>
      </c>
      <c r="R645" s="41"/>
      <c r="T645" s="4">
        <f>SUMIFS('Weekly Dump'!E:E,'Weekly Dump'!B:B,C645,'Weekly Dump'!A:A,AB645)</f>
        <v>0</v>
      </c>
      <c r="U645" s="3">
        <f t="shared" si="21"/>
        <v>0</v>
      </c>
      <c r="V645" s="42"/>
      <c r="X645" s="4">
        <f>SUMIFS('Weekly Dump'!P:P,'Weekly Dump'!B:B,C645,'Weekly Dump'!A:A,AB645)</f>
        <v>0</v>
      </c>
      <c r="Y645" s="4">
        <f t="shared" si="22"/>
        <v>0</v>
      </c>
      <c r="Z645" s="41"/>
      <c r="AA645" s="12" t="str">
        <f>iferror(IF(VLOOKUP(C645,'Weekly Dump'!B:B,1,0)=C645,"Yes","Missing"),"")</f>
        <v/>
      </c>
      <c r="AB645" s="66"/>
    </row>
    <row r="646">
      <c r="B646" s="63"/>
      <c r="C646" s="63"/>
      <c r="G646" s="3" t="str">
        <f t="shared" si="26"/>
        <v/>
      </c>
      <c r="I646" s="4">
        <f>SUMIFS('Weekly Dump'!D:D,'Weekly Dump'!B:B,C646)</f>
        <v>0</v>
      </c>
      <c r="J646" s="5">
        <f>SUMIFS('Weekly Dump'!AE:AE,'Weekly Dump'!B:B,C646)</f>
        <v>0</v>
      </c>
      <c r="K646" s="4">
        <f>SUMPRODUCT(
  (TEXT('Weekly Dump'!$A$2:$A1009,"mmm-yy")=TEXT($AB646,"mmm-yy"))*
  ('Weekly Dump'!$B$2:$B1009=$C646)*
  'Weekly Dump'!$D$2:$D1009)</f>
        <v>0</v>
      </c>
      <c r="L646" s="4">
        <f>SUMPRODUCT(
  (TEXT('Weekly Dump'!$A$2:$A1009,"mmm-yy")=TEXT($AB646,"mmm-yy"))*
  ('Weekly Dump'!$B$2:$B1009=$C646)*
  'Weekly Dump'!$E$2:$E1009
)</f>
        <v>0</v>
      </c>
      <c r="M646" s="4">
        <f>SUMPRODUCT(
  (TEXT('Weekly Dump'!$A$2:$A1009,"mmm-yy")=TEXT($AB646,"mmm-yy"))*
  ('Weekly Dump'!$B$2:$B1009=$C646)*
  'Weekly Dump'!$P$2:$P1009
)</f>
        <v>0</v>
      </c>
      <c r="N646" s="39"/>
      <c r="O646" s="40">
        <f>SUMIFS('Weekly Dump'!$D:$D,'Weekly Dump'!$B:$B,$C646,'Weekly Dump'!$A:$A,$AB646)</f>
        <v>0</v>
      </c>
      <c r="P646" s="40">
        <f>SUMIFS('Weekly Dump'!R:R,'Weekly Dump'!B:B,C646,'Weekly Dump'!A:A,AB646)</f>
        <v>0</v>
      </c>
      <c r="Q646" s="40">
        <f t="shared" si="20"/>
        <v>0</v>
      </c>
      <c r="R646" s="41"/>
      <c r="T646" s="4">
        <f>SUMIFS('Weekly Dump'!E:E,'Weekly Dump'!B:B,C646,'Weekly Dump'!A:A,AB646)</f>
        <v>0</v>
      </c>
      <c r="U646" s="3">
        <f t="shared" si="21"/>
        <v>0</v>
      </c>
      <c r="V646" s="42"/>
      <c r="X646" s="4">
        <f>SUMIFS('Weekly Dump'!P:P,'Weekly Dump'!B:B,C646,'Weekly Dump'!A:A,AB646)</f>
        <v>0</v>
      </c>
      <c r="Y646" s="4">
        <f t="shared" si="22"/>
        <v>0</v>
      </c>
      <c r="Z646" s="41"/>
      <c r="AA646" s="12" t="str">
        <f>iferror(IF(VLOOKUP(C646,'Weekly Dump'!B:B,1,0)=C646,"Yes","Missing"),"")</f>
        <v/>
      </c>
      <c r="AB646" s="66"/>
    </row>
    <row r="647">
      <c r="B647" s="63"/>
      <c r="C647" s="63"/>
      <c r="G647" s="3" t="str">
        <f t="shared" si="26"/>
        <v/>
      </c>
      <c r="I647" s="4">
        <f>SUMIFS('Weekly Dump'!D:D,'Weekly Dump'!B:B,C647)</f>
        <v>0</v>
      </c>
      <c r="J647" s="5">
        <f>SUMIFS('Weekly Dump'!AE:AE,'Weekly Dump'!B:B,C647)</f>
        <v>0</v>
      </c>
      <c r="K647" s="4">
        <f>SUMPRODUCT(
  (TEXT('Weekly Dump'!$A$2:$A1009,"mmm-yy")=TEXT($AB647,"mmm-yy"))*
  ('Weekly Dump'!$B$2:$B1009=$C647)*
  'Weekly Dump'!$D$2:$D1009)</f>
        <v>0</v>
      </c>
      <c r="L647" s="4">
        <f>SUMPRODUCT(
  (TEXT('Weekly Dump'!$A$2:$A1009,"mmm-yy")=TEXT($AB647,"mmm-yy"))*
  ('Weekly Dump'!$B$2:$B1009=$C647)*
  'Weekly Dump'!$E$2:$E1009
)</f>
        <v>0</v>
      </c>
      <c r="M647" s="4">
        <f>SUMPRODUCT(
  (TEXT('Weekly Dump'!$A$2:$A1009,"mmm-yy")=TEXT($AB647,"mmm-yy"))*
  ('Weekly Dump'!$B$2:$B1009=$C647)*
  'Weekly Dump'!$P$2:$P1009
)</f>
        <v>0</v>
      </c>
      <c r="N647" s="39"/>
      <c r="O647" s="40">
        <f>SUMIFS('Weekly Dump'!$D:$D,'Weekly Dump'!$B:$B,$C647,'Weekly Dump'!$A:$A,$AB647)</f>
        <v>0</v>
      </c>
      <c r="P647" s="40">
        <f>SUMIFS('Weekly Dump'!R:R,'Weekly Dump'!B:B,C647,'Weekly Dump'!A:A,AB647)</f>
        <v>0</v>
      </c>
      <c r="Q647" s="40">
        <f t="shared" si="20"/>
        <v>0</v>
      </c>
      <c r="R647" s="41"/>
      <c r="T647" s="4">
        <f>SUMIFS('Weekly Dump'!E:E,'Weekly Dump'!B:B,C647,'Weekly Dump'!A:A,AB647)</f>
        <v>0</v>
      </c>
      <c r="U647" s="3">
        <f t="shared" si="21"/>
        <v>0</v>
      </c>
      <c r="V647" s="42"/>
      <c r="X647" s="4">
        <f>SUMIFS('Weekly Dump'!P:P,'Weekly Dump'!B:B,C647,'Weekly Dump'!A:A,AB647)</f>
        <v>0</v>
      </c>
      <c r="Y647" s="4">
        <f t="shared" si="22"/>
        <v>0</v>
      </c>
      <c r="Z647" s="41"/>
      <c r="AA647" s="12" t="str">
        <f>iferror(IF(VLOOKUP(C647,'Weekly Dump'!B:B,1,0)=C647,"Yes","Missing"),"")</f>
        <v/>
      </c>
      <c r="AB647" s="66"/>
    </row>
    <row r="648">
      <c r="B648" s="63"/>
      <c r="C648" s="63"/>
      <c r="G648" s="3" t="str">
        <f t="shared" si="26"/>
        <v/>
      </c>
      <c r="I648" s="4">
        <f>SUMIFS('Weekly Dump'!D:D,'Weekly Dump'!B:B,C648)</f>
        <v>0</v>
      </c>
      <c r="J648" s="5">
        <f>SUMIFS('Weekly Dump'!AE:AE,'Weekly Dump'!B:B,C648)</f>
        <v>0</v>
      </c>
      <c r="K648" s="4">
        <f>SUMPRODUCT(
  (TEXT('Weekly Dump'!$A$2:$A1009,"mmm-yy")=TEXT($AB648,"mmm-yy"))*
  ('Weekly Dump'!$B$2:$B1009=$C648)*
  'Weekly Dump'!$D$2:$D1009)</f>
        <v>0</v>
      </c>
      <c r="L648" s="4">
        <f>SUMPRODUCT(
  (TEXT('Weekly Dump'!$A$2:$A1009,"mmm-yy")=TEXT($AB648,"mmm-yy"))*
  ('Weekly Dump'!$B$2:$B1009=$C648)*
  'Weekly Dump'!$E$2:$E1009
)</f>
        <v>0</v>
      </c>
      <c r="M648" s="4">
        <f>SUMPRODUCT(
  (TEXT('Weekly Dump'!$A$2:$A1009,"mmm-yy")=TEXT($AB648,"mmm-yy"))*
  ('Weekly Dump'!$B$2:$B1009=$C648)*
  'Weekly Dump'!$P$2:$P1009
)</f>
        <v>0</v>
      </c>
      <c r="N648" s="39"/>
      <c r="O648" s="40">
        <f>SUMIFS('Weekly Dump'!$D:$D,'Weekly Dump'!$B:$B,$C648,'Weekly Dump'!$A:$A,$AB648)</f>
        <v>0</v>
      </c>
      <c r="P648" s="40">
        <f>SUMIFS('Weekly Dump'!R:R,'Weekly Dump'!B:B,C648,'Weekly Dump'!A:A,AB648)</f>
        <v>0</v>
      </c>
      <c r="Q648" s="40">
        <f t="shared" si="20"/>
        <v>0</v>
      </c>
      <c r="R648" s="41"/>
      <c r="T648" s="4">
        <f>SUMIFS('Weekly Dump'!E:E,'Weekly Dump'!B:B,C648,'Weekly Dump'!A:A,AB648)</f>
        <v>0</v>
      </c>
      <c r="U648" s="3">
        <f t="shared" si="21"/>
        <v>0</v>
      </c>
      <c r="V648" s="42"/>
      <c r="X648" s="4">
        <f>SUMIFS('Weekly Dump'!P:P,'Weekly Dump'!B:B,C648,'Weekly Dump'!A:A,AB648)</f>
        <v>0</v>
      </c>
      <c r="Y648" s="4">
        <f t="shared" si="22"/>
        <v>0</v>
      </c>
      <c r="Z648" s="41"/>
      <c r="AA648" s="12" t="str">
        <f>iferror(IF(VLOOKUP(C648,'Weekly Dump'!B:B,1,0)=C648,"Yes","Missing"),"")</f>
        <v/>
      </c>
      <c r="AB648" s="66"/>
    </row>
    <row r="649">
      <c r="B649" s="63"/>
      <c r="C649" s="63"/>
      <c r="G649" s="3" t="str">
        <f t="shared" si="26"/>
        <v/>
      </c>
      <c r="I649" s="4">
        <f>SUMIFS('Weekly Dump'!D:D,'Weekly Dump'!B:B,C649)</f>
        <v>0</v>
      </c>
      <c r="J649" s="5">
        <f>SUMIFS('Weekly Dump'!AE:AE,'Weekly Dump'!B:B,C649)</f>
        <v>0</v>
      </c>
      <c r="K649" s="4">
        <f>SUMPRODUCT(
  (TEXT('Weekly Dump'!$A$2:$A1009,"mmm-yy")=TEXT($AB649,"mmm-yy"))*
  ('Weekly Dump'!$B$2:$B1009=$C649)*
  'Weekly Dump'!$D$2:$D1009)</f>
        <v>0</v>
      </c>
      <c r="L649" s="4">
        <f>SUMPRODUCT(
  (TEXT('Weekly Dump'!$A$2:$A1009,"mmm-yy")=TEXT($AB649,"mmm-yy"))*
  ('Weekly Dump'!$B$2:$B1009=$C649)*
  'Weekly Dump'!$E$2:$E1009
)</f>
        <v>0</v>
      </c>
      <c r="M649" s="4">
        <f>SUMPRODUCT(
  (TEXT('Weekly Dump'!$A$2:$A1009,"mmm-yy")=TEXT($AB649,"mmm-yy"))*
  ('Weekly Dump'!$B$2:$B1009=$C649)*
  'Weekly Dump'!$P$2:$P1009
)</f>
        <v>0</v>
      </c>
      <c r="N649" s="39"/>
      <c r="O649" s="40">
        <f>SUMIFS('Weekly Dump'!$D:$D,'Weekly Dump'!$B:$B,$C649,'Weekly Dump'!$A:$A,$AB649)</f>
        <v>0</v>
      </c>
      <c r="P649" s="40">
        <f>SUMIFS('Weekly Dump'!R:R,'Weekly Dump'!B:B,C649,'Weekly Dump'!A:A,AB649)</f>
        <v>0</v>
      </c>
      <c r="Q649" s="40">
        <f t="shared" si="20"/>
        <v>0</v>
      </c>
      <c r="R649" s="41"/>
      <c r="T649" s="4">
        <f>SUMIFS('Weekly Dump'!E:E,'Weekly Dump'!B:B,C649,'Weekly Dump'!A:A,AB649)</f>
        <v>0</v>
      </c>
      <c r="U649" s="3">
        <f t="shared" si="21"/>
        <v>0</v>
      </c>
      <c r="V649" s="42"/>
      <c r="X649" s="4">
        <f>SUMIFS('Weekly Dump'!P:P,'Weekly Dump'!B:B,C649,'Weekly Dump'!A:A,AB649)</f>
        <v>0</v>
      </c>
      <c r="Y649" s="4">
        <f t="shared" si="22"/>
        <v>0</v>
      </c>
      <c r="Z649" s="41"/>
      <c r="AA649" s="12" t="str">
        <f>iferror(IF(VLOOKUP(C649,'Weekly Dump'!B:B,1,0)=C649,"Yes","Missing"),"")</f>
        <v/>
      </c>
      <c r="AB649" s="66"/>
    </row>
    <row r="650">
      <c r="B650" s="63"/>
      <c r="C650" s="63"/>
      <c r="G650" s="3" t="str">
        <f t="shared" si="26"/>
        <v/>
      </c>
      <c r="I650" s="4">
        <f>SUMIFS('Weekly Dump'!D:D,'Weekly Dump'!B:B,C650)</f>
        <v>0</v>
      </c>
      <c r="J650" s="5">
        <f>SUMIFS('Weekly Dump'!AE:AE,'Weekly Dump'!B:B,C650)</f>
        <v>0</v>
      </c>
      <c r="K650" s="4">
        <f>SUMPRODUCT(
  (TEXT('Weekly Dump'!$A$2:$A1009,"mmm-yy")=TEXT($AB650,"mmm-yy"))*
  ('Weekly Dump'!$B$2:$B1009=$C650)*
  'Weekly Dump'!$D$2:$D1009)</f>
        <v>0</v>
      </c>
      <c r="L650" s="4">
        <f>SUMPRODUCT(
  (TEXT('Weekly Dump'!$A$2:$A1009,"mmm-yy")=TEXT($AB650,"mmm-yy"))*
  ('Weekly Dump'!$B$2:$B1009=$C650)*
  'Weekly Dump'!$E$2:$E1009
)</f>
        <v>0</v>
      </c>
      <c r="M650" s="4">
        <f>SUMPRODUCT(
  (TEXT('Weekly Dump'!$A$2:$A1009,"mmm-yy")=TEXT($AB650,"mmm-yy"))*
  ('Weekly Dump'!$B$2:$B1009=$C650)*
  'Weekly Dump'!$P$2:$P1009
)</f>
        <v>0</v>
      </c>
      <c r="N650" s="39"/>
      <c r="O650" s="40">
        <f>SUMIFS('Weekly Dump'!$D:$D,'Weekly Dump'!$B:$B,$C650,'Weekly Dump'!$A:$A,$AB650)</f>
        <v>0</v>
      </c>
      <c r="P650" s="40">
        <f>SUMIFS('Weekly Dump'!R:R,'Weekly Dump'!B:B,C650,'Weekly Dump'!A:A,AB650)</f>
        <v>0</v>
      </c>
      <c r="Q650" s="40">
        <f t="shared" si="20"/>
        <v>0</v>
      </c>
      <c r="R650" s="41"/>
      <c r="T650" s="4">
        <f>SUMIFS('Weekly Dump'!E:E,'Weekly Dump'!B:B,C650,'Weekly Dump'!A:A,AB650)</f>
        <v>0</v>
      </c>
      <c r="U650" s="3">
        <f t="shared" si="21"/>
        <v>0</v>
      </c>
      <c r="V650" s="42"/>
      <c r="X650" s="4">
        <f>SUMIFS('Weekly Dump'!P:P,'Weekly Dump'!B:B,C650,'Weekly Dump'!A:A,AB650)</f>
        <v>0</v>
      </c>
      <c r="Y650" s="4">
        <f t="shared" si="22"/>
        <v>0</v>
      </c>
      <c r="Z650" s="41"/>
      <c r="AA650" s="12" t="str">
        <f>iferror(IF(VLOOKUP(C650,'Weekly Dump'!B:B,1,0)=C650,"Yes","Missing"),"")</f>
        <v/>
      </c>
      <c r="AB650" s="66"/>
    </row>
    <row r="651">
      <c r="B651" s="63"/>
      <c r="C651" s="63"/>
      <c r="G651" s="3" t="str">
        <f t="shared" si="26"/>
        <v/>
      </c>
      <c r="I651" s="4">
        <f>SUMIFS('Weekly Dump'!D:D,'Weekly Dump'!B:B,C651)</f>
        <v>0</v>
      </c>
      <c r="J651" s="5">
        <f>SUMIFS('Weekly Dump'!AE:AE,'Weekly Dump'!B:B,C651)</f>
        <v>0</v>
      </c>
      <c r="K651" s="4">
        <f>SUMPRODUCT(
  (TEXT('Weekly Dump'!$A$2:$A1009,"mmm-yy")=TEXT($AB651,"mmm-yy"))*
  ('Weekly Dump'!$B$2:$B1009=$C651)*
  'Weekly Dump'!$D$2:$D1009)</f>
        <v>0</v>
      </c>
      <c r="L651" s="4">
        <f>SUMPRODUCT(
  (TEXT('Weekly Dump'!$A$2:$A1009,"mmm-yy")=TEXT($AB651,"mmm-yy"))*
  ('Weekly Dump'!$B$2:$B1009=$C651)*
  'Weekly Dump'!$E$2:$E1009
)</f>
        <v>0</v>
      </c>
      <c r="M651" s="4">
        <f>SUMPRODUCT(
  (TEXT('Weekly Dump'!$A$2:$A1009,"mmm-yy")=TEXT($AB651,"mmm-yy"))*
  ('Weekly Dump'!$B$2:$B1009=$C651)*
  'Weekly Dump'!$P$2:$P1009
)</f>
        <v>0</v>
      </c>
      <c r="N651" s="39"/>
      <c r="O651" s="40">
        <f>SUMIFS('Weekly Dump'!$D:$D,'Weekly Dump'!$B:$B,$C651,'Weekly Dump'!$A:$A,$AB651)</f>
        <v>0</v>
      </c>
      <c r="P651" s="40">
        <f>SUMIFS('Weekly Dump'!R:R,'Weekly Dump'!B:B,C651,'Weekly Dump'!A:A,AB651)</f>
        <v>0</v>
      </c>
      <c r="Q651" s="40">
        <f t="shared" si="20"/>
        <v>0</v>
      </c>
      <c r="R651" s="41"/>
      <c r="T651" s="4">
        <f>SUMIFS('Weekly Dump'!E:E,'Weekly Dump'!B:B,C651,'Weekly Dump'!A:A,AB651)</f>
        <v>0</v>
      </c>
      <c r="U651" s="3">
        <f t="shared" si="21"/>
        <v>0</v>
      </c>
      <c r="V651" s="42"/>
      <c r="X651" s="4">
        <f>SUMIFS('Weekly Dump'!P:P,'Weekly Dump'!B:B,C651,'Weekly Dump'!A:A,AB651)</f>
        <v>0</v>
      </c>
      <c r="Y651" s="4">
        <f t="shared" si="22"/>
        <v>0</v>
      </c>
      <c r="Z651" s="41"/>
      <c r="AA651" s="12" t="str">
        <f>iferror(IF(VLOOKUP(C651,'Weekly Dump'!B:B,1,0)=C651,"Yes","Missing"),"")</f>
        <v/>
      </c>
      <c r="AB651" s="66"/>
    </row>
    <row r="652">
      <c r="B652" s="63"/>
      <c r="C652" s="63"/>
      <c r="G652" s="3" t="str">
        <f t="shared" si="26"/>
        <v/>
      </c>
      <c r="I652" s="4">
        <f>SUMIFS('Weekly Dump'!D:D,'Weekly Dump'!B:B,C652)</f>
        <v>0</v>
      </c>
      <c r="J652" s="5">
        <f>SUMIFS('Weekly Dump'!AE:AE,'Weekly Dump'!B:B,C652)</f>
        <v>0</v>
      </c>
      <c r="K652" s="4">
        <f>SUMPRODUCT(
  (TEXT('Weekly Dump'!$A$2:$A1009,"mmm-yy")=TEXT($AB652,"mmm-yy"))*
  ('Weekly Dump'!$B$2:$B1009=$C652)*
  'Weekly Dump'!$D$2:$D1009)</f>
        <v>0</v>
      </c>
      <c r="L652" s="4">
        <f>SUMPRODUCT(
  (TEXT('Weekly Dump'!$A$2:$A1009,"mmm-yy")=TEXT($AB652,"mmm-yy"))*
  ('Weekly Dump'!$B$2:$B1009=$C652)*
  'Weekly Dump'!$E$2:$E1009
)</f>
        <v>0</v>
      </c>
      <c r="M652" s="4">
        <f>SUMPRODUCT(
  (TEXT('Weekly Dump'!$A$2:$A1009,"mmm-yy")=TEXT($AB652,"mmm-yy"))*
  ('Weekly Dump'!$B$2:$B1009=$C652)*
  'Weekly Dump'!$P$2:$P1009
)</f>
        <v>0</v>
      </c>
      <c r="N652" s="39"/>
      <c r="O652" s="40">
        <f>SUMIFS('Weekly Dump'!$D:$D,'Weekly Dump'!$B:$B,$C652,'Weekly Dump'!$A:$A,$AB652)</f>
        <v>0</v>
      </c>
      <c r="P652" s="40">
        <f>SUMIFS('Weekly Dump'!R:R,'Weekly Dump'!B:B,C652,'Weekly Dump'!A:A,AB652)</f>
        <v>0</v>
      </c>
      <c r="Q652" s="40">
        <f t="shared" si="20"/>
        <v>0</v>
      </c>
      <c r="R652" s="41"/>
      <c r="T652" s="4">
        <f>SUMIFS('Weekly Dump'!E:E,'Weekly Dump'!B:B,C652,'Weekly Dump'!A:A,AB652)</f>
        <v>0</v>
      </c>
      <c r="U652" s="3">
        <f t="shared" si="21"/>
        <v>0</v>
      </c>
      <c r="V652" s="42"/>
      <c r="X652" s="4">
        <f>SUMIFS('Weekly Dump'!P:P,'Weekly Dump'!B:B,C652,'Weekly Dump'!A:A,AB652)</f>
        <v>0</v>
      </c>
      <c r="Y652" s="4">
        <f t="shared" si="22"/>
        <v>0</v>
      </c>
      <c r="Z652" s="41"/>
      <c r="AA652" s="12" t="str">
        <f>iferror(IF(VLOOKUP(C652,'Weekly Dump'!B:B,1,0)=C652,"Yes","Missing"),"")</f>
        <v/>
      </c>
      <c r="AB652" s="66"/>
    </row>
    <row r="653">
      <c r="B653" s="63"/>
      <c r="C653" s="63"/>
      <c r="G653" s="3" t="str">
        <f t="shared" si="26"/>
        <v/>
      </c>
      <c r="I653" s="4">
        <f>SUMIFS('Weekly Dump'!D:D,'Weekly Dump'!B:B,C653)</f>
        <v>0</v>
      </c>
      <c r="J653" s="5">
        <f>SUMIFS('Weekly Dump'!AE:AE,'Weekly Dump'!B:B,C653)</f>
        <v>0</v>
      </c>
      <c r="K653" s="4">
        <f>SUMPRODUCT(
  (TEXT('Weekly Dump'!$A$2:$A1009,"mmm-yy")=TEXT($AB653,"mmm-yy"))*
  ('Weekly Dump'!$B$2:$B1009=$C653)*
  'Weekly Dump'!$D$2:$D1009)</f>
        <v>0</v>
      </c>
      <c r="L653" s="4">
        <f>SUMPRODUCT(
  (TEXT('Weekly Dump'!$A$2:$A1009,"mmm-yy")=TEXT($AB653,"mmm-yy"))*
  ('Weekly Dump'!$B$2:$B1009=$C653)*
  'Weekly Dump'!$E$2:$E1009
)</f>
        <v>0</v>
      </c>
      <c r="M653" s="4">
        <f>SUMPRODUCT(
  (TEXT('Weekly Dump'!$A$2:$A1009,"mmm-yy")=TEXT($AB653,"mmm-yy"))*
  ('Weekly Dump'!$B$2:$B1009=$C653)*
  'Weekly Dump'!$P$2:$P1009
)</f>
        <v>0</v>
      </c>
      <c r="N653" s="39"/>
      <c r="O653" s="40">
        <f>SUMIFS('Weekly Dump'!$D:$D,'Weekly Dump'!$B:$B,$C653,'Weekly Dump'!$A:$A,$AB653)</f>
        <v>0</v>
      </c>
      <c r="P653" s="40">
        <f>SUMIFS('Weekly Dump'!R:R,'Weekly Dump'!B:B,C653,'Weekly Dump'!A:A,AB653)</f>
        <v>0</v>
      </c>
      <c r="Q653" s="40">
        <f t="shared" si="20"/>
        <v>0</v>
      </c>
      <c r="R653" s="41"/>
      <c r="T653" s="4">
        <f>SUMIFS('Weekly Dump'!E:E,'Weekly Dump'!B:B,C653,'Weekly Dump'!A:A,AB653)</f>
        <v>0</v>
      </c>
      <c r="U653" s="3">
        <f t="shared" si="21"/>
        <v>0</v>
      </c>
      <c r="V653" s="42"/>
      <c r="X653" s="4">
        <f>SUMIFS('Weekly Dump'!P:P,'Weekly Dump'!B:B,C653,'Weekly Dump'!A:A,AB653)</f>
        <v>0</v>
      </c>
      <c r="Y653" s="4">
        <f t="shared" si="22"/>
        <v>0</v>
      </c>
      <c r="Z653" s="41"/>
      <c r="AA653" s="12" t="str">
        <f>iferror(IF(VLOOKUP(C653,'Weekly Dump'!B:B,1,0)=C653,"Yes","Missing"),"")</f>
        <v/>
      </c>
      <c r="AB653" s="66"/>
    </row>
    <row r="654">
      <c r="B654" s="63"/>
      <c r="C654" s="63"/>
      <c r="G654" s="3" t="str">
        <f t="shared" si="26"/>
        <v/>
      </c>
      <c r="I654" s="4">
        <f>SUMIFS('Weekly Dump'!D:D,'Weekly Dump'!B:B,C654)</f>
        <v>0</v>
      </c>
      <c r="J654" s="5">
        <f>SUMIFS('Weekly Dump'!AE:AE,'Weekly Dump'!B:B,C654)</f>
        <v>0</v>
      </c>
      <c r="K654" s="4">
        <f>SUMPRODUCT(
  (TEXT('Weekly Dump'!$A$2:$A1009,"mmm-yy")=TEXT($AB654,"mmm-yy"))*
  ('Weekly Dump'!$B$2:$B1009=$C654)*
  'Weekly Dump'!$D$2:$D1009)</f>
        <v>0</v>
      </c>
      <c r="L654" s="4">
        <f>SUMPRODUCT(
  (TEXT('Weekly Dump'!$A$2:$A1009,"mmm-yy")=TEXT($AB654,"mmm-yy"))*
  ('Weekly Dump'!$B$2:$B1009=$C654)*
  'Weekly Dump'!$E$2:$E1009
)</f>
        <v>0</v>
      </c>
      <c r="M654" s="4">
        <f>SUMPRODUCT(
  (TEXT('Weekly Dump'!$A$2:$A1009,"mmm-yy")=TEXT($AB654,"mmm-yy"))*
  ('Weekly Dump'!$B$2:$B1009=$C654)*
  'Weekly Dump'!$P$2:$P1009
)</f>
        <v>0</v>
      </c>
      <c r="N654" s="39"/>
      <c r="O654" s="40">
        <f>SUMIFS('Weekly Dump'!$D:$D,'Weekly Dump'!$B:$B,$C654,'Weekly Dump'!$A:$A,$AB654)</f>
        <v>0</v>
      </c>
      <c r="P654" s="40">
        <f>SUMIFS('Weekly Dump'!R:R,'Weekly Dump'!B:B,C654,'Weekly Dump'!A:A,AB654)</f>
        <v>0</v>
      </c>
      <c r="Q654" s="40">
        <f t="shared" si="20"/>
        <v>0</v>
      </c>
      <c r="R654" s="41"/>
      <c r="T654" s="4">
        <f>SUMIFS('Weekly Dump'!E:E,'Weekly Dump'!B:B,C654,'Weekly Dump'!A:A,AB654)</f>
        <v>0</v>
      </c>
      <c r="U654" s="3">
        <f t="shared" si="21"/>
        <v>0</v>
      </c>
      <c r="V654" s="42"/>
      <c r="X654" s="4">
        <f>SUMIFS('Weekly Dump'!P:P,'Weekly Dump'!B:B,C654,'Weekly Dump'!A:A,AB654)</f>
        <v>0</v>
      </c>
      <c r="Y654" s="4">
        <f t="shared" si="22"/>
        <v>0</v>
      </c>
      <c r="Z654" s="41"/>
      <c r="AA654" s="12" t="str">
        <f>iferror(IF(VLOOKUP(C654,'Weekly Dump'!B:B,1,0)=C654,"Yes","Missing"),"")</f>
        <v/>
      </c>
      <c r="AB654" s="66"/>
    </row>
    <row r="655">
      <c r="B655" s="63"/>
      <c r="C655" s="63"/>
      <c r="G655" s="3" t="str">
        <f t="shared" si="26"/>
        <v/>
      </c>
      <c r="I655" s="4">
        <f>SUMIFS('Weekly Dump'!D:D,'Weekly Dump'!B:B,C655)</f>
        <v>0</v>
      </c>
      <c r="J655" s="5">
        <f>SUMIFS('Weekly Dump'!AE:AE,'Weekly Dump'!B:B,C655)</f>
        <v>0</v>
      </c>
      <c r="K655" s="4">
        <f>SUMPRODUCT(
  (TEXT('Weekly Dump'!$A$2:$A1009,"mmm-yy")=TEXT($AB655,"mmm-yy"))*
  ('Weekly Dump'!$B$2:$B1009=$C655)*
  'Weekly Dump'!$D$2:$D1009)</f>
        <v>0</v>
      </c>
      <c r="L655" s="4">
        <f>SUMPRODUCT(
  (TEXT('Weekly Dump'!$A$2:$A1009,"mmm-yy")=TEXT($AB655,"mmm-yy"))*
  ('Weekly Dump'!$B$2:$B1009=$C655)*
  'Weekly Dump'!$E$2:$E1009
)</f>
        <v>0</v>
      </c>
      <c r="M655" s="4">
        <f>SUMPRODUCT(
  (TEXT('Weekly Dump'!$A$2:$A1009,"mmm-yy")=TEXT($AB655,"mmm-yy"))*
  ('Weekly Dump'!$B$2:$B1009=$C655)*
  'Weekly Dump'!$P$2:$P1009
)</f>
        <v>0</v>
      </c>
      <c r="N655" s="39"/>
      <c r="O655" s="40">
        <f>SUMIFS('Weekly Dump'!$D:$D,'Weekly Dump'!$B:$B,$C655,'Weekly Dump'!$A:$A,$AB655)</f>
        <v>0</v>
      </c>
      <c r="P655" s="40">
        <f>SUMIFS('Weekly Dump'!R:R,'Weekly Dump'!B:B,C655,'Weekly Dump'!A:A,AB655)</f>
        <v>0</v>
      </c>
      <c r="Q655" s="40">
        <f t="shared" si="20"/>
        <v>0</v>
      </c>
      <c r="R655" s="41"/>
      <c r="T655" s="4">
        <f>SUMIFS('Weekly Dump'!E:E,'Weekly Dump'!B:B,C655,'Weekly Dump'!A:A,AB655)</f>
        <v>0</v>
      </c>
      <c r="U655" s="3">
        <f t="shared" si="21"/>
        <v>0</v>
      </c>
      <c r="V655" s="42"/>
      <c r="X655" s="4">
        <f>SUMIFS('Weekly Dump'!P:P,'Weekly Dump'!B:B,C655,'Weekly Dump'!A:A,AB655)</f>
        <v>0</v>
      </c>
      <c r="Y655" s="4">
        <f t="shared" si="22"/>
        <v>0</v>
      </c>
      <c r="Z655" s="41"/>
      <c r="AA655" s="12" t="str">
        <f>iferror(IF(VLOOKUP(C655,'Weekly Dump'!B:B,1,0)=C655,"Yes","Missing"),"")</f>
        <v/>
      </c>
      <c r="AB655" s="66"/>
    </row>
    <row r="656">
      <c r="B656" s="63"/>
      <c r="C656" s="63"/>
      <c r="G656" s="3" t="str">
        <f t="shared" si="26"/>
        <v/>
      </c>
      <c r="I656" s="4">
        <f>SUMIFS('Weekly Dump'!D:D,'Weekly Dump'!B:B,C656)</f>
        <v>0</v>
      </c>
      <c r="J656" s="5">
        <f>SUMIFS('Weekly Dump'!AE:AE,'Weekly Dump'!B:B,C656)</f>
        <v>0</v>
      </c>
      <c r="K656" s="4">
        <f>SUMPRODUCT(
  (TEXT('Weekly Dump'!$A$2:$A1009,"mmm-yy")=TEXT($AB656,"mmm-yy"))*
  ('Weekly Dump'!$B$2:$B1009=$C656)*
  'Weekly Dump'!$D$2:$D1009)</f>
        <v>0</v>
      </c>
      <c r="L656" s="4">
        <f>SUMPRODUCT(
  (TEXT('Weekly Dump'!$A$2:$A1009,"mmm-yy")=TEXT($AB656,"mmm-yy"))*
  ('Weekly Dump'!$B$2:$B1009=$C656)*
  'Weekly Dump'!$E$2:$E1009
)</f>
        <v>0</v>
      </c>
      <c r="M656" s="4">
        <f>SUMPRODUCT(
  (TEXT('Weekly Dump'!$A$2:$A1009,"mmm-yy")=TEXT($AB656,"mmm-yy"))*
  ('Weekly Dump'!$B$2:$B1009=$C656)*
  'Weekly Dump'!$P$2:$P1009
)</f>
        <v>0</v>
      </c>
      <c r="N656" s="39"/>
      <c r="O656" s="40">
        <f>SUMIFS('Weekly Dump'!$D:$D,'Weekly Dump'!$B:$B,$C656,'Weekly Dump'!$A:$A,$AB656)</f>
        <v>0</v>
      </c>
      <c r="P656" s="40">
        <f>SUMIFS('Weekly Dump'!R:R,'Weekly Dump'!B:B,C656,'Weekly Dump'!A:A,AB656)</f>
        <v>0</v>
      </c>
      <c r="Q656" s="40">
        <f t="shared" si="20"/>
        <v>0</v>
      </c>
      <c r="R656" s="41"/>
      <c r="T656" s="4">
        <f>SUMIFS('Weekly Dump'!E:E,'Weekly Dump'!B:B,C656,'Weekly Dump'!A:A,AB656)</f>
        <v>0</v>
      </c>
      <c r="U656" s="3">
        <f t="shared" si="21"/>
        <v>0</v>
      </c>
      <c r="V656" s="42"/>
      <c r="X656" s="4">
        <f>SUMIFS('Weekly Dump'!P:P,'Weekly Dump'!B:B,C656,'Weekly Dump'!A:A,AB656)</f>
        <v>0</v>
      </c>
      <c r="Y656" s="4">
        <f t="shared" si="22"/>
        <v>0</v>
      </c>
      <c r="Z656" s="41"/>
      <c r="AA656" s="12" t="str">
        <f>iferror(IF(VLOOKUP(C656,'Weekly Dump'!B:B,1,0)=C656,"Yes","Missing"),"")</f>
        <v/>
      </c>
      <c r="AB656" s="66"/>
    </row>
    <row r="657">
      <c r="B657" s="63"/>
      <c r="C657" s="63"/>
      <c r="G657" s="3" t="str">
        <f t="shared" si="26"/>
        <v/>
      </c>
      <c r="I657" s="4">
        <f>SUMIFS('Weekly Dump'!D:D,'Weekly Dump'!B:B,C657)</f>
        <v>0</v>
      </c>
      <c r="J657" s="5">
        <f>SUMIFS('Weekly Dump'!AE:AE,'Weekly Dump'!B:B,C657)</f>
        <v>0</v>
      </c>
      <c r="K657" s="4">
        <f>SUMPRODUCT(
  (TEXT('Weekly Dump'!$A$2:$A1009,"mmm-yy")=TEXT($AB657,"mmm-yy"))*
  ('Weekly Dump'!$B$2:$B1009=$C657)*
  'Weekly Dump'!$D$2:$D1009)</f>
        <v>0</v>
      </c>
      <c r="L657" s="4">
        <f>SUMPRODUCT(
  (TEXT('Weekly Dump'!$A$2:$A1009,"mmm-yy")=TEXT($AB657,"mmm-yy"))*
  ('Weekly Dump'!$B$2:$B1009=$C657)*
  'Weekly Dump'!$E$2:$E1009
)</f>
        <v>0</v>
      </c>
      <c r="M657" s="4">
        <f>SUMPRODUCT(
  (TEXT('Weekly Dump'!$A$2:$A1009,"mmm-yy")=TEXT($AB657,"mmm-yy"))*
  ('Weekly Dump'!$B$2:$B1009=$C657)*
  'Weekly Dump'!$P$2:$P1009
)</f>
        <v>0</v>
      </c>
      <c r="N657" s="39"/>
      <c r="O657" s="40">
        <f>SUMIFS('Weekly Dump'!$D:$D,'Weekly Dump'!$B:$B,$C657,'Weekly Dump'!$A:$A,$AB657)</f>
        <v>0</v>
      </c>
      <c r="P657" s="40">
        <f>SUMIFS('Weekly Dump'!R:R,'Weekly Dump'!B:B,C657,'Weekly Dump'!A:A,AB657)</f>
        <v>0</v>
      </c>
      <c r="Q657" s="40">
        <f t="shared" si="20"/>
        <v>0</v>
      </c>
      <c r="R657" s="41"/>
      <c r="T657" s="4">
        <f>SUMIFS('Weekly Dump'!E:E,'Weekly Dump'!B:B,C657,'Weekly Dump'!A:A,AB657)</f>
        <v>0</v>
      </c>
      <c r="U657" s="3">
        <f t="shared" si="21"/>
        <v>0</v>
      </c>
      <c r="V657" s="42"/>
      <c r="X657" s="4">
        <f>SUMIFS('Weekly Dump'!P:P,'Weekly Dump'!B:B,C657,'Weekly Dump'!A:A,AB657)</f>
        <v>0</v>
      </c>
      <c r="Y657" s="4">
        <f t="shared" si="22"/>
        <v>0</v>
      </c>
      <c r="Z657" s="41"/>
      <c r="AA657" s="12" t="str">
        <f>iferror(IF(VLOOKUP(C657,'Weekly Dump'!B:B,1,0)=C657,"Yes","Missing"),"")</f>
        <v/>
      </c>
      <c r="AB657" s="66"/>
    </row>
    <row r="658">
      <c r="B658" s="63"/>
      <c r="C658" s="63"/>
      <c r="G658" s="3" t="str">
        <f t="shared" si="26"/>
        <v/>
      </c>
      <c r="I658" s="4">
        <f>SUMIFS('Weekly Dump'!D:D,'Weekly Dump'!B:B,C658)</f>
        <v>0</v>
      </c>
      <c r="J658" s="5">
        <f>SUMIFS('Weekly Dump'!AE:AE,'Weekly Dump'!B:B,C658)</f>
        <v>0</v>
      </c>
      <c r="K658" s="4">
        <f>SUMPRODUCT(
  (TEXT('Weekly Dump'!$A$2:$A1009,"mmm-yy")=TEXT($AB658,"mmm-yy"))*
  ('Weekly Dump'!$B$2:$B1009=$C658)*
  'Weekly Dump'!$D$2:$D1009)</f>
        <v>0</v>
      </c>
      <c r="L658" s="4">
        <f>SUMPRODUCT(
  (TEXT('Weekly Dump'!$A$2:$A1009,"mmm-yy")=TEXT($AB658,"mmm-yy"))*
  ('Weekly Dump'!$B$2:$B1009=$C658)*
  'Weekly Dump'!$E$2:$E1009
)</f>
        <v>0</v>
      </c>
      <c r="M658" s="4">
        <f>SUMPRODUCT(
  (TEXT('Weekly Dump'!$A$2:$A1009,"mmm-yy")=TEXT($AB658,"mmm-yy"))*
  ('Weekly Dump'!$B$2:$B1009=$C658)*
  'Weekly Dump'!$P$2:$P1009
)</f>
        <v>0</v>
      </c>
      <c r="N658" s="39"/>
      <c r="O658" s="40">
        <f>SUMIFS('Weekly Dump'!$D:$D,'Weekly Dump'!$B:$B,$C658,'Weekly Dump'!$A:$A,$AB658)</f>
        <v>0</v>
      </c>
      <c r="P658" s="40">
        <f>SUMIFS('Weekly Dump'!R:R,'Weekly Dump'!B:B,C658,'Weekly Dump'!A:A,AB658)</f>
        <v>0</v>
      </c>
      <c r="Q658" s="40">
        <f t="shared" si="20"/>
        <v>0</v>
      </c>
      <c r="R658" s="41"/>
      <c r="T658" s="4">
        <f>SUMIFS('Weekly Dump'!E:E,'Weekly Dump'!B:B,C658,'Weekly Dump'!A:A,AB658)</f>
        <v>0</v>
      </c>
      <c r="U658" s="3">
        <f t="shared" si="21"/>
        <v>0</v>
      </c>
      <c r="V658" s="42"/>
      <c r="X658" s="4">
        <f>SUMIFS('Weekly Dump'!P:P,'Weekly Dump'!B:B,C658,'Weekly Dump'!A:A,AB658)</f>
        <v>0</v>
      </c>
      <c r="Y658" s="4">
        <f t="shared" si="22"/>
        <v>0</v>
      </c>
      <c r="Z658" s="41"/>
      <c r="AA658" s="12" t="str">
        <f>iferror(IF(VLOOKUP(C658,'Weekly Dump'!B:B,1,0)=C658,"Yes","Missing"),"")</f>
        <v/>
      </c>
      <c r="AB658" s="66"/>
    </row>
    <row r="659">
      <c r="B659" s="63"/>
      <c r="C659" s="63"/>
      <c r="G659" s="3" t="str">
        <f t="shared" si="26"/>
        <v/>
      </c>
      <c r="I659" s="4">
        <f>SUMIFS('Weekly Dump'!D:D,'Weekly Dump'!B:B,C659)</f>
        <v>0</v>
      </c>
      <c r="J659" s="5">
        <f>SUMIFS('Weekly Dump'!AE:AE,'Weekly Dump'!B:B,C659)</f>
        <v>0</v>
      </c>
      <c r="K659" s="4">
        <f>SUMPRODUCT(
  (TEXT('Weekly Dump'!$A$2:$A1009,"mmm-yy")=TEXT($AB659,"mmm-yy"))*
  ('Weekly Dump'!$B$2:$B1009=$C659)*
  'Weekly Dump'!$D$2:$D1009)</f>
        <v>0</v>
      </c>
      <c r="L659" s="4">
        <f>SUMPRODUCT(
  (TEXT('Weekly Dump'!$A$2:$A1009,"mmm-yy")=TEXT($AB659,"mmm-yy"))*
  ('Weekly Dump'!$B$2:$B1009=$C659)*
  'Weekly Dump'!$E$2:$E1009
)</f>
        <v>0</v>
      </c>
      <c r="M659" s="4">
        <f>SUMPRODUCT(
  (TEXT('Weekly Dump'!$A$2:$A1009,"mmm-yy")=TEXT($AB659,"mmm-yy"))*
  ('Weekly Dump'!$B$2:$B1009=$C659)*
  'Weekly Dump'!$P$2:$P1009
)</f>
        <v>0</v>
      </c>
      <c r="N659" s="39"/>
      <c r="O659" s="40">
        <f>SUMIFS('Weekly Dump'!$D:$D,'Weekly Dump'!$B:$B,$C659,'Weekly Dump'!$A:$A,$AB659)</f>
        <v>0</v>
      </c>
      <c r="P659" s="40">
        <f>SUMIFS('Weekly Dump'!R:R,'Weekly Dump'!B:B,C659,'Weekly Dump'!A:A,AB659)</f>
        <v>0</v>
      </c>
      <c r="Q659" s="40">
        <f t="shared" si="20"/>
        <v>0</v>
      </c>
      <c r="R659" s="41"/>
      <c r="T659" s="4">
        <f>SUMIFS('Weekly Dump'!E:E,'Weekly Dump'!B:B,C659,'Weekly Dump'!A:A,AB659)</f>
        <v>0</v>
      </c>
      <c r="U659" s="3">
        <f t="shared" si="21"/>
        <v>0</v>
      </c>
      <c r="V659" s="42"/>
      <c r="X659" s="4">
        <f>SUMIFS('Weekly Dump'!P:P,'Weekly Dump'!B:B,C659,'Weekly Dump'!A:A,AB659)</f>
        <v>0</v>
      </c>
      <c r="Y659" s="4">
        <f t="shared" si="22"/>
        <v>0</v>
      </c>
      <c r="Z659" s="41"/>
      <c r="AA659" s="12" t="str">
        <f>iferror(IF(VLOOKUP(C659,'Weekly Dump'!B:B,1,0)=C659,"Yes","Missing"),"")</f>
        <v/>
      </c>
      <c r="AB659" s="66"/>
    </row>
    <row r="660">
      <c r="B660" s="63"/>
      <c r="C660" s="63"/>
      <c r="G660" s="3" t="str">
        <f t="shared" si="26"/>
        <v/>
      </c>
      <c r="I660" s="4">
        <f>SUMIFS('Weekly Dump'!D:D,'Weekly Dump'!B:B,C660)</f>
        <v>0</v>
      </c>
      <c r="J660" s="5">
        <f>SUMIFS('Weekly Dump'!AE:AE,'Weekly Dump'!B:B,C660)</f>
        <v>0</v>
      </c>
      <c r="K660" s="4">
        <f>SUMPRODUCT(
  (TEXT('Weekly Dump'!$A$2:$A1009,"mmm-yy")=TEXT($AB660,"mmm-yy"))*
  ('Weekly Dump'!$B$2:$B1009=$C660)*
  'Weekly Dump'!$D$2:$D1009)</f>
        <v>0</v>
      </c>
      <c r="L660" s="4">
        <f>SUMPRODUCT(
  (TEXT('Weekly Dump'!$A$2:$A1009,"mmm-yy")=TEXT($AB660,"mmm-yy"))*
  ('Weekly Dump'!$B$2:$B1009=$C660)*
  'Weekly Dump'!$E$2:$E1009
)</f>
        <v>0</v>
      </c>
      <c r="M660" s="4">
        <f>SUMPRODUCT(
  (TEXT('Weekly Dump'!$A$2:$A1009,"mmm-yy")=TEXT($AB660,"mmm-yy"))*
  ('Weekly Dump'!$B$2:$B1009=$C660)*
  'Weekly Dump'!$P$2:$P1009
)</f>
        <v>0</v>
      </c>
      <c r="N660" s="39"/>
      <c r="O660" s="40">
        <f>SUMIFS('Weekly Dump'!$D:$D,'Weekly Dump'!$B:$B,$C660,'Weekly Dump'!$A:$A,$AB660)</f>
        <v>0</v>
      </c>
      <c r="P660" s="40">
        <f>SUMIFS('Weekly Dump'!R:R,'Weekly Dump'!B:B,C660,'Weekly Dump'!A:A,AB660)</f>
        <v>0</v>
      </c>
      <c r="Q660" s="40">
        <f t="shared" si="20"/>
        <v>0</v>
      </c>
      <c r="R660" s="41"/>
      <c r="T660" s="4">
        <f>SUMIFS('Weekly Dump'!E:E,'Weekly Dump'!B:B,C660,'Weekly Dump'!A:A,AB660)</f>
        <v>0</v>
      </c>
      <c r="U660" s="3">
        <f t="shared" si="21"/>
        <v>0</v>
      </c>
      <c r="V660" s="42"/>
      <c r="X660" s="4">
        <f>SUMIFS('Weekly Dump'!P:P,'Weekly Dump'!B:B,C660,'Weekly Dump'!A:A,AB660)</f>
        <v>0</v>
      </c>
      <c r="Y660" s="4">
        <f t="shared" si="22"/>
        <v>0</v>
      </c>
      <c r="Z660" s="41"/>
      <c r="AA660" s="12" t="str">
        <f>iferror(IF(VLOOKUP(C660,'Weekly Dump'!B:B,1,0)=C660,"Yes","Missing"),"")</f>
        <v/>
      </c>
      <c r="AB660" s="66"/>
    </row>
    <row r="661">
      <c r="B661" s="63"/>
      <c r="C661" s="63"/>
      <c r="G661" s="3" t="str">
        <f t="shared" si="26"/>
        <v/>
      </c>
      <c r="I661" s="4">
        <f>SUMIFS('Weekly Dump'!D:D,'Weekly Dump'!B:B,C661)</f>
        <v>0</v>
      </c>
      <c r="J661" s="5">
        <f>SUMIFS('Weekly Dump'!AE:AE,'Weekly Dump'!B:B,C661)</f>
        <v>0</v>
      </c>
      <c r="K661" s="4">
        <f>SUMPRODUCT(
  (TEXT('Weekly Dump'!$A$2:$A1009,"mmm-yy")=TEXT($AB661,"mmm-yy"))*
  ('Weekly Dump'!$B$2:$B1009=$C661)*
  'Weekly Dump'!$D$2:$D1009)</f>
        <v>0</v>
      </c>
      <c r="L661" s="4">
        <f>SUMPRODUCT(
  (TEXT('Weekly Dump'!$A$2:$A1009,"mmm-yy")=TEXT($AB661,"mmm-yy"))*
  ('Weekly Dump'!$B$2:$B1009=$C661)*
  'Weekly Dump'!$E$2:$E1009
)</f>
        <v>0</v>
      </c>
      <c r="M661" s="4">
        <f>SUMPRODUCT(
  (TEXT('Weekly Dump'!$A$2:$A1009,"mmm-yy")=TEXT($AB661,"mmm-yy"))*
  ('Weekly Dump'!$B$2:$B1009=$C661)*
  'Weekly Dump'!$P$2:$P1009
)</f>
        <v>0</v>
      </c>
      <c r="N661" s="39"/>
      <c r="O661" s="40">
        <f>SUMIFS('Weekly Dump'!$D:$D,'Weekly Dump'!$B:$B,$C661,'Weekly Dump'!$A:$A,$AB661)</f>
        <v>0</v>
      </c>
      <c r="P661" s="40">
        <f>SUMIFS('Weekly Dump'!R:R,'Weekly Dump'!B:B,C661,'Weekly Dump'!A:A,AB661)</f>
        <v>0</v>
      </c>
      <c r="Q661" s="40">
        <f t="shared" si="20"/>
        <v>0</v>
      </c>
      <c r="R661" s="41"/>
      <c r="T661" s="4">
        <f>SUMIFS('Weekly Dump'!E:E,'Weekly Dump'!B:B,C661,'Weekly Dump'!A:A,AB661)</f>
        <v>0</v>
      </c>
      <c r="U661" s="3">
        <f t="shared" si="21"/>
        <v>0</v>
      </c>
      <c r="V661" s="42"/>
      <c r="X661" s="4">
        <f>SUMIFS('Weekly Dump'!P:P,'Weekly Dump'!B:B,C661,'Weekly Dump'!A:A,AB661)</f>
        <v>0</v>
      </c>
      <c r="Y661" s="4">
        <f t="shared" si="22"/>
        <v>0</v>
      </c>
      <c r="Z661" s="41"/>
      <c r="AA661" s="12" t="str">
        <f>iferror(IF(VLOOKUP(C661,'Weekly Dump'!B:B,1,0)=C661,"Yes","Missing"),"")</f>
        <v/>
      </c>
      <c r="AB661" s="66"/>
    </row>
    <row r="662">
      <c r="B662" s="63"/>
      <c r="C662" s="63"/>
      <c r="G662" s="3" t="str">
        <f t="shared" si="26"/>
        <v/>
      </c>
      <c r="I662" s="4">
        <f>SUMIFS('Weekly Dump'!D:D,'Weekly Dump'!B:B,C662)</f>
        <v>0</v>
      </c>
      <c r="J662" s="5">
        <f>SUMIFS('Weekly Dump'!AE:AE,'Weekly Dump'!B:B,C662)</f>
        <v>0</v>
      </c>
      <c r="K662" s="4">
        <f>SUMPRODUCT(
  (TEXT('Weekly Dump'!$A$2:$A1009,"mmm-yy")=TEXT($AB662,"mmm-yy"))*
  ('Weekly Dump'!$B$2:$B1009=$C662)*
  'Weekly Dump'!$D$2:$D1009)</f>
        <v>0</v>
      </c>
      <c r="L662" s="4">
        <f>SUMPRODUCT(
  (TEXT('Weekly Dump'!$A$2:$A1009,"mmm-yy")=TEXT($AB662,"mmm-yy"))*
  ('Weekly Dump'!$B$2:$B1009=$C662)*
  'Weekly Dump'!$E$2:$E1009
)</f>
        <v>0</v>
      </c>
      <c r="M662" s="4">
        <f>SUMPRODUCT(
  (TEXT('Weekly Dump'!$A$2:$A1009,"mmm-yy")=TEXT($AB662,"mmm-yy"))*
  ('Weekly Dump'!$B$2:$B1009=$C662)*
  'Weekly Dump'!$P$2:$P1009
)</f>
        <v>0</v>
      </c>
      <c r="N662" s="39"/>
      <c r="O662" s="40">
        <f>SUMIFS('Weekly Dump'!$D:$D,'Weekly Dump'!$B:$B,$C662,'Weekly Dump'!$A:$A,$AB662)</f>
        <v>0</v>
      </c>
      <c r="P662" s="40">
        <f>SUMIFS('Weekly Dump'!R:R,'Weekly Dump'!B:B,C662,'Weekly Dump'!A:A,AB662)</f>
        <v>0</v>
      </c>
      <c r="Q662" s="40">
        <f t="shared" si="20"/>
        <v>0</v>
      </c>
      <c r="R662" s="41"/>
      <c r="T662" s="4">
        <f>SUMIFS('Weekly Dump'!E:E,'Weekly Dump'!B:B,C662,'Weekly Dump'!A:A,AB662)</f>
        <v>0</v>
      </c>
      <c r="U662" s="3">
        <f t="shared" si="21"/>
        <v>0</v>
      </c>
      <c r="V662" s="42"/>
      <c r="X662" s="4">
        <f>SUMIFS('Weekly Dump'!P:P,'Weekly Dump'!B:B,C662,'Weekly Dump'!A:A,AB662)</f>
        <v>0</v>
      </c>
      <c r="Y662" s="4">
        <f t="shared" si="22"/>
        <v>0</v>
      </c>
      <c r="Z662" s="41"/>
      <c r="AA662" s="12" t="str">
        <f>iferror(IF(VLOOKUP(C662,'Weekly Dump'!B:B,1,0)=C662,"Yes","Missing"),"")</f>
        <v/>
      </c>
      <c r="AB662" s="66"/>
    </row>
    <row r="663">
      <c r="B663" s="63"/>
      <c r="C663" s="63"/>
      <c r="G663" s="3" t="str">
        <f t="shared" si="26"/>
        <v/>
      </c>
      <c r="I663" s="4">
        <f>SUMIFS('Weekly Dump'!D:D,'Weekly Dump'!B:B,C663)</f>
        <v>0</v>
      </c>
      <c r="J663" s="5">
        <f>SUMIFS('Weekly Dump'!AE:AE,'Weekly Dump'!B:B,C663)</f>
        <v>0</v>
      </c>
      <c r="K663" s="4">
        <f>SUMPRODUCT(
  (TEXT('Weekly Dump'!$A$2:$A1009,"mmm-yy")=TEXT($AB663,"mmm-yy"))*
  ('Weekly Dump'!$B$2:$B1009=$C663)*
  'Weekly Dump'!$D$2:$D1009)</f>
        <v>0</v>
      </c>
      <c r="L663" s="4">
        <f>SUMPRODUCT(
  (TEXT('Weekly Dump'!$A$2:$A1009,"mmm-yy")=TEXT($AB663,"mmm-yy"))*
  ('Weekly Dump'!$B$2:$B1009=$C663)*
  'Weekly Dump'!$E$2:$E1009
)</f>
        <v>0</v>
      </c>
      <c r="M663" s="4">
        <f>SUMPRODUCT(
  (TEXT('Weekly Dump'!$A$2:$A1009,"mmm-yy")=TEXT($AB663,"mmm-yy"))*
  ('Weekly Dump'!$B$2:$B1009=$C663)*
  'Weekly Dump'!$P$2:$P1009
)</f>
        <v>0</v>
      </c>
      <c r="N663" s="39"/>
      <c r="O663" s="40">
        <f>SUMIFS('Weekly Dump'!$D:$D,'Weekly Dump'!$B:$B,$C663,'Weekly Dump'!$A:$A,$AB663)</f>
        <v>0</v>
      </c>
      <c r="P663" s="40">
        <f>SUMIFS('Weekly Dump'!R:R,'Weekly Dump'!B:B,C663,'Weekly Dump'!A:A,AB663)</f>
        <v>0</v>
      </c>
      <c r="Q663" s="40">
        <f t="shared" si="20"/>
        <v>0</v>
      </c>
      <c r="R663" s="41"/>
      <c r="T663" s="4">
        <f>SUMIFS('Weekly Dump'!E:E,'Weekly Dump'!B:B,C663,'Weekly Dump'!A:A,AB663)</f>
        <v>0</v>
      </c>
      <c r="U663" s="3">
        <f t="shared" si="21"/>
        <v>0</v>
      </c>
      <c r="V663" s="42"/>
      <c r="X663" s="4">
        <f>SUMIFS('Weekly Dump'!P:P,'Weekly Dump'!B:B,C663,'Weekly Dump'!A:A,AB663)</f>
        <v>0</v>
      </c>
      <c r="Y663" s="4">
        <f t="shared" si="22"/>
        <v>0</v>
      </c>
      <c r="Z663" s="41"/>
      <c r="AA663" s="12" t="str">
        <f>iferror(IF(VLOOKUP(C663,'Weekly Dump'!B:B,1,0)=C663,"Yes","Missing"),"")</f>
        <v/>
      </c>
      <c r="AB663" s="66"/>
    </row>
    <row r="664">
      <c r="B664" s="63"/>
      <c r="C664" s="63"/>
      <c r="G664" s="3" t="str">
        <f t="shared" si="26"/>
        <v/>
      </c>
      <c r="I664" s="4">
        <f>SUMIFS('Weekly Dump'!D:D,'Weekly Dump'!B:B,C664)</f>
        <v>0</v>
      </c>
      <c r="J664" s="5">
        <f>SUMIFS('Weekly Dump'!AE:AE,'Weekly Dump'!B:B,C664)</f>
        <v>0</v>
      </c>
      <c r="K664" s="4">
        <f>SUMPRODUCT(
  (TEXT('Weekly Dump'!$A$2:$A1009,"mmm-yy")=TEXT($AB664,"mmm-yy"))*
  ('Weekly Dump'!$B$2:$B1009=$C664)*
  'Weekly Dump'!$D$2:$D1009)</f>
        <v>0</v>
      </c>
      <c r="L664" s="4">
        <f>SUMPRODUCT(
  (TEXT('Weekly Dump'!$A$2:$A1009,"mmm-yy")=TEXT($AB664,"mmm-yy"))*
  ('Weekly Dump'!$B$2:$B1009=$C664)*
  'Weekly Dump'!$E$2:$E1009
)</f>
        <v>0</v>
      </c>
      <c r="M664" s="4">
        <f>SUMPRODUCT(
  (TEXT('Weekly Dump'!$A$2:$A1009,"mmm-yy")=TEXT($AB664,"mmm-yy"))*
  ('Weekly Dump'!$B$2:$B1009=$C664)*
  'Weekly Dump'!$P$2:$P1009
)</f>
        <v>0</v>
      </c>
      <c r="N664" s="39"/>
      <c r="O664" s="40">
        <f>SUMIFS('Weekly Dump'!$D:$D,'Weekly Dump'!$B:$B,$C664,'Weekly Dump'!$A:$A,$AB664)</f>
        <v>0</v>
      </c>
      <c r="P664" s="40">
        <f>SUMIFS('Weekly Dump'!R:R,'Weekly Dump'!B:B,C664,'Weekly Dump'!A:A,AB664)</f>
        <v>0</v>
      </c>
      <c r="Q664" s="40">
        <f t="shared" si="20"/>
        <v>0</v>
      </c>
      <c r="R664" s="41"/>
      <c r="T664" s="4">
        <f>SUMIFS('Weekly Dump'!E:E,'Weekly Dump'!B:B,C664,'Weekly Dump'!A:A,AB664)</f>
        <v>0</v>
      </c>
      <c r="U664" s="3">
        <f t="shared" si="21"/>
        <v>0</v>
      </c>
      <c r="V664" s="42"/>
      <c r="X664" s="4">
        <f>SUMIFS('Weekly Dump'!P:P,'Weekly Dump'!B:B,C664,'Weekly Dump'!A:A,AB664)</f>
        <v>0</v>
      </c>
      <c r="Y664" s="4">
        <f t="shared" si="22"/>
        <v>0</v>
      </c>
      <c r="Z664" s="41"/>
      <c r="AA664" s="12" t="str">
        <f>iferror(IF(VLOOKUP(C664,'Weekly Dump'!B:B,1,0)=C664,"Yes","Missing"),"")</f>
        <v/>
      </c>
      <c r="AB664" s="66"/>
    </row>
    <row r="665">
      <c r="B665" s="63"/>
      <c r="C665" s="63"/>
      <c r="G665" s="3" t="str">
        <f t="shared" si="26"/>
        <v/>
      </c>
      <c r="I665" s="4">
        <f>SUMIFS('Weekly Dump'!D:D,'Weekly Dump'!B:B,C665)</f>
        <v>0</v>
      </c>
      <c r="J665" s="5">
        <f>SUMIFS('Weekly Dump'!AE:AE,'Weekly Dump'!B:B,C665)</f>
        <v>0</v>
      </c>
      <c r="K665" s="4">
        <f>SUMPRODUCT(
  (TEXT('Weekly Dump'!$A$2:$A1009,"mmm-yy")=TEXT($AB665,"mmm-yy"))*
  ('Weekly Dump'!$B$2:$B1009=$C665)*
  'Weekly Dump'!$D$2:$D1009)</f>
        <v>0</v>
      </c>
      <c r="L665" s="4">
        <f>SUMPRODUCT(
  (TEXT('Weekly Dump'!$A$2:$A1009,"mmm-yy")=TEXT($AB665,"mmm-yy"))*
  ('Weekly Dump'!$B$2:$B1009=$C665)*
  'Weekly Dump'!$E$2:$E1009
)</f>
        <v>0</v>
      </c>
      <c r="M665" s="4">
        <f>SUMPRODUCT(
  (TEXT('Weekly Dump'!$A$2:$A1009,"mmm-yy")=TEXT($AB665,"mmm-yy"))*
  ('Weekly Dump'!$B$2:$B1009=$C665)*
  'Weekly Dump'!$P$2:$P1009
)</f>
        <v>0</v>
      </c>
      <c r="N665" s="39"/>
      <c r="O665" s="40">
        <f>SUMIFS('Weekly Dump'!$D:$D,'Weekly Dump'!$B:$B,$C665,'Weekly Dump'!$A:$A,$AB665)</f>
        <v>0</v>
      </c>
      <c r="P665" s="40">
        <f>SUMIFS('Weekly Dump'!R:R,'Weekly Dump'!B:B,C665,'Weekly Dump'!A:A,AB665)</f>
        <v>0</v>
      </c>
      <c r="Q665" s="40">
        <f t="shared" si="20"/>
        <v>0</v>
      </c>
      <c r="R665" s="41"/>
      <c r="T665" s="4">
        <f>SUMIFS('Weekly Dump'!E:E,'Weekly Dump'!B:B,C665,'Weekly Dump'!A:A,AB665)</f>
        <v>0</v>
      </c>
      <c r="U665" s="3">
        <f t="shared" si="21"/>
        <v>0</v>
      </c>
      <c r="V665" s="42"/>
      <c r="X665" s="4">
        <f>SUMIFS('Weekly Dump'!P:P,'Weekly Dump'!B:B,C665,'Weekly Dump'!A:A,AB665)</f>
        <v>0</v>
      </c>
      <c r="Y665" s="4">
        <f t="shared" si="22"/>
        <v>0</v>
      </c>
      <c r="Z665" s="41"/>
      <c r="AA665" s="12" t="str">
        <f>iferror(IF(VLOOKUP(C665,'Weekly Dump'!B:B,1,0)=C665,"Yes","Missing"),"")</f>
        <v/>
      </c>
      <c r="AB665" s="66"/>
    </row>
    <row r="666">
      <c r="B666" s="63"/>
      <c r="C666" s="63"/>
      <c r="G666" s="3" t="str">
        <f t="shared" si="26"/>
        <v/>
      </c>
      <c r="I666" s="4">
        <f>SUMIFS('Weekly Dump'!D:D,'Weekly Dump'!B:B,C666)</f>
        <v>0</v>
      </c>
      <c r="J666" s="5">
        <f>SUMIFS('Weekly Dump'!AE:AE,'Weekly Dump'!B:B,C666)</f>
        <v>0</v>
      </c>
      <c r="K666" s="4">
        <f>SUMPRODUCT(
  (TEXT('Weekly Dump'!$A$2:$A1009,"mmm-yy")=TEXT($AB666,"mmm-yy"))*
  ('Weekly Dump'!$B$2:$B1009=$C666)*
  'Weekly Dump'!$D$2:$D1009)</f>
        <v>0</v>
      </c>
      <c r="L666" s="4">
        <f>SUMPRODUCT(
  (TEXT('Weekly Dump'!$A$2:$A1009,"mmm-yy")=TEXT($AB666,"mmm-yy"))*
  ('Weekly Dump'!$B$2:$B1009=$C666)*
  'Weekly Dump'!$E$2:$E1009
)</f>
        <v>0</v>
      </c>
      <c r="M666" s="4">
        <f>SUMPRODUCT(
  (TEXT('Weekly Dump'!$A$2:$A1009,"mmm-yy")=TEXT($AB666,"mmm-yy"))*
  ('Weekly Dump'!$B$2:$B1009=$C666)*
  'Weekly Dump'!$P$2:$P1009
)</f>
        <v>0</v>
      </c>
      <c r="N666" s="39"/>
      <c r="O666" s="40">
        <f>SUMIFS('Weekly Dump'!$D:$D,'Weekly Dump'!$B:$B,$C666,'Weekly Dump'!$A:$A,$AB666)</f>
        <v>0</v>
      </c>
      <c r="P666" s="40">
        <f>SUMIFS('Weekly Dump'!R:R,'Weekly Dump'!B:B,C666,'Weekly Dump'!A:A,AB666)</f>
        <v>0</v>
      </c>
      <c r="Q666" s="40">
        <f t="shared" si="20"/>
        <v>0</v>
      </c>
      <c r="R666" s="41"/>
      <c r="T666" s="4">
        <f>SUMIFS('Weekly Dump'!E:E,'Weekly Dump'!B:B,C666,'Weekly Dump'!A:A,AB666)</f>
        <v>0</v>
      </c>
      <c r="U666" s="3">
        <f t="shared" si="21"/>
        <v>0</v>
      </c>
      <c r="V666" s="42"/>
      <c r="X666" s="4">
        <f>SUMIFS('Weekly Dump'!P:P,'Weekly Dump'!B:B,C666,'Weekly Dump'!A:A,AB666)</f>
        <v>0</v>
      </c>
      <c r="Y666" s="4">
        <f t="shared" si="22"/>
        <v>0</v>
      </c>
      <c r="Z666" s="41"/>
      <c r="AA666" s="12" t="str">
        <f>iferror(IF(VLOOKUP(C666,'Weekly Dump'!B:B,1,0)=C666,"Yes","Missing"),"")</f>
        <v/>
      </c>
      <c r="AB666" s="66"/>
    </row>
    <row r="667">
      <c r="B667" s="63"/>
      <c r="C667" s="63"/>
      <c r="G667" s="3" t="str">
        <f t="shared" si="26"/>
        <v/>
      </c>
      <c r="I667" s="4">
        <f>SUMIFS('Weekly Dump'!D:D,'Weekly Dump'!B:B,C667)</f>
        <v>0</v>
      </c>
      <c r="J667" s="5">
        <f>SUMIFS('Weekly Dump'!AE:AE,'Weekly Dump'!B:B,C667)</f>
        <v>0</v>
      </c>
      <c r="K667" s="4">
        <f>SUMPRODUCT(
  (TEXT('Weekly Dump'!$A$2:$A1009,"mmm-yy")=TEXT($AB667,"mmm-yy"))*
  ('Weekly Dump'!$B$2:$B1009=$C667)*
  'Weekly Dump'!$D$2:$D1009)</f>
        <v>0</v>
      </c>
      <c r="L667" s="4">
        <f>SUMPRODUCT(
  (TEXT('Weekly Dump'!$A$2:$A1009,"mmm-yy")=TEXT($AB667,"mmm-yy"))*
  ('Weekly Dump'!$B$2:$B1009=$C667)*
  'Weekly Dump'!$E$2:$E1009
)</f>
        <v>0</v>
      </c>
      <c r="M667" s="4">
        <f>SUMPRODUCT(
  (TEXT('Weekly Dump'!$A$2:$A1009,"mmm-yy")=TEXT($AB667,"mmm-yy"))*
  ('Weekly Dump'!$B$2:$B1009=$C667)*
  'Weekly Dump'!$P$2:$P1009
)</f>
        <v>0</v>
      </c>
      <c r="N667" s="39"/>
      <c r="O667" s="40">
        <f>SUMIFS('Weekly Dump'!$D:$D,'Weekly Dump'!$B:$B,$C667,'Weekly Dump'!$A:$A,$AB667)</f>
        <v>0</v>
      </c>
      <c r="P667" s="40">
        <f>SUMIFS('Weekly Dump'!R:R,'Weekly Dump'!B:B,C667,'Weekly Dump'!A:A,AB667)</f>
        <v>0</v>
      </c>
      <c r="Q667" s="40">
        <f t="shared" si="20"/>
        <v>0</v>
      </c>
      <c r="R667" s="41"/>
      <c r="T667" s="4">
        <f>SUMIFS('Weekly Dump'!E:E,'Weekly Dump'!B:B,C667,'Weekly Dump'!A:A,AB667)</f>
        <v>0</v>
      </c>
      <c r="U667" s="3">
        <f t="shared" si="21"/>
        <v>0</v>
      </c>
      <c r="V667" s="42"/>
      <c r="X667" s="4">
        <f>SUMIFS('Weekly Dump'!P:P,'Weekly Dump'!B:B,C667,'Weekly Dump'!A:A,AB667)</f>
        <v>0</v>
      </c>
      <c r="Y667" s="4">
        <f t="shared" si="22"/>
        <v>0</v>
      </c>
      <c r="Z667" s="41"/>
      <c r="AA667" s="12" t="str">
        <f>iferror(IF(VLOOKUP(C667,'Weekly Dump'!B:B,1,0)=C667,"Yes","Missing"),"")</f>
        <v/>
      </c>
      <c r="AB667" s="66"/>
    </row>
    <row r="668">
      <c r="B668" s="63"/>
      <c r="C668" s="63"/>
      <c r="G668" s="3" t="str">
        <f t="shared" si="26"/>
        <v/>
      </c>
      <c r="I668" s="4">
        <f>SUMIFS('Weekly Dump'!D:D,'Weekly Dump'!B:B,C668)</f>
        <v>0</v>
      </c>
      <c r="J668" s="5">
        <f>SUMIFS('Weekly Dump'!AE:AE,'Weekly Dump'!B:B,C668)</f>
        <v>0</v>
      </c>
      <c r="K668" s="4">
        <f>SUMPRODUCT(
  (TEXT('Weekly Dump'!$A$2:$A1009,"mmm-yy")=TEXT($AB668,"mmm-yy"))*
  ('Weekly Dump'!$B$2:$B1009=$C668)*
  'Weekly Dump'!$D$2:$D1009)</f>
        <v>0</v>
      </c>
      <c r="L668" s="4">
        <f>SUMPRODUCT(
  (TEXT('Weekly Dump'!$A$2:$A1009,"mmm-yy")=TEXT($AB668,"mmm-yy"))*
  ('Weekly Dump'!$B$2:$B1009=$C668)*
  'Weekly Dump'!$E$2:$E1009
)</f>
        <v>0</v>
      </c>
      <c r="M668" s="4">
        <f>SUMPRODUCT(
  (TEXT('Weekly Dump'!$A$2:$A1009,"mmm-yy")=TEXT($AB668,"mmm-yy"))*
  ('Weekly Dump'!$B$2:$B1009=$C668)*
  'Weekly Dump'!$P$2:$P1009
)</f>
        <v>0</v>
      </c>
      <c r="N668" s="39"/>
      <c r="O668" s="40">
        <f>SUMIFS('Weekly Dump'!$D:$D,'Weekly Dump'!$B:$B,$C668,'Weekly Dump'!$A:$A,$AB668)</f>
        <v>0</v>
      </c>
      <c r="P668" s="40">
        <f>SUMIFS('Weekly Dump'!R:R,'Weekly Dump'!B:B,C668,'Weekly Dump'!A:A,AB668)</f>
        <v>0</v>
      </c>
      <c r="Q668" s="40">
        <f t="shared" si="20"/>
        <v>0</v>
      </c>
      <c r="R668" s="41"/>
      <c r="T668" s="4">
        <f>SUMIFS('Weekly Dump'!E:E,'Weekly Dump'!B:B,C668,'Weekly Dump'!A:A,AB668)</f>
        <v>0</v>
      </c>
      <c r="U668" s="3">
        <f t="shared" si="21"/>
        <v>0</v>
      </c>
      <c r="V668" s="42"/>
      <c r="X668" s="4">
        <f>SUMIFS('Weekly Dump'!P:P,'Weekly Dump'!B:B,C668,'Weekly Dump'!A:A,AB668)</f>
        <v>0</v>
      </c>
      <c r="Y668" s="4">
        <f t="shared" si="22"/>
        <v>0</v>
      </c>
      <c r="Z668" s="41"/>
      <c r="AA668" s="12" t="str">
        <f>iferror(IF(VLOOKUP(C668,'Weekly Dump'!B:B,1,0)=C668,"Yes","Missing"),"")</f>
        <v/>
      </c>
      <c r="AB668" s="66"/>
    </row>
    <row r="669">
      <c r="B669" s="63"/>
      <c r="C669" s="63"/>
      <c r="G669" s="3" t="str">
        <f t="shared" si="26"/>
        <v/>
      </c>
      <c r="I669" s="4">
        <f>SUMIFS('Weekly Dump'!D:D,'Weekly Dump'!B:B,C669)</f>
        <v>0</v>
      </c>
      <c r="J669" s="5">
        <f>SUMIFS('Weekly Dump'!AE:AE,'Weekly Dump'!B:B,C669)</f>
        <v>0</v>
      </c>
      <c r="K669" s="4">
        <f>SUMPRODUCT(
  (TEXT('Weekly Dump'!$A$2:$A1009,"mmm-yy")=TEXT($AB669,"mmm-yy"))*
  ('Weekly Dump'!$B$2:$B1009=$C669)*
  'Weekly Dump'!$D$2:$D1009)</f>
        <v>0</v>
      </c>
      <c r="L669" s="4">
        <f>SUMPRODUCT(
  (TEXT('Weekly Dump'!$A$2:$A1009,"mmm-yy")=TEXT($AB669,"mmm-yy"))*
  ('Weekly Dump'!$B$2:$B1009=$C669)*
  'Weekly Dump'!$E$2:$E1009
)</f>
        <v>0</v>
      </c>
      <c r="M669" s="4">
        <f>SUMPRODUCT(
  (TEXT('Weekly Dump'!$A$2:$A1009,"mmm-yy")=TEXT($AB669,"mmm-yy"))*
  ('Weekly Dump'!$B$2:$B1009=$C669)*
  'Weekly Dump'!$P$2:$P1009
)</f>
        <v>0</v>
      </c>
      <c r="N669" s="39"/>
      <c r="O669" s="40">
        <f>SUMIFS('Weekly Dump'!$D:$D,'Weekly Dump'!$B:$B,$C669,'Weekly Dump'!$A:$A,$AB669)</f>
        <v>0</v>
      </c>
      <c r="P669" s="40">
        <f>SUMIFS('Weekly Dump'!R:R,'Weekly Dump'!B:B,C669,'Weekly Dump'!A:A,AB669)</f>
        <v>0</v>
      </c>
      <c r="Q669" s="40">
        <f t="shared" si="20"/>
        <v>0</v>
      </c>
      <c r="R669" s="41"/>
      <c r="T669" s="4">
        <f>SUMIFS('Weekly Dump'!E:E,'Weekly Dump'!B:B,C669,'Weekly Dump'!A:A,AB669)</f>
        <v>0</v>
      </c>
      <c r="U669" s="3">
        <f t="shared" si="21"/>
        <v>0</v>
      </c>
      <c r="V669" s="42"/>
      <c r="X669" s="4">
        <f>SUMIFS('Weekly Dump'!P:P,'Weekly Dump'!B:B,C669,'Weekly Dump'!A:A,AB669)</f>
        <v>0</v>
      </c>
      <c r="Y669" s="4">
        <f t="shared" si="22"/>
        <v>0</v>
      </c>
      <c r="Z669" s="41"/>
      <c r="AA669" s="12" t="str">
        <f>iferror(IF(VLOOKUP(C669,'Weekly Dump'!B:B,1,0)=C669,"Yes","Missing"),"")</f>
        <v/>
      </c>
      <c r="AB669" s="66"/>
    </row>
    <row r="670">
      <c r="B670" s="63"/>
      <c r="C670" s="63"/>
      <c r="G670" s="3" t="str">
        <f t="shared" si="26"/>
        <v/>
      </c>
      <c r="I670" s="4">
        <f>SUMIFS('Weekly Dump'!D:D,'Weekly Dump'!B:B,C670)</f>
        <v>0</v>
      </c>
      <c r="J670" s="5">
        <f>SUMIFS('Weekly Dump'!AE:AE,'Weekly Dump'!B:B,C670)</f>
        <v>0</v>
      </c>
      <c r="K670" s="4">
        <f>SUMPRODUCT(
  (TEXT('Weekly Dump'!$A$2:$A1009,"mmm-yy")=TEXT($AB670,"mmm-yy"))*
  ('Weekly Dump'!$B$2:$B1009=$C670)*
  'Weekly Dump'!$D$2:$D1009)</f>
        <v>0</v>
      </c>
      <c r="L670" s="4">
        <f>SUMPRODUCT(
  (TEXT('Weekly Dump'!$A$2:$A1009,"mmm-yy")=TEXT($AB670,"mmm-yy"))*
  ('Weekly Dump'!$B$2:$B1009=$C670)*
  'Weekly Dump'!$E$2:$E1009
)</f>
        <v>0</v>
      </c>
      <c r="M670" s="4">
        <f>SUMPRODUCT(
  (TEXT('Weekly Dump'!$A$2:$A1009,"mmm-yy")=TEXT($AB670,"mmm-yy"))*
  ('Weekly Dump'!$B$2:$B1009=$C670)*
  'Weekly Dump'!$P$2:$P1009
)</f>
        <v>0</v>
      </c>
      <c r="N670" s="39"/>
      <c r="O670" s="40">
        <f>SUMIFS('Weekly Dump'!$D:$D,'Weekly Dump'!$B:$B,$C670,'Weekly Dump'!$A:$A,$AB670)</f>
        <v>0</v>
      </c>
      <c r="P670" s="40">
        <f>SUMIFS('Weekly Dump'!R:R,'Weekly Dump'!B:B,C670,'Weekly Dump'!A:A,AB670)</f>
        <v>0</v>
      </c>
      <c r="Q670" s="40">
        <f t="shared" si="20"/>
        <v>0</v>
      </c>
      <c r="R670" s="41"/>
      <c r="T670" s="4">
        <f>SUMIFS('Weekly Dump'!E:E,'Weekly Dump'!B:B,C670,'Weekly Dump'!A:A,AB670)</f>
        <v>0</v>
      </c>
      <c r="U670" s="3">
        <f t="shared" si="21"/>
        <v>0</v>
      </c>
      <c r="V670" s="42"/>
      <c r="X670" s="4">
        <f>SUMIFS('Weekly Dump'!P:P,'Weekly Dump'!B:B,C670,'Weekly Dump'!A:A,AB670)</f>
        <v>0</v>
      </c>
      <c r="Y670" s="4">
        <f t="shared" si="22"/>
        <v>0</v>
      </c>
      <c r="Z670" s="41"/>
      <c r="AA670" s="12" t="str">
        <f>iferror(IF(VLOOKUP(C670,'Weekly Dump'!B:B,1,0)=C670,"Yes","Missing"),"")</f>
        <v/>
      </c>
      <c r="AB670" s="66"/>
    </row>
    <row r="671">
      <c r="B671" s="63"/>
      <c r="C671" s="63"/>
      <c r="G671" s="3" t="str">
        <f t="shared" si="26"/>
        <v/>
      </c>
      <c r="I671" s="4">
        <f>SUMIFS('Weekly Dump'!D:D,'Weekly Dump'!B:B,C671)</f>
        <v>0</v>
      </c>
      <c r="J671" s="5">
        <f>SUMIFS('Weekly Dump'!AE:AE,'Weekly Dump'!B:B,C671)</f>
        <v>0</v>
      </c>
      <c r="K671" s="4">
        <f>SUMPRODUCT(
  (TEXT('Weekly Dump'!$A$2:$A1009,"mmm-yy")=TEXT($AB671,"mmm-yy"))*
  ('Weekly Dump'!$B$2:$B1009=$C671)*
  'Weekly Dump'!$D$2:$D1009)</f>
        <v>0</v>
      </c>
      <c r="L671" s="4">
        <f>SUMPRODUCT(
  (TEXT('Weekly Dump'!$A$2:$A1009,"mmm-yy")=TEXT($AB671,"mmm-yy"))*
  ('Weekly Dump'!$B$2:$B1009=$C671)*
  'Weekly Dump'!$E$2:$E1009
)</f>
        <v>0</v>
      </c>
      <c r="M671" s="4">
        <f>SUMPRODUCT(
  (TEXT('Weekly Dump'!$A$2:$A1009,"mmm-yy")=TEXT($AB671,"mmm-yy"))*
  ('Weekly Dump'!$B$2:$B1009=$C671)*
  'Weekly Dump'!$P$2:$P1009
)</f>
        <v>0</v>
      </c>
      <c r="N671" s="39"/>
      <c r="O671" s="40">
        <f>SUMIFS('Weekly Dump'!$D:$D,'Weekly Dump'!$B:$B,$C671,'Weekly Dump'!$A:$A,$AB671)</f>
        <v>0</v>
      </c>
      <c r="P671" s="40">
        <f>SUMIFS('Weekly Dump'!R:R,'Weekly Dump'!B:B,C671,'Weekly Dump'!A:A,AB671)</f>
        <v>0</v>
      </c>
      <c r="Q671" s="40">
        <f t="shared" si="20"/>
        <v>0</v>
      </c>
      <c r="R671" s="41"/>
      <c r="T671" s="4">
        <f>SUMIFS('Weekly Dump'!E:E,'Weekly Dump'!B:B,C671,'Weekly Dump'!A:A,AB671)</f>
        <v>0</v>
      </c>
      <c r="U671" s="3">
        <f t="shared" si="21"/>
        <v>0</v>
      </c>
      <c r="V671" s="42"/>
      <c r="X671" s="4">
        <f>SUMIFS('Weekly Dump'!P:P,'Weekly Dump'!B:B,C671,'Weekly Dump'!A:A,AB671)</f>
        <v>0</v>
      </c>
      <c r="Y671" s="4">
        <f t="shared" si="22"/>
        <v>0</v>
      </c>
      <c r="Z671" s="41"/>
      <c r="AA671" s="12" t="str">
        <f>iferror(IF(VLOOKUP(C671,'Weekly Dump'!B:B,1,0)=C671,"Yes","Missing"),"")</f>
        <v/>
      </c>
      <c r="AB671" s="66"/>
    </row>
    <row r="672">
      <c r="B672" s="63"/>
      <c r="C672" s="63"/>
      <c r="G672" s="3" t="str">
        <f t="shared" si="26"/>
        <v/>
      </c>
      <c r="I672" s="4">
        <f>SUMIFS('Weekly Dump'!D:D,'Weekly Dump'!B:B,C672)</f>
        <v>0</v>
      </c>
      <c r="J672" s="5">
        <f>SUMIFS('Weekly Dump'!AE:AE,'Weekly Dump'!B:B,C672)</f>
        <v>0</v>
      </c>
      <c r="K672" s="4">
        <f>SUMPRODUCT(
  (TEXT('Weekly Dump'!$A$2:$A1009,"mmm-yy")=TEXT($AB672,"mmm-yy"))*
  ('Weekly Dump'!$B$2:$B1009=$C672)*
  'Weekly Dump'!$D$2:$D1009)</f>
        <v>0</v>
      </c>
      <c r="L672" s="4">
        <f>SUMPRODUCT(
  (TEXT('Weekly Dump'!$A$2:$A1009,"mmm-yy")=TEXT($AB672,"mmm-yy"))*
  ('Weekly Dump'!$B$2:$B1009=$C672)*
  'Weekly Dump'!$E$2:$E1009
)</f>
        <v>0</v>
      </c>
      <c r="M672" s="4">
        <f>SUMPRODUCT(
  (TEXT('Weekly Dump'!$A$2:$A1009,"mmm-yy")=TEXT($AB672,"mmm-yy"))*
  ('Weekly Dump'!$B$2:$B1009=$C672)*
  'Weekly Dump'!$P$2:$P1009
)</f>
        <v>0</v>
      </c>
      <c r="N672" s="39"/>
      <c r="O672" s="40">
        <f>SUMIFS('Weekly Dump'!$D:$D,'Weekly Dump'!$B:$B,$C672,'Weekly Dump'!$A:$A,$AB672)</f>
        <v>0</v>
      </c>
      <c r="P672" s="40">
        <f>SUMIFS('Weekly Dump'!R:R,'Weekly Dump'!B:B,C672,'Weekly Dump'!A:A,AB672)</f>
        <v>0</v>
      </c>
      <c r="Q672" s="40">
        <f t="shared" si="20"/>
        <v>0</v>
      </c>
      <c r="R672" s="41"/>
      <c r="T672" s="4">
        <f>SUMIFS('Weekly Dump'!E:E,'Weekly Dump'!B:B,C672,'Weekly Dump'!A:A,AB672)</f>
        <v>0</v>
      </c>
      <c r="U672" s="3">
        <f t="shared" si="21"/>
        <v>0</v>
      </c>
      <c r="V672" s="42"/>
      <c r="X672" s="4">
        <f>SUMIFS('Weekly Dump'!P:P,'Weekly Dump'!B:B,C672,'Weekly Dump'!A:A,AB672)</f>
        <v>0</v>
      </c>
      <c r="Y672" s="4">
        <f t="shared" si="22"/>
        <v>0</v>
      </c>
      <c r="Z672" s="41"/>
      <c r="AA672" s="12" t="str">
        <f>iferror(IF(VLOOKUP(C672,'Weekly Dump'!B:B,1,0)=C672,"Yes","Missing"),"")</f>
        <v/>
      </c>
      <c r="AB672" s="66"/>
    </row>
    <row r="673">
      <c r="B673" s="63"/>
      <c r="C673" s="63"/>
      <c r="G673" s="3" t="str">
        <f t="shared" si="26"/>
        <v/>
      </c>
      <c r="I673" s="4">
        <f>SUMIFS('Weekly Dump'!D:D,'Weekly Dump'!B:B,C673)</f>
        <v>0</v>
      </c>
      <c r="J673" s="5">
        <f>SUMIFS('Weekly Dump'!AE:AE,'Weekly Dump'!B:B,C673)</f>
        <v>0</v>
      </c>
      <c r="K673" s="4">
        <f>SUMPRODUCT(
  (TEXT('Weekly Dump'!$A$2:$A1009,"mmm-yy")=TEXT($AB673,"mmm-yy"))*
  ('Weekly Dump'!$B$2:$B1009=$C673)*
  'Weekly Dump'!$D$2:$D1009)</f>
        <v>0</v>
      </c>
      <c r="L673" s="4">
        <f>SUMPRODUCT(
  (TEXT('Weekly Dump'!$A$2:$A1009,"mmm-yy")=TEXT($AB673,"mmm-yy"))*
  ('Weekly Dump'!$B$2:$B1009=$C673)*
  'Weekly Dump'!$E$2:$E1009
)</f>
        <v>0</v>
      </c>
      <c r="M673" s="4">
        <f>SUMPRODUCT(
  (TEXT('Weekly Dump'!$A$2:$A1009,"mmm-yy")=TEXT($AB673,"mmm-yy"))*
  ('Weekly Dump'!$B$2:$B1009=$C673)*
  'Weekly Dump'!$P$2:$P1009
)</f>
        <v>0</v>
      </c>
      <c r="N673" s="39"/>
      <c r="O673" s="40">
        <f>SUMIFS('Weekly Dump'!$D:$D,'Weekly Dump'!$B:$B,$C673,'Weekly Dump'!$A:$A,$AB673)</f>
        <v>0</v>
      </c>
      <c r="P673" s="40">
        <f>SUMIFS('Weekly Dump'!R:R,'Weekly Dump'!B:B,C673,'Weekly Dump'!A:A,AB673)</f>
        <v>0</v>
      </c>
      <c r="Q673" s="40">
        <f t="shared" si="20"/>
        <v>0</v>
      </c>
      <c r="R673" s="41"/>
      <c r="T673" s="4">
        <f>SUMIFS('Weekly Dump'!E:E,'Weekly Dump'!B:B,C673,'Weekly Dump'!A:A,AB673)</f>
        <v>0</v>
      </c>
      <c r="U673" s="3">
        <f t="shared" si="21"/>
        <v>0</v>
      </c>
      <c r="V673" s="42"/>
      <c r="X673" s="4">
        <f>SUMIFS('Weekly Dump'!P:P,'Weekly Dump'!B:B,C673,'Weekly Dump'!A:A,AB673)</f>
        <v>0</v>
      </c>
      <c r="Y673" s="4">
        <f t="shared" si="22"/>
        <v>0</v>
      </c>
      <c r="Z673" s="41"/>
      <c r="AA673" s="12" t="str">
        <f>iferror(IF(VLOOKUP(C673,'Weekly Dump'!B:B,1,0)=C673,"Yes","Missing"),"")</f>
        <v/>
      </c>
      <c r="AB673" s="66"/>
    </row>
    <row r="674">
      <c r="B674" s="63"/>
      <c r="C674" s="63"/>
      <c r="G674" s="3" t="str">
        <f t="shared" si="26"/>
        <v/>
      </c>
      <c r="I674" s="4">
        <f>SUMIFS('Weekly Dump'!D:D,'Weekly Dump'!B:B,C674)</f>
        <v>0</v>
      </c>
      <c r="J674" s="5">
        <f>SUMIFS('Weekly Dump'!AE:AE,'Weekly Dump'!B:B,C674)</f>
        <v>0</v>
      </c>
      <c r="K674" s="4">
        <f>SUMPRODUCT(
  (TEXT('Weekly Dump'!$A$2:$A1009,"mmm-yy")=TEXT($AB674,"mmm-yy"))*
  ('Weekly Dump'!$B$2:$B1009=$C674)*
  'Weekly Dump'!$D$2:$D1009)</f>
        <v>0</v>
      </c>
      <c r="L674" s="4">
        <f>SUMPRODUCT(
  (TEXT('Weekly Dump'!$A$2:$A1009,"mmm-yy")=TEXT($AB674,"mmm-yy"))*
  ('Weekly Dump'!$B$2:$B1009=$C674)*
  'Weekly Dump'!$E$2:$E1009
)</f>
        <v>0</v>
      </c>
      <c r="M674" s="4">
        <f>SUMPRODUCT(
  (TEXT('Weekly Dump'!$A$2:$A1009,"mmm-yy")=TEXT($AB674,"mmm-yy"))*
  ('Weekly Dump'!$B$2:$B1009=$C674)*
  'Weekly Dump'!$P$2:$P1009
)</f>
        <v>0</v>
      </c>
      <c r="N674" s="39"/>
      <c r="O674" s="40">
        <f>SUMIFS('Weekly Dump'!$D:$D,'Weekly Dump'!$B:$B,$C674,'Weekly Dump'!$A:$A,$AB674)</f>
        <v>0</v>
      </c>
      <c r="P674" s="40">
        <f>SUMIFS('Weekly Dump'!R:R,'Weekly Dump'!B:B,C674,'Weekly Dump'!A:A,AB674)</f>
        <v>0</v>
      </c>
      <c r="Q674" s="40">
        <f t="shared" si="20"/>
        <v>0</v>
      </c>
      <c r="R674" s="41"/>
      <c r="T674" s="4">
        <f>SUMIFS('Weekly Dump'!E:E,'Weekly Dump'!B:B,C674,'Weekly Dump'!A:A,AB674)</f>
        <v>0</v>
      </c>
      <c r="U674" s="3">
        <f t="shared" si="21"/>
        <v>0</v>
      </c>
      <c r="V674" s="42"/>
      <c r="X674" s="4">
        <f>SUMIFS('Weekly Dump'!P:P,'Weekly Dump'!B:B,C674,'Weekly Dump'!A:A,AB674)</f>
        <v>0</v>
      </c>
      <c r="Y674" s="4">
        <f t="shared" si="22"/>
        <v>0</v>
      </c>
      <c r="Z674" s="41"/>
      <c r="AA674" s="12" t="str">
        <f>iferror(IF(VLOOKUP(C674,'Weekly Dump'!B:B,1,0)=C674,"Yes","Missing"),"")</f>
        <v/>
      </c>
      <c r="AB674" s="66"/>
    </row>
    <row r="675">
      <c r="B675" s="63"/>
      <c r="C675" s="63"/>
      <c r="G675" s="3" t="str">
        <f t="shared" si="26"/>
        <v/>
      </c>
      <c r="I675" s="4">
        <f>SUMIFS('Weekly Dump'!D:D,'Weekly Dump'!B:B,C675)</f>
        <v>0</v>
      </c>
      <c r="J675" s="5">
        <f>SUMIFS('Weekly Dump'!AE:AE,'Weekly Dump'!B:B,C675)</f>
        <v>0</v>
      </c>
      <c r="K675" s="4">
        <f>SUMPRODUCT(
  (TEXT('Weekly Dump'!$A$2:$A1009,"mmm-yy")=TEXT($AB675,"mmm-yy"))*
  ('Weekly Dump'!$B$2:$B1009=$C675)*
  'Weekly Dump'!$D$2:$D1009)</f>
        <v>0</v>
      </c>
      <c r="L675" s="4">
        <f>SUMPRODUCT(
  (TEXT('Weekly Dump'!$A$2:$A1009,"mmm-yy")=TEXT($AB675,"mmm-yy"))*
  ('Weekly Dump'!$B$2:$B1009=$C675)*
  'Weekly Dump'!$E$2:$E1009
)</f>
        <v>0</v>
      </c>
      <c r="M675" s="4">
        <f>SUMPRODUCT(
  (TEXT('Weekly Dump'!$A$2:$A1009,"mmm-yy")=TEXT($AB675,"mmm-yy"))*
  ('Weekly Dump'!$B$2:$B1009=$C675)*
  'Weekly Dump'!$P$2:$P1009
)</f>
        <v>0</v>
      </c>
      <c r="N675" s="39"/>
      <c r="O675" s="40">
        <f>SUMIFS('Weekly Dump'!$D:$D,'Weekly Dump'!$B:$B,$C675,'Weekly Dump'!$A:$A,$AB675)</f>
        <v>0</v>
      </c>
      <c r="P675" s="40">
        <f>SUMIFS('Weekly Dump'!R:R,'Weekly Dump'!B:B,C675,'Weekly Dump'!A:A,AB675)</f>
        <v>0</v>
      </c>
      <c r="Q675" s="40">
        <f t="shared" si="20"/>
        <v>0</v>
      </c>
      <c r="R675" s="41"/>
      <c r="T675" s="4">
        <f>SUMIFS('Weekly Dump'!E:E,'Weekly Dump'!B:B,C675,'Weekly Dump'!A:A,AB675)</f>
        <v>0</v>
      </c>
      <c r="U675" s="3">
        <f t="shared" si="21"/>
        <v>0</v>
      </c>
      <c r="V675" s="42"/>
      <c r="X675" s="4">
        <f>SUMIFS('Weekly Dump'!P:P,'Weekly Dump'!B:B,C675,'Weekly Dump'!A:A,AB675)</f>
        <v>0</v>
      </c>
      <c r="Y675" s="4">
        <f t="shared" si="22"/>
        <v>0</v>
      </c>
      <c r="Z675" s="41"/>
      <c r="AA675" s="12" t="str">
        <f>iferror(IF(VLOOKUP(C675,'Weekly Dump'!B:B,1,0)=C675,"Yes","Missing"),"")</f>
        <v/>
      </c>
      <c r="AB675" s="66"/>
    </row>
    <row r="676">
      <c r="B676" s="63"/>
      <c r="C676" s="63"/>
      <c r="G676" s="3" t="str">
        <f t="shared" si="26"/>
        <v/>
      </c>
      <c r="I676" s="4">
        <f>SUMIFS('Weekly Dump'!D:D,'Weekly Dump'!B:B,C676)</f>
        <v>0</v>
      </c>
      <c r="J676" s="5">
        <f>SUMIFS('Weekly Dump'!AE:AE,'Weekly Dump'!B:B,C676)</f>
        <v>0</v>
      </c>
      <c r="K676" s="4">
        <f>SUMPRODUCT(
  (TEXT('Weekly Dump'!$A$2:$A1009,"mmm-yy")=TEXT($AB676,"mmm-yy"))*
  ('Weekly Dump'!$B$2:$B1009=$C676)*
  'Weekly Dump'!$D$2:$D1009)</f>
        <v>0</v>
      </c>
      <c r="L676" s="4">
        <f>SUMPRODUCT(
  (TEXT('Weekly Dump'!$A$2:$A1009,"mmm-yy")=TEXT($AB676,"mmm-yy"))*
  ('Weekly Dump'!$B$2:$B1009=$C676)*
  'Weekly Dump'!$E$2:$E1009
)</f>
        <v>0</v>
      </c>
      <c r="M676" s="4">
        <f>SUMPRODUCT(
  (TEXT('Weekly Dump'!$A$2:$A1009,"mmm-yy")=TEXT($AB676,"mmm-yy"))*
  ('Weekly Dump'!$B$2:$B1009=$C676)*
  'Weekly Dump'!$P$2:$P1009
)</f>
        <v>0</v>
      </c>
      <c r="N676" s="39"/>
      <c r="O676" s="40">
        <f>SUMIFS('Weekly Dump'!$D:$D,'Weekly Dump'!$B:$B,$C676,'Weekly Dump'!$A:$A,$AB676)</f>
        <v>0</v>
      </c>
      <c r="P676" s="40">
        <f>SUMIFS('Weekly Dump'!R:R,'Weekly Dump'!B:B,C676,'Weekly Dump'!A:A,AB676)</f>
        <v>0</v>
      </c>
      <c r="Q676" s="40">
        <f t="shared" si="20"/>
        <v>0</v>
      </c>
      <c r="R676" s="41"/>
      <c r="T676" s="4">
        <f>SUMIFS('Weekly Dump'!E:E,'Weekly Dump'!B:B,C676,'Weekly Dump'!A:A,AB676)</f>
        <v>0</v>
      </c>
      <c r="U676" s="3">
        <f t="shared" si="21"/>
        <v>0</v>
      </c>
      <c r="V676" s="42"/>
      <c r="X676" s="4">
        <f>SUMIFS('Weekly Dump'!P:P,'Weekly Dump'!B:B,C676,'Weekly Dump'!A:A,AB676)</f>
        <v>0</v>
      </c>
      <c r="Y676" s="4">
        <f t="shared" si="22"/>
        <v>0</v>
      </c>
      <c r="Z676" s="41"/>
      <c r="AA676" s="12" t="str">
        <f>iferror(IF(VLOOKUP(C676,'Weekly Dump'!B:B,1,0)=C676,"Yes","Missing"),"")</f>
        <v/>
      </c>
      <c r="AB676" s="66"/>
    </row>
    <row r="677">
      <c r="B677" s="63"/>
      <c r="C677" s="63"/>
      <c r="G677" s="3" t="str">
        <f t="shared" si="26"/>
        <v/>
      </c>
      <c r="I677" s="4">
        <f>SUMIFS('Weekly Dump'!D:D,'Weekly Dump'!B:B,C677)</f>
        <v>0</v>
      </c>
      <c r="J677" s="5">
        <f>SUMIFS('Weekly Dump'!AE:AE,'Weekly Dump'!B:B,C677)</f>
        <v>0</v>
      </c>
      <c r="K677" s="4">
        <f>SUMPRODUCT(
  (TEXT('Weekly Dump'!$A$2:$A1009,"mmm-yy")=TEXT($AB677,"mmm-yy"))*
  ('Weekly Dump'!$B$2:$B1009=$C677)*
  'Weekly Dump'!$D$2:$D1009)</f>
        <v>0</v>
      </c>
      <c r="L677" s="4">
        <f>SUMPRODUCT(
  (TEXT('Weekly Dump'!$A$2:$A1009,"mmm-yy")=TEXT($AB677,"mmm-yy"))*
  ('Weekly Dump'!$B$2:$B1009=$C677)*
  'Weekly Dump'!$E$2:$E1009
)</f>
        <v>0</v>
      </c>
      <c r="M677" s="4">
        <f>SUMPRODUCT(
  (TEXT('Weekly Dump'!$A$2:$A1009,"mmm-yy")=TEXT($AB677,"mmm-yy"))*
  ('Weekly Dump'!$B$2:$B1009=$C677)*
  'Weekly Dump'!$P$2:$P1009
)</f>
        <v>0</v>
      </c>
      <c r="N677" s="39"/>
      <c r="O677" s="40">
        <f>SUMIFS('Weekly Dump'!$D:$D,'Weekly Dump'!$B:$B,$C677,'Weekly Dump'!$A:$A,$AB677)</f>
        <v>0</v>
      </c>
      <c r="P677" s="40">
        <f>SUMIFS('Weekly Dump'!R:R,'Weekly Dump'!B:B,C677,'Weekly Dump'!A:A,AB677)</f>
        <v>0</v>
      </c>
      <c r="Q677" s="40">
        <f t="shared" si="20"/>
        <v>0</v>
      </c>
      <c r="R677" s="41"/>
      <c r="T677" s="4">
        <f>SUMIFS('Weekly Dump'!E:E,'Weekly Dump'!B:B,C677,'Weekly Dump'!A:A,AB677)</f>
        <v>0</v>
      </c>
      <c r="U677" s="3">
        <f t="shared" si="21"/>
        <v>0</v>
      </c>
      <c r="V677" s="42"/>
      <c r="X677" s="4">
        <f>SUMIFS('Weekly Dump'!P:P,'Weekly Dump'!B:B,C677,'Weekly Dump'!A:A,AB677)</f>
        <v>0</v>
      </c>
      <c r="Y677" s="4">
        <f t="shared" si="22"/>
        <v>0</v>
      </c>
      <c r="Z677" s="41"/>
      <c r="AA677" s="12" t="str">
        <f>iferror(IF(VLOOKUP(C677,'Weekly Dump'!B:B,1,0)=C677,"Yes","Missing"),"")</f>
        <v/>
      </c>
      <c r="AB677" s="66"/>
    </row>
    <row r="678">
      <c r="B678" s="63"/>
      <c r="C678" s="63"/>
      <c r="G678" s="3" t="str">
        <f t="shared" si="26"/>
        <v/>
      </c>
      <c r="I678" s="4">
        <f>SUMIFS('Weekly Dump'!D:D,'Weekly Dump'!B:B,C678)</f>
        <v>0</v>
      </c>
      <c r="J678" s="5">
        <f>SUMIFS('Weekly Dump'!AE:AE,'Weekly Dump'!B:B,C678)</f>
        <v>0</v>
      </c>
      <c r="K678" s="4">
        <f>SUMPRODUCT(
  (TEXT('Weekly Dump'!$A$2:$A1009,"mmm-yy")=TEXT($AB678,"mmm-yy"))*
  ('Weekly Dump'!$B$2:$B1009=$C678)*
  'Weekly Dump'!$D$2:$D1009)</f>
        <v>0</v>
      </c>
      <c r="L678" s="4">
        <f>SUMPRODUCT(
  (TEXT('Weekly Dump'!$A$2:$A1009,"mmm-yy")=TEXT($AB678,"mmm-yy"))*
  ('Weekly Dump'!$B$2:$B1009=$C678)*
  'Weekly Dump'!$E$2:$E1009
)</f>
        <v>0</v>
      </c>
      <c r="M678" s="4">
        <f>SUMPRODUCT(
  (TEXT('Weekly Dump'!$A$2:$A1009,"mmm-yy")=TEXT($AB678,"mmm-yy"))*
  ('Weekly Dump'!$B$2:$B1009=$C678)*
  'Weekly Dump'!$P$2:$P1009
)</f>
        <v>0</v>
      </c>
      <c r="N678" s="39"/>
      <c r="O678" s="40">
        <f>SUMIFS('Weekly Dump'!$D:$D,'Weekly Dump'!$B:$B,$C678,'Weekly Dump'!$A:$A,$AB678)</f>
        <v>0</v>
      </c>
      <c r="P678" s="40">
        <f>SUMIFS('Weekly Dump'!R:R,'Weekly Dump'!B:B,C678,'Weekly Dump'!A:A,AB678)</f>
        <v>0</v>
      </c>
      <c r="Q678" s="40">
        <f t="shared" si="20"/>
        <v>0</v>
      </c>
      <c r="R678" s="41"/>
      <c r="T678" s="4">
        <f>SUMIFS('Weekly Dump'!E:E,'Weekly Dump'!B:B,C678,'Weekly Dump'!A:A,AB678)</f>
        <v>0</v>
      </c>
      <c r="U678" s="3">
        <f t="shared" si="21"/>
        <v>0</v>
      </c>
      <c r="V678" s="42"/>
      <c r="X678" s="4">
        <f>SUMIFS('Weekly Dump'!P:P,'Weekly Dump'!B:B,C678,'Weekly Dump'!A:A,AB678)</f>
        <v>0</v>
      </c>
      <c r="Y678" s="4">
        <f t="shared" si="22"/>
        <v>0</v>
      </c>
      <c r="Z678" s="41"/>
      <c r="AA678" s="12" t="str">
        <f>iferror(IF(VLOOKUP(C678,'Weekly Dump'!B:B,1,0)=C678,"Yes","Missing"),"")</f>
        <v/>
      </c>
      <c r="AB678" s="66"/>
    </row>
    <row r="679">
      <c r="B679" s="63"/>
      <c r="C679" s="63"/>
      <c r="G679" s="3" t="str">
        <f t="shared" si="26"/>
        <v/>
      </c>
      <c r="I679" s="4">
        <f>SUMIFS('Weekly Dump'!D:D,'Weekly Dump'!B:B,C679)</f>
        <v>0</v>
      </c>
      <c r="J679" s="5">
        <f>SUMIFS('Weekly Dump'!AE:AE,'Weekly Dump'!B:B,C679)</f>
        <v>0</v>
      </c>
      <c r="K679" s="4">
        <f>SUMPRODUCT(
  (TEXT('Weekly Dump'!$A$2:$A1009,"mmm-yy")=TEXT($AB679,"mmm-yy"))*
  ('Weekly Dump'!$B$2:$B1009=$C679)*
  'Weekly Dump'!$D$2:$D1009)</f>
        <v>0</v>
      </c>
      <c r="L679" s="4">
        <f>SUMPRODUCT(
  (TEXT('Weekly Dump'!$A$2:$A1009,"mmm-yy")=TEXT($AB679,"mmm-yy"))*
  ('Weekly Dump'!$B$2:$B1009=$C679)*
  'Weekly Dump'!$E$2:$E1009
)</f>
        <v>0</v>
      </c>
      <c r="M679" s="4">
        <f>SUMPRODUCT(
  (TEXT('Weekly Dump'!$A$2:$A1009,"mmm-yy")=TEXT($AB679,"mmm-yy"))*
  ('Weekly Dump'!$B$2:$B1009=$C679)*
  'Weekly Dump'!$P$2:$P1009
)</f>
        <v>0</v>
      </c>
      <c r="N679" s="39"/>
      <c r="O679" s="40">
        <f>SUMIFS('Weekly Dump'!$D:$D,'Weekly Dump'!$B:$B,$C679,'Weekly Dump'!$A:$A,$AB679)</f>
        <v>0</v>
      </c>
      <c r="P679" s="40">
        <f>SUMIFS('Weekly Dump'!R:R,'Weekly Dump'!B:B,C679,'Weekly Dump'!A:A,AB679)</f>
        <v>0</v>
      </c>
      <c r="Q679" s="40">
        <f t="shared" si="20"/>
        <v>0</v>
      </c>
      <c r="R679" s="41"/>
      <c r="T679" s="4">
        <f>SUMIFS('Weekly Dump'!E:E,'Weekly Dump'!B:B,C679,'Weekly Dump'!A:A,AB679)</f>
        <v>0</v>
      </c>
      <c r="U679" s="3">
        <f t="shared" si="21"/>
        <v>0</v>
      </c>
      <c r="V679" s="42"/>
      <c r="X679" s="4">
        <f>SUMIFS('Weekly Dump'!P:P,'Weekly Dump'!B:B,C679,'Weekly Dump'!A:A,AB679)</f>
        <v>0</v>
      </c>
      <c r="Y679" s="4">
        <f t="shared" si="22"/>
        <v>0</v>
      </c>
      <c r="Z679" s="41"/>
      <c r="AA679" s="12" t="str">
        <f>iferror(IF(VLOOKUP(C679,'Weekly Dump'!B:B,1,0)=C679,"Yes","Missing"),"")</f>
        <v/>
      </c>
      <c r="AB679" s="66"/>
    </row>
    <row r="680">
      <c r="B680" s="63"/>
      <c r="C680" s="63"/>
      <c r="G680" s="3" t="str">
        <f t="shared" si="26"/>
        <v/>
      </c>
      <c r="I680" s="4">
        <f>SUMIFS('Weekly Dump'!D:D,'Weekly Dump'!B:B,C680)</f>
        <v>0</v>
      </c>
      <c r="J680" s="5">
        <f>SUMIFS('Weekly Dump'!AE:AE,'Weekly Dump'!B:B,C680)</f>
        <v>0</v>
      </c>
      <c r="K680" s="4">
        <f>SUMPRODUCT(
  (TEXT('Weekly Dump'!$A$2:$A1009,"mmm-yy")=TEXT($AB680,"mmm-yy"))*
  ('Weekly Dump'!$B$2:$B1009=$C680)*
  'Weekly Dump'!$D$2:$D1009)</f>
        <v>0</v>
      </c>
      <c r="L680" s="4">
        <f>SUMPRODUCT(
  (TEXT('Weekly Dump'!$A$2:$A1009,"mmm-yy")=TEXT($AB680,"mmm-yy"))*
  ('Weekly Dump'!$B$2:$B1009=$C680)*
  'Weekly Dump'!$E$2:$E1009
)</f>
        <v>0</v>
      </c>
      <c r="M680" s="4">
        <f>SUMPRODUCT(
  (TEXT('Weekly Dump'!$A$2:$A1009,"mmm-yy")=TEXT($AB680,"mmm-yy"))*
  ('Weekly Dump'!$B$2:$B1009=$C680)*
  'Weekly Dump'!$P$2:$P1009
)</f>
        <v>0</v>
      </c>
      <c r="N680" s="39"/>
      <c r="O680" s="40">
        <f>SUMIFS('Weekly Dump'!$D:$D,'Weekly Dump'!$B:$B,$C680,'Weekly Dump'!$A:$A,$AB680)</f>
        <v>0</v>
      </c>
      <c r="P680" s="40">
        <f>SUMIFS('Weekly Dump'!R:R,'Weekly Dump'!B:B,C680,'Weekly Dump'!A:A,AB680)</f>
        <v>0</v>
      </c>
      <c r="Q680" s="40">
        <f t="shared" si="20"/>
        <v>0</v>
      </c>
      <c r="R680" s="41"/>
      <c r="T680" s="4">
        <f>SUMIFS('Weekly Dump'!E:E,'Weekly Dump'!B:B,C680,'Weekly Dump'!A:A,AB680)</f>
        <v>0</v>
      </c>
      <c r="U680" s="3">
        <f t="shared" si="21"/>
        <v>0</v>
      </c>
      <c r="V680" s="42"/>
      <c r="X680" s="4">
        <f>SUMIFS('Weekly Dump'!P:P,'Weekly Dump'!B:B,C680,'Weekly Dump'!A:A,AB680)</f>
        <v>0</v>
      </c>
      <c r="Y680" s="4">
        <f t="shared" si="22"/>
        <v>0</v>
      </c>
      <c r="Z680" s="41"/>
      <c r="AA680" s="12" t="str">
        <f>iferror(IF(VLOOKUP(C680,'Weekly Dump'!B:B,1,0)=C680,"Yes","Missing"),"")</f>
        <v/>
      </c>
      <c r="AB680" s="66"/>
    </row>
    <row r="681">
      <c r="B681" s="63"/>
      <c r="C681" s="63"/>
      <c r="G681" s="3" t="str">
        <f t="shared" si="26"/>
        <v/>
      </c>
      <c r="I681" s="4">
        <f>SUMIFS('Weekly Dump'!D:D,'Weekly Dump'!B:B,C681)</f>
        <v>0</v>
      </c>
      <c r="J681" s="5">
        <f>SUMIFS('Weekly Dump'!AE:AE,'Weekly Dump'!B:B,C681)</f>
        <v>0</v>
      </c>
      <c r="K681" s="4">
        <f>SUMPRODUCT(
  (TEXT('Weekly Dump'!$A$2:$A1009,"mmm-yy")=TEXT($AB681,"mmm-yy"))*
  ('Weekly Dump'!$B$2:$B1009=$C681)*
  'Weekly Dump'!$D$2:$D1009)</f>
        <v>0</v>
      </c>
      <c r="L681" s="4">
        <f>SUMPRODUCT(
  (TEXT('Weekly Dump'!$A$2:$A1009,"mmm-yy")=TEXT($AB681,"mmm-yy"))*
  ('Weekly Dump'!$B$2:$B1009=$C681)*
  'Weekly Dump'!$E$2:$E1009
)</f>
        <v>0</v>
      </c>
      <c r="M681" s="4">
        <f>SUMPRODUCT(
  (TEXT('Weekly Dump'!$A$2:$A1009,"mmm-yy")=TEXT($AB681,"mmm-yy"))*
  ('Weekly Dump'!$B$2:$B1009=$C681)*
  'Weekly Dump'!$P$2:$P1009
)</f>
        <v>0</v>
      </c>
      <c r="N681" s="39"/>
      <c r="O681" s="40">
        <f>SUMIFS('Weekly Dump'!$D:$D,'Weekly Dump'!$B:$B,$C681,'Weekly Dump'!$A:$A,$AB681)</f>
        <v>0</v>
      </c>
      <c r="P681" s="40">
        <f>SUMIFS('Weekly Dump'!R:R,'Weekly Dump'!B:B,C681,'Weekly Dump'!A:A,AB681)</f>
        <v>0</v>
      </c>
      <c r="Q681" s="40">
        <f t="shared" si="20"/>
        <v>0</v>
      </c>
      <c r="R681" s="41"/>
      <c r="T681" s="4">
        <f>SUMIFS('Weekly Dump'!E:E,'Weekly Dump'!B:B,C681,'Weekly Dump'!A:A,AB681)</f>
        <v>0</v>
      </c>
      <c r="U681" s="3">
        <f t="shared" si="21"/>
        <v>0</v>
      </c>
      <c r="V681" s="42"/>
      <c r="X681" s="4">
        <f>SUMIFS('Weekly Dump'!P:P,'Weekly Dump'!B:B,C681,'Weekly Dump'!A:A,AB681)</f>
        <v>0</v>
      </c>
      <c r="Y681" s="4">
        <f t="shared" si="22"/>
        <v>0</v>
      </c>
      <c r="Z681" s="41"/>
      <c r="AA681" s="12" t="str">
        <f>iferror(IF(VLOOKUP(C681,'Weekly Dump'!B:B,1,0)=C681,"Yes","Missing"),"")</f>
        <v/>
      </c>
      <c r="AB681" s="66"/>
    </row>
    <row r="682">
      <c r="B682" s="63"/>
      <c r="C682" s="63"/>
      <c r="G682" s="3" t="str">
        <f t="shared" si="26"/>
        <v/>
      </c>
      <c r="I682" s="4">
        <f>SUMIFS('Weekly Dump'!D:D,'Weekly Dump'!B:B,C682)</f>
        <v>0</v>
      </c>
      <c r="J682" s="5">
        <f>SUMIFS('Weekly Dump'!AE:AE,'Weekly Dump'!B:B,C682)</f>
        <v>0</v>
      </c>
      <c r="K682" s="4">
        <f>SUMPRODUCT(
  (TEXT('Weekly Dump'!$A$2:$A1009,"mmm-yy")=TEXT($AB682,"mmm-yy"))*
  ('Weekly Dump'!$B$2:$B1009=$C682)*
  'Weekly Dump'!$D$2:$D1009)</f>
        <v>0</v>
      </c>
      <c r="L682" s="4">
        <f>SUMPRODUCT(
  (TEXT('Weekly Dump'!$A$2:$A1009,"mmm-yy")=TEXT($AB682,"mmm-yy"))*
  ('Weekly Dump'!$B$2:$B1009=$C682)*
  'Weekly Dump'!$E$2:$E1009
)</f>
        <v>0</v>
      </c>
      <c r="M682" s="4">
        <f>SUMPRODUCT(
  (TEXT('Weekly Dump'!$A$2:$A1009,"mmm-yy")=TEXT($AB682,"mmm-yy"))*
  ('Weekly Dump'!$B$2:$B1009=$C682)*
  'Weekly Dump'!$P$2:$P1009
)</f>
        <v>0</v>
      </c>
      <c r="N682" s="39"/>
      <c r="O682" s="40">
        <f>SUMIFS('Weekly Dump'!$D:$D,'Weekly Dump'!$B:$B,$C682,'Weekly Dump'!$A:$A,$AB682)</f>
        <v>0</v>
      </c>
      <c r="P682" s="40">
        <f>SUMIFS('Weekly Dump'!R:R,'Weekly Dump'!B:B,C682,'Weekly Dump'!A:A,AB682)</f>
        <v>0</v>
      </c>
      <c r="Q682" s="40">
        <f t="shared" si="20"/>
        <v>0</v>
      </c>
      <c r="R682" s="41"/>
      <c r="T682" s="4">
        <f>SUMIFS('Weekly Dump'!E:E,'Weekly Dump'!B:B,C682,'Weekly Dump'!A:A,AB682)</f>
        <v>0</v>
      </c>
      <c r="U682" s="3">
        <f t="shared" si="21"/>
        <v>0</v>
      </c>
      <c r="V682" s="42"/>
      <c r="X682" s="4">
        <f>SUMIFS('Weekly Dump'!P:P,'Weekly Dump'!B:B,C682,'Weekly Dump'!A:A,AB682)</f>
        <v>0</v>
      </c>
      <c r="Y682" s="4">
        <f t="shared" si="22"/>
        <v>0</v>
      </c>
      <c r="Z682" s="41"/>
      <c r="AA682" s="12" t="str">
        <f>iferror(IF(VLOOKUP(C682,'Weekly Dump'!B:B,1,0)=C682,"Yes","Missing"),"")</f>
        <v/>
      </c>
      <c r="AB682" s="66"/>
    </row>
    <row r="683">
      <c r="B683" s="63"/>
      <c r="C683" s="63"/>
      <c r="G683" s="3" t="str">
        <f t="shared" si="26"/>
        <v/>
      </c>
      <c r="I683" s="4">
        <f>SUMIFS('Weekly Dump'!D:D,'Weekly Dump'!B:B,C683)</f>
        <v>0</v>
      </c>
      <c r="J683" s="5">
        <f>SUMIFS('Weekly Dump'!AE:AE,'Weekly Dump'!B:B,C683)</f>
        <v>0</v>
      </c>
      <c r="K683" s="4">
        <f>SUMPRODUCT(
  (TEXT('Weekly Dump'!$A$2:$A1009,"mmm-yy")=TEXT($AB683,"mmm-yy"))*
  ('Weekly Dump'!$B$2:$B1009=$C683)*
  'Weekly Dump'!$D$2:$D1009)</f>
        <v>0</v>
      </c>
      <c r="L683" s="4">
        <f>SUMPRODUCT(
  (TEXT('Weekly Dump'!$A$2:$A1009,"mmm-yy")=TEXT($AB683,"mmm-yy"))*
  ('Weekly Dump'!$B$2:$B1009=$C683)*
  'Weekly Dump'!$E$2:$E1009
)</f>
        <v>0</v>
      </c>
      <c r="M683" s="4">
        <f>SUMPRODUCT(
  (TEXT('Weekly Dump'!$A$2:$A1009,"mmm-yy")=TEXT($AB683,"mmm-yy"))*
  ('Weekly Dump'!$B$2:$B1009=$C683)*
  'Weekly Dump'!$P$2:$P1009
)</f>
        <v>0</v>
      </c>
      <c r="N683" s="39"/>
      <c r="O683" s="40">
        <f>SUMIFS('Weekly Dump'!$D:$D,'Weekly Dump'!$B:$B,$C683,'Weekly Dump'!$A:$A,$AB683)</f>
        <v>0</v>
      </c>
      <c r="P683" s="40">
        <f>SUMIFS('Weekly Dump'!R:R,'Weekly Dump'!B:B,C683,'Weekly Dump'!A:A,AB683)</f>
        <v>0</v>
      </c>
      <c r="Q683" s="40">
        <f t="shared" si="20"/>
        <v>0</v>
      </c>
      <c r="R683" s="41"/>
      <c r="T683" s="4">
        <f>SUMIFS('Weekly Dump'!E:E,'Weekly Dump'!B:B,C683,'Weekly Dump'!A:A,AB683)</f>
        <v>0</v>
      </c>
      <c r="U683" s="3">
        <f t="shared" si="21"/>
        <v>0</v>
      </c>
      <c r="V683" s="42"/>
      <c r="X683" s="4">
        <f>SUMIFS('Weekly Dump'!P:P,'Weekly Dump'!B:B,C683,'Weekly Dump'!A:A,AB683)</f>
        <v>0</v>
      </c>
      <c r="Y683" s="4">
        <f t="shared" si="22"/>
        <v>0</v>
      </c>
      <c r="Z683" s="41"/>
      <c r="AA683" s="12" t="str">
        <f>iferror(IF(VLOOKUP(C683,'Weekly Dump'!B:B,1,0)=C683,"Yes","Missing"),"")</f>
        <v/>
      </c>
      <c r="AB683" s="66"/>
    </row>
    <row r="684">
      <c r="B684" s="63"/>
      <c r="C684" s="63"/>
      <c r="G684" s="3" t="str">
        <f t="shared" si="26"/>
        <v/>
      </c>
      <c r="I684" s="4">
        <f>SUMIFS('Weekly Dump'!D:D,'Weekly Dump'!B:B,C684)</f>
        <v>0</v>
      </c>
      <c r="J684" s="5">
        <f>SUMIFS('Weekly Dump'!AE:AE,'Weekly Dump'!B:B,C684)</f>
        <v>0</v>
      </c>
      <c r="K684" s="4">
        <f>SUMPRODUCT(
  (TEXT('Weekly Dump'!$A$2:$A1009,"mmm-yy")=TEXT($AB684,"mmm-yy"))*
  ('Weekly Dump'!$B$2:$B1009=$C684)*
  'Weekly Dump'!$D$2:$D1009)</f>
        <v>0</v>
      </c>
      <c r="L684" s="4">
        <f>SUMPRODUCT(
  (TEXT('Weekly Dump'!$A$2:$A1009,"mmm-yy")=TEXT($AB684,"mmm-yy"))*
  ('Weekly Dump'!$B$2:$B1009=$C684)*
  'Weekly Dump'!$E$2:$E1009
)</f>
        <v>0</v>
      </c>
      <c r="M684" s="4">
        <f>SUMPRODUCT(
  (TEXT('Weekly Dump'!$A$2:$A1009,"mmm-yy")=TEXT($AB684,"mmm-yy"))*
  ('Weekly Dump'!$B$2:$B1009=$C684)*
  'Weekly Dump'!$P$2:$P1009
)</f>
        <v>0</v>
      </c>
      <c r="N684" s="39"/>
      <c r="O684" s="40">
        <f>SUMIFS('Weekly Dump'!$D:$D,'Weekly Dump'!$B:$B,$C684,'Weekly Dump'!$A:$A,$AB684)</f>
        <v>0</v>
      </c>
      <c r="P684" s="40">
        <f>SUMIFS('Weekly Dump'!R:R,'Weekly Dump'!B:B,C684,'Weekly Dump'!A:A,AB684)</f>
        <v>0</v>
      </c>
      <c r="Q684" s="40">
        <f t="shared" si="20"/>
        <v>0</v>
      </c>
      <c r="R684" s="41"/>
      <c r="T684" s="4">
        <f>SUMIFS('Weekly Dump'!E:E,'Weekly Dump'!B:B,C684,'Weekly Dump'!A:A,AB684)</f>
        <v>0</v>
      </c>
      <c r="U684" s="3">
        <f t="shared" si="21"/>
        <v>0</v>
      </c>
      <c r="V684" s="42"/>
      <c r="X684" s="4">
        <f>SUMIFS('Weekly Dump'!P:P,'Weekly Dump'!B:B,C684,'Weekly Dump'!A:A,AB684)</f>
        <v>0</v>
      </c>
      <c r="Y684" s="4">
        <f t="shared" si="22"/>
        <v>0</v>
      </c>
      <c r="Z684" s="41"/>
      <c r="AA684" s="12" t="str">
        <f>iferror(IF(VLOOKUP(C684,'Weekly Dump'!B:B,1,0)=C684,"Yes","Missing"),"")</f>
        <v/>
      </c>
      <c r="AB684" s="66"/>
    </row>
    <row r="685">
      <c r="B685" s="63"/>
      <c r="C685" s="63"/>
      <c r="G685" s="3" t="str">
        <f t="shared" si="26"/>
        <v/>
      </c>
      <c r="I685" s="4">
        <f>SUMIFS('Weekly Dump'!D:D,'Weekly Dump'!B:B,C685)</f>
        <v>0</v>
      </c>
      <c r="J685" s="5">
        <f>SUMIFS('Weekly Dump'!AE:AE,'Weekly Dump'!B:B,C685)</f>
        <v>0</v>
      </c>
      <c r="K685" s="4">
        <f>SUMPRODUCT(
  (TEXT('Weekly Dump'!$A$2:$A1009,"mmm-yy")=TEXT($AB685,"mmm-yy"))*
  ('Weekly Dump'!$B$2:$B1009=$C685)*
  'Weekly Dump'!$D$2:$D1009)</f>
        <v>0</v>
      </c>
      <c r="L685" s="4">
        <f>SUMPRODUCT(
  (TEXT('Weekly Dump'!$A$2:$A1009,"mmm-yy")=TEXT($AB685,"mmm-yy"))*
  ('Weekly Dump'!$B$2:$B1009=$C685)*
  'Weekly Dump'!$E$2:$E1009
)</f>
        <v>0</v>
      </c>
      <c r="M685" s="4">
        <f>SUMPRODUCT(
  (TEXT('Weekly Dump'!$A$2:$A1009,"mmm-yy")=TEXT($AB685,"mmm-yy"))*
  ('Weekly Dump'!$B$2:$B1009=$C685)*
  'Weekly Dump'!$P$2:$P1009
)</f>
        <v>0</v>
      </c>
      <c r="N685" s="39"/>
      <c r="O685" s="40">
        <f>SUMIFS('Weekly Dump'!$D:$D,'Weekly Dump'!$B:$B,$C685,'Weekly Dump'!$A:$A,$AB685)</f>
        <v>0</v>
      </c>
      <c r="P685" s="40">
        <f>SUMIFS('Weekly Dump'!R:R,'Weekly Dump'!B:B,C685,'Weekly Dump'!A:A,AB685)</f>
        <v>0</v>
      </c>
      <c r="Q685" s="40">
        <f t="shared" si="20"/>
        <v>0</v>
      </c>
      <c r="R685" s="41"/>
      <c r="T685" s="4">
        <f>SUMIFS('Weekly Dump'!E:E,'Weekly Dump'!B:B,C685,'Weekly Dump'!A:A,AB685)</f>
        <v>0</v>
      </c>
      <c r="U685" s="3">
        <f t="shared" si="21"/>
        <v>0</v>
      </c>
      <c r="V685" s="42"/>
      <c r="X685" s="4">
        <f>SUMIFS('Weekly Dump'!P:P,'Weekly Dump'!B:B,C685,'Weekly Dump'!A:A,AB685)</f>
        <v>0</v>
      </c>
      <c r="Y685" s="4">
        <f t="shared" si="22"/>
        <v>0</v>
      </c>
      <c r="Z685" s="41"/>
      <c r="AA685" s="12" t="str">
        <f>iferror(IF(VLOOKUP(C685,'Weekly Dump'!B:B,1,0)=C685,"Yes","Missing"),"")</f>
        <v/>
      </c>
      <c r="AB685" s="66"/>
    </row>
    <row r="686">
      <c r="B686" s="63"/>
      <c r="C686" s="63"/>
      <c r="G686" s="3" t="str">
        <f t="shared" si="26"/>
        <v/>
      </c>
      <c r="I686" s="4">
        <f>SUMIFS('Weekly Dump'!D:D,'Weekly Dump'!B:B,C686)</f>
        <v>0</v>
      </c>
      <c r="J686" s="5">
        <f>SUMIFS('Weekly Dump'!AE:AE,'Weekly Dump'!B:B,C686)</f>
        <v>0</v>
      </c>
      <c r="K686" s="4">
        <f>SUMPRODUCT(
  (TEXT('Weekly Dump'!$A$2:$A1009,"mmm-yy")=TEXT($AB686,"mmm-yy"))*
  ('Weekly Dump'!$B$2:$B1009=$C686)*
  'Weekly Dump'!$D$2:$D1009)</f>
        <v>0</v>
      </c>
      <c r="L686" s="4">
        <f>SUMPRODUCT(
  (TEXT('Weekly Dump'!$A$2:$A1009,"mmm-yy")=TEXT($AB686,"mmm-yy"))*
  ('Weekly Dump'!$B$2:$B1009=$C686)*
  'Weekly Dump'!$E$2:$E1009
)</f>
        <v>0</v>
      </c>
      <c r="M686" s="4">
        <f>SUMPRODUCT(
  (TEXT('Weekly Dump'!$A$2:$A1009,"mmm-yy")=TEXT($AB686,"mmm-yy"))*
  ('Weekly Dump'!$B$2:$B1009=$C686)*
  'Weekly Dump'!$P$2:$P1009
)</f>
        <v>0</v>
      </c>
      <c r="N686" s="39"/>
      <c r="O686" s="40">
        <f>SUMIFS('Weekly Dump'!$D:$D,'Weekly Dump'!$B:$B,$C686,'Weekly Dump'!$A:$A,$AB686)</f>
        <v>0</v>
      </c>
      <c r="P686" s="40">
        <f>SUMIFS('Weekly Dump'!R:R,'Weekly Dump'!B:B,C686,'Weekly Dump'!A:A,AB686)</f>
        <v>0</v>
      </c>
      <c r="Q686" s="40">
        <f t="shared" si="20"/>
        <v>0</v>
      </c>
      <c r="R686" s="41"/>
      <c r="T686" s="4">
        <f>SUMIFS('Weekly Dump'!E:E,'Weekly Dump'!B:B,C686,'Weekly Dump'!A:A,AB686)</f>
        <v>0</v>
      </c>
      <c r="U686" s="3">
        <f t="shared" si="21"/>
        <v>0</v>
      </c>
      <c r="V686" s="42"/>
      <c r="X686" s="4">
        <f>SUMIFS('Weekly Dump'!P:P,'Weekly Dump'!B:B,C686,'Weekly Dump'!A:A,AB686)</f>
        <v>0</v>
      </c>
      <c r="Y686" s="4">
        <f t="shared" si="22"/>
        <v>0</v>
      </c>
      <c r="Z686" s="41"/>
      <c r="AA686" s="12" t="str">
        <f>iferror(IF(VLOOKUP(C686,'Weekly Dump'!B:B,1,0)=C686,"Yes","Missing"),"")</f>
        <v/>
      </c>
      <c r="AB686" s="66"/>
    </row>
    <row r="687">
      <c r="B687" s="63"/>
      <c r="C687" s="63"/>
      <c r="G687" s="3" t="str">
        <f t="shared" si="26"/>
        <v/>
      </c>
      <c r="I687" s="4">
        <f>SUMIFS('Weekly Dump'!D:D,'Weekly Dump'!B:B,C687)</f>
        <v>0</v>
      </c>
      <c r="J687" s="5">
        <f>SUMIFS('Weekly Dump'!AE:AE,'Weekly Dump'!B:B,C687)</f>
        <v>0</v>
      </c>
      <c r="K687" s="4">
        <f>SUMPRODUCT(
  (TEXT('Weekly Dump'!$A$2:$A1009,"mmm-yy")=TEXT($AB687,"mmm-yy"))*
  ('Weekly Dump'!$B$2:$B1009=$C687)*
  'Weekly Dump'!$D$2:$D1009)</f>
        <v>0</v>
      </c>
      <c r="L687" s="4">
        <f>SUMPRODUCT(
  (TEXT('Weekly Dump'!$A$2:$A1009,"mmm-yy")=TEXT($AB687,"mmm-yy"))*
  ('Weekly Dump'!$B$2:$B1009=$C687)*
  'Weekly Dump'!$E$2:$E1009
)</f>
        <v>0</v>
      </c>
      <c r="M687" s="4">
        <f>SUMPRODUCT(
  (TEXT('Weekly Dump'!$A$2:$A1009,"mmm-yy")=TEXT($AB687,"mmm-yy"))*
  ('Weekly Dump'!$B$2:$B1009=$C687)*
  'Weekly Dump'!$P$2:$P1009
)</f>
        <v>0</v>
      </c>
      <c r="N687" s="39"/>
      <c r="O687" s="40">
        <f>SUMIFS('Weekly Dump'!$D:$D,'Weekly Dump'!$B:$B,$C687,'Weekly Dump'!$A:$A,$AB687)</f>
        <v>0</v>
      </c>
      <c r="P687" s="40">
        <f>SUMIFS('Weekly Dump'!R:R,'Weekly Dump'!B:B,C687,'Weekly Dump'!A:A,AB687)</f>
        <v>0</v>
      </c>
      <c r="Q687" s="40">
        <f t="shared" si="20"/>
        <v>0</v>
      </c>
      <c r="R687" s="41"/>
      <c r="T687" s="4">
        <f>SUMIFS('Weekly Dump'!E:E,'Weekly Dump'!B:B,C687,'Weekly Dump'!A:A,AB687)</f>
        <v>0</v>
      </c>
      <c r="U687" s="3">
        <f t="shared" si="21"/>
        <v>0</v>
      </c>
      <c r="V687" s="42"/>
      <c r="X687" s="4">
        <f>SUMIFS('Weekly Dump'!P:P,'Weekly Dump'!B:B,C687,'Weekly Dump'!A:A,AB687)</f>
        <v>0</v>
      </c>
      <c r="Y687" s="4">
        <f t="shared" si="22"/>
        <v>0</v>
      </c>
      <c r="Z687" s="41"/>
      <c r="AA687" s="12" t="str">
        <f>iferror(IF(VLOOKUP(C687,'Weekly Dump'!B:B,1,0)=C687,"Yes","Missing"),"")</f>
        <v/>
      </c>
      <c r="AB687" s="66"/>
    </row>
    <row r="688">
      <c r="B688" s="63"/>
      <c r="C688" s="63"/>
      <c r="G688" s="3" t="str">
        <f t="shared" si="26"/>
        <v/>
      </c>
      <c r="I688" s="4">
        <f>SUMIFS('Weekly Dump'!D:D,'Weekly Dump'!B:B,C688)</f>
        <v>0</v>
      </c>
      <c r="J688" s="5">
        <f>SUMIFS('Weekly Dump'!AE:AE,'Weekly Dump'!B:B,C688)</f>
        <v>0</v>
      </c>
      <c r="K688" s="4">
        <f>SUMPRODUCT(
  (TEXT('Weekly Dump'!$A$2:$A1009,"mmm-yy")=TEXT($AB688,"mmm-yy"))*
  ('Weekly Dump'!$B$2:$B1009=$C688)*
  'Weekly Dump'!$D$2:$D1009)</f>
        <v>0</v>
      </c>
      <c r="L688" s="4">
        <f>SUMPRODUCT(
  (TEXT('Weekly Dump'!$A$2:$A1009,"mmm-yy")=TEXT($AB688,"mmm-yy"))*
  ('Weekly Dump'!$B$2:$B1009=$C688)*
  'Weekly Dump'!$E$2:$E1009
)</f>
        <v>0</v>
      </c>
      <c r="M688" s="4">
        <f>SUMPRODUCT(
  (TEXT('Weekly Dump'!$A$2:$A1009,"mmm-yy")=TEXT($AB688,"mmm-yy"))*
  ('Weekly Dump'!$B$2:$B1009=$C688)*
  'Weekly Dump'!$P$2:$P1009
)</f>
        <v>0</v>
      </c>
      <c r="N688" s="39"/>
      <c r="O688" s="40">
        <f>SUMIFS('Weekly Dump'!$D:$D,'Weekly Dump'!$B:$B,$C688,'Weekly Dump'!$A:$A,$AB688)</f>
        <v>0</v>
      </c>
      <c r="P688" s="40">
        <f>SUMIFS('Weekly Dump'!R:R,'Weekly Dump'!B:B,C688,'Weekly Dump'!A:A,AB688)</f>
        <v>0</v>
      </c>
      <c r="Q688" s="40">
        <f t="shared" si="20"/>
        <v>0</v>
      </c>
      <c r="R688" s="41"/>
      <c r="T688" s="4">
        <f>SUMIFS('Weekly Dump'!E:E,'Weekly Dump'!B:B,C688,'Weekly Dump'!A:A,AB688)</f>
        <v>0</v>
      </c>
      <c r="U688" s="3">
        <f t="shared" si="21"/>
        <v>0</v>
      </c>
      <c r="V688" s="42"/>
      <c r="X688" s="4">
        <f>SUMIFS('Weekly Dump'!P:P,'Weekly Dump'!B:B,C688,'Weekly Dump'!A:A,AB688)</f>
        <v>0</v>
      </c>
      <c r="Y688" s="4">
        <f t="shared" si="22"/>
        <v>0</v>
      </c>
      <c r="Z688" s="41"/>
      <c r="AA688" s="12" t="str">
        <f>iferror(IF(VLOOKUP(C688,'Weekly Dump'!B:B,1,0)=C688,"Yes","Missing"),"")</f>
        <v/>
      </c>
      <c r="AB688" s="66"/>
    </row>
    <row r="689">
      <c r="B689" s="63"/>
      <c r="C689" s="63"/>
      <c r="G689" s="3" t="str">
        <f t="shared" si="26"/>
        <v/>
      </c>
      <c r="I689" s="4">
        <f>SUMIFS('Weekly Dump'!D:D,'Weekly Dump'!B:B,C689)</f>
        <v>0</v>
      </c>
      <c r="J689" s="5">
        <f>SUMIFS('Weekly Dump'!AE:AE,'Weekly Dump'!B:B,C689)</f>
        <v>0</v>
      </c>
      <c r="K689" s="4">
        <f>SUMPRODUCT(
  (TEXT('Weekly Dump'!$A$2:$A1009,"mmm-yy")=TEXT($AB689,"mmm-yy"))*
  ('Weekly Dump'!$B$2:$B1009=$C689)*
  'Weekly Dump'!$D$2:$D1009)</f>
        <v>0</v>
      </c>
      <c r="L689" s="4">
        <f>SUMPRODUCT(
  (TEXT('Weekly Dump'!$A$2:$A1009,"mmm-yy")=TEXT($AB689,"mmm-yy"))*
  ('Weekly Dump'!$B$2:$B1009=$C689)*
  'Weekly Dump'!$E$2:$E1009
)</f>
        <v>0</v>
      </c>
      <c r="M689" s="4">
        <f>SUMPRODUCT(
  (TEXT('Weekly Dump'!$A$2:$A1009,"mmm-yy")=TEXT($AB689,"mmm-yy"))*
  ('Weekly Dump'!$B$2:$B1009=$C689)*
  'Weekly Dump'!$P$2:$P1009
)</f>
        <v>0</v>
      </c>
      <c r="N689" s="39"/>
      <c r="O689" s="40">
        <f>SUMIFS('Weekly Dump'!$D:$D,'Weekly Dump'!$B:$B,$C689,'Weekly Dump'!$A:$A,$AB689)</f>
        <v>0</v>
      </c>
      <c r="P689" s="40">
        <f>SUMIFS('Weekly Dump'!R:R,'Weekly Dump'!B:B,C689,'Weekly Dump'!A:A,AB689)</f>
        <v>0</v>
      </c>
      <c r="Q689" s="40">
        <f t="shared" si="20"/>
        <v>0</v>
      </c>
      <c r="R689" s="41"/>
      <c r="T689" s="4">
        <f>SUMIFS('Weekly Dump'!E:E,'Weekly Dump'!B:B,C689,'Weekly Dump'!A:A,AB689)</f>
        <v>0</v>
      </c>
      <c r="U689" s="3">
        <f t="shared" si="21"/>
        <v>0</v>
      </c>
      <c r="V689" s="42"/>
      <c r="X689" s="4">
        <f>SUMIFS('Weekly Dump'!P:P,'Weekly Dump'!B:B,C689,'Weekly Dump'!A:A,AB689)</f>
        <v>0</v>
      </c>
      <c r="Y689" s="4">
        <f t="shared" si="22"/>
        <v>0</v>
      </c>
      <c r="Z689" s="41"/>
      <c r="AA689" s="12" t="str">
        <f>iferror(IF(VLOOKUP(C689,'Weekly Dump'!B:B,1,0)=C689,"Yes","Missing"),"")</f>
        <v/>
      </c>
      <c r="AB689" s="66"/>
    </row>
    <row r="690">
      <c r="B690" s="63"/>
      <c r="C690" s="63"/>
      <c r="G690" s="3" t="str">
        <f t="shared" si="26"/>
        <v/>
      </c>
      <c r="I690" s="4">
        <f>SUMIFS('Weekly Dump'!D:D,'Weekly Dump'!B:B,C690)</f>
        <v>0</v>
      </c>
      <c r="J690" s="5">
        <f>SUMIFS('Weekly Dump'!AE:AE,'Weekly Dump'!B:B,C690)</f>
        <v>0</v>
      </c>
      <c r="K690" s="4">
        <f>SUMPRODUCT(
  (TEXT('Weekly Dump'!$A$2:$A1009,"mmm-yy")=TEXT($AB690,"mmm-yy"))*
  ('Weekly Dump'!$B$2:$B1009=$C690)*
  'Weekly Dump'!$D$2:$D1009)</f>
        <v>0</v>
      </c>
      <c r="L690" s="4">
        <f>SUMPRODUCT(
  (TEXT('Weekly Dump'!$A$2:$A1009,"mmm-yy")=TEXT($AB690,"mmm-yy"))*
  ('Weekly Dump'!$B$2:$B1009=$C690)*
  'Weekly Dump'!$E$2:$E1009
)</f>
        <v>0</v>
      </c>
      <c r="M690" s="4">
        <f>SUMPRODUCT(
  (TEXT('Weekly Dump'!$A$2:$A1009,"mmm-yy")=TEXT($AB690,"mmm-yy"))*
  ('Weekly Dump'!$B$2:$B1009=$C690)*
  'Weekly Dump'!$P$2:$P1009
)</f>
        <v>0</v>
      </c>
      <c r="N690" s="39"/>
      <c r="O690" s="40">
        <f>SUMIFS('Weekly Dump'!$D:$D,'Weekly Dump'!$B:$B,$C690,'Weekly Dump'!$A:$A,$AB690)</f>
        <v>0</v>
      </c>
      <c r="P690" s="40">
        <f>SUMIFS('Weekly Dump'!R:R,'Weekly Dump'!B:B,C690,'Weekly Dump'!A:A,AB690)</f>
        <v>0</v>
      </c>
      <c r="Q690" s="40">
        <f t="shared" si="20"/>
        <v>0</v>
      </c>
      <c r="R690" s="41"/>
      <c r="T690" s="4">
        <f>SUMIFS('Weekly Dump'!E:E,'Weekly Dump'!B:B,C690,'Weekly Dump'!A:A,AB690)</f>
        <v>0</v>
      </c>
      <c r="U690" s="3">
        <f t="shared" si="21"/>
        <v>0</v>
      </c>
      <c r="V690" s="42"/>
      <c r="X690" s="4">
        <f>SUMIFS('Weekly Dump'!P:P,'Weekly Dump'!B:B,C690,'Weekly Dump'!A:A,AB690)</f>
        <v>0</v>
      </c>
      <c r="Y690" s="4">
        <f t="shared" si="22"/>
        <v>0</v>
      </c>
      <c r="Z690" s="41"/>
      <c r="AA690" s="12" t="str">
        <f>iferror(IF(VLOOKUP(C690,'Weekly Dump'!B:B,1,0)=C690,"Yes","Missing"),"")</f>
        <v/>
      </c>
      <c r="AB690" s="66"/>
    </row>
    <row r="691">
      <c r="B691" s="63"/>
      <c r="C691" s="63"/>
      <c r="G691" s="3" t="str">
        <f t="shared" si="26"/>
        <v/>
      </c>
      <c r="I691" s="4">
        <f>SUMIFS('Weekly Dump'!D:D,'Weekly Dump'!B:B,C691)</f>
        <v>0</v>
      </c>
      <c r="J691" s="5">
        <f>SUMIFS('Weekly Dump'!AE:AE,'Weekly Dump'!B:B,C691)</f>
        <v>0</v>
      </c>
      <c r="K691" s="4">
        <f>SUMPRODUCT(
  (TEXT('Weekly Dump'!$A$2:$A1009,"mmm-yy")=TEXT($AB691,"mmm-yy"))*
  ('Weekly Dump'!$B$2:$B1009=$C691)*
  'Weekly Dump'!$D$2:$D1009)</f>
        <v>0</v>
      </c>
      <c r="L691" s="4">
        <f>SUMPRODUCT(
  (TEXT('Weekly Dump'!$A$2:$A1009,"mmm-yy")=TEXT($AB691,"mmm-yy"))*
  ('Weekly Dump'!$B$2:$B1009=$C691)*
  'Weekly Dump'!$E$2:$E1009
)</f>
        <v>0</v>
      </c>
      <c r="M691" s="4">
        <f>SUMPRODUCT(
  (TEXT('Weekly Dump'!$A$2:$A1009,"mmm-yy")=TEXT($AB691,"mmm-yy"))*
  ('Weekly Dump'!$B$2:$B1009=$C691)*
  'Weekly Dump'!$P$2:$P1009
)</f>
        <v>0</v>
      </c>
      <c r="N691" s="39"/>
      <c r="O691" s="40">
        <f>SUMIFS('Weekly Dump'!$D:$D,'Weekly Dump'!$B:$B,$C691,'Weekly Dump'!$A:$A,$AB691)</f>
        <v>0</v>
      </c>
      <c r="P691" s="40">
        <f>SUMIFS('Weekly Dump'!R:R,'Weekly Dump'!B:B,C691,'Weekly Dump'!A:A,AB691)</f>
        <v>0</v>
      </c>
      <c r="Q691" s="40">
        <f t="shared" si="20"/>
        <v>0</v>
      </c>
      <c r="R691" s="41"/>
      <c r="T691" s="4">
        <f>SUMIFS('Weekly Dump'!E:E,'Weekly Dump'!B:B,C691,'Weekly Dump'!A:A,AB691)</f>
        <v>0</v>
      </c>
      <c r="U691" s="3">
        <f t="shared" si="21"/>
        <v>0</v>
      </c>
      <c r="V691" s="42"/>
      <c r="X691" s="4">
        <f>SUMIFS('Weekly Dump'!P:P,'Weekly Dump'!B:B,C691,'Weekly Dump'!A:A,AB691)</f>
        <v>0</v>
      </c>
      <c r="Y691" s="4">
        <f t="shared" si="22"/>
        <v>0</v>
      </c>
      <c r="Z691" s="41"/>
      <c r="AA691" s="12" t="str">
        <f>iferror(IF(VLOOKUP(C691,'Weekly Dump'!B:B,1,0)=C691,"Yes","Missing"),"")</f>
        <v/>
      </c>
      <c r="AB691" s="66"/>
    </row>
    <row r="692">
      <c r="B692" s="63"/>
      <c r="C692" s="63"/>
      <c r="G692" s="3" t="str">
        <f t="shared" si="26"/>
        <v/>
      </c>
      <c r="I692" s="4">
        <f>SUMIFS('Weekly Dump'!D:D,'Weekly Dump'!B:B,C692)</f>
        <v>0</v>
      </c>
      <c r="J692" s="5">
        <f>SUMIFS('Weekly Dump'!AE:AE,'Weekly Dump'!B:B,C692)</f>
        <v>0</v>
      </c>
      <c r="K692" s="4">
        <f>SUMPRODUCT(
  (TEXT('Weekly Dump'!$A$2:$A1009,"mmm-yy")=TEXT($AB692,"mmm-yy"))*
  ('Weekly Dump'!$B$2:$B1009=$C692)*
  'Weekly Dump'!$D$2:$D1009)</f>
        <v>0</v>
      </c>
      <c r="L692" s="4">
        <f>SUMPRODUCT(
  (TEXT('Weekly Dump'!$A$2:$A1009,"mmm-yy")=TEXT($AB692,"mmm-yy"))*
  ('Weekly Dump'!$B$2:$B1009=$C692)*
  'Weekly Dump'!$E$2:$E1009
)</f>
        <v>0</v>
      </c>
      <c r="M692" s="4">
        <f>SUMPRODUCT(
  (TEXT('Weekly Dump'!$A$2:$A1009,"mmm-yy")=TEXT($AB692,"mmm-yy"))*
  ('Weekly Dump'!$B$2:$B1009=$C692)*
  'Weekly Dump'!$P$2:$P1009
)</f>
        <v>0</v>
      </c>
      <c r="N692" s="39"/>
      <c r="O692" s="40">
        <f>SUMIFS('Weekly Dump'!$D:$D,'Weekly Dump'!$B:$B,$C692,'Weekly Dump'!$A:$A,$AB692)</f>
        <v>0</v>
      </c>
      <c r="P692" s="40">
        <f>SUMIFS('Weekly Dump'!R:R,'Weekly Dump'!B:B,C692,'Weekly Dump'!A:A,AB692)</f>
        <v>0</v>
      </c>
      <c r="Q692" s="40">
        <f t="shared" si="20"/>
        <v>0</v>
      </c>
      <c r="R692" s="41"/>
      <c r="T692" s="4">
        <f>SUMIFS('Weekly Dump'!E:E,'Weekly Dump'!B:B,C692,'Weekly Dump'!A:A,AB692)</f>
        <v>0</v>
      </c>
      <c r="U692" s="3">
        <f t="shared" si="21"/>
        <v>0</v>
      </c>
      <c r="V692" s="42"/>
      <c r="X692" s="4">
        <f>SUMIFS('Weekly Dump'!P:P,'Weekly Dump'!B:B,C692,'Weekly Dump'!A:A,AB692)</f>
        <v>0</v>
      </c>
      <c r="Y692" s="4">
        <f t="shared" si="22"/>
        <v>0</v>
      </c>
      <c r="Z692" s="41"/>
      <c r="AA692" s="12" t="str">
        <f>iferror(IF(VLOOKUP(C692,'Weekly Dump'!B:B,1,0)=C692,"Yes","Missing"),"")</f>
        <v/>
      </c>
      <c r="AB692" s="66"/>
    </row>
    <row r="693">
      <c r="B693" s="63"/>
      <c r="C693" s="63"/>
      <c r="G693" s="3" t="str">
        <f t="shared" si="26"/>
        <v/>
      </c>
      <c r="I693" s="4">
        <f>SUMIFS('Weekly Dump'!D:D,'Weekly Dump'!B:B,C693)</f>
        <v>0</v>
      </c>
      <c r="J693" s="5">
        <f>SUMIFS('Weekly Dump'!AE:AE,'Weekly Dump'!B:B,C693)</f>
        <v>0</v>
      </c>
      <c r="K693" s="4">
        <f>SUMPRODUCT(
  (TEXT('Weekly Dump'!$A$2:$A1009,"mmm-yy")=TEXT($AB693,"mmm-yy"))*
  ('Weekly Dump'!$B$2:$B1009=$C693)*
  'Weekly Dump'!$D$2:$D1009)</f>
        <v>0</v>
      </c>
      <c r="L693" s="4">
        <f>SUMPRODUCT(
  (TEXT('Weekly Dump'!$A$2:$A1009,"mmm-yy")=TEXT($AB693,"mmm-yy"))*
  ('Weekly Dump'!$B$2:$B1009=$C693)*
  'Weekly Dump'!$E$2:$E1009
)</f>
        <v>0</v>
      </c>
      <c r="M693" s="4">
        <f>SUMPRODUCT(
  (TEXT('Weekly Dump'!$A$2:$A1009,"mmm-yy")=TEXT($AB693,"mmm-yy"))*
  ('Weekly Dump'!$B$2:$B1009=$C693)*
  'Weekly Dump'!$P$2:$P1009
)</f>
        <v>0</v>
      </c>
      <c r="N693" s="39"/>
      <c r="O693" s="40">
        <f>SUMIFS('Weekly Dump'!$D:$D,'Weekly Dump'!$B:$B,$C693,'Weekly Dump'!$A:$A,$AB693)</f>
        <v>0</v>
      </c>
      <c r="P693" s="40">
        <f>SUMIFS('Weekly Dump'!R:R,'Weekly Dump'!B:B,C693,'Weekly Dump'!A:A,AB693)</f>
        <v>0</v>
      </c>
      <c r="Q693" s="40">
        <f t="shared" si="20"/>
        <v>0</v>
      </c>
      <c r="R693" s="41"/>
      <c r="T693" s="4">
        <f>SUMIFS('Weekly Dump'!E:E,'Weekly Dump'!B:B,C693,'Weekly Dump'!A:A,AB693)</f>
        <v>0</v>
      </c>
      <c r="U693" s="3">
        <f t="shared" si="21"/>
        <v>0</v>
      </c>
      <c r="V693" s="42"/>
      <c r="X693" s="4">
        <f>SUMIFS('Weekly Dump'!P:P,'Weekly Dump'!B:B,C693,'Weekly Dump'!A:A,AB693)</f>
        <v>0</v>
      </c>
      <c r="Y693" s="4">
        <f t="shared" si="22"/>
        <v>0</v>
      </c>
      <c r="Z693" s="41"/>
      <c r="AA693" s="12" t="str">
        <f>iferror(IF(VLOOKUP(C693,'Weekly Dump'!B:B,1,0)=C693,"Yes","Missing"),"")</f>
        <v/>
      </c>
      <c r="AB693" s="66"/>
    </row>
    <row r="694">
      <c r="B694" s="63"/>
      <c r="C694" s="63"/>
      <c r="G694" s="3" t="str">
        <f t="shared" si="26"/>
        <v/>
      </c>
      <c r="I694" s="4">
        <f>SUMIFS('Weekly Dump'!D:D,'Weekly Dump'!B:B,C694)</f>
        <v>0</v>
      </c>
      <c r="J694" s="5">
        <f>SUMIFS('Weekly Dump'!AE:AE,'Weekly Dump'!B:B,C694)</f>
        <v>0</v>
      </c>
      <c r="K694" s="4">
        <f>SUMPRODUCT(
  (TEXT('Weekly Dump'!$A$2:$A1009,"mmm-yy")=TEXT($AB694,"mmm-yy"))*
  ('Weekly Dump'!$B$2:$B1009=$C694)*
  'Weekly Dump'!$D$2:$D1009)</f>
        <v>0</v>
      </c>
      <c r="L694" s="4">
        <f>SUMPRODUCT(
  (TEXT('Weekly Dump'!$A$2:$A1009,"mmm-yy")=TEXT($AB694,"mmm-yy"))*
  ('Weekly Dump'!$B$2:$B1009=$C694)*
  'Weekly Dump'!$E$2:$E1009
)</f>
        <v>0</v>
      </c>
      <c r="M694" s="4">
        <f>SUMPRODUCT(
  (TEXT('Weekly Dump'!$A$2:$A1009,"mmm-yy")=TEXT($AB694,"mmm-yy"))*
  ('Weekly Dump'!$B$2:$B1009=$C694)*
  'Weekly Dump'!$P$2:$P1009
)</f>
        <v>0</v>
      </c>
      <c r="N694" s="39"/>
      <c r="O694" s="40">
        <f>SUMIFS('Weekly Dump'!$D:$D,'Weekly Dump'!$B:$B,$C694,'Weekly Dump'!$A:$A,$AB694)</f>
        <v>0</v>
      </c>
      <c r="P694" s="40">
        <f>SUMIFS('Weekly Dump'!R:R,'Weekly Dump'!B:B,C694,'Weekly Dump'!A:A,AB694)</f>
        <v>0</v>
      </c>
      <c r="Q694" s="40">
        <f t="shared" si="20"/>
        <v>0</v>
      </c>
      <c r="R694" s="41"/>
      <c r="T694" s="4">
        <f>SUMIFS('Weekly Dump'!E:E,'Weekly Dump'!B:B,C694,'Weekly Dump'!A:A,AB694)</f>
        <v>0</v>
      </c>
      <c r="U694" s="3">
        <f t="shared" si="21"/>
        <v>0</v>
      </c>
      <c r="V694" s="42"/>
      <c r="X694" s="4">
        <f>SUMIFS('Weekly Dump'!P:P,'Weekly Dump'!B:B,C694,'Weekly Dump'!A:A,AB694)</f>
        <v>0</v>
      </c>
      <c r="Y694" s="4">
        <f t="shared" si="22"/>
        <v>0</v>
      </c>
      <c r="Z694" s="41"/>
      <c r="AA694" s="12" t="str">
        <f>iferror(IF(VLOOKUP(C694,'Weekly Dump'!B:B,1,0)=C694,"Yes","Missing"),"")</f>
        <v/>
      </c>
      <c r="AB694" s="66"/>
    </row>
    <row r="695">
      <c r="B695" s="63"/>
      <c r="C695" s="63"/>
      <c r="G695" s="3" t="str">
        <f t="shared" si="26"/>
        <v/>
      </c>
      <c r="I695" s="4">
        <f>SUMIFS('Weekly Dump'!D:D,'Weekly Dump'!B:B,C695)</f>
        <v>0</v>
      </c>
      <c r="J695" s="5">
        <f>SUMIFS('Weekly Dump'!AE:AE,'Weekly Dump'!B:B,C695)</f>
        <v>0</v>
      </c>
      <c r="K695" s="4">
        <f>SUMPRODUCT(
  (TEXT('Weekly Dump'!$A$2:$A1009,"mmm-yy")=TEXT($AB695,"mmm-yy"))*
  ('Weekly Dump'!$B$2:$B1009=$C695)*
  'Weekly Dump'!$D$2:$D1009)</f>
        <v>0</v>
      </c>
      <c r="L695" s="4">
        <f>SUMPRODUCT(
  (TEXT('Weekly Dump'!$A$2:$A1009,"mmm-yy")=TEXT($AB695,"mmm-yy"))*
  ('Weekly Dump'!$B$2:$B1009=$C695)*
  'Weekly Dump'!$E$2:$E1009
)</f>
        <v>0</v>
      </c>
      <c r="M695" s="4">
        <f>SUMPRODUCT(
  (TEXT('Weekly Dump'!$A$2:$A1009,"mmm-yy")=TEXT($AB695,"mmm-yy"))*
  ('Weekly Dump'!$B$2:$B1009=$C695)*
  'Weekly Dump'!$P$2:$P1009
)</f>
        <v>0</v>
      </c>
      <c r="N695" s="39"/>
      <c r="O695" s="40">
        <f>SUMIFS('Weekly Dump'!$D:$D,'Weekly Dump'!$B:$B,$C695,'Weekly Dump'!$A:$A,$AB695)</f>
        <v>0</v>
      </c>
      <c r="P695" s="40">
        <f>SUMIFS('Weekly Dump'!R:R,'Weekly Dump'!B:B,C695,'Weekly Dump'!A:A,AB695)</f>
        <v>0</v>
      </c>
      <c r="Q695" s="40">
        <f t="shared" si="20"/>
        <v>0</v>
      </c>
      <c r="R695" s="41"/>
      <c r="T695" s="4">
        <f>SUMIFS('Weekly Dump'!E:E,'Weekly Dump'!B:B,C695,'Weekly Dump'!A:A,AB695)</f>
        <v>0</v>
      </c>
      <c r="U695" s="3">
        <f t="shared" si="21"/>
        <v>0</v>
      </c>
      <c r="V695" s="42"/>
      <c r="X695" s="4">
        <f>SUMIFS('Weekly Dump'!P:P,'Weekly Dump'!B:B,C695,'Weekly Dump'!A:A,AB695)</f>
        <v>0</v>
      </c>
      <c r="Y695" s="4">
        <f t="shared" si="22"/>
        <v>0</v>
      </c>
      <c r="Z695" s="41"/>
      <c r="AA695" s="12" t="str">
        <f>iferror(IF(VLOOKUP(C695,'Weekly Dump'!B:B,1,0)=C695,"Yes","Missing"),"")</f>
        <v/>
      </c>
      <c r="AB695" s="66"/>
    </row>
    <row r="696">
      <c r="B696" s="63"/>
      <c r="C696" s="63"/>
      <c r="G696" s="3" t="str">
        <f t="shared" si="26"/>
        <v/>
      </c>
      <c r="I696" s="4">
        <f>SUMIFS('Weekly Dump'!D:D,'Weekly Dump'!B:B,C696)</f>
        <v>0</v>
      </c>
      <c r="J696" s="5">
        <f>SUMIFS('Weekly Dump'!AE:AE,'Weekly Dump'!B:B,C696)</f>
        <v>0</v>
      </c>
      <c r="K696" s="4">
        <f>SUMPRODUCT(
  (TEXT('Weekly Dump'!$A$2:$A1009,"mmm-yy")=TEXT($AB696,"mmm-yy"))*
  ('Weekly Dump'!$B$2:$B1009=$C696)*
  'Weekly Dump'!$D$2:$D1009)</f>
        <v>0</v>
      </c>
      <c r="L696" s="4">
        <f>SUMPRODUCT(
  (TEXT('Weekly Dump'!$A$2:$A1009,"mmm-yy")=TEXT($AB696,"mmm-yy"))*
  ('Weekly Dump'!$B$2:$B1009=$C696)*
  'Weekly Dump'!$E$2:$E1009
)</f>
        <v>0</v>
      </c>
      <c r="M696" s="4">
        <f>SUMPRODUCT(
  (TEXT('Weekly Dump'!$A$2:$A1009,"mmm-yy")=TEXT($AB696,"mmm-yy"))*
  ('Weekly Dump'!$B$2:$B1009=$C696)*
  'Weekly Dump'!$P$2:$P1009
)</f>
        <v>0</v>
      </c>
      <c r="N696" s="39"/>
      <c r="O696" s="40">
        <f>SUMIFS('Weekly Dump'!$D:$D,'Weekly Dump'!$B:$B,$C696,'Weekly Dump'!$A:$A,$AB696)</f>
        <v>0</v>
      </c>
      <c r="P696" s="40">
        <f>SUMIFS('Weekly Dump'!R:R,'Weekly Dump'!B:B,C696,'Weekly Dump'!A:A,AB696)</f>
        <v>0</v>
      </c>
      <c r="Q696" s="40">
        <f t="shared" si="20"/>
        <v>0</v>
      </c>
      <c r="R696" s="41"/>
      <c r="T696" s="4">
        <f>SUMIFS('Weekly Dump'!E:E,'Weekly Dump'!B:B,C696,'Weekly Dump'!A:A,AB696)</f>
        <v>0</v>
      </c>
      <c r="U696" s="3">
        <f t="shared" si="21"/>
        <v>0</v>
      </c>
      <c r="V696" s="42"/>
      <c r="X696" s="4">
        <f>SUMIFS('Weekly Dump'!P:P,'Weekly Dump'!B:B,C696,'Weekly Dump'!A:A,AB696)</f>
        <v>0</v>
      </c>
      <c r="Y696" s="4">
        <f t="shared" si="22"/>
        <v>0</v>
      </c>
      <c r="Z696" s="41"/>
      <c r="AA696" s="12" t="str">
        <f>iferror(IF(VLOOKUP(C696,'Weekly Dump'!B:B,1,0)=C696,"Yes","Missing"),"")</f>
        <v/>
      </c>
      <c r="AB696" s="66"/>
    </row>
    <row r="697">
      <c r="B697" s="63"/>
      <c r="C697" s="63"/>
      <c r="G697" s="3" t="str">
        <f t="shared" si="26"/>
        <v/>
      </c>
      <c r="I697" s="4">
        <f>SUMIFS('Weekly Dump'!D:D,'Weekly Dump'!B:B,C697)</f>
        <v>0</v>
      </c>
      <c r="J697" s="5">
        <f>SUMIFS('Weekly Dump'!AE:AE,'Weekly Dump'!B:B,C697)</f>
        <v>0</v>
      </c>
      <c r="K697" s="4">
        <f>SUMPRODUCT(
  (TEXT('Weekly Dump'!$A$2:$A1009,"mmm-yy")=TEXT($AB697,"mmm-yy"))*
  ('Weekly Dump'!$B$2:$B1009=$C697)*
  'Weekly Dump'!$D$2:$D1009)</f>
        <v>0</v>
      </c>
      <c r="L697" s="4">
        <f>SUMPRODUCT(
  (TEXT('Weekly Dump'!$A$2:$A1009,"mmm-yy")=TEXT($AB697,"mmm-yy"))*
  ('Weekly Dump'!$B$2:$B1009=$C697)*
  'Weekly Dump'!$E$2:$E1009
)</f>
        <v>0</v>
      </c>
      <c r="M697" s="4">
        <f>SUMPRODUCT(
  (TEXT('Weekly Dump'!$A$2:$A1009,"mmm-yy")=TEXT($AB697,"mmm-yy"))*
  ('Weekly Dump'!$B$2:$B1009=$C697)*
  'Weekly Dump'!$P$2:$P1009
)</f>
        <v>0</v>
      </c>
      <c r="N697" s="39"/>
      <c r="O697" s="40">
        <f>SUMIFS('Weekly Dump'!$D:$D,'Weekly Dump'!$B:$B,$C697,'Weekly Dump'!$A:$A,$AB697)</f>
        <v>0</v>
      </c>
      <c r="P697" s="40">
        <f>SUMIFS('Weekly Dump'!R:R,'Weekly Dump'!B:B,C697,'Weekly Dump'!A:A,AB697)</f>
        <v>0</v>
      </c>
      <c r="Q697" s="40">
        <f t="shared" si="20"/>
        <v>0</v>
      </c>
      <c r="R697" s="41"/>
      <c r="T697" s="4">
        <f>SUMIFS('Weekly Dump'!E:E,'Weekly Dump'!B:B,C697,'Weekly Dump'!A:A,AB697)</f>
        <v>0</v>
      </c>
      <c r="U697" s="3">
        <f t="shared" si="21"/>
        <v>0</v>
      </c>
      <c r="V697" s="42"/>
      <c r="X697" s="4">
        <f>SUMIFS('Weekly Dump'!P:P,'Weekly Dump'!B:B,C697,'Weekly Dump'!A:A,AB697)</f>
        <v>0</v>
      </c>
      <c r="Y697" s="4">
        <f t="shared" si="22"/>
        <v>0</v>
      </c>
      <c r="Z697" s="41"/>
      <c r="AA697" s="12" t="str">
        <f>iferror(IF(VLOOKUP(C697,'Weekly Dump'!B:B,1,0)=C697,"Yes","Missing"),"")</f>
        <v/>
      </c>
      <c r="AB697" s="66"/>
    </row>
    <row r="698">
      <c r="B698" s="63"/>
      <c r="C698" s="63"/>
      <c r="G698" s="3" t="str">
        <f t="shared" si="26"/>
        <v/>
      </c>
      <c r="I698" s="4">
        <f>SUMIFS('Weekly Dump'!D:D,'Weekly Dump'!B:B,C698)</f>
        <v>0</v>
      </c>
      <c r="J698" s="5">
        <f>SUMIFS('Weekly Dump'!AE:AE,'Weekly Dump'!B:B,C698)</f>
        <v>0</v>
      </c>
      <c r="K698" s="4">
        <f>SUMPRODUCT(
  (TEXT('Weekly Dump'!$A$2:$A1009,"mmm-yy")=TEXT($AB698,"mmm-yy"))*
  ('Weekly Dump'!$B$2:$B1009=$C698)*
  'Weekly Dump'!$D$2:$D1009)</f>
        <v>0</v>
      </c>
      <c r="L698" s="4">
        <f>SUMPRODUCT(
  (TEXT('Weekly Dump'!$A$2:$A1009,"mmm-yy")=TEXT($AB698,"mmm-yy"))*
  ('Weekly Dump'!$B$2:$B1009=$C698)*
  'Weekly Dump'!$E$2:$E1009
)</f>
        <v>0</v>
      </c>
      <c r="M698" s="4">
        <f>SUMPRODUCT(
  (TEXT('Weekly Dump'!$A$2:$A1009,"mmm-yy")=TEXT($AB698,"mmm-yy"))*
  ('Weekly Dump'!$B$2:$B1009=$C698)*
  'Weekly Dump'!$P$2:$P1009
)</f>
        <v>0</v>
      </c>
      <c r="N698" s="39"/>
      <c r="O698" s="40">
        <f>SUMIFS('Weekly Dump'!$D:$D,'Weekly Dump'!$B:$B,$C698,'Weekly Dump'!$A:$A,$AB698)</f>
        <v>0</v>
      </c>
      <c r="P698" s="40">
        <f>SUMIFS('Weekly Dump'!R:R,'Weekly Dump'!B:B,C698,'Weekly Dump'!A:A,AB698)</f>
        <v>0</v>
      </c>
      <c r="Q698" s="40">
        <f t="shared" si="20"/>
        <v>0</v>
      </c>
      <c r="R698" s="41"/>
      <c r="T698" s="4">
        <f>SUMIFS('Weekly Dump'!E:E,'Weekly Dump'!B:B,C698,'Weekly Dump'!A:A,AB698)</f>
        <v>0</v>
      </c>
      <c r="U698" s="3">
        <f t="shared" si="21"/>
        <v>0</v>
      </c>
      <c r="V698" s="42"/>
      <c r="X698" s="4">
        <f>SUMIFS('Weekly Dump'!P:P,'Weekly Dump'!B:B,C698,'Weekly Dump'!A:A,AB698)</f>
        <v>0</v>
      </c>
      <c r="Y698" s="4">
        <f t="shared" si="22"/>
        <v>0</v>
      </c>
      <c r="Z698" s="41"/>
      <c r="AA698" s="12" t="str">
        <f>iferror(IF(VLOOKUP(C698,'Weekly Dump'!B:B,1,0)=C698,"Yes","Missing"),"")</f>
        <v/>
      </c>
      <c r="AB698" s="66"/>
    </row>
    <row r="699">
      <c r="B699" s="63"/>
      <c r="C699" s="63"/>
      <c r="G699" s="3" t="str">
        <f t="shared" si="26"/>
        <v/>
      </c>
      <c r="I699" s="4">
        <f>SUMIFS('Weekly Dump'!D:D,'Weekly Dump'!B:B,C699)</f>
        <v>0</v>
      </c>
      <c r="J699" s="5">
        <f>SUMIFS('Weekly Dump'!AE:AE,'Weekly Dump'!B:B,C699)</f>
        <v>0</v>
      </c>
      <c r="K699" s="4">
        <f>SUMPRODUCT(
  (TEXT('Weekly Dump'!$A$2:$A1009,"mmm-yy")=TEXT($AB699,"mmm-yy"))*
  ('Weekly Dump'!$B$2:$B1009=$C699)*
  'Weekly Dump'!$D$2:$D1009)</f>
        <v>0</v>
      </c>
      <c r="L699" s="4">
        <f>SUMPRODUCT(
  (TEXT('Weekly Dump'!$A$2:$A1009,"mmm-yy")=TEXT($AB699,"mmm-yy"))*
  ('Weekly Dump'!$B$2:$B1009=$C699)*
  'Weekly Dump'!$E$2:$E1009
)</f>
        <v>0</v>
      </c>
      <c r="M699" s="4">
        <f>SUMPRODUCT(
  (TEXT('Weekly Dump'!$A$2:$A1009,"mmm-yy")=TEXT($AB699,"mmm-yy"))*
  ('Weekly Dump'!$B$2:$B1009=$C699)*
  'Weekly Dump'!$P$2:$P1009
)</f>
        <v>0</v>
      </c>
      <c r="N699" s="39"/>
      <c r="O699" s="40">
        <f>SUMIFS('Weekly Dump'!$D:$D,'Weekly Dump'!$B:$B,$C699,'Weekly Dump'!$A:$A,$AB699)</f>
        <v>0</v>
      </c>
      <c r="P699" s="40">
        <f>SUMIFS('Weekly Dump'!R:R,'Weekly Dump'!B:B,C699,'Weekly Dump'!A:A,AB699)</f>
        <v>0</v>
      </c>
      <c r="Q699" s="40">
        <f t="shared" si="20"/>
        <v>0</v>
      </c>
      <c r="R699" s="41"/>
      <c r="T699" s="4">
        <f>SUMIFS('Weekly Dump'!E:E,'Weekly Dump'!B:B,C699,'Weekly Dump'!A:A,AB699)</f>
        <v>0</v>
      </c>
      <c r="U699" s="3">
        <f t="shared" si="21"/>
        <v>0</v>
      </c>
      <c r="V699" s="42"/>
      <c r="X699" s="4">
        <f>SUMIFS('Weekly Dump'!P:P,'Weekly Dump'!B:B,C699,'Weekly Dump'!A:A,AB699)</f>
        <v>0</v>
      </c>
      <c r="Y699" s="4">
        <f t="shared" si="22"/>
        <v>0</v>
      </c>
      <c r="Z699" s="41"/>
      <c r="AA699" s="12" t="str">
        <f>iferror(IF(VLOOKUP(C699,'Weekly Dump'!B:B,1,0)=C699,"Yes","Missing"),"")</f>
        <v/>
      </c>
      <c r="AB699" s="66"/>
    </row>
    <row r="700">
      <c r="B700" s="63"/>
      <c r="C700" s="63"/>
      <c r="G700" s="3" t="str">
        <f t="shared" si="26"/>
        <v/>
      </c>
      <c r="I700" s="4">
        <f>SUMIFS('Weekly Dump'!D:D,'Weekly Dump'!B:B,C700)</f>
        <v>0</v>
      </c>
      <c r="J700" s="5">
        <f>SUMIFS('Weekly Dump'!AE:AE,'Weekly Dump'!B:B,C700)</f>
        <v>0</v>
      </c>
      <c r="K700" s="4">
        <f>SUMPRODUCT(
  (TEXT('Weekly Dump'!$A$2:$A1009,"mmm-yy")=TEXT($AB700,"mmm-yy"))*
  ('Weekly Dump'!$B$2:$B1009=$C700)*
  'Weekly Dump'!$D$2:$D1009)</f>
        <v>0</v>
      </c>
      <c r="L700" s="4">
        <f>SUMPRODUCT(
  (TEXT('Weekly Dump'!$A$2:$A1009,"mmm-yy")=TEXT($AB700,"mmm-yy"))*
  ('Weekly Dump'!$B$2:$B1009=$C700)*
  'Weekly Dump'!$E$2:$E1009
)</f>
        <v>0</v>
      </c>
      <c r="M700" s="4">
        <f>SUMPRODUCT(
  (TEXT('Weekly Dump'!$A$2:$A1009,"mmm-yy")=TEXT($AB700,"mmm-yy"))*
  ('Weekly Dump'!$B$2:$B1009=$C700)*
  'Weekly Dump'!$P$2:$P1009
)</f>
        <v>0</v>
      </c>
      <c r="N700" s="39"/>
      <c r="O700" s="40">
        <f>SUMIFS('Weekly Dump'!$D:$D,'Weekly Dump'!$B:$B,$C700,'Weekly Dump'!$A:$A,$AB700)</f>
        <v>0</v>
      </c>
      <c r="P700" s="40">
        <f>SUMIFS('Weekly Dump'!R:R,'Weekly Dump'!B:B,C700,'Weekly Dump'!A:A,AB700)</f>
        <v>0</v>
      </c>
      <c r="Q700" s="40">
        <f t="shared" si="20"/>
        <v>0</v>
      </c>
      <c r="R700" s="41"/>
      <c r="T700" s="4">
        <f>SUMIFS('Weekly Dump'!E:E,'Weekly Dump'!B:B,C700,'Weekly Dump'!A:A,AB700)</f>
        <v>0</v>
      </c>
      <c r="U700" s="3">
        <f t="shared" si="21"/>
        <v>0</v>
      </c>
      <c r="V700" s="42"/>
      <c r="X700" s="4">
        <f>SUMIFS('Weekly Dump'!P:P,'Weekly Dump'!B:B,C700,'Weekly Dump'!A:A,AB700)</f>
        <v>0</v>
      </c>
      <c r="Y700" s="4">
        <f t="shared" si="22"/>
        <v>0</v>
      </c>
      <c r="Z700" s="41"/>
      <c r="AA700" s="12" t="str">
        <f>iferror(IF(VLOOKUP(C700,'Weekly Dump'!B:B,1,0)=C700,"Yes","Missing"),"")</f>
        <v/>
      </c>
      <c r="AB700" s="66"/>
    </row>
    <row r="701">
      <c r="B701" s="63"/>
      <c r="C701" s="63"/>
      <c r="G701" s="3" t="str">
        <f t="shared" si="26"/>
        <v/>
      </c>
      <c r="I701" s="4">
        <f>SUMIFS('Weekly Dump'!D:D,'Weekly Dump'!B:B,C701)</f>
        <v>0</v>
      </c>
      <c r="J701" s="5">
        <f>SUMIFS('Weekly Dump'!AE:AE,'Weekly Dump'!B:B,C701)</f>
        <v>0</v>
      </c>
      <c r="K701" s="4">
        <f>SUMPRODUCT(
  (TEXT('Weekly Dump'!$A$2:$A1009,"mmm-yy")=TEXT($AB701,"mmm-yy"))*
  ('Weekly Dump'!$B$2:$B1009=$C701)*
  'Weekly Dump'!$D$2:$D1009)</f>
        <v>0</v>
      </c>
      <c r="L701" s="4">
        <f>SUMPRODUCT(
  (TEXT('Weekly Dump'!$A$2:$A1009,"mmm-yy")=TEXT($AB701,"mmm-yy"))*
  ('Weekly Dump'!$B$2:$B1009=$C701)*
  'Weekly Dump'!$E$2:$E1009
)</f>
        <v>0</v>
      </c>
      <c r="M701" s="4">
        <f>SUMPRODUCT(
  (TEXT('Weekly Dump'!$A$2:$A1009,"mmm-yy")=TEXT($AB701,"mmm-yy"))*
  ('Weekly Dump'!$B$2:$B1009=$C701)*
  'Weekly Dump'!$P$2:$P1009
)</f>
        <v>0</v>
      </c>
      <c r="N701" s="39"/>
      <c r="O701" s="40">
        <f>SUMIFS('Weekly Dump'!$D:$D,'Weekly Dump'!$B:$B,$C701,'Weekly Dump'!$A:$A,$AB701)</f>
        <v>0</v>
      </c>
      <c r="P701" s="40">
        <f>SUMIFS('Weekly Dump'!R:R,'Weekly Dump'!B:B,C701,'Weekly Dump'!A:A,AB701)</f>
        <v>0</v>
      </c>
      <c r="Q701" s="40">
        <f t="shared" si="20"/>
        <v>0</v>
      </c>
      <c r="R701" s="41"/>
      <c r="T701" s="4">
        <f>SUMIFS('Weekly Dump'!E:E,'Weekly Dump'!B:B,C701,'Weekly Dump'!A:A,AB701)</f>
        <v>0</v>
      </c>
      <c r="U701" s="3">
        <f t="shared" si="21"/>
        <v>0</v>
      </c>
      <c r="V701" s="42"/>
      <c r="X701" s="4">
        <f>SUMIFS('Weekly Dump'!P:P,'Weekly Dump'!B:B,C701,'Weekly Dump'!A:A,AB701)</f>
        <v>0</v>
      </c>
      <c r="Y701" s="4">
        <f t="shared" si="22"/>
        <v>0</v>
      </c>
      <c r="Z701" s="41"/>
      <c r="AA701" s="12" t="str">
        <f>iferror(IF(VLOOKUP(C701,'Weekly Dump'!B:B,1,0)=C701,"Yes","Missing"),"")</f>
        <v/>
      </c>
      <c r="AB701" s="66"/>
    </row>
    <row r="702">
      <c r="B702" s="63"/>
      <c r="C702" s="63"/>
      <c r="G702" s="3" t="str">
        <f t="shared" si="26"/>
        <v/>
      </c>
      <c r="I702" s="4">
        <f>SUMIFS('Weekly Dump'!D:D,'Weekly Dump'!B:B,C702)</f>
        <v>0</v>
      </c>
      <c r="J702" s="5">
        <f>SUMIFS('Weekly Dump'!AE:AE,'Weekly Dump'!B:B,C702)</f>
        <v>0</v>
      </c>
      <c r="K702" s="4">
        <f>SUMPRODUCT(
  (TEXT('Weekly Dump'!$A$2:$A1009,"mmm-yy")=TEXT($AB702,"mmm-yy"))*
  ('Weekly Dump'!$B$2:$B1009=$C702)*
  'Weekly Dump'!$D$2:$D1009)</f>
        <v>0</v>
      </c>
      <c r="L702" s="4">
        <f>SUMPRODUCT(
  (TEXT('Weekly Dump'!$A$2:$A1009,"mmm-yy")=TEXT($AB702,"mmm-yy"))*
  ('Weekly Dump'!$B$2:$B1009=$C702)*
  'Weekly Dump'!$E$2:$E1009
)</f>
        <v>0</v>
      </c>
      <c r="M702" s="4">
        <f>SUMPRODUCT(
  (TEXT('Weekly Dump'!$A$2:$A1009,"mmm-yy")=TEXT($AB702,"mmm-yy"))*
  ('Weekly Dump'!$B$2:$B1009=$C702)*
  'Weekly Dump'!$P$2:$P1009
)</f>
        <v>0</v>
      </c>
      <c r="N702" s="39"/>
      <c r="O702" s="40">
        <f>SUMIFS('Weekly Dump'!$D:$D,'Weekly Dump'!$B:$B,$C702,'Weekly Dump'!$A:$A,$AB702)</f>
        <v>0</v>
      </c>
      <c r="P702" s="40">
        <f>SUMIFS('Weekly Dump'!R:R,'Weekly Dump'!B:B,C702,'Weekly Dump'!A:A,AB702)</f>
        <v>0</v>
      </c>
      <c r="Q702" s="40">
        <f t="shared" si="20"/>
        <v>0</v>
      </c>
      <c r="R702" s="41"/>
      <c r="T702" s="4">
        <f>SUMIFS('Weekly Dump'!E:E,'Weekly Dump'!B:B,C702,'Weekly Dump'!A:A,AB702)</f>
        <v>0</v>
      </c>
      <c r="U702" s="3">
        <f t="shared" si="21"/>
        <v>0</v>
      </c>
      <c r="V702" s="42"/>
      <c r="X702" s="4">
        <f>SUMIFS('Weekly Dump'!P:P,'Weekly Dump'!B:B,C702,'Weekly Dump'!A:A,AB702)</f>
        <v>0</v>
      </c>
      <c r="Y702" s="4">
        <f t="shared" si="22"/>
        <v>0</v>
      </c>
      <c r="Z702" s="41"/>
      <c r="AA702" s="12" t="str">
        <f>iferror(IF(VLOOKUP(C702,'Weekly Dump'!B:B,1,0)=C702,"Yes","Missing"),"")</f>
        <v/>
      </c>
      <c r="AB702" s="66"/>
    </row>
    <row r="703">
      <c r="B703" s="63"/>
      <c r="C703" s="63"/>
      <c r="G703" s="3" t="str">
        <f t="shared" si="26"/>
        <v/>
      </c>
      <c r="I703" s="4">
        <f>SUMIFS('Weekly Dump'!D:D,'Weekly Dump'!B:B,C703)</f>
        <v>0</v>
      </c>
      <c r="J703" s="5">
        <f>SUMIFS('Weekly Dump'!AE:AE,'Weekly Dump'!B:B,C703)</f>
        <v>0</v>
      </c>
      <c r="K703" s="4">
        <f>SUMPRODUCT(
  (TEXT('Weekly Dump'!$A$2:$A1009,"mmm-yy")=TEXT($AB703,"mmm-yy"))*
  ('Weekly Dump'!$B$2:$B1009=$C703)*
  'Weekly Dump'!$D$2:$D1009)</f>
        <v>0</v>
      </c>
      <c r="L703" s="4">
        <f>SUMPRODUCT(
  (TEXT('Weekly Dump'!$A$2:$A1009,"mmm-yy")=TEXT($AB703,"mmm-yy"))*
  ('Weekly Dump'!$B$2:$B1009=$C703)*
  'Weekly Dump'!$E$2:$E1009
)</f>
        <v>0</v>
      </c>
      <c r="M703" s="4">
        <f>SUMPRODUCT(
  (TEXT('Weekly Dump'!$A$2:$A1009,"mmm-yy")=TEXT($AB703,"mmm-yy"))*
  ('Weekly Dump'!$B$2:$B1009=$C703)*
  'Weekly Dump'!$P$2:$P1009
)</f>
        <v>0</v>
      </c>
      <c r="N703" s="39"/>
      <c r="O703" s="40">
        <f>SUMIFS('Weekly Dump'!$D:$D,'Weekly Dump'!$B:$B,$C703,'Weekly Dump'!$A:$A,$AB703)</f>
        <v>0</v>
      </c>
      <c r="P703" s="40">
        <f>SUMIFS('Weekly Dump'!R:R,'Weekly Dump'!B:B,C703,'Weekly Dump'!A:A,AB703)</f>
        <v>0</v>
      </c>
      <c r="Q703" s="40">
        <f t="shared" si="20"/>
        <v>0</v>
      </c>
      <c r="R703" s="41"/>
      <c r="T703" s="4">
        <f>SUMIFS('Weekly Dump'!E:E,'Weekly Dump'!B:B,C703,'Weekly Dump'!A:A,AB703)</f>
        <v>0</v>
      </c>
      <c r="U703" s="3">
        <f t="shared" si="21"/>
        <v>0</v>
      </c>
      <c r="V703" s="42"/>
      <c r="X703" s="4">
        <f>SUMIFS('Weekly Dump'!P:P,'Weekly Dump'!B:B,C703,'Weekly Dump'!A:A,AB703)</f>
        <v>0</v>
      </c>
      <c r="Y703" s="4">
        <f t="shared" si="22"/>
        <v>0</v>
      </c>
      <c r="Z703" s="41"/>
      <c r="AA703" s="12" t="str">
        <f>iferror(IF(VLOOKUP(C703,'Weekly Dump'!B:B,1,0)=C703,"Yes","Missing"),"")</f>
        <v/>
      </c>
      <c r="AB703" s="66"/>
    </row>
    <row r="704">
      <c r="B704" s="63"/>
      <c r="C704" s="63"/>
      <c r="G704" s="3" t="str">
        <f t="shared" si="26"/>
        <v/>
      </c>
      <c r="I704" s="4">
        <f>SUMIFS('Weekly Dump'!D:D,'Weekly Dump'!B:B,C704)</f>
        <v>0</v>
      </c>
      <c r="J704" s="5">
        <f>SUMIFS('Weekly Dump'!AE:AE,'Weekly Dump'!B:B,C704)</f>
        <v>0</v>
      </c>
      <c r="K704" s="4">
        <f>SUMPRODUCT(
  (TEXT('Weekly Dump'!$A$2:$A1009,"mmm-yy")=TEXT($AB704,"mmm-yy"))*
  ('Weekly Dump'!$B$2:$B1009=$C704)*
  'Weekly Dump'!$D$2:$D1009)</f>
        <v>0</v>
      </c>
      <c r="L704" s="4">
        <f>SUMPRODUCT(
  (TEXT('Weekly Dump'!$A$2:$A1009,"mmm-yy")=TEXT($AB704,"mmm-yy"))*
  ('Weekly Dump'!$B$2:$B1009=$C704)*
  'Weekly Dump'!$E$2:$E1009
)</f>
        <v>0</v>
      </c>
      <c r="M704" s="4">
        <f>SUMPRODUCT(
  (TEXT('Weekly Dump'!$A$2:$A1009,"mmm-yy")=TEXT($AB704,"mmm-yy"))*
  ('Weekly Dump'!$B$2:$B1009=$C704)*
  'Weekly Dump'!$P$2:$P1009
)</f>
        <v>0</v>
      </c>
      <c r="N704" s="39"/>
      <c r="O704" s="40">
        <f>SUMIFS('Weekly Dump'!$D:$D,'Weekly Dump'!$B:$B,$C704,'Weekly Dump'!$A:$A,$AB704)</f>
        <v>0</v>
      </c>
      <c r="P704" s="40">
        <f>SUMIFS('Weekly Dump'!R:R,'Weekly Dump'!B:B,C704,'Weekly Dump'!A:A,AB704)</f>
        <v>0</v>
      </c>
      <c r="Q704" s="40">
        <f t="shared" si="20"/>
        <v>0</v>
      </c>
      <c r="R704" s="41"/>
      <c r="T704" s="4">
        <f>SUMIFS('Weekly Dump'!E:E,'Weekly Dump'!B:B,C704,'Weekly Dump'!A:A,AB704)</f>
        <v>0</v>
      </c>
      <c r="U704" s="3">
        <f t="shared" si="21"/>
        <v>0</v>
      </c>
      <c r="V704" s="42"/>
      <c r="X704" s="4">
        <f>SUMIFS('Weekly Dump'!P:P,'Weekly Dump'!B:B,C704,'Weekly Dump'!A:A,AB704)</f>
        <v>0</v>
      </c>
      <c r="Y704" s="4">
        <f t="shared" si="22"/>
        <v>0</v>
      </c>
      <c r="Z704" s="41"/>
      <c r="AA704" s="12" t="str">
        <f>iferror(IF(VLOOKUP(C704,'Weekly Dump'!B:B,1,0)=C704,"Yes","Missing"),"")</f>
        <v/>
      </c>
      <c r="AB704" s="66"/>
    </row>
    <row r="705">
      <c r="B705" s="63"/>
      <c r="C705" s="63"/>
      <c r="G705" s="3" t="str">
        <f t="shared" si="26"/>
        <v/>
      </c>
      <c r="I705" s="4">
        <f>SUMIFS('Weekly Dump'!D:D,'Weekly Dump'!B:B,C705)</f>
        <v>0</v>
      </c>
      <c r="J705" s="5">
        <f>SUMIFS('Weekly Dump'!AE:AE,'Weekly Dump'!B:B,C705)</f>
        <v>0</v>
      </c>
      <c r="K705" s="4">
        <f>SUMPRODUCT(
  (TEXT('Weekly Dump'!$A$2:$A1009,"mmm-yy")=TEXT($AB705,"mmm-yy"))*
  ('Weekly Dump'!$B$2:$B1009=$C705)*
  'Weekly Dump'!$D$2:$D1009)</f>
        <v>0</v>
      </c>
      <c r="L705" s="4">
        <f>SUMPRODUCT(
  (TEXT('Weekly Dump'!$A$2:$A1009,"mmm-yy")=TEXT($AB705,"mmm-yy"))*
  ('Weekly Dump'!$B$2:$B1009=$C705)*
  'Weekly Dump'!$E$2:$E1009
)</f>
        <v>0</v>
      </c>
      <c r="M705" s="4">
        <f>SUMPRODUCT(
  (TEXT('Weekly Dump'!$A$2:$A1009,"mmm-yy")=TEXT($AB705,"mmm-yy"))*
  ('Weekly Dump'!$B$2:$B1009=$C705)*
  'Weekly Dump'!$P$2:$P1009
)</f>
        <v>0</v>
      </c>
      <c r="N705" s="39"/>
      <c r="O705" s="40">
        <f>SUMIFS('Weekly Dump'!$D:$D,'Weekly Dump'!$B:$B,$C705,'Weekly Dump'!$A:$A,$AB705)</f>
        <v>0</v>
      </c>
      <c r="P705" s="40">
        <f>SUMIFS('Weekly Dump'!R:R,'Weekly Dump'!B:B,C705,'Weekly Dump'!A:A,AB705)</f>
        <v>0</v>
      </c>
      <c r="Q705" s="40">
        <f t="shared" si="20"/>
        <v>0</v>
      </c>
      <c r="R705" s="41"/>
      <c r="T705" s="4">
        <f>SUMIFS('Weekly Dump'!E:E,'Weekly Dump'!B:B,C705,'Weekly Dump'!A:A,AB705)</f>
        <v>0</v>
      </c>
      <c r="U705" s="3">
        <f t="shared" si="21"/>
        <v>0</v>
      </c>
      <c r="V705" s="42"/>
      <c r="X705" s="4">
        <f>SUMIFS('Weekly Dump'!P:P,'Weekly Dump'!B:B,C705,'Weekly Dump'!A:A,AB705)</f>
        <v>0</v>
      </c>
      <c r="Y705" s="4">
        <f t="shared" si="22"/>
        <v>0</v>
      </c>
      <c r="Z705" s="41"/>
      <c r="AA705" s="12" t="str">
        <f>iferror(IF(VLOOKUP(C705,'Weekly Dump'!B:B,1,0)=C705,"Yes","Missing"),"")</f>
        <v/>
      </c>
      <c r="AB705" s="66"/>
    </row>
    <row r="706">
      <c r="B706" s="63"/>
      <c r="C706" s="63"/>
      <c r="G706" s="3" t="str">
        <f t="shared" si="26"/>
        <v/>
      </c>
      <c r="I706" s="4">
        <f>SUMIFS('Weekly Dump'!D:D,'Weekly Dump'!B:B,C706)</f>
        <v>0</v>
      </c>
      <c r="J706" s="5">
        <f>SUMIFS('Weekly Dump'!AE:AE,'Weekly Dump'!B:B,C706)</f>
        <v>0</v>
      </c>
      <c r="K706" s="4">
        <f>SUMPRODUCT(
  (TEXT('Weekly Dump'!$A$2:$A1009,"mmm-yy")=TEXT($AB706,"mmm-yy"))*
  ('Weekly Dump'!$B$2:$B1009=$C706)*
  'Weekly Dump'!$D$2:$D1009)</f>
        <v>0</v>
      </c>
      <c r="L706" s="4">
        <f>SUMPRODUCT(
  (TEXT('Weekly Dump'!$A$2:$A1009,"mmm-yy")=TEXT($AB706,"mmm-yy"))*
  ('Weekly Dump'!$B$2:$B1009=$C706)*
  'Weekly Dump'!$E$2:$E1009
)</f>
        <v>0</v>
      </c>
      <c r="M706" s="4">
        <f>SUMPRODUCT(
  (TEXT('Weekly Dump'!$A$2:$A1009,"mmm-yy")=TEXT($AB706,"mmm-yy"))*
  ('Weekly Dump'!$B$2:$B1009=$C706)*
  'Weekly Dump'!$P$2:$P1009
)</f>
        <v>0</v>
      </c>
      <c r="N706" s="39"/>
      <c r="O706" s="40">
        <f>SUMIFS('Weekly Dump'!$D:$D,'Weekly Dump'!$B:$B,$C706,'Weekly Dump'!$A:$A,$AB706)</f>
        <v>0</v>
      </c>
      <c r="P706" s="40">
        <f>SUMIFS('Weekly Dump'!R:R,'Weekly Dump'!B:B,C706,'Weekly Dump'!A:A,AB706)</f>
        <v>0</v>
      </c>
      <c r="Q706" s="40">
        <f t="shared" si="20"/>
        <v>0</v>
      </c>
      <c r="R706" s="41"/>
      <c r="T706" s="4">
        <f>SUMIFS('Weekly Dump'!E:E,'Weekly Dump'!B:B,C706,'Weekly Dump'!A:A,AB706)</f>
        <v>0</v>
      </c>
      <c r="U706" s="3">
        <f t="shared" si="21"/>
        <v>0</v>
      </c>
      <c r="V706" s="42"/>
      <c r="X706" s="4">
        <f>SUMIFS('Weekly Dump'!P:P,'Weekly Dump'!B:B,C706,'Weekly Dump'!A:A,AB706)</f>
        <v>0</v>
      </c>
      <c r="Y706" s="4">
        <f t="shared" si="22"/>
        <v>0</v>
      </c>
      <c r="Z706" s="41"/>
      <c r="AA706" s="12" t="str">
        <f>iferror(IF(VLOOKUP(C706,'Weekly Dump'!B:B,1,0)=C706,"Yes","Missing"),"")</f>
        <v/>
      </c>
      <c r="AB706" s="66"/>
    </row>
    <row r="707">
      <c r="B707" s="63"/>
      <c r="C707" s="63"/>
      <c r="G707" s="3" t="str">
        <f t="shared" si="26"/>
        <v/>
      </c>
      <c r="I707" s="4">
        <f>SUMIFS('Weekly Dump'!D:D,'Weekly Dump'!B:B,C707)</f>
        <v>0</v>
      </c>
      <c r="J707" s="5">
        <f>SUMIFS('Weekly Dump'!AE:AE,'Weekly Dump'!B:B,C707)</f>
        <v>0</v>
      </c>
      <c r="K707" s="4">
        <f>SUMPRODUCT(
  (TEXT('Weekly Dump'!$A$2:$A1009,"mmm-yy")=TEXT($AB707,"mmm-yy"))*
  ('Weekly Dump'!$B$2:$B1009=$C707)*
  'Weekly Dump'!$D$2:$D1009)</f>
        <v>0</v>
      </c>
      <c r="L707" s="4">
        <f>SUMPRODUCT(
  (TEXT('Weekly Dump'!$A$2:$A1009,"mmm-yy")=TEXT($AB707,"mmm-yy"))*
  ('Weekly Dump'!$B$2:$B1009=$C707)*
  'Weekly Dump'!$E$2:$E1009
)</f>
        <v>0</v>
      </c>
      <c r="M707" s="4">
        <f>SUMPRODUCT(
  (TEXT('Weekly Dump'!$A$2:$A1009,"mmm-yy")=TEXT($AB707,"mmm-yy"))*
  ('Weekly Dump'!$B$2:$B1009=$C707)*
  'Weekly Dump'!$P$2:$P1009
)</f>
        <v>0</v>
      </c>
      <c r="N707" s="39"/>
      <c r="O707" s="40">
        <f>SUMIFS('Weekly Dump'!$D:$D,'Weekly Dump'!$B:$B,$C707,'Weekly Dump'!$A:$A,$AB707)</f>
        <v>0</v>
      </c>
      <c r="P707" s="40">
        <f>SUMIFS('Weekly Dump'!R:R,'Weekly Dump'!B:B,C707,'Weekly Dump'!A:A,AB707)</f>
        <v>0</v>
      </c>
      <c r="Q707" s="40">
        <f t="shared" si="20"/>
        <v>0</v>
      </c>
      <c r="R707" s="41"/>
      <c r="T707" s="4">
        <f>SUMIFS('Weekly Dump'!E:E,'Weekly Dump'!B:B,C707,'Weekly Dump'!A:A,AB707)</f>
        <v>0</v>
      </c>
      <c r="U707" s="3">
        <f t="shared" si="21"/>
        <v>0</v>
      </c>
      <c r="V707" s="42"/>
      <c r="X707" s="4">
        <f>SUMIFS('Weekly Dump'!P:P,'Weekly Dump'!B:B,C707,'Weekly Dump'!A:A,AB707)</f>
        <v>0</v>
      </c>
      <c r="Y707" s="4">
        <f t="shared" si="22"/>
        <v>0</v>
      </c>
      <c r="Z707" s="41"/>
      <c r="AA707" s="12" t="str">
        <f>iferror(IF(VLOOKUP(C707,'Weekly Dump'!B:B,1,0)=C707,"Yes","Missing"),"")</f>
        <v/>
      </c>
      <c r="AB707" s="66"/>
    </row>
    <row r="708">
      <c r="B708" s="63"/>
      <c r="C708" s="63"/>
      <c r="G708" s="3" t="str">
        <f t="shared" si="26"/>
        <v/>
      </c>
      <c r="I708" s="4">
        <f>SUMIFS('Weekly Dump'!D:D,'Weekly Dump'!B:B,C708)</f>
        <v>0</v>
      </c>
      <c r="J708" s="5">
        <f>SUMIFS('Weekly Dump'!AE:AE,'Weekly Dump'!B:B,C708)</f>
        <v>0</v>
      </c>
      <c r="K708" s="4">
        <f>SUMPRODUCT(
  (TEXT('Weekly Dump'!$A$2:$A1009,"mmm-yy")=TEXT($AB708,"mmm-yy"))*
  ('Weekly Dump'!$B$2:$B1009=$C708)*
  'Weekly Dump'!$D$2:$D1009)</f>
        <v>0</v>
      </c>
      <c r="L708" s="4">
        <f>SUMPRODUCT(
  (TEXT('Weekly Dump'!$A$2:$A1009,"mmm-yy")=TEXT($AB708,"mmm-yy"))*
  ('Weekly Dump'!$B$2:$B1009=$C708)*
  'Weekly Dump'!$E$2:$E1009
)</f>
        <v>0</v>
      </c>
      <c r="M708" s="4">
        <f>SUMPRODUCT(
  (TEXT('Weekly Dump'!$A$2:$A1009,"mmm-yy")=TEXT($AB708,"mmm-yy"))*
  ('Weekly Dump'!$B$2:$B1009=$C708)*
  'Weekly Dump'!$P$2:$P1009
)</f>
        <v>0</v>
      </c>
      <c r="N708" s="39"/>
      <c r="O708" s="40">
        <f>SUMIFS('Weekly Dump'!$D:$D,'Weekly Dump'!$B:$B,$C708,'Weekly Dump'!$A:$A,$AB708)</f>
        <v>0</v>
      </c>
      <c r="P708" s="40">
        <f>SUMIFS('Weekly Dump'!R:R,'Weekly Dump'!B:B,C708,'Weekly Dump'!A:A,AB708)</f>
        <v>0</v>
      </c>
      <c r="Q708" s="40">
        <f t="shared" si="20"/>
        <v>0</v>
      </c>
      <c r="R708" s="41"/>
      <c r="T708" s="4">
        <f>SUMIFS('Weekly Dump'!E:E,'Weekly Dump'!B:B,C708,'Weekly Dump'!A:A,AB708)</f>
        <v>0</v>
      </c>
      <c r="U708" s="3">
        <f t="shared" si="21"/>
        <v>0</v>
      </c>
      <c r="V708" s="42"/>
      <c r="X708" s="4">
        <f>SUMIFS('Weekly Dump'!P:P,'Weekly Dump'!B:B,C708,'Weekly Dump'!A:A,AB708)</f>
        <v>0</v>
      </c>
      <c r="Y708" s="4">
        <f t="shared" si="22"/>
        <v>0</v>
      </c>
      <c r="Z708" s="41"/>
      <c r="AA708" s="12" t="str">
        <f>iferror(IF(VLOOKUP(C708,'Weekly Dump'!B:B,1,0)=C708,"Yes","Missing"),"")</f>
        <v/>
      </c>
      <c r="AB708" s="66"/>
    </row>
    <row r="709">
      <c r="B709" s="63"/>
      <c r="C709" s="63"/>
      <c r="G709" s="3" t="str">
        <f t="shared" si="26"/>
        <v/>
      </c>
      <c r="I709" s="4">
        <f>SUMIFS('Weekly Dump'!D:D,'Weekly Dump'!B:B,C709)</f>
        <v>0</v>
      </c>
      <c r="J709" s="5">
        <f>SUMIFS('Weekly Dump'!AE:AE,'Weekly Dump'!B:B,C709)</f>
        <v>0</v>
      </c>
      <c r="K709" s="4">
        <f>SUMPRODUCT(
  (TEXT('Weekly Dump'!$A$2:$A1009,"mmm-yy")=TEXT($AB709,"mmm-yy"))*
  ('Weekly Dump'!$B$2:$B1009=$C709)*
  'Weekly Dump'!$D$2:$D1009)</f>
        <v>0</v>
      </c>
      <c r="L709" s="4">
        <f>SUMPRODUCT(
  (TEXT('Weekly Dump'!$A$2:$A1009,"mmm-yy")=TEXT($AB709,"mmm-yy"))*
  ('Weekly Dump'!$B$2:$B1009=$C709)*
  'Weekly Dump'!$E$2:$E1009
)</f>
        <v>0</v>
      </c>
      <c r="M709" s="4">
        <f>SUMPRODUCT(
  (TEXT('Weekly Dump'!$A$2:$A1009,"mmm-yy")=TEXT($AB709,"mmm-yy"))*
  ('Weekly Dump'!$B$2:$B1009=$C709)*
  'Weekly Dump'!$P$2:$P1009
)</f>
        <v>0</v>
      </c>
      <c r="N709" s="39"/>
      <c r="O709" s="40">
        <f>SUMIFS('Weekly Dump'!$D:$D,'Weekly Dump'!$B:$B,$C709,'Weekly Dump'!$A:$A,$AB709)</f>
        <v>0</v>
      </c>
      <c r="P709" s="40">
        <f>SUMIFS('Weekly Dump'!R:R,'Weekly Dump'!B:B,C709,'Weekly Dump'!A:A,AB709)</f>
        <v>0</v>
      </c>
      <c r="Q709" s="40">
        <f t="shared" si="20"/>
        <v>0</v>
      </c>
      <c r="R709" s="41"/>
      <c r="T709" s="4">
        <f>SUMIFS('Weekly Dump'!E:E,'Weekly Dump'!B:B,C709,'Weekly Dump'!A:A,AB709)</f>
        <v>0</v>
      </c>
      <c r="U709" s="3">
        <f t="shared" si="21"/>
        <v>0</v>
      </c>
      <c r="V709" s="42"/>
      <c r="X709" s="4">
        <f>SUMIFS('Weekly Dump'!P:P,'Weekly Dump'!B:B,C709,'Weekly Dump'!A:A,AB709)</f>
        <v>0</v>
      </c>
      <c r="Y709" s="4">
        <f t="shared" si="22"/>
        <v>0</v>
      </c>
      <c r="Z709" s="41"/>
      <c r="AA709" s="12" t="str">
        <f>iferror(IF(VLOOKUP(C709,'Weekly Dump'!B:B,1,0)=C709,"Yes","Missing"),"")</f>
        <v/>
      </c>
      <c r="AB709" s="66"/>
    </row>
    <row r="710">
      <c r="B710" s="63"/>
      <c r="C710" s="63"/>
      <c r="G710" s="3" t="str">
        <f t="shared" si="26"/>
        <v/>
      </c>
      <c r="I710" s="4">
        <f>SUMIFS('Weekly Dump'!D:D,'Weekly Dump'!B:B,C710)</f>
        <v>0</v>
      </c>
      <c r="J710" s="5">
        <f>SUMIFS('Weekly Dump'!AE:AE,'Weekly Dump'!B:B,C710)</f>
        <v>0</v>
      </c>
      <c r="K710" s="4">
        <f>SUMPRODUCT(
  (TEXT('Weekly Dump'!$A$2:$A1009,"mmm-yy")=TEXT($AB710,"mmm-yy"))*
  ('Weekly Dump'!$B$2:$B1009=$C710)*
  'Weekly Dump'!$D$2:$D1009)</f>
        <v>0</v>
      </c>
      <c r="L710" s="4">
        <f>SUMPRODUCT(
  (TEXT('Weekly Dump'!$A$2:$A1009,"mmm-yy")=TEXT($AB710,"mmm-yy"))*
  ('Weekly Dump'!$B$2:$B1009=$C710)*
  'Weekly Dump'!$E$2:$E1009
)</f>
        <v>0</v>
      </c>
      <c r="M710" s="4">
        <f>SUMPRODUCT(
  (TEXT('Weekly Dump'!$A$2:$A1009,"mmm-yy")=TEXT($AB710,"mmm-yy"))*
  ('Weekly Dump'!$B$2:$B1009=$C710)*
  'Weekly Dump'!$P$2:$P1009
)</f>
        <v>0</v>
      </c>
      <c r="N710" s="39"/>
      <c r="O710" s="40">
        <f>SUMIFS('Weekly Dump'!$D:$D,'Weekly Dump'!$B:$B,$C710,'Weekly Dump'!$A:$A,$AB710)</f>
        <v>0</v>
      </c>
      <c r="P710" s="40">
        <f>SUMIFS('Weekly Dump'!R:R,'Weekly Dump'!B:B,C710,'Weekly Dump'!A:A,AB710)</f>
        <v>0</v>
      </c>
      <c r="Q710" s="40">
        <f t="shared" si="20"/>
        <v>0</v>
      </c>
      <c r="R710" s="41"/>
      <c r="T710" s="4">
        <f>SUMIFS('Weekly Dump'!E:E,'Weekly Dump'!B:B,C710,'Weekly Dump'!A:A,AB710)</f>
        <v>0</v>
      </c>
      <c r="U710" s="3">
        <f t="shared" si="21"/>
        <v>0</v>
      </c>
      <c r="V710" s="42"/>
      <c r="X710" s="4">
        <f>SUMIFS('Weekly Dump'!P:P,'Weekly Dump'!B:B,C710,'Weekly Dump'!A:A,AB710)</f>
        <v>0</v>
      </c>
      <c r="Y710" s="4">
        <f t="shared" si="22"/>
        <v>0</v>
      </c>
      <c r="Z710" s="41"/>
      <c r="AA710" s="12" t="str">
        <f>iferror(IF(VLOOKUP(C710,'Weekly Dump'!B:B,1,0)=C710,"Yes","Missing"),"")</f>
        <v/>
      </c>
      <c r="AB710" s="66"/>
    </row>
    <row r="711">
      <c r="B711" s="63"/>
      <c r="C711" s="63"/>
      <c r="G711" s="3" t="str">
        <f t="shared" si="26"/>
        <v/>
      </c>
      <c r="I711" s="4">
        <f>SUMIFS('Weekly Dump'!D:D,'Weekly Dump'!B:B,C711)</f>
        <v>0</v>
      </c>
      <c r="J711" s="5">
        <f>SUMIFS('Weekly Dump'!AE:AE,'Weekly Dump'!B:B,C711)</f>
        <v>0</v>
      </c>
      <c r="K711" s="4">
        <f>SUMPRODUCT(
  (TEXT('Weekly Dump'!$A$2:$A1009,"mmm-yy")=TEXT($AB711,"mmm-yy"))*
  ('Weekly Dump'!$B$2:$B1009=$C711)*
  'Weekly Dump'!$D$2:$D1009)</f>
        <v>0</v>
      </c>
      <c r="L711" s="4">
        <f>SUMPRODUCT(
  (TEXT('Weekly Dump'!$A$2:$A1009,"mmm-yy")=TEXT($AB711,"mmm-yy"))*
  ('Weekly Dump'!$B$2:$B1009=$C711)*
  'Weekly Dump'!$E$2:$E1009
)</f>
        <v>0</v>
      </c>
      <c r="M711" s="4">
        <f>SUMPRODUCT(
  (TEXT('Weekly Dump'!$A$2:$A1009,"mmm-yy")=TEXT($AB711,"mmm-yy"))*
  ('Weekly Dump'!$B$2:$B1009=$C711)*
  'Weekly Dump'!$P$2:$P1009
)</f>
        <v>0</v>
      </c>
      <c r="N711" s="39"/>
      <c r="O711" s="40">
        <f>SUMIFS('Weekly Dump'!$D:$D,'Weekly Dump'!$B:$B,$C711,'Weekly Dump'!$A:$A,$AB711)</f>
        <v>0</v>
      </c>
      <c r="P711" s="40">
        <f>SUMIFS('Weekly Dump'!R:R,'Weekly Dump'!B:B,C711,'Weekly Dump'!A:A,AB711)</f>
        <v>0</v>
      </c>
      <c r="Q711" s="40">
        <f t="shared" si="20"/>
        <v>0</v>
      </c>
      <c r="R711" s="41"/>
      <c r="T711" s="4">
        <f>SUMIFS('Weekly Dump'!E:E,'Weekly Dump'!B:B,C711,'Weekly Dump'!A:A,AB711)</f>
        <v>0</v>
      </c>
      <c r="U711" s="3">
        <f t="shared" si="21"/>
        <v>0</v>
      </c>
      <c r="V711" s="42"/>
      <c r="X711" s="4">
        <f>SUMIFS('Weekly Dump'!P:P,'Weekly Dump'!B:B,C711,'Weekly Dump'!A:A,AB711)</f>
        <v>0</v>
      </c>
      <c r="Y711" s="4">
        <f t="shared" si="22"/>
        <v>0</v>
      </c>
      <c r="Z711" s="41"/>
      <c r="AA711" s="12" t="str">
        <f>iferror(IF(VLOOKUP(C711,'Weekly Dump'!B:B,1,0)=C711,"Yes","Missing"),"")</f>
        <v/>
      </c>
      <c r="AB711" s="66"/>
    </row>
    <row r="712">
      <c r="B712" s="63"/>
      <c r="C712" s="63"/>
      <c r="G712" s="3" t="str">
        <f t="shared" si="26"/>
        <v/>
      </c>
      <c r="I712" s="4">
        <f>SUMIFS('Weekly Dump'!D:D,'Weekly Dump'!B:B,C712)</f>
        <v>0</v>
      </c>
      <c r="J712" s="5">
        <f>SUMIFS('Weekly Dump'!AE:AE,'Weekly Dump'!B:B,C712)</f>
        <v>0</v>
      </c>
      <c r="K712" s="4">
        <f>SUMPRODUCT(
  (TEXT('Weekly Dump'!$A$2:$A1009,"mmm-yy")=TEXT($AB712,"mmm-yy"))*
  ('Weekly Dump'!$B$2:$B1009=$C712)*
  'Weekly Dump'!$D$2:$D1009)</f>
        <v>0</v>
      </c>
      <c r="L712" s="4">
        <f>SUMPRODUCT(
  (TEXT('Weekly Dump'!$A$2:$A1009,"mmm-yy")=TEXT($AB712,"mmm-yy"))*
  ('Weekly Dump'!$B$2:$B1009=$C712)*
  'Weekly Dump'!$E$2:$E1009
)</f>
        <v>0</v>
      </c>
      <c r="M712" s="4">
        <f>SUMPRODUCT(
  (TEXT('Weekly Dump'!$A$2:$A1009,"mmm-yy")=TEXT($AB712,"mmm-yy"))*
  ('Weekly Dump'!$B$2:$B1009=$C712)*
  'Weekly Dump'!$P$2:$P1009
)</f>
        <v>0</v>
      </c>
      <c r="N712" s="39"/>
      <c r="O712" s="40">
        <f>SUMIFS('Weekly Dump'!$D:$D,'Weekly Dump'!$B:$B,$C712,'Weekly Dump'!$A:$A,$AB712)</f>
        <v>0</v>
      </c>
      <c r="P712" s="40">
        <f>SUMIFS('Weekly Dump'!R:R,'Weekly Dump'!B:B,C712,'Weekly Dump'!A:A,AB712)</f>
        <v>0</v>
      </c>
      <c r="Q712" s="40">
        <f t="shared" si="20"/>
        <v>0</v>
      </c>
      <c r="R712" s="41"/>
      <c r="T712" s="4">
        <f>SUMIFS('Weekly Dump'!E:E,'Weekly Dump'!B:B,C712,'Weekly Dump'!A:A,AB712)</f>
        <v>0</v>
      </c>
      <c r="U712" s="3">
        <f t="shared" si="21"/>
        <v>0</v>
      </c>
      <c r="V712" s="42"/>
      <c r="X712" s="4">
        <f>SUMIFS('Weekly Dump'!P:P,'Weekly Dump'!B:B,C712,'Weekly Dump'!A:A,AB712)</f>
        <v>0</v>
      </c>
      <c r="Y712" s="4">
        <f t="shared" si="22"/>
        <v>0</v>
      </c>
      <c r="Z712" s="41"/>
      <c r="AA712" s="12" t="str">
        <f>iferror(IF(VLOOKUP(C712,'Weekly Dump'!B:B,1,0)=C712,"Yes","Missing"),"")</f>
        <v/>
      </c>
      <c r="AB712" s="66"/>
    </row>
    <row r="713">
      <c r="B713" s="63"/>
      <c r="C713" s="63"/>
      <c r="G713" s="3" t="str">
        <f t="shared" si="26"/>
        <v/>
      </c>
      <c r="I713" s="4">
        <f>SUMIFS('Weekly Dump'!D:D,'Weekly Dump'!B:B,C713)</f>
        <v>0</v>
      </c>
      <c r="J713" s="5">
        <f>SUMIFS('Weekly Dump'!AE:AE,'Weekly Dump'!B:B,C713)</f>
        <v>0</v>
      </c>
      <c r="K713" s="4">
        <f>SUMPRODUCT(
  (TEXT('Weekly Dump'!$A$2:$A1009,"mmm-yy")=TEXT($AB713,"mmm-yy"))*
  ('Weekly Dump'!$B$2:$B1009=$C713)*
  'Weekly Dump'!$D$2:$D1009)</f>
        <v>0</v>
      </c>
      <c r="L713" s="4">
        <f>SUMPRODUCT(
  (TEXT('Weekly Dump'!$A$2:$A1009,"mmm-yy")=TEXT($AB713,"mmm-yy"))*
  ('Weekly Dump'!$B$2:$B1009=$C713)*
  'Weekly Dump'!$E$2:$E1009
)</f>
        <v>0</v>
      </c>
      <c r="M713" s="4">
        <f>SUMPRODUCT(
  (TEXT('Weekly Dump'!$A$2:$A1009,"mmm-yy")=TEXT($AB713,"mmm-yy"))*
  ('Weekly Dump'!$B$2:$B1009=$C713)*
  'Weekly Dump'!$P$2:$P1009
)</f>
        <v>0</v>
      </c>
      <c r="N713" s="39"/>
      <c r="O713" s="40">
        <f>SUMIFS('Weekly Dump'!$D:$D,'Weekly Dump'!$B:$B,$C713,'Weekly Dump'!$A:$A,$AB713)</f>
        <v>0</v>
      </c>
      <c r="P713" s="40">
        <f>SUMIFS('Weekly Dump'!R:R,'Weekly Dump'!B:B,C713,'Weekly Dump'!A:A,AB713)</f>
        <v>0</v>
      </c>
      <c r="Q713" s="40">
        <f t="shared" si="20"/>
        <v>0</v>
      </c>
      <c r="R713" s="41"/>
      <c r="T713" s="4">
        <f>SUMIFS('Weekly Dump'!E:E,'Weekly Dump'!B:B,C713,'Weekly Dump'!A:A,AB713)</f>
        <v>0</v>
      </c>
      <c r="U713" s="3">
        <f t="shared" si="21"/>
        <v>0</v>
      </c>
      <c r="V713" s="42"/>
      <c r="X713" s="4">
        <f>SUMIFS('Weekly Dump'!P:P,'Weekly Dump'!B:B,C713,'Weekly Dump'!A:A,AB713)</f>
        <v>0</v>
      </c>
      <c r="Y713" s="4">
        <f t="shared" si="22"/>
        <v>0</v>
      </c>
      <c r="Z713" s="41"/>
      <c r="AA713" s="12" t="str">
        <f>iferror(IF(VLOOKUP(C713,'Weekly Dump'!B:B,1,0)=C713,"Yes","Missing"),"")</f>
        <v/>
      </c>
      <c r="AB713" s="66"/>
    </row>
    <row r="714">
      <c r="B714" s="63"/>
      <c r="C714" s="63"/>
      <c r="G714" s="3" t="str">
        <f t="shared" si="26"/>
        <v/>
      </c>
      <c r="I714" s="4">
        <f>SUMIFS('Weekly Dump'!D:D,'Weekly Dump'!B:B,C714)</f>
        <v>0</v>
      </c>
      <c r="J714" s="5">
        <f>SUMIFS('Weekly Dump'!AE:AE,'Weekly Dump'!B:B,C714)</f>
        <v>0</v>
      </c>
      <c r="K714" s="4">
        <f>SUMPRODUCT(
  (TEXT('Weekly Dump'!$A$2:$A1009,"mmm-yy")=TEXT($AB714,"mmm-yy"))*
  ('Weekly Dump'!$B$2:$B1009=$C714)*
  'Weekly Dump'!$D$2:$D1009)</f>
        <v>0</v>
      </c>
      <c r="L714" s="4">
        <f>SUMPRODUCT(
  (TEXT('Weekly Dump'!$A$2:$A1009,"mmm-yy")=TEXT($AB714,"mmm-yy"))*
  ('Weekly Dump'!$B$2:$B1009=$C714)*
  'Weekly Dump'!$E$2:$E1009
)</f>
        <v>0</v>
      </c>
      <c r="M714" s="4">
        <f>SUMPRODUCT(
  (TEXT('Weekly Dump'!$A$2:$A1009,"mmm-yy")=TEXT($AB714,"mmm-yy"))*
  ('Weekly Dump'!$B$2:$B1009=$C714)*
  'Weekly Dump'!$P$2:$P1009
)</f>
        <v>0</v>
      </c>
      <c r="N714" s="39"/>
      <c r="O714" s="40">
        <f>SUMIFS('Weekly Dump'!$D:$D,'Weekly Dump'!$B:$B,$C714,'Weekly Dump'!$A:$A,$AB714)</f>
        <v>0</v>
      </c>
      <c r="P714" s="40">
        <f>SUMIFS('Weekly Dump'!R:R,'Weekly Dump'!B:B,C714,'Weekly Dump'!A:A,AB714)</f>
        <v>0</v>
      </c>
      <c r="Q714" s="40">
        <f t="shared" si="20"/>
        <v>0</v>
      </c>
      <c r="R714" s="41"/>
      <c r="T714" s="4">
        <f>SUMIFS('Weekly Dump'!E:E,'Weekly Dump'!B:B,C714,'Weekly Dump'!A:A,AB714)</f>
        <v>0</v>
      </c>
      <c r="U714" s="3">
        <f t="shared" si="21"/>
        <v>0</v>
      </c>
      <c r="V714" s="42"/>
      <c r="X714" s="4">
        <f>SUMIFS('Weekly Dump'!P:P,'Weekly Dump'!B:B,C714,'Weekly Dump'!A:A,AB714)</f>
        <v>0</v>
      </c>
      <c r="Y714" s="4">
        <f t="shared" si="22"/>
        <v>0</v>
      </c>
      <c r="Z714" s="41"/>
      <c r="AA714" s="12" t="str">
        <f>iferror(IF(VLOOKUP(C714,'Weekly Dump'!B:B,1,0)=C714,"Yes","Missing"),"")</f>
        <v/>
      </c>
      <c r="AB714" s="66"/>
    </row>
    <row r="715">
      <c r="B715" s="63"/>
      <c r="C715" s="63"/>
      <c r="G715" s="3" t="str">
        <f t="shared" si="26"/>
        <v/>
      </c>
      <c r="I715" s="4">
        <f>SUMIFS('Weekly Dump'!D:D,'Weekly Dump'!B:B,C715)</f>
        <v>0</v>
      </c>
      <c r="J715" s="5">
        <f>SUMIFS('Weekly Dump'!AE:AE,'Weekly Dump'!B:B,C715)</f>
        <v>0</v>
      </c>
      <c r="K715" s="4">
        <f>SUMPRODUCT(
  (TEXT('Weekly Dump'!$A$2:$A1009,"mmm-yy")=TEXT($AB715,"mmm-yy"))*
  ('Weekly Dump'!$B$2:$B1009=$C715)*
  'Weekly Dump'!$D$2:$D1009)</f>
        <v>0</v>
      </c>
      <c r="L715" s="4">
        <f>SUMPRODUCT(
  (TEXT('Weekly Dump'!$A$2:$A1009,"mmm-yy")=TEXT($AB715,"mmm-yy"))*
  ('Weekly Dump'!$B$2:$B1009=$C715)*
  'Weekly Dump'!$E$2:$E1009
)</f>
        <v>0</v>
      </c>
      <c r="M715" s="4">
        <f>SUMPRODUCT(
  (TEXT('Weekly Dump'!$A$2:$A1009,"mmm-yy")=TEXT($AB715,"mmm-yy"))*
  ('Weekly Dump'!$B$2:$B1009=$C715)*
  'Weekly Dump'!$P$2:$P1009
)</f>
        <v>0</v>
      </c>
      <c r="N715" s="39"/>
      <c r="O715" s="40">
        <f>SUMIFS('Weekly Dump'!$D:$D,'Weekly Dump'!$B:$B,$C715,'Weekly Dump'!$A:$A,$AB715)</f>
        <v>0</v>
      </c>
      <c r="P715" s="40">
        <f>SUMIFS('Weekly Dump'!R:R,'Weekly Dump'!B:B,C715,'Weekly Dump'!A:A,AB715)</f>
        <v>0</v>
      </c>
      <c r="Q715" s="40">
        <f t="shared" si="20"/>
        <v>0</v>
      </c>
      <c r="R715" s="41"/>
      <c r="T715" s="4">
        <f>SUMIFS('Weekly Dump'!E:E,'Weekly Dump'!B:B,C715,'Weekly Dump'!A:A,AB715)</f>
        <v>0</v>
      </c>
      <c r="U715" s="3">
        <f t="shared" si="21"/>
        <v>0</v>
      </c>
      <c r="V715" s="42"/>
      <c r="X715" s="4">
        <f>SUMIFS('Weekly Dump'!P:P,'Weekly Dump'!B:B,C715,'Weekly Dump'!A:A,AB715)</f>
        <v>0</v>
      </c>
      <c r="Y715" s="4">
        <f t="shared" si="22"/>
        <v>0</v>
      </c>
      <c r="Z715" s="41"/>
      <c r="AA715" s="12" t="str">
        <f>iferror(IF(VLOOKUP(C715,'Weekly Dump'!B:B,1,0)=C715,"Yes","Missing"),"")</f>
        <v/>
      </c>
      <c r="AB715" s="66"/>
    </row>
    <row r="716">
      <c r="B716" s="63"/>
      <c r="C716" s="63"/>
      <c r="G716" s="3" t="str">
        <f t="shared" si="26"/>
        <v/>
      </c>
      <c r="I716" s="4">
        <f>SUMIFS('Weekly Dump'!D:D,'Weekly Dump'!B:B,C716)</f>
        <v>0</v>
      </c>
      <c r="J716" s="5">
        <f>SUMIFS('Weekly Dump'!AE:AE,'Weekly Dump'!B:B,C716)</f>
        <v>0</v>
      </c>
      <c r="K716" s="4">
        <f>SUMPRODUCT(
  (TEXT('Weekly Dump'!$A$2:$A1009,"mmm-yy")=TEXT($AB716,"mmm-yy"))*
  ('Weekly Dump'!$B$2:$B1009=$C716)*
  'Weekly Dump'!$D$2:$D1009)</f>
        <v>0</v>
      </c>
      <c r="L716" s="4">
        <f>SUMPRODUCT(
  (TEXT('Weekly Dump'!$A$2:$A1009,"mmm-yy")=TEXT($AB716,"mmm-yy"))*
  ('Weekly Dump'!$B$2:$B1009=$C716)*
  'Weekly Dump'!$E$2:$E1009
)</f>
        <v>0</v>
      </c>
      <c r="M716" s="4">
        <f>SUMPRODUCT(
  (TEXT('Weekly Dump'!$A$2:$A1009,"mmm-yy")=TEXT($AB716,"mmm-yy"))*
  ('Weekly Dump'!$B$2:$B1009=$C716)*
  'Weekly Dump'!$P$2:$P1009
)</f>
        <v>0</v>
      </c>
      <c r="N716" s="39"/>
      <c r="O716" s="40">
        <f>SUMIFS('Weekly Dump'!$D:$D,'Weekly Dump'!$B:$B,$C716,'Weekly Dump'!$A:$A,$AB716)</f>
        <v>0</v>
      </c>
      <c r="P716" s="40">
        <f>SUMIFS('Weekly Dump'!R:R,'Weekly Dump'!B:B,C716,'Weekly Dump'!A:A,AB716)</f>
        <v>0</v>
      </c>
      <c r="Q716" s="40">
        <f t="shared" si="20"/>
        <v>0</v>
      </c>
      <c r="R716" s="41"/>
      <c r="T716" s="4">
        <f>SUMIFS('Weekly Dump'!E:E,'Weekly Dump'!B:B,C716,'Weekly Dump'!A:A,AB716)</f>
        <v>0</v>
      </c>
      <c r="U716" s="3">
        <f t="shared" si="21"/>
        <v>0</v>
      </c>
      <c r="V716" s="42"/>
      <c r="X716" s="4">
        <f>SUMIFS('Weekly Dump'!P:P,'Weekly Dump'!B:B,C716,'Weekly Dump'!A:A,AB716)</f>
        <v>0</v>
      </c>
      <c r="Y716" s="4">
        <f t="shared" si="22"/>
        <v>0</v>
      </c>
      <c r="Z716" s="41"/>
      <c r="AA716" s="12" t="str">
        <f>iferror(IF(VLOOKUP(C716,'Weekly Dump'!B:B,1,0)=C716,"Yes","Missing"),"")</f>
        <v/>
      </c>
      <c r="AB716" s="66"/>
    </row>
    <row r="717">
      <c r="B717" s="63"/>
      <c r="C717" s="63"/>
      <c r="G717" s="3" t="str">
        <f t="shared" si="26"/>
        <v/>
      </c>
      <c r="I717" s="4">
        <f>SUMIFS('Weekly Dump'!D:D,'Weekly Dump'!B:B,C717)</f>
        <v>0</v>
      </c>
      <c r="J717" s="5">
        <f>SUMIFS('Weekly Dump'!AE:AE,'Weekly Dump'!B:B,C717)</f>
        <v>0</v>
      </c>
      <c r="K717" s="4">
        <f>SUMPRODUCT(
  (TEXT('Weekly Dump'!$A$2:$A1009,"mmm-yy")=TEXT($AB717,"mmm-yy"))*
  ('Weekly Dump'!$B$2:$B1009=$C717)*
  'Weekly Dump'!$D$2:$D1009)</f>
        <v>0</v>
      </c>
      <c r="L717" s="4">
        <f>SUMPRODUCT(
  (TEXT('Weekly Dump'!$A$2:$A1009,"mmm-yy")=TEXT($AB717,"mmm-yy"))*
  ('Weekly Dump'!$B$2:$B1009=$C717)*
  'Weekly Dump'!$E$2:$E1009
)</f>
        <v>0</v>
      </c>
      <c r="M717" s="4">
        <f>SUMPRODUCT(
  (TEXT('Weekly Dump'!$A$2:$A1009,"mmm-yy")=TEXT($AB717,"mmm-yy"))*
  ('Weekly Dump'!$B$2:$B1009=$C717)*
  'Weekly Dump'!$P$2:$P1009
)</f>
        <v>0</v>
      </c>
      <c r="N717" s="39"/>
      <c r="O717" s="40">
        <f>SUMIFS('Weekly Dump'!$D:$D,'Weekly Dump'!$B:$B,$C717,'Weekly Dump'!$A:$A,$AB717)</f>
        <v>0</v>
      </c>
      <c r="P717" s="40">
        <f>SUMIFS('Weekly Dump'!R:R,'Weekly Dump'!B:B,C717,'Weekly Dump'!A:A,AB717)</f>
        <v>0</v>
      </c>
      <c r="Q717" s="40">
        <f t="shared" si="20"/>
        <v>0</v>
      </c>
      <c r="R717" s="41"/>
      <c r="T717" s="4">
        <f>SUMIFS('Weekly Dump'!E:E,'Weekly Dump'!B:B,C717,'Weekly Dump'!A:A,AB717)</f>
        <v>0</v>
      </c>
      <c r="U717" s="3">
        <f t="shared" si="21"/>
        <v>0</v>
      </c>
      <c r="V717" s="42"/>
      <c r="X717" s="4">
        <f>SUMIFS('Weekly Dump'!P:P,'Weekly Dump'!B:B,C717,'Weekly Dump'!A:A,AB717)</f>
        <v>0</v>
      </c>
      <c r="Y717" s="4">
        <f t="shared" si="22"/>
        <v>0</v>
      </c>
      <c r="Z717" s="41"/>
      <c r="AA717" s="12" t="str">
        <f>iferror(IF(VLOOKUP(C717,'Weekly Dump'!B:B,1,0)=C717,"Yes","Missing"),"")</f>
        <v/>
      </c>
      <c r="AB717" s="66"/>
    </row>
    <row r="718">
      <c r="B718" s="63"/>
      <c r="C718" s="63"/>
      <c r="G718" s="3" t="str">
        <f t="shared" si="26"/>
        <v/>
      </c>
      <c r="I718" s="4">
        <f>SUMIFS('Weekly Dump'!D:D,'Weekly Dump'!B:B,C718)</f>
        <v>0</v>
      </c>
      <c r="J718" s="5">
        <f>SUMIFS('Weekly Dump'!AE:AE,'Weekly Dump'!B:B,C718)</f>
        <v>0</v>
      </c>
      <c r="K718" s="4">
        <f>SUMPRODUCT(
  (TEXT('Weekly Dump'!$A$2:$A1009,"mmm-yy")=TEXT($AB718,"mmm-yy"))*
  ('Weekly Dump'!$B$2:$B1009=$C718)*
  'Weekly Dump'!$D$2:$D1009)</f>
        <v>0</v>
      </c>
      <c r="L718" s="4">
        <f>SUMPRODUCT(
  (TEXT('Weekly Dump'!$A$2:$A1009,"mmm-yy")=TEXT($AB718,"mmm-yy"))*
  ('Weekly Dump'!$B$2:$B1009=$C718)*
  'Weekly Dump'!$E$2:$E1009
)</f>
        <v>0</v>
      </c>
      <c r="M718" s="4">
        <f>SUMPRODUCT(
  (TEXT('Weekly Dump'!$A$2:$A1009,"mmm-yy")=TEXT($AB718,"mmm-yy"))*
  ('Weekly Dump'!$B$2:$B1009=$C718)*
  'Weekly Dump'!$P$2:$P1009
)</f>
        <v>0</v>
      </c>
      <c r="N718" s="39"/>
      <c r="O718" s="40">
        <f>SUMIFS('Weekly Dump'!$D:$D,'Weekly Dump'!$B:$B,$C718,'Weekly Dump'!$A:$A,$AB718)</f>
        <v>0</v>
      </c>
      <c r="P718" s="40">
        <f>SUMIFS('Weekly Dump'!R:R,'Weekly Dump'!B:B,C718,'Weekly Dump'!A:A,AB718)</f>
        <v>0</v>
      </c>
      <c r="Q718" s="40">
        <f t="shared" si="20"/>
        <v>0</v>
      </c>
      <c r="R718" s="41"/>
      <c r="T718" s="4">
        <f>SUMIFS('Weekly Dump'!E:E,'Weekly Dump'!B:B,C718,'Weekly Dump'!A:A,AB718)</f>
        <v>0</v>
      </c>
      <c r="U718" s="3">
        <f t="shared" si="21"/>
        <v>0</v>
      </c>
      <c r="V718" s="42"/>
      <c r="X718" s="4">
        <f>SUMIFS('Weekly Dump'!P:P,'Weekly Dump'!B:B,C718,'Weekly Dump'!A:A,AB718)</f>
        <v>0</v>
      </c>
      <c r="Y718" s="4">
        <f t="shared" si="22"/>
        <v>0</v>
      </c>
      <c r="Z718" s="41"/>
      <c r="AA718" s="12" t="str">
        <f>iferror(IF(VLOOKUP(C718,'Weekly Dump'!B:B,1,0)=C718,"Yes","Missing"),"")</f>
        <v/>
      </c>
      <c r="AB718" s="66"/>
    </row>
    <row r="719">
      <c r="B719" s="63"/>
      <c r="C719" s="63"/>
      <c r="G719" s="3" t="str">
        <f t="shared" si="26"/>
        <v/>
      </c>
      <c r="I719" s="4">
        <f>SUMIFS('Weekly Dump'!D:D,'Weekly Dump'!B:B,C719)</f>
        <v>0</v>
      </c>
      <c r="J719" s="5">
        <f>SUMIFS('Weekly Dump'!AE:AE,'Weekly Dump'!B:B,C719)</f>
        <v>0</v>
      </c>
      <c r="K719" s="4">
        <f>SUMPRODUCT(
  (TEXT('Weekly Dump'!$A$2:$A1009,"mmm-yy")=TEXT($AB719,"mmm-yy"))*
  ('Weekly Dump'!$B$2:$B1009=$C719)*
  'Weekly Dump'!$D$2:$D1009)</f>
        <v>0</v>
      </c>
      <c r="L719" s="4">
        <f>SUMPRODUCT(
  (TEXT('Weekly Dump'!$A$2:$A1009,"mmm-yy")=TEXT($AB719,"mmm-yy"))*
  ('Weekly Dump'!$B$2:$B1009=$C719)*
  'Weekly Dump'!$E$2:$E1009
)</f>
        <v>0</v>
      </c>
      <c r="M719" s="4">
        <f>SUMPRODUCT(
  (TEXT('Weekly Dump'!$A$2:$A1009,"mmm-yy")=TEXT($AB719,"mmm-yy"))*
  ('Weekly Dump'!$B$2:$B1009=$C719)*
  'Weekly Dump'!$P$2:$P1009
)</f>
        <v>0</v>
      </c>
      <c r="N719" s="39"/>
      <c r="O719" s="40">
        <f>SUMIFS('Weekly Dump'!$D:$D,'Weekly Dump'!$B:$B,$C719,'Weekly Dump'!$A:$A,$AB719)</f>
        <v>0</v>
      </c>
      <c r="P719" s="40">
        <f>SUMIFS('Weekly Dump'!R:R,'Weekly Dump'!B:B,C719,'Weekly Dump'!A:A,AB719)</f>
        <v>0</v>
      </c>
      <c r="Q719" s="40">
        <f t="shared" si="20"/>
        <v>0</v>
      </c>
      <c r="R719" s="41"/>
      <c r="T719" s="4">
        <f>SUMIFS('Weekly Dump'!E:E,'Weekly Dump'!B:B,C719,'Weekly Dump'!A:A,AB719)</f>
        <v>0</v>
      </c>
      <c r="U719" s="3">
        <f t="shared" si="21"/>
        <v>0</v>
      </c>
      <c r="V719" s="42"/>
      <c r="X719" s="4">
        <f>SUMIFS('Weekly Dump'!P:P,'Weekly Dump'!B:B,C719,'Weekly Dump'!A:A,AB719)</f>
        <v>0</v>
      </c>
      <c r="Y719" s="4">
        <f t="shared" si="22"/>
        <v>0</v>
      </c>
      <c r="Z719" s="41"/>
      <c r="AA719" s="12" t="str">
        <f>iferror(IF(VLOOKUP(C719,'Weekly Dump'!B:B,1,0)=C719,"Yes","Missing"),"")</f>
        <v/>
      </c>
      <c r="AB719" s="66"/>
    </row>
    <row r="720">
      <c r="B720" s="63"/>
      <c r="C720" s="63"/>
      <c r="G720" s="3" t="str">
        <f t="shared" si="26"/>
        <v/>
      </c>
      <c r="I720" s="4">
        <f>SUMIFS('Weekly Dump'!D:D,'Weekly Dump'!B:B,C720)</f>
        <v>0</v>
      </c>
      <c r="J720" s="5">
        <f>SUMIFS('Weekly Dump'!AE:AE,'Weekly Dump'!B:B,C720)</f>
        <v>0</v>
      </c>
      <c r="K720" s="4">
        <f>SUMPRODUCT(
  (TEXT('Weekly Dump'!$A$2:$A1009,"mmm-yy")=TEXT($AB720,"mmm-yy"))*
  ('Weekly Dump'!$B$2:$B1009=$C720)*
  'Weekly Dump'!$D$2:$D1009)</f>
        <v>0</v>
      </c>
      <c r="L720" s="4">
        <f>SUMPRODUCT(
  (TEXT('Weekly Dump'!$A$2:$A1009,"mmm-yy")=TEXT($AB720,"mmm-yy"))*
  ('Weekly Dump'!$B$2:$B1009=$C720)*
  'Weekly Dump'!$E$2:$E1009
)</f>
        <v>0</v>
      </c>
      <c r="M720" s="4">
        <f>SUMPRODUCT(
  (TEXT('Weekly Dump'!$A$2:$A1009,"mmm-yy")=TEXT($AB720,"mmm-yy"))*
  ('Weekly Dump'!$B$2:$B1009=$C720)*
  'Weekly Dump'!$P$2:$P1009
)</f>
        <v>0</v>
      </c>
      <c r="N720" s="39"/>
      <c r="O720" s="40">
        <f>SUMIFS('Weekly Dump'!$D:$D,'Weekly Dump'!$B:$B,$C720,'Weekly Dump'!$A:$A,$AB720)</f>
        <v>0</v>
      </c>
      <c r="P720" s="40">
        <f>SUMIFS('Weekly Dump'!R:R,'Weekly Dump'!B:B,C720,'Weekly Dump'!A:A,AB720)</f>
        <v>0</v>
      </c>
      <c r="Q720" s="40">
        <f t="shared" si="20"/>
        <v>0</v>
      </c>
      <c r="R720" s="41"/>
      <c r="T720" s="4">
        <f>SUMIFS('Weekly Dump'!E:E,'Weekly Dump'!B:B,C720,'Weekly Dump'!A:A,AB720)</f>
        <v>0</v>
      </c>
      <c r="U720" s="3">
        <f t="shared" si="21"/>
        <v>0</v>
      </c>
      <c r="V720" s="42"/>
      <c r="X720" s="4">
        <f>SUMIFS('Weekly Dump'!P:P,'Weekly Dump'!B:B,C720,'Weekly Dump'!A:A,AB720)</f>
        <v>0</v>
      </c>
      <c r="Y720" s="4">
        <f t="shared" si="22"/>
        <v>0</v>
      </c>
      <c r="Z720" s="41"/>
      <c r="AA720" s="12" t="str">
        <f>iferror(IF(VLOOKUP(C720,'Weekly Dump'!B:B,1,0)=C720,"Yes","Missing"),"")</f>
        <v/>
      </c>
      <c r="AB720" s="66"/>
    </row>
    <row r="721">
      <c r="B721" s="63"/>
      <c r="C721" s="63"/>
      <c r="G721" s="3" t="str">
        <f t="shared" si="26"/>
        <v/>
      </c>
      <c r="I721" s="4">
        <f>SUMIFS('Weekly Dump'!D:D,'Weekly Dump'!B:B,C721)</f>
        <v>0</v>
      </c>
      <c r="J721" s="5">
        <f>SUMIFS('Weekly Dump'!AE:AE,'Weekly Dump'!B:B,C721)</f>
        <v>0</v>
      </c>
      <c r="K721" s="4">
        <f>SUMPRODUCT(
  (TEXT('Weekly Dump'!$A$2:$A1009,"mmm-yy")=TEXT($AB721,"mmm-yy"))*
  ('Weekly Dump'!$B$2:$B1009=$C721)*
  'Weekly Dump'!$D$2:$D1009)</f>
        <v>0</v>
      </c>
      <c r="L721" s="4">
        <f>SUMPRODUCT(
  (TEXT('Weekly Dump'!$A$2:$A1009,"mmm-yy")=TEXT($AB721,"mmm-yy"))*
  ('Weekly Dump'!$B$2:$B1009=$C721)*
  'Weekly Dump'!$E$2:$E1009
)</f>
        <v>0</v>
      </c>
      <c r="M721" s="4">
        <f>SUMPRODUCT(
  (TEXT('Weekly Dump'!$A$2:$A1009,"mmm-yy")=TEXT($AB721,"mmm-yy"))*
  ('Weekly Dump'!$B$2:$B1009=$C721)*
  'Weekly Dump'!$P$2:$P1009
)</f>
        <v>0</v>
      </c>
      <c r="N721" s="39"/>
      <c r="O721" s="40">
        <f>SUMIFS('Weekly Dump'!$D:$D,'Weekly Dump'!$B:$B,$C721,'Weekly Dump'!$A:$A,$AB721)</f>
        <v>0</v>
      </c>
      <c r="P721" s="40">
        <f>SUMIFS('Weekly Dump'!R:R,'Weekly Dump'!B:B,C721,'Weekly Dump'!A:A,AB721)</f>
        <v>0</v>
      </c>
      <c r="Q721" s="40">
        <f t="shared" si="20"/>
        <v>0</v>
      </c>
      <c r="R721" s="41"/>
      <c r="T721" s="4">
        <f>SUMIFS('Weekly Dump'!E:E,'Weekly Dump'!B:B,C721,'Weekly Dump'!A:A,AB721)</f>
        <v>0</v>
      </c>
      <c r="U721" s="3">
        <f t="shared" si="21"/>
        <v>0</v>
      </c>
      <c r="V721" s="42"/>
      <c r="X721" s="4">
        <f>SUMIFS('Weekly Dump'!P:P,'Weekly Dump'!B:B,C721,'Weekly Dump'!A:A,AB721)</f>
        <v>0</v>
      </c>
      <c r="Y721" s="4">
        <f t="shared" si="22"/>
        <v>0</v>
      </c>
      <c r="Z721" s="41"/>
      <c r="AA721" s="12" t="str">
        <f>iferror(IF(VLOOKUP(C721,'Weekly Dump'!B:B,1,0)=C721,"Yes","Missing"),"")</f>
        <v/>
      </c>
      <c r="AB721" s="66"/>
    </row>
    <row r="722">
      <c r="B722" s="63"/>
      <c r="C722" s="63"/>
      <c r="G722" s="3" t="str">
        <f t="shared" si="26"/>
        <v/>
      </c>
      <c r="I722" s="4">
        <f>SUMIFS('Weekly Dump'!D:D,'Weekly Dump'!B:B,C722)</f>
        <v>0</v>
      </c>
      <c r="J722" s="5">
        <f>SUMIFS('Weekly Dump'!AE:AE,'Weekly Dump'!B:B,C722)</f>
        <v>0</v>
      </c>
      <c r="K722" s="4">
        <f>SUMPRODUCT(
  (TEXT('Weekly Dump'!$A$2:$A1009,"mmm-yy")=TEXT($AB722,"mmm-yy"))*
  ('Weekly Dump'!$B$2:$B1009=$C722)*
  'Weekly Dump'!$D$2:$D1009)</f>
        <v>0</v>
      </c>
      <c r="L722" s="4">
        <f>SUMPRODUCT(
  (TEXT('Weekly Dump'!$A$2:$A1009,"mmm-yy")=TEXT($AB722,"mmm-yy"))*
  ('Weekly Dump'!$B$2:$B1009=$C722)*
  'Weekly Dump'!$E$2:$E1009
)</f>
        <v>0</v>
      </c>
      <c r="M722" s="4">
        <f>SUMPRODUCT(
  (TEXT('Weekly Dump'!$A$2:$A1009,"mmm-yy")=TEXT($AB722,"mmm-yy"))*
  ('Weekly Dump'!$B$2:$B1009=$C722)*
  'Weekly Dump'!$P$2:$P1009
)</f>
        <v>0</v>
      </c>
      <c r="N722" s="39"/>
      <c r="O722" s="40">
        <f>SUMIFS('Weekly Dump'!$D:$D,'Weekly Dump'!$B:$B,$C722,'Weekly Dump'!$A:$A,$AB722)</f>
        <v>0</v>
      </c>
      <c r="P722" s="40">
        <f>SUMIFS('Weekly Dump'!R:R,'Weekly Dump'!B:B,C722,'Weekly Dump'!A:A,AB722)</f>
        <v>0</v>
      </c>
      <c r="Q722" s="40">
        <f t="shared" si="20"/>
        <v>0</v>
      </c>
      <c r="R722" s="41"/>
      <c r="T722" s="4">
        <f>SUMIFS('Weekly Dump'!E:E,'Weekly Dump'!B:B,C722,'Weekly Dump'!A:A,AB722)</f>
        <v>0</v>
      </c>
      <c r="U722" s="3">
        <f t="shared" si="21"/>
        <v>0</v>
      </c>
      <c r="V722" s="42"/>
      <c r="X722" s="4">
        <f>SUMIFS('Weekly Dump'!P:P,'Weekly Dump'!B:B,C722,'Weekly Dump'!A:A,AB722)</f>
        <v>0</v>
      </c>
      <c r="Y722" s="4">
        <f t="shared" si="22"/>
        <v>0</v>
      </c>
      <c r="Z722" s="41"/>
      <c r="AA722" s="12" t="str">
        <f>iferror(IF(VLOOKUP(C722,'Weekly Dump'!B:B,1,0)=C722,"Yes","Missing"),"")</f>
        <v/>
      </c>
      <c r="AB722" s="66"/>
    </row>
    <row r="723">
      <c r="B723" s="63"/>
      <c r="C723" s="63"/>
      <c r="G723" s="3" t="str">
        <f t="shared" si="26"/>
        <v/>
      </c>
      <c r="I723" s="4">
        <f>SUMIFS('Weekly Dump'!D:D,'Weekly Dump'!B:B,C723)</f>
        <v>0</v>
      </c>
      <c r="J723" s="5">
        <f>SUMIFS('Weekly Dump'!AE:AE,'Weekly Dump'!B:B,C723)</f>
        <v>0</v>
      </c>
      <c r="K723" s="4">
        <f>SUMPRODUCT(
  (TEXT('Weekly Dump'!$A$2:$A1009,"mmm-yy")=TEXT($AB723,"mmm-yy"))*
  ('Weekly Dump'!$B$2:$B1009=$C723)*
  'Weekly Dump'!$D$2:$D1009)</f>
        <v>0</v>
      </c>
      <c r="L723" s="4">
        <f>SUMPRODUCT(
  (TEXT('Weekly Dump'!$A$2:$A1009,"mmm-yy")=TEXT($AB723,"mmm-yy"))*
  ('Weekly Dump'!$B$2:$B1009=$C723)*
  'Weekly Dump'!$E$2:$E1009
)</f>
        <v>0</v>
      </c>
      <c r="M723" s="4">
        <f>SUMPRODUCT(
  (TEXT('Weekly Dump'!$A$2:$A1009,"mmm-yy")=TEXT($AB723,"mmm-yy"))*
  ('Weekly Dump'!$B$2:$B1009=$C723)*
  'Weekly Dump'!$P$2:$P1009
)</f>
        <v>0</v>
      </c>
      <c r="N723" s="39"/>
      <c r="O723" s="40">
        <f>SUMIFS('Weekly Dump'!$D:$D,'Weekly Dump'!$B:$B,$C723,'Weekly Dump'!$A:$A,$AB723)</f>
        <v>0</v>
      </c>
      <c r="P723" s="40">
        <f>SUMIFS('Weekly Dump'!R:R,'Weekly Dump'!B:B,C723,'Weekly Dump'!A:A,AB723)</f>
        <v>0</v>
      </c>
      <c r="Q723" s="40">
        <f t="shared" si="20"/>
        <v>0</v>
      </c>
      <c r="R723" s="41"/>
      <c r="T723" s="4">
        <f>SUMIFS('Weekly Dump'!E:E,'Weekly Dump'!B:B,C723,'Weekly Dump'!A:A,AB723)</f>
        <v>0</v>
      </c>
      <c r="U723" s="3">
        <f t="shared" si="21"/>
        <v>0</v>
      </c>
      <c r="V723" s="42"/>
      <c r="X723" s="4">
        <f>SUMIFS('Weekly Dump'!P:P,'Weekly Dump'!B:B,C723,'Weekly Dump'!A:A,AB723)</f>
        <v>0</v>
      </c>
      <c r="Y723" s="4">
        <f t="shared" si="22"/>
        <v>0</v>
      </c>
      <c r="Z723" s="41"/>
      <c r="AA723" s="12" t="str">
        <f>iferror(IF(VLOOKUP(C723,'Weekly Dump'!B:B,1,0)=C723,"Yes","Missing"),"")</f>
        <v/>
      </c>
      <c r="AB723" s="66"/>
    </row>
    <row r="724">
      <c r="B724" s="63"/>
      <c r="C724" s="63"/>
      <c r="G724" s="3" t="str">
        <f t="shared" si="26"/>
        <v/>
      </c>
      <c r="I724" s="4">
        <f>SUMIFS('Weekly Dump'!D:D,'Weekly Dump'!B:B,C724)</f>
        <v>0</v>
      </c>
      <c r="J724" s="5">
        <f>SUMIFS('Weekly Dump'!AE:AE,'Weekly Dump'!B:B,C724)</f>
        <v>0</v>
      </c>
      <c r="K724" s="4">
        <f>SUMPRODUCT(
  (TEXT('Weekly Dump'!$A$2:$A1009,"mmm-yy")=TEXT($AB724,"mmm-yy"))*
  ('Weekly Dump'!$B$2:$B1009=$C724)*
  'Weekly Dump'!$D$2:$D1009)</f>
        <v>0</v>
      </c>
      <c r="L724" s="4">
        <f>SUMPRODUCT(
  (TEXT('Weekly Dump'!$A$2:$A1009,"mmm-yy")=TEXT($AB724,"mmm-yy"))*
  ('Weekly Dump'!$B$2:$B1009=$C724)*
  'Weekly Dump'!$E$2:$E1009
)</f>
        <v>0</v>
      </c>
      <c r="M724" s="4">
        <f>SUMPRODUCT(
  (TEXT('Weekly Dump'!$A$2:$A1009,"mmm-yy")=TEXT($AB724,"mmm-yy"))*
  ('Weekly Dump'!$B$2:$B1009=$C724)*
  'Weekly Dump'!$P$2:$P1009
)</f>
        <v>0</v>
      </c>
      <c r="N724" s="39"/>
      <c r="O724" s="40">
        <f>SUMIFS('Weekly Dump'!$D:$D,'Weekly Dump'!$B:$B,$C724,'Weekly Dump'!$A:$A,$AB724)</f>
        <v>0</v>
      </c>
      <c r="P724" s="40">
        <f>SUMIFS('Weekly Dump'!R:R,'Weekly Dump'!B:B,C724,'Weekly Dump'!A:A,AB724)</f>
        <v>0</v>
      </c>
      <c r="Q724" s="40">
        <f t="shared" si="20"/>
        <v>0</v>
      </c>
      <c r="R724" s="41"/>
      <c r="T724" s="4">
        <f>SUMIFS('Weekly Dump'!E:E,'Weekly Dump'!B:B,C724,'Weekly Dump'!A:A,AB724)</f>
        <v>0</v>
      </c>
      <c r="U724" s="3">
        <f t="shared" si="21"/>
        <v>0</v>
      </c>
      <c r="V724" s="42"/>
      <c r="X724" s="4">
        <f>SUMIFS('Weekly Dump'!P:P,'Weekly Dump'!B:B,C724,'Weekly Dump'!A:A,AB724)</f>
        <v>0</v>
      </c>
      <c r="Y724" s="4">
        <f t="shared" si="22"/>
        <v>0</v>
      </c>
      <c r="Z724" s="41"/>
      <c r="AA724" s="12" t="str">
        <f>iferror(IF(VLOOKUP(C724,'Weekly Dump'!B:B,1,0)=C724,"Yes","Missing"),"")</f>
        <v/>
      </c>
      <c r="AB724" s="66"/>
    </row>
    <row r="725">
      <c r="B725" s="63"/>
      <c r="C725" s="63"/>
      <c r="G725" s="3" t="str">
        <f t="shared" si="26"/>
        <v/>
      </c>
      <c r="I725" s="4">
        <f>SUMIFS('Weekly Dump'!D:D,'Weekly Dump'!B:B,C725)</f>
        <v>0</v>
      </c>
      <c r="J725" s="5">
        <f>SUMIFS('Weekly Dump'!AE:AE,'Weekly Dump'!B:B,C725)</f>
        <v>0</v>
      </c>
      <c r="K725" s="4">
        <f>SUMPRODUCT(
  (TEXT('Weekly Dump'!$A$2:$A1009,"mmm-yy")=TEXT($AB725,"mmm-yy"))*
  ('Weekly Dump'!$B$2:$B1009=$C725)*
  'Weekly Dump'!$D$2:$D1009)</f>
        <v>0</v>
      </c>
      <c r="L725" s="4">
        <f>SUMPRODUCT(
  (TEXT('Weekly Dump'!$A$2:$A1009,"mmm-yy")=TEXT($AB725,"mmm-yy"))*
  ('Weekly Dump'!$B$2:$B1009=$C725)*
  'Weekly Dump'!$E$2:$E1009
)</f>
        <v>0</v>
      </c>
      <c r="M725" s="4">
        <f>SUMPRODUCT(
  (TEXT('Weekly Dump'!$A$2:$A1009,"mmm-yy")=TEXT($AB725,"mmm-yy"))*
  ('Weekly Dump'!$B$2:$B1009=$C725)*
  'Weekly Dump'!$P$2:$P1009
)</f>
        <v>0</v>
      </c>
      <c r="N725" s="39"/>
      <c r="O725" s="40">
        <f>SUMIFS('Weekly Dump'!$D:$D,'Weekly Dump'!$B:$B,$C725,'Weekly Dump'!$A:$A,$AB725)</f>
        <v>0</v>
      </c>
      <c r="P725" s="40">
        <f>SUMIFS('Weekly Dump'!R:R,'Weekly Dump'!B:B,C725,'Weekly Dump'!A:A,AB725)</f>
        <v>0</v>
      </c>
      <c r="Q725" s="40">
        <f t="shared" si="20"/>
        <v>0</v>
      </c>
      <c r="R725" s="41"/>
      <c r="T725" s="4">
        <f>SUMIFS('Weekly Dump'!E:E,'Weekly Dump'!B:B,C725,'Weekly Dump'!A:A,AB725)</f>
        <v>0</v>
      </c>
      <c r="U725" s="3">
        <f t="shared" si="21"/>
        <v>0</v>
      </c>
      <c r="V725" s="42"/>
      <c r="X725" s="4">
        <f>SUMIFS('Weekly Dump'!P:P,'Weekly Dump'!B:B,C725,'Weekly Dump'!A:A,AB725)</f>
        <v>0</v>
      </c>
      <c r="Y725" s="4">
        <f t="shared" si="22"/>
        <v>0</v>
      </c>
      <c r="Z725" s="41"/>
      <c r="AA725" s="12" t="str">
        <f>iferror(IF(VLOOKUP(C725,'Weekly Dump'!B:B,1,0)=C725,"Yes","Missing"),"")</f>
        <v/>
      </c>
      <c r="AB725" s="66"/>
    </row>
    <row r="726">
      <c r="B726" s="63"/>
      <c r="C726" s="63"/>
      <c r="G726" s="3" t="str">
        <f t="shared" si="26"/>
        <v/>
      </c>
      <c r="I726" s="4">
        <f>SUMIFS('Weekly Dump'!D:D,'Weekly Dump'!B:B,C726)</f>
        <v>0</v>
      </c>
      <c r="J726" s="5">
        <f>SUMIFS('Weekly Dump'!AE:AE,'Weekly Dump'!B:B,C726)</f>
        <v>0</v>
      </c>
      <c r="K726" s="4">
        <f>SUMPRODUCT(
  (TEXT('Weekly Dump'!$A$2:$A1009,"mmm-yy")=TEXT($AB726,"mmm-yy"))*
  ('Weekly Dump'!$B$2:$B1009=$C726)*
  'Weekly Dump'!$D$2:$D1009)</f>
        <v>0</v>
      </c>
      <c r="L726" s="4">
        <f>SUMPRODUCT(
  (TEXT('Weekly Dump'!$A$2:$A1009,"mmm-yy")=TEXT($AB726,"mmm-yy"))*
  ('Weekly Dump'!$B$2:$B1009=$C726)*
  'Weekly Dump'!$E$2:$E1009
)</f>
        <v>0</v>
      </c>
      <c r="M726" s="4">
        <f>SUMPRODUCT(
  (TEXT('Weekly Dump'!$A$2:$A1009,"mmm-yy")=TEXT($AB726,"mmm-yy"))*
  ('Weekly Dump'!$B$2:$B1009=$C726)*
  'Weekly Dump'!$P$2:$P1009
)</f>
        <v>0</v>
      </c>
      <c r="N726" s="39"/>
      <c r="O726" s="40">
        <f>SUMIFS('Weekly Dump'!$D:$D,'Weekly Dump'!$B:$B,$C726,'Weekly Dump'!$A:$A,$AB726)</f>
        <v>0</v>
      </c>
      <c r="P726" s="40">
        <f>SUMIFS('Weekly Dump'!R:R,'Weekly Dump'!B:B,C726,'Weekly Dump'!A:A,AB726)</f>
        <v>0</v>
      </c>
      <c r="Q726" s="40">
        <f t="shared" si="20"/>
        <v>0</v>
      </c>
      <c r="R726" s="41"/>
      <c r="T726" s="4">
        <f>SUMIFS('Weekly Dump'!E:E,'Weekly Dump'!B:B,C726,'Weekly Dump'!A:A,AB726)</f>
        <v>0</v>
      </c>
      <c r="U726" s="3">
        <f t="shared" si="21"/>
        <v>0</v>
      </c>
      <c r="V726" s="42"/>
      <c r="X726" s="4">
        <f>SUMIFS('Weekly Dump'!P:P,'Weekly Dump'!B:B,C726,'Weekly Dump'!A:A,AB726)</f>
        <v>0</v>
      </c>
      <c r="Y726" s="4">
        <f t="shared" si="22"/>
        <v>0</v>
      </c>
      <c r="Z726" s="41"/>
      <c r="AA726" s="12" t="str">
        <f>iferror(IF(VLOOKUP(C726,'Weekly Dump'!B:B,1,0)=C726,"Yes","Missing"),"")</f>
        <v/>
      </c>
      <c r="AB726" s="66"/>
    </row>
    <row r="727">
      <c r="B727" s="63"/>
      <c r="C727" s="63"/>
      <c r="G727" s="3" t="str">
        <f t="shared" si="26"/>
        <v/>
      </c>
      <c r="I727" s="4">
        <f>SUMIFS('Weekly Dump'!D:D,'Weekly Dump'!B:B,C727)</f>
        <v>0</v>
      </c>
      <c r="J727" s="5">
        <f>SUMIFS('Weekly Dump'!AE:AE,'Weekly Dump'!B:B,C727)</f>
        <v>0</v>
      </c>
      <c r="K727" s="4">
        <f>SUMPRODUCT(
  (TEXT('Weekly Dump'!$A$2:$A1009,"mmm-yy")=TEXT($AB727,"mmm-yy"))*
  ('Weekly Dump'!$B$2:$B1009=$C727)*
  'Weekly Dump'!$D$2:$D1009)</f>
        <v>0</v>
      </c>
      <c r="L727" s="4">
        <f>SUMPRODUCT(
  (TEXT('Weekly Dump'!$A$2:$A1009,"mmm-yy")=TEXT($AB727,"mmm-yy"))*
  ('Weekly Dump'!$B$2:$B1009=$C727)*
  'Weekly Dump'!$E$2:$E1009
)</f>
        <v>0</v>
      </c>
      <c r="M727" s="4">
        <f>SUMPRODUCT(
  (TEXT('Weekly Dump'!$A$2:$A1009,"mmm-yy")=TEXT($AB727,"mmm-yy"))*
  ('Weekly Dump'!$B$2:$B1009=$C727)*
  'Weekly Dump'!$P$2:$P1009
)</f>
        <v>0</v>
      </c>
      <c r="N727" s="39"/>
      <c r="O727" s="40">
        <f>SUMIFS('Weekly Dump'!$D:$D,'Weekly Dump'!$B:$B,$C727,'Weekly Dump'!$A:$A,$AB727)</f>
        <v>0</v>
      </c>
      <c r="P727" s="40">
        <f>SUMIFS('Weekly Dump'!R:R,'Weekly Dump'!B:B,C727,'Weekly Dump'!A:A,AB727)</f>
        <v>0</v>
      </c>
      <c r="Q727" s="40">
        <f t="shared" si="20"/>
        <v>0</v>
      </c>
      <c r="R727" s="41"/>
      <c r="T727" s="4">
        <f>SUMIFS('Weekly Dump'!E:E,'Weekly Dump'!B:B,C727,'Weekly Dump'!A:A,AB727)</f>
        <v>0</v>
      </c>
      <c r="U727" s="3">
        <f t="shared" si="21"/>
        <v>0</v>
      </c>
      <c r="V727" s="42"/>
      <c r="X727" s="4">
        <f>SUMIFS('Weekly Dump'!P:P,'Weekly Dump'!B:B,C727,'Weekly Dump'!A:A,AB727)</f>
        <v>0</v>
      </c>
      <c r="Y727" s="4">
        <f t="shared" si="22"/>
        <v>0</v>
      </c>
      <c r="Z727" s="41"/>
      <c r="AA727" s="12" t="str">
        <f>iferror(IF(VLOOKUP(C727,'Weekly Dump'!B:B,1,0)=C727,"Yes","Missing"),"")</f>
        <v/>
      </c>
      <c r="AB727" s="66"/>
    </row>
    <row r="728">
      <c r="B728" s="63"/>
      <c r="C728" s="63"/>
      <c r="G728" s="3" t="str">
        <f t="shared" si="26"/>
        <v/>
      </c>
      <c r="I728" s="4">
        <f>SUMIFS('Weekly Dump'!D:D,'Weekly Dump'!B:B,C728)</f>
        <v>0</v>
      </c>
      <c r="J728" s="5">
        <f>SUMIFS('Weekly Dump'!AE:AE,'Weekly Dump'!B:B,C728)</f>
        <v>0</v>
      </c>
      <c r="K728" s="4">
        <f>SUMPRODUCT(
  (TEXT('Weekly Dump'!$A$2:$A1009,"mmm-yy")=TEXT($AB728,"mmm-yy"))*
  ('Weekly Dump'!$B$2:$B1009=$C728)*
  'Weekly Dump'!$D$2:$D1009)</f>
        <v>0</v>
      </c>
      <c r="L728" s="4">
        <f>SUMPRODUCT(
  (TEXT('Weekly Dump'!$A$2:$A1009,"mmm-yy")=TEXT($AB728,"mmm-yy"))*
  ('Weekly Dump'!$B$2:$B1009=$C728)*
  'Weekly Dump'!$E$2:$E1009
)</f>
        <v>0</v>
      </c>
      <c r="M728" s="4">
        <f>SUMPRODUCT(
  (TEXT('Weekly Dump'!$A$2:$A1009,"mmm-yy")=TEXT($AB728,"mmm-yy"))*
  ('Weekly Dump'!$B$2:$B1009=$C728)*
  'Weekly Dump'!$P$2:$P1009
)</f>
        <v>0</v>
      </c>
      <c r="N728" s="39"/>
      <c r="O728" s="40">
        <f>SUMIFS('Weekly Dump'!$D:$D,'Weekly Dump'!$B:$B,$C728,'Weekly Dump'!$A:$A,$AB728)</f>
        <v>0</v>
      </c>
      <c r="P728" s="40">
        <f>SUMIFS('Weekly Dump'!R:R,'Weekly Dump'!B:B,C728,'Weekly Dump'!A:A,AB728)</f>
        <v>0</v>
      </c>
      <c r="Q728" s="40">
        <f t="shared" si="20"/>
        <v>0</v>
      </c>
      <c r="R728" s="41"/>
      <c r="T728" s="4">
        <f>SUMIFS('Weekly Dump'!E:E,'Weekly Dump'!B:B,C728,'Weekly Dump'!A:A,AB728)</f>
        <v>0</v>
      </c>
      <c r="U728" s="3">
        <f t="shared" si="21"/>
        <v>0</v>
      </c>
      <c r="V728" s="42"/>
      <c r="X728" s="4">
        <f>SUMIFS('Weekly Dump'!P:P,'Weekly Dump'!B:B,C728,'Weekly Dump'!A:A,AB728)</f>
        <v>0</v>
      </c>
      <c r="Y728" s="4">
        <f t="shared" si="22"/>
        <v>0</v>
      </c>
      <c r="Z728" s="41"/>
      <c r="AA728" s="12" t="str">
        <f>iferror(IF(VLOOKUP(C728,'Weekly Dump'!B:B,1,0)=C728,"Yes","Missing"),"")</f>
        <v/>
      </c>
      <c r="AB728" s="66"/>
    </row>
    <row r="729">
      <c r="B729" s="63"/>
      <c r="C729" s="63"/>
      <c r="G729" s="3" t="str">
        <f t="shared" si="26"/>
        <v/>
      </c>
      <c r="I729" s="4">
        <f>SUMIFS('Weekly Dump'!D:D,'Weekly Dump'!B:B,C729)</f>
        <v>0</v>
      </c>
      <c r="J729" s="5">
        <f>SUMIFS('Weekly Dump'!AE:AE,'Weekly Dump'!B:B,C729)</f>
        <v>0</v>
      </c>
      <c r="K729" s="4">
        <f>SUMPRODUCT(
  (TEXT('Weekly Dump'!$A$2:$A1009,"mmm-yy")=TEXT($AB729,"mmm-yy"))*
  ('Weekly Dump'!$B$2:$B1009=$C729)*
  'Weekly Dump'!$D$2:$D1009)</f>
        <v>0</v>
      </c>
      <c r="L729" s="4">
        <f>SUMPRODUCT(
  (TEXT('Weekly Dump'!$A$2:$A1009,"mmm-yy")=TEXT($AB729,"mmm-yy"))*
  ('Weekly Dump'!$B$2:$B1009=$C729)*
  'Weekly Dump'!$E$2:$E1009
)</f>
        <v>0</v>
      </c>
      <c r="M729" s="4">
        <f>SUMPRODUCT(
  (TEXT('Weekly Dump'!$A$2:$A1009,"mmm-yy")=TEXT($AB729,"mmm-yy"))*
  ('Weekly Dump'!$B$2:$B1009=$C729)*
  'Weekly Dump'!$P$2:$P1009
)</f>
        <v>0</v>
      </c>
      <c r="N729" s="39"/>
      <c r="O729" s="40">
        <f>SUMIFS('Weekly Dump'!$D:$D,'Weekly Dump'!$B:$B,$C729,'Weekly Dump'!$A:$A,$AB729)</f>
        <v>0</v>
      </c>
      <c r="P729" s="40">
        <f>SUMIFS('Weekly Dump'!R:R,'Weekly Dump'!B:B,C729,'Weekly Dump'!A:A,AB729)</f>
        <v>0</v>
      </c>
      <c r="Q729" s="40">
        <f t="shared" si="20"/>
        <v>0</v>
      </c>
      <c r="R729" s="41"/>
      <c r="T729" s="4">
        <f>SUMIFS('Weekly Dump'!E:E,'Weekly Dump'!B:B,C729,'Weekly Dump'!A:A,AB729)</f>
        <v>0</v>
      </c>
      <c r="U729" s="3">
        <f t="shared" si="21"/>
        <v>0</v>
      </c>
      <c r="V729" s="42"/>
      <c r="X729" s="4">
        <f>SUMIFS('Weekly Dump'!P:P,'Weekly Dump'!B:B,C729,'Weekly Dump'!A:A,AB729)</f>
        <v>0</v>
      </c>
      <c r="Y729" s="4">
        <f t="shared" si="22"/>
        <v>0</v>
      </c>
      <c r="Z729" s="41"/>
      <c r="AA729" s="12" t="str">
        <f>iferror(IF(VLOOKUP(C729,'Weekly Dump'!B:B,1,0)=C729,"Yes","Missing"),"")</f>
        <v/>
      </c>
      <c r="AB729" s="66"/>
    </row>
    <row r="730">
      <c r="B730" s="63"/>
      <c r="C730" s="63"/>
      <c r="G730" s="3" t="str">
        <f t="shared" si="26"/>
        <v/>
      </c>
      <c r="I730" s="4">
        <f>SUMIFS('Weekly Dump'!D:D,'Weekly Dump'!B:B,C730)</f>
        <v>0</v>
      </c>
      <c r="J730" s="5">
        <f>SUMIFS('Weekly Dump'!AE:AE,'Weekly Dump'!B:B,C730)</f>
        <v>0</v>
      </c>
      <c r="K730" s="4">
        <f>SUMPRODUCT(
  (TEXT('Weekly Dump'!$A$2:$A1009,"mmm-yy")=TEXT($AB730,"mmm-yy"))*
  ('Weekly Dump'!$B$2:$B1009=$C730)*
  'Weekly Dump'!$D$2:$D1009)</f>
        <v>0</v>
      </c>
      <c r="L730" s="4">
        <f>SUMPRODUCT(
  (TEXT('Weekly Dump'!$A$2:$A1009,"mmm-yy")=TEXT($AB730,"mmm-yy"))*
  ('Weekly Dump'!$B$2:$B1009=$C730)*
  'Weekly Dump'!$E$2:$E1009
)</f>
        <v>0</v>
      </c>
      <c r="M730" s="4">
        <f>SUMPRODUCT(
  (TEXT('Weekly Dump'!$A$2:$A1009,"mmm-yy")=TEXT($AB730,"mmm-yy"))*
  ('Weekly Dump'!$B$2:$B1009=$C730)*
  'Weekly Dump'!$P$2:$P1009
)</f>
        <v>0</v>
      </c>
      <c r="N730" s="39"/>
      <c r="O730" s="40">
        <f>SUMIFS('Weekly Dump'!$D:$D,'Weekly Dump'!$B:$B,$C730,'Weekly Dump'!$A:$A,$AB730)</f>
        <v>0</v>
      </c>
      <c r="P730" s="40">
        <f>SUMIFS('Weekly Dump'!R:R,'Weekly Dump'!B:B,C730,'Weekly Dump'!A:A,AB730)</f>
        <v>0</v>
      </c>
      <c r="Q730" s="40">
        <f t="shared" si="20"/>
        <v>0</v>
      </c>
      <c r="R730" s="41"/>
      <c r="T730" s="4">
        <f>SUMIFS('Weekly Dump'!E:E,'Weekly Dump'!B:B,C730,'Weekly Dump'!A:A,AB730)</f>
        <v>0</v>
      </c>
      <c r="U730" s="3">
        <f t="shared" si="21"/>
        <v>0</v>
      </c>
      <c r="V730" s="42"/>
      <c r="X730" s="4">
        <f>SUMIFS('Weekly Dump'!P:P,'Weekly Dump'!B:B,C730,'Weekly Dump'!A:A,AB730)</f>
        <v>0</v>
      </c>
      <c r="Y730" s="4">
        <f t="shared" si="22"/>
        <v>0</v>
      </c>
      <c r="Z730" s="41"/>
      <c r="AA730" s="12" t="str">
        <f>iferror(IF(VLOOKUP(C730,'Weekly Dump'!B:B,1,0)=C730,"Yes","Missing"),"")</f>
        <v/>
      </c>
      <c r="AB730" s="66"/>
    </row>
    <row r="731">
      <c r="B731" s="63"/>
      <c r="C731" s="63"/>
      <c r="G731" s="3" t="str">
        <f t="shared" si="26"/>
        <v/>
      </c>
      <c r="I731" s="4">
        <f>SUMIFS('Weekly Dump'!D:D,'Weekly Dump'!B:B,C731)</f>
        <v>0</v>
      </c>
      <c r="J731" s="5">
        <f>SUMIFS('Weekly Dump'!AE:AE,'Weekly Dump'!B:B,C731)</f>
        <v>0</v>
      </c>
      <c r="K731" s="4">
        <f>SUMPRODUCT(
  (TEXT('Weekly Dump'!$A$2:$A1009,"mmm-yy")=TEXT($AB731,"mmm-yy"))*
  ('Weekly Dump'!$B$2:$B1009=$C731)*
  'Weekly Dump'!$D$2:$D1009)</f>
        <v>0</v>
      </c>
      <c r="L731" s="4">
        <f>SUMPRODUCT(
  (TEXT('Weekly Dump'!$A$2:$A1009,"mmm-yy")=TEXT($AB731,"mmm-yy"))*
  ('Weekly Dump'!$B$2:$B1009=$C731)*
  'Weekly Dump'!$E$2:$E1009
)</f>
        <v>0</v>
      </c>
      <c r="M731" s="4">
        <f>SUMPRODUCT(
  (TEXT('Weekly Dump'!$A$2:$A1009,"mmm-yy")=TEXT($AB731,"mmm-yy"))*
  ('Weekly Dump'!$B$2:$B1009=$C731)*
  'Weekly Dump'!$P$2:$P1009
)</f>
        <v>0</v>
      </c>
      <c r="N731" s="39"/>
      <c r="O731" s="40">
        <f>SUMIFS('Weekly Dump'!$D:$D,'Weekly Dump'!$B:$B,$C731,'Weekly Dump'!$A:$A,$AB731)</f>
        <v>0</v>
      </c>
      <c r="P731" s="40">
        <f>SUMIFS('Weekly Dump'!R:R,'Weekly Dump'!B:B,C731,'Weekly Dump'!A:A,AB731)</f>
        <v>0</v>
      </c>
      <c r="Q731" s="40">
        <f t="shared" si="20"/>
        <v>0</v>
      </c>
      <c r="R731" s="41"/>
      <c r="T731" s="4">
        <f>SUMIFS('Weekly Dump'!E:E,'Weekly Dump'!B:B,C731,'Weekly Dump'!A:A,AB731)</f>
        <v>0</v>
      </c>
      <c r="U731" s="3">
        <f t="shared" si="21"/>
        <v>0</v>
      </c>
      <c r="V731" s="42"/>
      <c r="X731" s="4">
        <f>SUMIFS('Weekly Dump'!P:P,'Weekly Dump'!B:B,C731,'Weekly Dump'!A:A,AB731)</f>
        <v>0</v>
      </c>
      <c r="Y731" s="4">
        <f t="shared" si="22"/>
        <v>0</v>
      </c>
      <c r="Z731" s="41"/>
      <c r="AA731" s="12" t="str">
        <f>iferror(IF(VLOOKUP(C731,'Weekly Dump'!B:B,1,0)=C731,"Yes","Missing"),"")</f>
        <v/>
      </c>
      <c r="AB731" s="66"/>
    </row>
    <row r="732">
      <c r="B732" s="63"/>
      <c r="C732" s="63"/>
      <c r="G732" s="3" t="str">
        <f t="shared" si="26"/>
        <v/>
      </c>
      <c r="I732" s="4">
        <f>SUMIFS('Weekly Dump'!D:D,'Weekly Dump'!B:B,C732)</f>
        <v>0</v>
      </c>
      <c r="J732" s="5">
        <f>SUMIFS('Weekly Dump'!AE:AE,'Weekly Dump'!B:B,C732)</f>
        <v>0</v>
      </c>
      <c r="K732" s="4">
        <f>SUMPRODUCT(
  (TEXT('Weekly Dump'!$A$2:$A1009,"mmm-yy")=TEXT($AB732,"mmm-yy"))*
  ('Weekly Dump'!$B$2:$B1009=$C732)*
  'Weekly Dump'!$D$2:$D1009)</f>
        <v>0</v>
      </c>
      <c r="L732" s="4">
        <f>SUMPRODUCT(
  (TEXT('Weekly Dump'!$A$2:$A1009,"mmm-yy")=TEXT($AB732,"mmm-yy"))*
  ('Weekly Dump'!$B$2:$B1009=$C732)*
  'Weekly Dump'!$E$2:$E1009
)</f>
        <v>0</v>
      </c>
      <c r="M732" s="4">
        <f>SUMPRODUCT(
  (TEXT('Weekly Dump'!$A$2:$A1009,"mmm-yy")=TEXT($AB732,"mmm-yy"))*
  ('Weekly Dump'!$B$2:$B1009=$C732)*
  'Weekly Dump'!$P$2:$P1009
)</f>
        <v>0</v>
      </c>
      <c r="N732" s="39"/>
      <c r="O732" s="40">
        <f>SUMIFS('Weekly Dump'!$D:$D,'Weekly Dump'!$B:$B,$C732,'Weekly Dump'!$A:$A,$AB732)</f>
        <v>0</v>
      </c>
      <c r="P732" s="40">
        <f>SUMIFS('Weekly Dump'!R:R,'Weekly Dump'!B:B,C732,'Weekly Dump'!A:A,AB732)</f>
        <v>0</v>
      </c>
      <c r="Q732" s="40">
        <f t="shared" si="20"/>
        <v>0</v>
      </c>
      <c r="R732" s="41"/>
      <c r="T732" s="4">
        <f>SUMIFS('Weekly Dump'!E:E,'Weekly Dump'!B:B,C732,'Weekly Dump'!A:A,AB732)</f>
        <v>0</v>
      </c>
      <c r="U732" s="3">
        <f t="shared" si="21"/>
        <v>0</v>
      </c>
      <c r="V732" s="42"/>
      <c r="X732" s="4">
        <f>SUMIFS('Weekly Dump'!P:P,'Weekly Dump'!B:B,C732,'Weekly Dump'!A:A,AB732)</f>
        <v>0</v>
      </c>
      <c r="Y732" s="4">
        <f t="shared" si="22"/>
        <v>0</v>
      </c>
      <c r="Z732" s="41"/>
      <c r="AA732" s="12" t="str">
        <f>iferror(IF(VLOOKUP(C732,'Weekly Dump'!B:B,1,0)=C732,"Yes","Missing"),"")</f>
        <v/>
      </c>
      <c r="AB732" s="66"/>
    </row>
    <row r="733">
      <c r="B733" s="63"/>
      <c r="C733" s="63"/>
      <c r="G733" s="3" t="str">
        <f t="shared" si="26"/>
        <v/>
      </c>
      <c r="I733" s="4">
        <f>SUMIFS('Weekly Dump'!D:D,'Weekly Dump'!B:B,C733)</f>
        <v>0</v>
      </c>
      <c r="J733" s="5">
        <f>SUMIFS('Weekly Dump'!AE:AE,'Weekly Dump'!B:B,C733)</f>
        <v>0</v>
      </c>
      <c r="K733" s="4">
        <f>SUMPRODUCT(
  (TEXT('Weekly Dump'!$A$2:$A1009,"mmm-yy")=TEXT($AB733,"mmm-yy"))*
  ('Weekly Dump'!$B$2:$B1009=$C733)*
  'Weekly Dump'!$D$2:$D1009)</f>
        <v>0</v>
      </c>
      <c r="L733" s="4">
        <f>SUMPRODUCT(
  (TEXT('Weekly Dump'!$A$2:$A1009,"mmm-yy")=TEXT($AB733,"mmm-yy"))*
  ('Weekly Dump'!$B$2:$B1009=$C733)*
  'Weekly Dump'!$E$2:$E1009
)</f>
        <v>0</v>
      </c>
      <c r="M733" s="4">
        <f>SUMPRODUCT(
  (TEXT('Weekly Dump'!$A$2:$A1009,"mmm-yy")=TEXT($AB733,"mmm-yy"))*
  ('Weekly Dump'!$B$2:$B1009=$C733)*
  'Weekly Dump'!$P$2:$P1009
)</f>
        <v>0</v>
      </c>
      <c r="N733" s="39"/>
      <c r="O733" s="40">
        <f>SUMIFS('Weekly Dump'!$D:$D,'Weekly Dump'!$B:$B,$C733,'Weekly Dump'!$A:$A,$AB733)</f>
        <v>0</v>
      </c>
      <c r="P733" s="40">
        <f>SUMIFS('Weekly Dump'!R:R,'Weekly Dump'!B:B,C733,'Weekly Dump'!A:A,AB733)</f>
        <v>0</v>
      </c>
      <c r="Q733" s="40">
        <f t="shared" si="20"/>
        <v>0</v>
      </c>
      <c r="R733" s="41"/>
      <c r="T733" s="4">
        <f>SUMIFS('Weekly Dump'!E:E,'Weekly Dump'!B:B,C733,'Weekly Dump'!A:A,AB733)</f>
        <v>0</v>
      </c>
      <c r="U733" s="3">
        <f t="shared" si="21"/>
        <v>0</v>
      </c>
      <c r="V733" s="42"/>
      <c r="X733" s="4">
        <f>SUMIFS('Weekly Dump'!P:P,'Weekly Dump'!B:B,C733,'Weekly Dump'!A:A,AB733)</f>
        <v>0</v>
      </c>
      <c r="Y733" s="4">
        <f t="shared" si="22"/>
        <v>0</v>
      </c>
      <c r="Z733" s="41"/>
      <c r="AA733" s="12" t="str">
        <f>iferror(IF(VLOOKUP(C733,'Weekly Dump'!B:B,1,0)=C733,"Yes","Missing"),"")</f>
        <v/>
      </c>
      <c r="AB733" s="66"/>
    </row>
    <row r="734">
      <c r="B734" s="63"/>
      <c r="C734" s="63"/>
      <c r="G734" s="3" t="str">
        <f t="shared" si="26"/>
        <v/>
      </c>
      <c r="I734" s="4">
        <f>SUMIFS('Weekly Dump'!D:D,'Weekly Dump'!B:B,C734)</f>
        <v>0</v>
      </c>
      <c r="J734" s="5">
        <f>SUMIFS('Weekly Dump'!AE:AE,'Weekly Dump'!B:B,C734)</f>
        <v>0</v>
      </c>
      <c r="K734" s="4">
        <f>SUMPRODUCT(
  (TEXT('Weekly Dump'!$A$2:$A1009,"mmm-yy")=TEXT($AB734,"mmm-yy"))*
  ('Weekly Dump'!$B$2:$B1009=$C734)*
  'Weekly Dump'!$D$2:$D1009)</f>
        <v>0</v>
      </c>
      <c r="L734" s="4">
        <f>SUMPRODUCT(
  (TEXT('Weekly Dump'!$A$2:$A1009,"mmm-yy")=TEXT($AB734,"mmm-yy"))*
  ('Weekly Dump'!$B$2:$B1009=$C734)*
  'Weekly Dump'!$E$2:$E1009
)</f>
        <v>0</v>
      </c>
      <c r="M734" s="4">
        <f>SUMPRODUCT(
  (TEXT('Weekly Dump'!$A$2:$A1009,"mmm-yy")=TEXT($AB734,"mmm-yy"))*
  ('Weekly Dump'!$B$2:$B1009=$C734)*
  'Weekly Dump'!$P$2:$P1009
)</f>
        <v>0</v>
      </c>
      <c r="N734" s="39"/>
      <c r="O734" s="40">
        <f>SUMIFS('Weekly Dump'!$D:$D,'Weekly Dump'!$B:$B,$C734,'Weekly Dump'!$A:$A,$AB734)</f>
        <v>0</v>
      </c>
      <c r="P734" s="40">
        <f>SUMIFS('Weekly Dump'!R:R,'Weekly Dump'!B:B,C734,'Weekly Dump'!A:A,AB734)</f>
        <v>0</v>
      </c>
      <c r="Q734" s="40">
        <f t="shared" si="20"/>
        <v>0</v>
      </c>
      <c r="R734" s="41"/>
      <c r="T734" s="4">
        <f>SUMIFS('Weekly Dump'!E:E,'Weekly Dump'!B:B,C734,'Weekly Dump'!A:A,AB734)</f>
        <v>0</v>
      </c>
      <c r="U734" s="3">
        <f t="shared" si="21"/>
        <v>0</v>
      </c>
      <c r="V734" s="42"/>
      <c r="X734" s="4">
        <f>SUMIFS('Weekly Dump'!P:P,'Weekly Dump'!B:B,C734,'Weekly Dump'!A:A,AB734)</f>
        <v>0</v>
      </c>
      <c r="Y734" s="4">
        <f t="shared" si="22"/>
        <v>0</v>
      </c>
      <c r="Z734" s="41"/>
      <c r="AA734" s="12" t="str">
        <f>iferror(IF(VLOOKUP(C734,'Weekly Dump'!B:B,1,0)=C734,"Yes","Missing"),"")</f>
        <v/>
      </c>
      <c r="AB734" s="66"/>
    </row>
    <row r="735">
      <c r="B735" s="63"/>
      <c r="C735" s="63"/>
      <c r="G735" s="3" t="str">
        <f t="shared" si="26"/>
        <v/>
      </c>
      <c r="I735" s="4">
        <f>SUMIFS('Weekly Dump'!D:D,'Weekly Dump'!B:B,C735)</f>
        <v>0</v>
      </c>
      <c r="J735" s="5">
        <f>SUMIFS('Weekly Dump'!AE:AE,'Weekly Dump'!B:B,C735)</f>
        <v>0</v>
      </c>
      <c r="K735" s="4">
        <f>SUMPRODUCT(
  (TEXT('Weekly Dump'!$A$2:$A1009,"mmm-yy")=TEXT($AB735,"mmm-yy"))*
  ('Weekly Dump'!$B$2:$B1009=$C735)*
  'Weekly Dump'!$D$2:$D1009)</f>
        <v>0</v>
      </c>
      <c r="L735" s="4">
        <f>SUMPRODUCT(
  (TEXT('Weekly Dump'!$A$2:$A1009,"mmm-yy")=TEXT($AB735,"mmm-yy"))*
  ('Weekly Dump'!$B$2:$B1009=$C735)*
  'Weekly Dump'!$E$2:$E1009
)</f>
        <v>0</v>
      </c>
      <c r="M735" s="4">
        <f>SUMPRODUCT(
  (TEXT('Weekly Dump'!$A$2:$A1009,"mmm-yy")=TEXT($AB735,"mmm-yy"))*
  ('Weekly Dump'!$B$2:$B1009=$C735)*
  'Weekly Dump'!$P$2:$P1009
)</f>
        <v>0</v>
      </c>
      <c r="N735" s="39"/>
      <c r="O735" s="40">
        <f>SUMIFS('Weekly Dump'!$D:$D,'Weekly Dump'!$B:$B,$C735,'Weekly Dump'!$A:$A,$AB735)</f>
        <v>0</v>
      </c>
      <c r="P735" s="40">
        <f>SUMIFS('Weekly Dump'!R:R,'Weekly Dump'!B:B,C735,'Weekly Dump'!A:A,AB735)</f>
        <v>0</v>
      </c>
      <c r="Q735" s="40">
        <f t="shared" si="20"/>
        <v>0</v>
      </c>
      <c r="R735" s="41"/>
      <c r="T735" s="4">
        <f>SUMIFS('Weekly Dump'!E:E,'Weekly Dump'!B:B,C735,'Weekly Dump'!A:A,AB735)</f>
        <v>0</v>
      </c>
      <c r="U735" s="3">
        <f t="shared" si="21"/>
        <v>0</v>
      </c>
      <c r="V735" s="42"/>
      <c r="X735" s="4">
        <f>SUMIFS('Weekly Dump'!P:P,'Weekly Dump'!B:B,C735,'Weekly Dump'!A:A,AB735)</f>
        <v>0</v>
      </c>
      <c r="Y735" s="4">
        <f t="shared" si="22"/>
        <v>0</v>
      </c>
      <c r="Z735" s="41"/>
      <c r="AA735" s="12" t="str">
        <f>iferror(IF(VLOOKUP(C735,'Weekly Dump'!B:B,1,0)=C735,"Yes","Missing"),"")</f>
        <v/>
      </c>
      <c r="AB735" s="66"/>
    </row>
    <row r="736">
      <c r="B736" s="63"/>
      <c r="C736" s="63"/>
      <c r="G736" s="3" t="str">
        <f t="shared" si="26"/>
        <v/>
      </c>
      <c r="I736" s="4">
        <f>SUMIFS('Weekly Dump'!D:D,'Weekly Dump'!B:B,C736)</f>
        <v>0</v>
      </c>
      <c r="J736" s="5">
        <f>SUMIFS('Weekly Dump'!AE:AE,'Weekly Dump'!B:B,C736)</f>
        <v>0</v>
      </c>
      <c r="K736" s="4">
        <f>SUMPRODUCT(
  (TEXT('Weekly Dump'!$A$2:$A1009,"mmm-yy")=TEXT($AB736,"mmm-yy"))*
  ('Weekly Dump'!$B$2:$B1009=$C736)*
  'Weekly Dump'!$D$2:$D1009)</f>
        <v>0</v>
      </c>
      <c r="L736" s="4">
        <f>SUMPRODUCT(
  (TEXT('Weekly Dump'!$A$2:$A1009,"mmm-yy")=TEXT($AB736,"mmm-yy"))*
  ('Weekly Dump'!$B$2:$B1009=$C736)*
  'Weekly Dump'!$E$2:$E1009
)</f>
        <v>0</v>
      </c>
      <c r="M736" s="4">
        <f>SUMPRODUCT(
  (TEXT('Weekly Dump'!$A$2:$A1009,"mmm-yy")=TEXT($AB736,"mmm-yy"))*
  ('Weekly Dump'!$B$2:$B1009=$C736)*
  'Weekly Dump'!$P$2:$P1009
)</f>
        <v>0</v>
      </c>
      <c r="N736" s="39"/>
      <c r="O736" s="40">
        <f>SUMIFS('Weekly Dump'!$D:$D,'Weekly Dump'!$B:$B,$C736,'Weekly Dump'!$A:$A,$AB736)</f>
        <v>0</v>
      </c>
      <c r="P736" s="40">
        <f>SUMIFS('Weekly Dump'!R:R,'Weekly Dump'!B:B,C736,'Weekly Dump'!A:A,AB736)</f>
        <v>0</v>
      </c>
      <c r="Q736" s="40">
        <f t="shared" si="20"/>
        <v>0</v>
      </c>
      <c r="R736" s="41"/>
      <c r="T736" s="4">
        <f>SUMIFS('Weekly Dump'!E:E,'Weekly Dump'!B:B,C736,'Weekly Dump'!A:A,AB736)</f>
        <v>0</v>
      </c>
      <c r="U736" s="3">
        <f t="shared" si="21"/>
        <v>0</v>
      </c>
      <c r="V736" s="42"/>
      <c r="X736" s="4">
        <f>SUMIFS('Weekly Dump'!P:P,'Weekly Dump'!B:B,C736,'Weekly Dump'!A:A,AB736)</f>
        <v>0</v>
      </c>
      <c r="Y736" s="4">
        <f t="shared" si="22"/>
        <v>0</v>
      </c>
      <c r="Z736" s="41"/>
      <c r="AA736" s="12" t="str">
        <f>iferror(IF(VLOOKUP(C736,'Weekly Dump'!B:B,1,0)=C736,"Yes","Missing"),"")</f>
        <v/>
      </c>
      <c r="AB736" s="66"/>
    </row>
    <row r="737">
      <c r="B737" s="63"/>
      <c r="C737" s="63"/>
      <c r="G737" s="3" t="str">
        <f t="shared" si="26"/>
        <v/>
      </c>
      <c r="I737" s="4">
        <f>SUMIFS('Weekly Dump'!D:D,'Weekly Dump'!B:B,C737)</f>
        <v>0</v>
      </c>
      <c r="J737" s="5">
        <f>SUMIFS('Weekly Dump'!AE:AE,'Weekly Dump'!B:B,C737)</f>
        <v>0</v>
      </c>
      <c r="K737" s="4">
        <f>SUMPRODUCT(
  (TEXT('Weekly Dump'!$A$2:$A1009,"mmm-yy")=TEXT($AB737,"mmm-yy"))*
  ('Weekly Dump'!$B$2:$B1009=$C737)*
  'Weekly Dump'!$D$2:$D1009)</f>
        <v>0</v>
      </c>
      <c r="L737" s="4">
        <f>SUMPRODUCT(
  (TEXT('Weekly Dump'!$A$2:$A1009,"mmm-yy")=TEXT($AB737,"mmm-yy"))*
  ('Weekly Dump'!$B$2:$B1009=$C737)*
  'Weekly Dump'!$E$2:$E1009
)</f>
        <v>0</v>
      </c>
      <c r="M737" s="4">
        <f>SUMPRODUCT(
  (TEXT('Weekly Dump'!$A$2:$A1009,"mmm-yy")=TEXT($AB737,"mmm-yy"))*
  ('Weekly Dump'!$B$2:$B1009=$C737)*
  'Weekly Dump'!$P$2:$P1009
)</f>
        <v>0</v>
      </c>
      <c r="N737" s="39"/>
      <c r="O737" s="40">
        <f>SUMIFS('Weekly Dump'!$D:$D,'Weekly Dump'!$B:$B,$C737,'Weekly Dump'!$A:$A,$AB737)</f>
        <v>0</v>
      </c>
      <c r="P737" s="40">
        <f>SUMIFS('Weekly Dump'!R:R,'Weekly Dump'!B:B,C737,'Weekly Dump'!A:A,AB737)</f>
        <v>0</v>
      </c>
      <c r="Q737" s="40">
        <f t="shared" si="20"/>
        <v>0</v>
      </c>
      <c r="R737" s="41"/>
      <c r="T737" s="4">
        <f>SUMIFS('Weekly Dump'!E:E,'Weekly Dump'!B:B,C737,'Weekly Dump'!A:A,AB737)</f>
        <v>0</v>
      </c>
      <c r="U737" s="3">
        <f t="shared" si="21"/>
        <v>0</v>
      </c>
      <c r="V737" s="42"/>
      <c r="X737" s="4">
        <f>SUMIFS('Weekly Dump'!P:P,'Weekly Dump'!B:B,C737,'Weekly Dump'!A:A,AB737)</f>
        <v>0</v>
      </c>
      <c r="Y737" s="4">
        <f t="shared" si="22"/>
        <v>0</v>
      </c>
      <c r="Z737" s="41"/>
      <c r="AA737" s="12" t="str">
        <f>iferror(IF(VLOOKUP(C737,'Weekly Dump'!B:B,1,0)=C737,"Yes","Missing"),"")</f>
        <v/>
      </c>
      <c r="AB737" s="66"/>
    </row>
    <row r="738">
      <c r="B738" s="63"/>
      <c r="C738" s="63"/>
      <c r="G738" s="3" t="str">
        <f t="shared" si="26"/>
        <v/>
      </c>
      <c r="I738" s="4">
        <f>SUMIFS('Weekly Dump'!D:D,'Weekly Dump'!B:B,C738)</f>
        <v>0</v>
      </c>
      <c r="J738" s="5">
        <f>SUMIFS('Weekly Dump'!AE:AE,'Weekly Dump'!B:B,C738)</f>
        <v>0</v>
      </c>
      <c r="K738" s="4">
        <f>SUMPRODUCT(
  (TEXT('Weekly Dump'!$A$2:$A1009,"mmm-yy")=TEXT($AB738,"mmm-yy"))*
  ('Weekly Dump'!$B$2:$B1009=$C738)*
  'Weekly Dump'!$D$2:$D1009)</f>
        <v>0</v>
      </c>
      <c r="L738" s="4">
        <f>SUMPRODUCT(
  (TEXT('Weekly Dump'!$A$2:$A1009,"mmm-yy")=TEXT($AB738,"mmm-yy"))*
  ('Weekly Dump'!$B$2:$B1009=$C738)*
  'Weekly Dump'!$E$2:$E1009
)</f>
        <v>0</v>
      </c>
      <c r="M738" s="4">
        <f>SUMPRODUCT(
  (TEXT('Weekly Dump'!$A$2:$A1009,"mmm-yy")=TEXT($AB738,"mmm-yy"))*
  ('Weekly Dump'!$B$2:$B1009=$C738)*
  'Weekly Dump'!$P$2:$P1009
)</f>
        <v>0</v>
      </c>
      <c r="N738" s="39"/>
      <c r="O738" s="40">
        <f>SUMIFS('Weekly Dump'!$D:$D,'Weekly Dump'!$B:$B,$C738,'Weekly Dump'!$A:$A,$AB738)</f>
        <v>0</v>
      </c>
      <c r="P738" s="40">
        <f>SUMIFS('Weekly Dump'!R:R,'Weekly Dump'!B:B,C738,'Weekly Dump'!A:A,AB738)</f>
        <v>0</v>
      </c>
      <c r="Q738" s="40">
        <f t="shared" si="20"/>
        <v>0</v>
      </c>
      <c r="R738" s="41"/>
      <c r="T738" s="4">
        <f>SUMIFS('Weekly Dump'!E:E,'Weekly Dump'!B:B,C738,'Weekly Dump'!A:A,AB738)</f>
        <v>0</v>
      </c>
      <c r="U738" s="3">
        <f t="shared" si="21"/>
        <v>0</v>
      </c>
      <c r="V738" s="42"/>
      <c r="X738" s="4">
        <f>SUMIFS('Weekly Dump'!P:P,'Weekly Dump'!B:B,C738,'Weekly Dump'!A:A,AB738)</f>
        <v>0</v>
      </c>
      <c r="Y738" s="4">
        <f t="shared" si="22"/>
        <v>0</v>
      </c>
      <c r="Z738" s="41"/>
      <c r="AA738" s="12" t="str">
        <f>iferror(IF(VLOOKUP(C738,'Weekly Dump'!B:B,1,0)=C738,"Yes","Missing"),"")</f>
        <v/>
      </c>
      <c r="AB738" s="66"/>
    </row>
    <row r="739">
      <c r="B739" s="63"/>
      <c r="C739" s="63"/>
      <c r="G739" s="3" t="str">
        <f t="shared" si="26"/>
        <v/>
      </c>
      <c r="I739" s="4">
        <f>SUMIFS('Weekly Dump'!D:D,'Weekly Dump'!B:B,C739)</f>
        <v>0</v>
      </c>
      <c r="J739" s="5">
        <f>SUMIFS('Weekly Dump'!AE:AE,'Weekly Dump'!B:B,C739)</f>
        <v>0</v>
      </c>
      <c r="K739" s="4">
        <f>SUMPRODUCT(
  (TEXT('Weekly Dump'!$A$2:$A1009,"mmm-yy")=TEXT($AB739,"mmm-yy"))*
  ('Weekly Dump'!$B$2:$B1009=$C739)*
  'Weekly Dump'!$D$2:$D1009)</f>
        <v>0</v>
      </c>
      <c r="L739" s="4">
        <f>SUMPRODUCT(
  (TEXT('Weekly Dump'!$A$2:$A1009,"mmm-yy")=TEXT($AB739,"mmm-yy"))*
  ('Weekly Dump'!$B$2:$B1009=$C739)*
  'Weekly Dump'!$E$2:$E1009
)</f>
        <v>0</v>
      </c>
      <c r="M739" s="4">
        <f>SUMPRODUCT(
  (TEXT('Weekly Dump'!$A$2:$A1009,"mmm-yy")=TEXT($AB739,"mmm-yy"))*
  ('Weekly Dump'!$B$2:$B1009=$C739)*
  'Weekly Dump'!$P$2:$P1009
)</f>
        <v>0</v>
      </c>
      <c r="N739" s="39"/>
      <c r="O739" s="40">
        <f>SUMIFS('Weekly Dump'!$D:$D,'Weekly Dump'!$B:$B,$C739,'Weekly Dump'!$A:$A,$AB739)</f>
        <v>0</v>
      </c>
      <c r="P739" s="40">
        <f>SUMIFS('Weekly Dump'!R:R,'Weekly Dump'!B:B,C739,'Weekly Dump'!A:A,AB739)</f>
        <v>0</v>
      </c>
      <c r="Q739" s="40">
        <f t="shared" si="20"/>
        <v>0</v>
      </c>
      <c r="R739" s="41"/>
      <c r="T739" s="4">
        <f>SUMIFS('Weekly Dump'!E:E,'Weekly Dump'!B:B,C739,'Weekly Dump'!A:A,AB739)</f>
        <v>0</v>
      </c>
      <c r="U739" s="3">
        <f t="shared" si="21"/>
        <v>0</v>
      </c>
      <c r="V739" s="42"/>
      <c r="X739" s="4">
        <f>SUMIFS('Weekly Dump'!P:P,'Weekly Dump'!B:B,C739,'Weekly Dump'!A:A,AB739)</f>
        <v>0</v>
      </c>
      <c r="Y739" s="4">
        <f t="shared" si="22"/>
        <v>0</v>
      </c>
      <c r="Z739" s="41"/>
      <c r="AA739" s="12" t="str">
        <f>iferror(IF(VLOOKUP(C739,'Weekly Dump'!B:B,1,0)=C739,"Yes","Missing"),"")</f>
        <v/>
      </c>
      <c r="AB739" s="66"/>
    </row>
    <row r="740">
      <c r="B740" s="63"/>
      <c r="C740" s="63"/>
      <c r="G740" s="3" t="str">
        <f t="shared" si="26"/>
        <v/>
      </c>
      <c r="I740" s="4">
        <f>SUMIFS('Weekly Dump'!D:D,'Weekly Dump'!B:B,C740)</f>
        <v>0</v>
      </c>
      <c r="J740" s="5">
        <f>SUMIFS('Weekly Dump'!AE:AE,'Weekly Dump'!B:B,C740)</f>
        <v>0</v>
      </c>
      <c r="K740" s="4">
        <f>SUMPRODUCT(
  (TEXT('Weekly Dump'!$A$2:$A1009,"mmm-yy")=TEXT($AB740,"mmm-yy"))*
  ('Weekly Dump'!$B$2:$B1009=$C740)*
  'Weekly Dump'!$D$2:$D1009)</f>
        <v>0</v>
      </c>
      <c r="L740" s="4">
        <f>SUMPRODUCT(
  (TEXT('Weekly Dump'!$A$2:$A1009,"mmm-yy")=TEXT($AB740,"mmm-yy"))*
  ('Weekly Dump'!$B$2:$B1009=$C740)*
  'Weekly Dump'!$E$2:$E1009
)</f>
        <v>0</v>
      </c>
      <c r="M740" s="4">
        <f>SUMPRODUCT(
  (TEXT('Weekly Dump'!$A$2:$A1009,"mmm-yy")=TEXT($AB740,"mmm-yy"))*
  ('Weekly Dump'!$B$2:$B1009=$C740)*
  'Weekly Dump'!$P$2:$P1009
)</f>
        <v>0</v>
      </c>
      <c r="N740" s="39"/>
      <c r="O740" s="40">
        <f>SUMIFS('Weekly Dump'!$D:$D,'Weekly Dump'!$B:$B,$C740,'Weekly Dump'!$A:$A,$AB740)</f>
        <v>0</v>
      </c>
      <c r="P740" s="40">
        <f>SUMIFS('Weekly Dump'!R:R,'Weekly Dump'!B:B,C740,'Weekly Dump'!A:A,AB740)</f>
        <v>0</v>
      </c>
      <c r="Q740" s="40">
        <f t="shared" si="20"/>
        <v>0</v>
      </c>
      <c r="R740" s="41"/>
      <c r="T740" s="4">
        <f>SUMIFS('Weekly Dump'!E:E,'Weekly Dump'!B:B,C740,'Weekly Dump'!A:A,AB740)</f>
        <v>0</v>
      </c>
      <c r="U740" s="3">
        <f t="shared" si="21"/>
        <v>0</v>
      </c>
      <c r="V740" s="42"/>
      <c r="X740" s="4">
        <f>SUMIFS('Weekly Dump'!P:P,'Weekly Dump'!B:B,C740,'Weekly Dump'!A:A,AB740)</f>
        <v>0</v>
      </c>
      <c r="Y740" s="4">
        <f t="shared" si="22"/>
        <v>0</v>
      </c>
      <c r="Z740" s="41"/>
      <c r="AA740" s="12" t="str">
        <f>iferror(IF(VLOOKUP(C740,'Weekly Dump'!B:B,1,0)=C740,"Yes","Missing"),"")</f>
        <v/>
      </c>
      <c r="AB740" s="66"/>
    </row>
    <row r="741">
      <c r="B741" s="63"/>
      <c r="C741" s="63"/>
      <c r="G741" s="3" t="str">
        <f t="shared" si="26"/>
        <v/>
      </c>
      <c r="I741" s="4">
        <f>SUMIFS('Weekly Dump'!D:D,'Weekly Dump'!B:B,C741)</f>
        <v>0</v>
      </c>
      <c r="J741" s="5">
        <f>SUMIFS('Weekly Dump'!AE:AE,'Weekly Dump'!B:B,C741)</f>
        <v>0</v>
      </c>
      <c r="K741" s="4">
        <f>SUMPRODUCT(
  (TEXT('Weekly Dump'!$A$2:$A1009,"mmm-yy")=TEXT($AB741,"mmm-yy"))*
  ('Weekly Dump'!$B$2:$B1009=$C741)*
  'Weekly Dump'!$D$2:$D1009)</f>
        <v>0</v>
      </c>
      <c r="L741" s="4">
        <f>SUMPRODUCT(
  (TEXT('Weekly Dump'!$A$2:$A1009,"mmm-yy")=TEXT($AB741,"mmm-yy"))*
  ('Weekly Dump'!$B$2:$B1009=$C741)*
  'Weekly Dump'!$E$2:$E1009
)</f>
        <v>0</v>
      </c>
      <c r="M741" s="4">
        <f>SUMPRODUCT(
  (TEXT('Weekly Dump'!$A$2:$A1009,"mmm-yy")=TEXT($AB741,"mmm-yy"))*
  ('Weekly Dump'!$B$2:$B1009=$C741)*
  'Weekly Dump'!$P$2:$P1009
)</f>
        <v>0</v>
      </c>
      <c r="N741" s="39"/>
      <c r="O741" s="40">
        <f>SUMIFS('Weekly Dump'!$D:$D,'Weekly Dump'!$B:$B,$C741,'Weekly Dump'!$A:$A,$AB741)</f>
        <v>0</v>
      </c>
      <c r="P741" s="40">
        <f>SUMIFS('Weekly Dump'!R:R,'Weekly Dump'!B:B,C741,'Weekly Dump'!A:A,AB741)</f>
        <v>0</v>
      </c>
      <c r="Q741" s="40">
        <f t="shared" si="20"/>
        <v>0</v>
      </c>
      <c r="R741" s="41"/>
      <c r="T741" s="4">
        <f>SUMIFS('Weekly Dump'!E:E,'Weekly Dump'!B:B,C741,'Weekly Dump'!A:A,AB741)</f>
        <v>0</v>
      </c>
      <c r="U741" s="3">
        <f t="shared" si="21"/>
        <v>0</v>
      </c>
      <c r="V741" s="42"/>
      <c r="X741" s="4">
        <f>SUMIFS('Weekly Dump'!P:P,'Weekly Dump'!B:B,C741,'Weekly Dump'!A:A,AB741)</f>
        <v>0</v>
      </c>
      <c r="Y741" s="4">
        <f t="shared" si="22"/>
        <v>0</v>
      </c>
      <c r="Z741" s="41"/>
      <c r="AA741" s="12" t="str">
        <f>iferror(IF(VLOOKUP(C741,'Weekly Dump'!B:B,1,0)=C741,"Yes","Missing"),"")</f>
        <v/>
      </c>
      <c r="AB741" s="66"/>
    </row>
    <row r="742">
      <c r="B742" s="63"/>
      <c r="C742" s="63"/>
      <c r="G742" s="3" t="str">
        <f t="shared" si="26"/>
        <v/>
      </c>
      <c r="I742" s="4">
        <f>SUMIFS('Weekly Dump'!D:D,'Weekly Dump'!B:B,C742)</f>
        <v>0</v>
      </c>
      <c r="J742" s="5">
        <f>SUMIFS('Weekly Dump'!AE:AE,'Weekly Dump'!B:B,C742)</f>
        <v>0</v>
      </c>
      <c r="K742" s="4">
        <f>SUMPRODUCT(
  (TEXT('Weekly Dump'!$A$2:$A1009,"mmm-yy")=TEXT($AB742,"mmm-yy"))*
  ('Weekly Dump'!$B$2:$B1009=$C742)*
  'Weekly Dump'!$D$2:$D1009)</f>
        <v>0</v>
      </c>
      <c r="L742" s="4">
        <f>SUMPRODUCT(
  (TEXT('Weekly Dump'!$A$2:$A1009,"mmm-yy")=TEXT($AB742,"mmm-yy"))*
  ('Weekly Dump'!$B$2:$B1009=$C742)*
  'Weekly Dump'!$E$2:$E1009
)</f>
        <v>0</v>
      </c>
      <c r="M742" s="4">
        <f>SUMPRODUCT(
  (TEXT('Weekly Dump'!$A$2:$A1009,"mmm-yy")=TEXT($AB742,"mmm-yy"))*
  ('Weekly Dump'!$B$2:$B1009=$C742)*
  'Weekly Dump'!$P$2:$P1009
)</f>
        <v>0</v>
      </c>
      <c r="N742" s="39"/>
      <c r="O742" s="40">
        <f>SUMIFS('Weekly Dump'!$D:$D,'Weekly Dump'!$B:$B,$C742,'Weekly Dump'!$A:$A,$AB742)</f>
        <v>0</v>
      </c>
      <c r="P742" s="40">
        <f>SUMIFS('Weekly Dump'!R:R,'Weekly Dump'!B:B,C742,'Weekly Dump'!A:A,AB742)</f>
        <v>0</v>
      </c>
      <c r="Q742" s="40">
        <f t="shared" si="20"/>
        <v>0</v>
      </c>
      <c r="R742" s="41"/>
      <c r="T742" s="4">
        <f>SUMIFS('Weekly Dump'!E:E,'Weekly Dump'!B:B,C742,'Weekly Dump'!A:A,AB742)</f>
        <v>0</v>
      </c>
      <c r="U742" s="3">
        <f t="shared" si="21"/>
        <v>0</v>
      </c>
      <c r="V742" s="42"/>
      <c r="X742" s="4">
        <f>SUMIFS('Weekly Dump'!P:P,'Weekly Dump'!B:B,C742,'Weekly Dump'!A:A,AB742)</f>
        <v>0</v>
      </c>
      <c r="Y742" s="4">
        <f t="shared" si="22"/>
        <v>0</v>
      </c>
      <c r="Z742" s="41"/>
      <c r="AA742" s="12" t="str">
        <f>iferror(IF(VLOOKUP(C742,'Weekly Dump'!B:B,1,0)=C742,"Yes","Missing"),"")</f>
        <v/>
      </c>
      <c r="AB742" s="66"/>
    </row>
    <row r="743">
      <c r="B743" s="63"/>
      <c r="C743" s="63"/>
      <c r="G743" s="3" t="str">
        <f t="shared" si="26"/>
        <v/>
      </c>
      <c r="I743" s="4">
        <f>SUMIFS('Weekly Dump'!D:D,'Weekly Dump'!B:B,C743)</f>
        <v>0</v>
      </c>
      <c r="J743" s="5">
        <f>SUMIFS('Weekly Dump'!AE:AE,'Weekly Dump'!B:B,C743)</f>
        <v>0</v>
      </c>
      <c r="K743" s="4">
        <f>SUMPRODUCT(
  (TEXT('Weekly Dump'!$A$2:$A1009,"mmm-yy")=TEXT($AB743,"mmm-yy"))*
  ('Weekly Dump'!$B$2:$B1009=$C743)*
  'Weekly Dump'!$D$2:$D1009)</f>
        <v>0</v>
      </c>
      <c r="L743" s="4">
        <f>SUMPRODUCT(
  (TEXT('Weekly Dump'!$A$2:$A1009,"mmm-yy")=TEXT($AB743,"mmm-yy"))*
  ('Weekly Dump'!$B$2:$B1009=$C743)*
  'Weekly Dump'!$E$2:$E1009
)</f>
        <v>0</v>
      </c>
      <c r="M743" s="4">
        <f>SUMPRODUCT(
  (TEXT('Weekly Dump'!$A$2:$A1009,"mmm-yy")=TEXT($AB743,"mmm-yy"))*
  ('Weekly Dump'!$B$2:$B1009=$C743)*
  'Weekly Dump'!$P$2:$P1009
)</f>
        <v>0</v>
      </c>
      <c r="N743" s="39"/>
      <c r="O743" s="40">
        <f>SUMIFS('Weekly Dump'!$D:$D,'Weekly Dump'!$B:$B,$C743,'Weekly Dump'!$A:$A,$AB743)</f>
        <v>0</v>
      </c>
      <c r="P743" s="40">
        <f>SUMIFS('Weekly Dump'!R:R,'Weekly Dump'!B:B,C743,'Weekly Dump'!A:A,AB743)</f>
        <v>0</v>
      </c>
      <c r="Q743" s="40">
        <f t="shared" si="20"/>
        <v>0</v>
      </c>
      <c r="R743" s="41"/>
      <c r="T743" s="4">
        <f>SUMIFS('Weekly Dump'!E:E,'Weekly Dump'!B:B,C743,'Weekly Dump'!A:A,AB743)</f>
        <v>0</v>
      </c>
      <c r="U743" s="3">
        <f t="shared" si="21"/>
        <v>0</v>
      </c>
      <c r="V743" s="42"/>
      <c r="X743" s="4">
        <f>SUMIFS('Weekly Dump'!P:P,'Weekly Dump'!B:B,C743,'Weekly Dump'!A:A,AB743)</f>
        <v>0</v>
      </c>
      <c r="Y743" s="4">
        <f t="shared" si="22"/>
        <v>0</v>
      </c>
      <c r="Z743" s="41"/>
      <c r="AA743" s="12" t="str">
        <f>iferror(IF(VLOOKUP(C743,'Weekly Dump'!B:B,1,0)=C743,"Yes","Missing"),"")</f>
        <v/>
      </c>
      <c r="AB743" s="66"/>
    </row>
    <row r="744">
      <c r="B744" s="63"/>
      <c r="C744" s="63"/>
      <c r="G744" s="3" t="str">
        <f t="shared" si="26"/>
        <v/>
      </c>
      <c r="I744" s="4">
        <f>SUMIFS('Weekly Dump'!D:D,'Weekly Dump'!B:B,C744)</f>
        <v>0</v>
      </c>
      <c r="J744" s="5">
        <f>SUMIFS('Weekly Dump'!AE:AE,'Weekly Dump'!B:B,C744)</f>
        <v>0</v>
      </c>
      <c r="K744" s="4">
        <f>SUMPRODUCT(
  (TEXT('Weekly Dump'!$A$2:$A1009,"mmm-yy")=TEXT($AB744,"mmm-yy"))*
  ('Weekly Dump'!$B$2:$B1009=$C744)*
  'Weekly Dump'!$D$2:$D1009)</f>
        <v>0</v>
      </c>
      <c r="L744" s="4">
        <f>SUMPRODUCT(
  (TEXT('Weekly Dump'!$A$2:$A1009,"mmm-yy")=TEXT($AB744,"mmm-yy"))*
  ('Weekly Dump'!$B$2:$B1009=$C744)*
  'Weekly Dump'!$E$2:$E1009
)</f>
        <v>0</v>
      </c>
      <c r="M744" s="4">
        <f>SUMPRODUCT(
  (TEXT('Weekly Dump'!$A$2:$A1009,"mmm-yy")=TEXT($AB744,"mmm-yy"))*
  ('Weekly Dump'!$B$2:$B1009=$C744)*
  'Weekly Dump'!$P$2:$P1009
)</f>
        <v>0</v>
      </c>
      <c r="N744" s="39"/>
      <c r="O744" s="40">
        <f>SUMIFS('Weekly Dump'!$D:$D,'Weekly Dump'!$B:$B,$C744,'Weekly Dump'!$A:$A,$AB744)</f>
        <v>0</v>
      </c>
      <c r="P744" s="40">
        <f>SUMIFS('Weekly Dump'!R:R,'Weekly Dump'!B:B,C744,'Weekly Dump'!A:A,AB744)</f>
        <v>0</v>
      </c>
      <c r="Q744" s="40">
        <f t="shared" si="20"/>
        <v>0</v>
      </c>
      <c r="R744" s="41"/>
      <c r="T744" s="4">
        <f>SUMIFS('Weekly Dump'!E:E,'Weekly Dump'!B:B,C744,'Weekly Dump'!A:A,AB744)</f>
        <v>0</v>
      </c>
      <c r="U744" s="3">
        <f t="shared" si="21"/>
        <v>0</v>
      </c>
      <c r="V744" s="42"/>
      <c r="X744" s="4">
        <f>SUMIFS('Weekly Dump'!P:P,'Weekly Dump'!B:B,C744,'Weekly Dump'!A:A,AB744)</f>
        <v>0</v>
      </c>
      <c r="Y744" s="4">
        <f t="shared" si="22"/>
        <v>0</v>
      </c>
      <c r="Z744" s="41"/>
      <c r="AA744" s="12" t="str">
        <f>iferror(IF(VLOOKUP(C744,'Weekly Dump'!B:B,1,0)=C744,"Yes","Missing"),"")</f>
        <v/>
      </c>
      <c r="AB744" s="66"/>
    </row>
    <row r="745">
      <c r="B745" s="63"/>
      <c r="C745" s="63"/>
      <c r="G745" s="3" t="str">
        <f t="shared" si="26"/>
        <v/>
      </c>
      <c r="I745" s="4">
        <f>SUMIFS('Weekly Dump'!D:D,'Weekly Dump'!B:B,C745)</f>
        <v>0</v>
      </c>
      <c r="J745" s="5">
        <f>SUMIFS('Weekly Dump'!AE:AE,'Weekly Dump'!B:B,C745)</f>
        <v>0</v>
      </c>
      <c r="K745" s="4">
        <f>SUMPRODUCT(
  (TEXT('Weekly Dump'!$A$2:$A1009,"mmm-yy")=TEXT($AB745,"mmm-yy"))*
  ('Weekly Dump'!$B$2:$B1009=$C745)*
  'Weekly Dump'!$D$2:$D1009)</f>
        <v>0</v>
      </c>
      <c r="L745" s="4">
        <f>SUMPRODUCT(
  (TEXT('Weekly Dump'!$A$2:$A1009,"mmm-yy")=TEXT($AB745,"mmm-yy"))*
  ('Weekly Dump'!$B$2:$B1009=$C745)*
  'Weekly Dump'!$E$2:$E1009
)</f>
        <v>0</v>
      </c>
      <c r="M745" s="4">
        <f>SUMPRODUCT(
  (TEXT('Weekly Dump'!$A$2:$A1009,"mmm-yy")=TEXT($AB745,"mmm-yy"))*
  ('Weekly Dump'!$B$2:$B1009=$C745)*
  'Weekly Dump'!$P$2:$P1009
)</f>
        <v>0</v>
      </c>
      <c r="N745" s="39"/>
      <c r="O745" s="40">
        <f>SUMIFS('Weekly Dump'!$D:$D,'Weekly Dump'!$B:$B,$C745,'Weekly Dump'!$A:$A,$AB745)</f>
        <v>0</v>
      </c>
      <c r="P745" s="40">
        <f>SUMIFS('Weekly Dump'!R:R,'Weekly Dump'!B:B,C745,'Weekly Dump'!A:A,AB745)</f>
        <v>0</v>
      </c>
      <c r="Q745" s="40">
        <f t="shared" si="20"/>
        <v>0</v>
      </c>
      <c r="R745" s="41"/>
      <c r="T745" s="4">
        <f>SUMIFS('Weekly Dump'!E:E,'Weekly Dump'!B:B,C745,'Weekly Dump'!A:A,AB745)</f>
        <v>0</v>
      </c>
      <c r="U745" s="3">
        <f t="shared" si="21"/>
        <v>0</v>
      </c>
      <c r="V745" s="42"/>
      <c r="X745" s="4">
        <f>SUMIFS('Weekly Dump'!P:P,'Weekly Dump'!B:B,C745,'Weekly Dump'!A:A,AB745)</f>
        <v>0</v>
      </c>
      <c r="Y745" s="4">
        <f t="shared" si="22"/>
        <v>0</v>
      </c>
      <c r="Z745" s="41"/>
      <c r="AA745" s="12" t="str">
        <f>iferror(IF(VLOOKUP(C745,'Weekly Dump'!B:B,1,0)=C745,"Yes","Missing"),"")</f>
        <v/>
      </c>
      <c r="AB745" s="66"/>
    </row>
    <row r="746">
      <c r="B746" s="63"/>
      <c r="C746" s="63"/>
      <c r="G746" s="3" t="str">
        <f t="shared" si="26"/>
        <v/>
      </c>
      <c r="I746" s="4">
        <f>SUMIFS('Weekly Dump'!D:D,'Weekly Dump'!B:B,C746)</f>
        <v>0</v>
      </c>
      <c r="J746" s="5">
        <f>SUMIFS('Weekly Dump'!AE:AE,'Weekly Dump'!B:B,C746)</f>
        <v>0</v>
      </c>
      <c r="K746" s="4">
        <f>SUMPRODUCT(
  (TEXT('Weekly Dump'!$A$2:$A1009,"mmm-yy")=TEXT($AB746,"mmm-yy"))*
  ('Weekly Dump'!$B$2:$B1009=$C746)*
  'Weekly Dump'!$D$2:$D1009)</f>
        <v>0</v>
      </c>
      <c r="L746" s="4">
        <f>SUMPRODUCT(
  (TEXT('Weekly Dump'!$A$2:$A1009,"mmm-yy")=TEXT($AB746,"mmm-yy"))*
  ('Weekly Dump'!$B$2:$B1009=$C746)*
  'Weekly Dump'!$E$2:$E1009
)</f>
        <v>0</v>
      </c>
      <c r="M746" s="4">
        <f>SUMPRODUCT(
  (TEXT('Weekly Dump'!$A$2:$A1009,"mmm-yy")=TEXT($AB746,"mmm-yy"))*
  ('Weekly Dump'!$B$2:$B1009=$C746)*
  'Weekly Dump'!$P$2:$P1009
)</f>
        <v>0</v>
      </c>
      <c r="N746" s="39"/>
      <c r="O746" s="40">
        <f>SUMIFS('Weekly Dump'!$D:$D,'Weekly Dump'!$B:$B,$C746,'Weekly Dump'!$A:$A,$AB746)</f>
        <v>0</v>
      </c>
      <c r="P746" s="40">
        <f>SUMIFS('Weekly Dump'!R:R,'Weekly Dump'!B:B,C746,'Weekly Dump'!A:A,AB746)</f>
        <v>0</v>
      </c>
      <c r="Q746" s="40">
        <f t="shared" si="20"/>
        <v>0</v>
      </c>
      <c r="R746" s="41"/>
      <c r="T746" s="4">
        <f>SUMIFS('Weekly Dump'!E:E,'Weekly Dump'!B:B,C746,'Weekly Dump'!A:A,AB746)</f>
        <v>0</v>
      </c>
      <c r="U746" s="3">
        <f t="shared" si="21"/>
        <v>0</v>
      </c>
      <c r="V746" s="42"/>
      <c r="X746" s="4">
        <f>SUMIFS('Weekly Dump'!P:P,'Weekly Dump'!B:B,C746,'Weekly Dump'!A:A,AB746)</f>
        <v>0</v>
      </c>
      <c r="Y746" s="4">
        <f t="shared" si="22"/>
        <v>0</v>
      </c>
      <c r="Z746" s="41"/>
      <c r="AA746" s="12" t="str">
        <f>iferror(IF(VLOOKUP(C746,'Weekly Dump'!B:B,1,0)=C746,"Yes","Missing"),"")</f>
        <v/>
      </c>
      <c r="AB746" s="66"/>
    </row>
    <row r="747">
      <c r="B747" s="63"/>
      <c r="C747" s="63"/>
      <c r="G747" s="3" t="str">
        <f t="shared" si="26"/>
        <v/>
      </c>
      <c r="I747" s="4">
        <f>SUMIFS('Weekly Dump'!D:D,'Weekly Dump'!B:B,C747)</f>
        <v>0</v>
      </c>
      <c r="J747" s="5">
        <f>SUMIFS('Weekly Dump'!AE:AE,'Weekly Dump'!B:B,C747)</f>
        <v>0</v>
      </c>
      <c r="K747" s="4">
        <f>SUMPRODUCT(
  (TEXT('Weekly Dump'!$A$2:$A1009,"mmm-yy")=TEXT($AB747,"mmm-yy"))*
  ('Weekly Dump'!$B$2:$B1009=$C747)*
  'Weekly Dump'!$D$2:$D1009)</f>
        <v>0</v>
      </c>
      <c r="L747" s="4">
        <f>SUMPRODUCT(
  (TEXT('Weekly Dump'!$A$2:$A1009,"mmm-yy")=TEXT($AB747,"mmm-yy"))*
  ('Weekly Dump'!$B$2:$B1009=$C747)*
  'Weekly Dump'!$E$2:$E1009
)</f>
        <v>0</v>
      </c>
      <c r="M747" s="4">
        <f>SUMPRODUCT(
  (TEXT('Weekly Dump'!$A$2:$A1009,"mmm-yy")=TEXT($AB747,"mmm-yy"))*
  ('Weekly Dump'!$B$2:$B1009=$C747)*
  'Weekly Dump'!$P$2:$P1009
)</f>
        <v>0</v>
      </c>
      <c r="N747" s="39"/>
      <c r="O747" s="40">
        <f>SUMIFS('Weekly Dump'!$D:$D,'Weekly Dump'!$B:$B,$C747,'Weekly Dump'!$A:$A,$AB747)</f>
        <v>0</v>
      </c>
      <c r="P747" s="40">
        <f>SUMIFS('Weekly Dump'!R:R,'Weekly Dump'!B:B,C747,'Weekly Dump'!A:A,AB747)</f>
        <v>0</v>
      </c>
      <c r="Q747" s="40">
        <f t="shared" si="20"/>
        <v>0</v>
      </c>
      <c r="R747" s="41"/>
      <c r="T747" s="4">
        <f>SUMIFS('Weekly Dump'!E:E,'Weekly Dump'!B:B,C747,'Weekly Dump'!A:A,AB747)</f>
        <v>0</v>
      </c>
      <c r="U747" s="3">
        <f t="shared" si="21"/>
        <v>0</v>
      </c>
      <c r="V747" s="42"/>
      <c r="X747" s="4">
        <f>SUMIFS('Weekly Dump'!P:P,'Weekly Dump'!B:B,C747,'Weekly Dump'!A:A,AB747)</f>
        <v>0</v>
      </c>
      <c r="Y747" s="4">
        <f t="shared" si="22"/>
        <v>0</v>
      </c>
      <c r="Z747" s="41"/>
      <c r="AA747" s="12" t="str">
        <f>iferror(IF(VLOOKUP(C747,'Weekly Dump'!B:B,1,0)=C747,"Yes","Missing"),"")</f>
        <v/>
      </c>
      <c r="AB747" s="66"/>
    </row>
    <row r="748">
      <c r="B748" s="63"/>
      <c r="C748" s="63"/>
      <c r="G748" s="3" t="str">
        <f t="shared" si="26"/>
        <v/>
      </c>
      <c r="I748" s="4">
        <f>SUMIFS('Weekly Dump'!D:D,'Weekly Dump'!B:B,C748)</f>
        <v>0</v>
      </c>
      <c r="J748" s="5">
        <f>SUMIFS('Weekly Dump'!AE:AE,'Weekly Dump'!B:B,C748)</f>
        <v>0</v>
      </c>
      <c r="K748" s="4">
        <f>SUMPRODUCT(
  (TEXT('Weekly Dump'!$A$2:$A1009,"mmm-yy")=TEXT($AB748,"mmm-yy"))*
  ('Weekly Dump'!$B$2:$B1009=$C748)*
  'Weekly Dump'!$D$2:$D1009)</f>
        <v>0</v>
      </c>
      <c r="L748" s="4">
        <f>SUMPRODUCT(
  (TEXT('Weekly Dump'!$A$2:$A1009,"mmm-yy")=TEXT($AB748,"mmm-yy"))*
  ('Weekly Dump'!$B$2:$B1009=$C748)*
  'Weekly Dump'!$E$2:$E1009
)</f>
        <v>0</v>
      </c>
      <c r="M748" s="4">
        <f>SUMPRODUCT(
  (TEXT('Weekly Dump'!$A$2:$A1009,"mmm-yy")=TEXT($AB748,"mmm-yy"))*
  ('Weekly Dump'!$B$2:$B1009=$C748)*
  'Weekly Dump'!$P$2:$P1009
)</f>
        <v>0</v>
      </c>
      <c r="N748" s="39"/>
      <c r="O748" s="40">
        <f>SUMIFS('Weekly Dump'!$D:$D,'Weekly Dump'!$B:$B,$C748,'Weekly Dump'!$A:$A,$AB748)</f>
        <v>0</v>
      </c>
      <c r="P748" s="40">
        <f>SUMIFS('Weekly Dump'!R:R,'Weekly Dump'!B:B,C748,'Weekly Dump'!A:A,AB748)</f>
        <v>0</v>
      </c>
      <c r="Q748" s="40">
        <f t="shared" si="20"/>
        <v>0</v>
      </c>
      <c r="R748" s="41"/>
      <c r="T748" s="4">
        <f>SUMIFS('Weekly Dump'!E:E,'Weekly Dump'!B:B,C748,'Weekly Dump'!A:A,AB748)</f>
        <v>0</v>
      </c>
      <c r="U748" s="3">
        <f t="shared" si="21"/>
        <v>0</v>
      </c>
      <c r="V748" s="42"/>
      <c r="X748" s="4">
        <f>SUMIFS('Weekly Dump'!P:P,'Weekly Dump'!B:B,C748,'Weekly Dump'!A:A,AB748)</f>
        <v>0</v>
      </c>
      <c r="Y748" s="4">
        <f t="shared" si="22"/>
        <v>0</v>
      </c>
      <c r="Z748" s="41"/>
      <c r="AA748" s="12" t="str">
        <f>iferror(IF(VLOOKUP(C748,'Weekly Dump'!B:B,1,0)=C748,"Yes","Missing"),"")</f>
        <v/>
      </c>
      <c r="AB748" s="66"/>
    </row>
    <row r="749">
      <c r="B749" s="63"/>
      <c r="C749" s="63"/>
      <c r="G749" s="3" t="str">
        <f t="shared" si="26"/>
        <v/>
      </c>
      <c r="I749" s="4">
        <f>SUMIFS('Weekly Dump'!D:D,'Weekly Dump'!B:B,C749)</f>
        <v>0</v>
      </c>
      <c r="J749" s="5">
        <f>SUMIFS('Weekly Dump'!AE:AE,'Weekly Dump'!B:B,C749)</f>
        <v>0</v>
      </c>
      <c r="K749" s="4">
        <f>SUMPRODUCT(
  (TEXT('Weekly Dump'!$A$2:$A1009,"mmm-yy")=TEXT($AB749,"mmm-yy"))*
  ('Weekly Dump'!$B$2:$B1009=$C749)*
  'Weekly Dump'!$D$2:$D1009)</f>
        <v>0</v>
      </c>
      <c r="L749" s="4">
        <f>SUMPRODUCT(
  (TEXT('Weekly Dump'!$A$2:$A1009,"mmm-yy")=TEXT($AB749,"mmm-yy"))*
  ('Weekly Dump'!$B$2:$B1009=$C749)*
  'Weekly Dump'!$E$2:$E1009
)</f>
        <v>0</v>
      </c>
      <c r="M749" s="4">
        <f>SUMPRODUCT(
  (TEXT('Weekly Dump'!$A$2:$A1009,"mmm-yy")=TEXT($AB749,"mmm-yy"))*
  ('Weekly Dump'!$B$2:$B1009=$C749)*
  'Weekly Dump'!$P$2:$P1009
)</f>
        <v>0</v>
      </c>
      <c r="N749" s="39"/>
      <c r="O749" s="40">
        <f>SUMIFS('Weekly Dump'!$D:$D,'Weekly Dump'!$B:$B,$C749,'Weekly Dump'!$A:$A,$AB749)</f>
        <v>0</v>
      </c>
      <c r="P749" s="40">
        <f>SUMIFS('Weekly Dump'!R:R,'Weekly Dump'!B:B,C749,'Weekly Dump'!A:A,AB749)</f>
        <v>0</v>
      </c>
      <c r="Q749" s="40">
        <f t="shared" si="20"/>
        <v>0</v>
      </c>
      <c r="R749" s="41"/>
      <c r="T749" s="4">
        <f>SUMIFS('Weekly Dump'!E:E,'Weekly Dump'!B:B,C749,'Weekly Dump'!A:A,AB749)</f>
        <v>0</v>
      </c>
      <c r="U749" s="3">
        <f t="shared" si="21"/>
        <v>0</v>
      </c>
      <c r="V749" s="42"/>
      <c r="X749" s="4">
        <f>SUMIFS('Weekly Dump'!P:P,'Weekly Dump'!B:B,C749,'Weekly Dump'!A:A,AB749)</f>
        <v>0</v>
      </c>
      <c r="Y749" s="4">
        <f t="shared" si="22"/>
        <v>0</v>
      </c>
      <c r="Z749" s="41"/>
      <c r="AA749" s="12" t="str">
        <f>iferror(IF(VLOOKUP(C749,'Weekly Dump'!B:B,1,0)=C749,"Yes","Missing"),"")</f>
        <v/>
      </c>
      <c r="AB749" s="66"/>
    </row>
    <row r="750">
      <c r="B750" s="63"/>
      <c r="C750" s="63"/>
      <c r="G750" s="3" t="str">
        <f t="shared" si="26"/>
        <v/>
      </c>
      <c r="I750" s="4">
        <f>SUMIFS('Weekly Dump'!D:D,'Weekly Dump'!B:B,C750)</f>
        <v>0</v>
      </c>
      <c r="J750" s="5">
        <f>SUMIFS('Weekly Dump'!AE:AE,'Weekly Dump'!B:B,C750)</f>
        <v>0</v>
      </c>
      <c r="K750" s="4">
        <f>SUMPRODUCT(
  (TEXT('Weekly Dump'!$A$2:$A1009,"mmm-yy")=TEXT($AB750,"mmm-yy"))*
  ('Weekly Dump'!$B$2:$B1009=$C750)*
  'Weekly Dump'!$D$2:$D1009)</f>
        <v>0</v>
      </c>
      <c r="L750" s="4">
        <f>SUMPRODUCT(
  (TEXT('Weekly Dump'!$A$2:$A1009,"mmm-yy")=TEXT($AB750,"mmm-yy"))*
  ('Weekly Dump'!$B$2:$B1009=$C750)*
  'Weekly Dump'!$E$2:$E1009
)</f>
        <v>0</v>
      </c>
      <c r="M750" s="4">
        <f>SUMPRODUCT(
  (TEXT('Weekly Dump'!$A$2:$A1009,"mmm-yy")=TEXT($AB750,"mmm-yy"))*
  ('Weekly Dump'!$B$2:$B1009=$C750)*
  'Weekly Dump'!$P$2:$P1009
)</f>
        <v>0</v>
      </c>
      <c r="N750" s="39"/>
      <c r="O750" s="40">
        <f>SUMIFS('Weekly Dump'!$D:$D,'Weekly Dump'!$B:$B,$C750,'Weekly Dump'!$A:$A,$AB750)</f>
        <v>0</v>
      </c>
      <c r="P750" s="40">
        <f>SUMIFS('Weekly Dump'!R:R,'Weekly Dump'!B:B,C750,'Weekly Dump'!A:A,AB750)</f>
        <v>0</v>
      </c>
      <c r="Q750" s="40">
        <f t="shared" si="20"/>
        <v>0</v>
      </c>
      <c r="R750" s="41"/>
      <c r="T750" s="4">
        <f>SUMIFS('Weekly Dump'!E:E,'Weekly Dump'!B:B,C750,'Weekly Dump'!A:A,AB750)</f>
        <v>0</v>
      </c>
      <c r="U750" s="3">
        <f t="shared" si="21"/>
        <v>0</v>
      </c>
      <c r="V750" s="42"/>
      <c r="X750" s="4">
        <f>SUMIFS('Weekly Dump'!P:P,'Weekly Dump'!B:B,C750,'Weekly Dump'!A:A,AB750)</f>
        <v>0</v>
      </c>
      <c r="Y750" s="4">
        <f t="shared" si="22"/>
        <v>0</v>
      </c>
      <c r="Z750" s="41"/>
      <c r="AA750" s="12" t="str">
        <f>iferror(IF(VLOOKUP(C750,'Weekly Dump'!B:B,1,0)=C750,"Yes","Missing"),"")</f>
        <v/>
      </c>
      <c r="AB750" s="66"/>
    </row>
    <row r="751">
      <c r="B751" s="63"/>
      <c r="C751" s="63"/>
      <c r="G751" s="3" t="str">
        <f t="shared" si="26"/>
        <v/>
      </c>
      <c r="I751" s="4">
        <f>SUMIFS('Weekly Dump'!D:D,'Weekly Dump'!B:B,C751)</f>
        <v>0</v>
      </c>
      <c r="J751" s="5">
        <f>SUMIFS('Weekly Dump'!AE:AE,'Weekly Dump'!B:B,C751)</f>
        <v>0</v>
      </c>
      <c r="K751" s="4">
        <f>SUMPRODUCT(
  (TEXT('Weekly Dump'!$A$2:$A1009,"mmm-yy")=TEXT($AB751,"mmm-yy"))*
  ('Weekly Dump'!$B$2:$B1009=$C751)*
  'Weekly Dump'!$D$2:$D1009)</f>
        <v>0</v>
      </c>
      <c r="L751" s="4">
        <f>SUMPRODUCT(
  (TEXT('Weekly Dump'!$A$2:$A1009,"mmm-yy")=TEXT($AB751,"mmm-yy"))*
  ('Weekly Dump'!$B$2:$B1009=$C751)*
  'Weekly Dump'!$E$2:$E1009
)</f>
        <v>0</v>
      </c>
      <c r="M751" s="4">
        <f>SUMPRODUCT(
  (TEXT('Weekly Dump'!$A$2:$A1009,"mmm-yy")=TEXT($AB751,"mmm-yy"))*
  ('Weekly Dump'!$B$2:$B1009=$C751)*
  'Weekly Dump'!$P$2:$P1009
)</f>
        <v>0</v>
      </c>
      <c r="N751" s="39"/>
      <c r="O751" s="40">
        <f>SUMIFS('Weekly Dump'!$D:$D,'Weekly Dump'!$B:$B,$C751,'Weekly Dump'!$A:$A,$AB751)</f>
        <v>0</v>
      </c>
      <c r="P751" s="40">
        <f>SUMIFS('Weekly Dump'!R:R,'Weekly Dump'!B:B,C751,'Weekly Dump'!A:A,AB751)</f>
        <v>0</v>
      </c>
      <c r="Q751" s="40">
        <f t="shared" si="20"/>
        <v>0</v>
      </c>
      <c r="R751" s="41"/>
      <c r="T751" s="4">
        <f>SUMIFS('Weekly Dump'!E:E,'Weekly Dump'!B:B,C751,'Weekly Dump'!A:A,AB751)</f>
        <v>0</v>
      </c>
      <c r="U751" s="3">
        <f t="shared" si="21"/>
        <v>0</v>
      </c>
      <c r="V751" s="42"/>
      <c r="X751" s="4">
        <f>SUMIFS('Weekly Dump'!P:P,'Weekly Dump'!B:B,C751,'Weekly Dump'!A:A,AB751)</f>
        <v>0</v>
      </c>
      <c r="Y751" s="4">
        <f t="shared" si="22"/>
        <v>0</v>
      </c>
      <c r="Z751" s="41"/>
      <c r="AA751" s="12" t="str">
        <f>iferror(IF(VLOOKUP(C751,'Weekly Dump'!B:B,1,0)=C751,"Yes","Missing"),"")</f>
        <v/>
      </c>
      <c r="AB751" s="66"/>
    </row>
    <row r="752">
      <c r="B752" s="63"/>
      <c r="C752" s="63"/>
      <c r="G752" s="3" t="str">
        <f t="shared" si="26"/>
        <v/>
      </c>
      <c r="I752" s="4">
        <f>SUMIFS('Weekly Dump'!D:D,'Weekly Dump'!B:B,C752)</f>
        <v>0</v>
      </c>
      <c r="J752" s="5">
        <f>SUMIFS('Weekly Dump'!AE:AE,'Weekly Dump'!B:B,C752)</f>
        <v>0</v>
      </c>
      <c r="K752" s="4">
        <f>SUMPRODUCT(
  (TEXT('Weekly Dump'!$A$2:$A1009,"mmm-yy")=TEXT($AB752,"mmm-yy"))*
  ('Weekly Dump'!$B$2:$B1009=$C752)*
  'Weekly Dump'!$D$2:$D1009)</f>
        <v>0</v>
      </c>
      <c r="L752" s="4">
        <f>SUMPRODUCT(
  (TEXT('Weekly Dump'!$A$2:$A1009,"mmm-yy")=TEXT($AB752,"mmm-yy"))*
  ('Weekly Dump'!$B$2:$B1009=$C752)*
  'Weekly Dump'!$E$2:$E1009
)</f>
        <v>0</v>
      </c>
      <c r="M752" s="4">
        <f>SUMPRODUCT(
  (TEXT('Weekly Dump'!$A$2:$A1009,"mmm-yy")=TEXT($AB752,"mmm-yy"))*
  ('Weekly Dump'!$B$2:$B1009=$C752)*
  'Weekly Dump'!$P$2:$P1009
)</f>
        <v>0</v>
      </c>
      <c r="N752" s="39"/>
      <c r="O752" s="40">
        <f>SUMIFS('Weekly Dump'!$D:$D,'Weekly Dump'!$B:$B,$C752,'Weekly Dump'!$A:$A,$AB752)</f>
        <v>0</v>
      </c>
      <c r="P752" s="40">
        <f>SUMIFS('Weekly Dump'!R:R,'Weekly Dump'!B:B,C752,'Weekly Dump'!A:A,AB752)</f>
        <v>0</v>
      </c>
      <c r="Q752" s="40">
        <f t="shared" si="20"/>
        <v>0</v>
      </c>
      <c r="R752" s="41"/>
      <c r="T752" s="4">
        <f>SUMIFS('Weekly Dump'!E:E,'Weekly Dump'!B:B,C752,'Weekly Dump'!A:A,AB752)</f>
        <v>0</v>
      </c>
      <c r="U752" s="3">
        <f t="shared" si="21"/>
        <v>0</v>
      </c>
      <c r="V752" s="42"/>
      <c r="X752" s="4">
        <f>SUMIFS('Weekly Dump'!P:P,'Weekly Dump'!B:B,C752,'Weekly Dump'!A:A,AB752)</f>
        <v>0</v>
      </c>
      <c r="Y752" s="4">
        <f t="shared" si="22"/>
        <v>0</v>
      </c>
      <c r="Z752" s="41"/>
      <c r="AA752" s="12" t="str">
        <f>iferror(IF(VLOOKUP(C752,'Weekly Dump'!B:B,1,0)=C752,"Yes","Missing"),"")</f>
        <v/>
      </c>
      <c r="AB752" s="66"/>
    </row>
    <row r="753">
      <c r="B753" s="63"/>
      <c r="C753" s="63"/>
      <c r="G753" s="3" t="str">
        <f t="shared" si="26"/>
        <v/>
      </c>
      <c r="I753" s="4">
        <f>SUMIFS('Weekly Dump'!D:D,'Weekly Dump'!B:B,C753)</f>
        <v>0</v>
      </c>
      <c r="J753" s="5">
        <f>SUMIFS('Weekly Dump'!AE:AE,'Weekly Dump'!B:B,C753)</f>
        <v>0</v>
      </c>
      <c r="K753" s="4">
        <f>SUMPRODUCT(
  (TEXT('Weekly Dump'!$A$2:$A1009,"mmm-yy")=TEXT($AB753,"mmm-yy"))*
  ('Weekly Dump'!$B$2:$B1009=$C753)*
  'Weekly Dump'!$D$2:$D1009)</f>
        <v>0</v>
      </c>
      <c r="L753" s="4">
        <f>SUMPRODUCT(
  (TEXT('Weekly Dump'!$A$2:$A1009,"mmm-yy")=TEXT($AB753,"mmm-yy"))*
  ('Weekly Dump'!$B$2:$B1009=$C753)*
  'Weekly Dump'!$E$2:$E1009
)</f>
        <v>0</v>
      </c>
      <c r="M753" s="4">
        <f>SUMPRODUCT(
  (TEXT('Weekly Dump'!$A$2:$A1009,"mmm-yy")=TEXT($AB753,"mmm-yy"))*
  ('Weekly Dump'!$B$2:$B1009=$C753)*
  'Weekly Dump'!$P$2:$P1009
)</f>
        <v>0</v>
      </c>
      <c r="N753" s="39"/>
      <c r="O753" s="40">
        <f>SUMIFS('Weekly Dump'!$D:$D,'Weekly Dump'!$B:$B,$C753,'Weekly Dump'!$A:$A,$AB753)</f>
        <v>0</v>
      </c>
      <c r="P753" s="40">
        <f>SUMIFS('Weekly Dump'!R:R,'Weekly Dump'!B:B,C753,'Weekly Dump'!A:A,AB753)</f>
        <v>0</v>
      </c>
      <c r="Q753" s="40">
        <f t="shared" si="20"/>
        <v>0</v>
      </c>
      <c r="R753" s="41"/>
      <c r="T753" s="4">
        <f>SUMIFS('Weekly Dump'!E:E,'Weekly Dump'!B:B,C753,'Weekly Dump'!A:A,AB753)</f>
        <v>0</v>
      </c>
      <c r="U753" s="3">
        <f t="shared" si="21"/>
        <v>0</v>
      </c>
      <c r="V753" s="42"/>
      <c r="X753" s="4">
        <f>SUMIFS('Weekly Dump'!P:P,'Weekly Dump'!B:B,C753,'Weekly Dump'!A:A,AB753)</f>
        <v>0</v>
      </c>
      <c r="Y753" s="4">
        <f t="shared" si="22"/>
        <v>0</v>
      </c>
      <c r="Z753" s="41"/>
      <c r="AA753" s="12" t="str">
        <f>iferror(IF(VLOOKUP(C753,'Weekly Dump'!B:B,1,0)=C753,"Yes","Missing"),"")</f>
        <v/>
      </c>
      <c r="AB753" s="66"/>
    </row>
    <row r="754">
      <c r="B754" s="63"/>
      <c r="C754" s="63"/>
      <c r="G754" s="3" t="str">
        <f t="shared" si="26"/>
        <v/>
      </c>
      <c r="I754" s="4">
        <f>SUMIFS('Weekly Dump'!D:D,'Weekly Dump'!B:B,C754)</f>
        <v>0</v>
      </c>
      <c r="J754" s="5">
        <f>SUMIFS('Weekly Dump'!AE:AE,'Weekly Dump'!B:B,C754)</f>
        <v>0</v>
      </c>
      <c r="K754" s="4">
        <f>SUMPRODUCT(
  (TEXT('Weekly Dump'!$A$2:$A1009,"mmm-yy")=TEXT($AB754,"mmm-yy"))*
  ('Weekly Dump'!$B$2:$B1009=$C754)*
  'Weekly Dump'!$D$2:$D1009)</f>
        <v>0</v>
      </c>
      <c r="L754" s="4">
        <f>SUMPRODUCT(
  (TEXT('Weekly Dump'!$A$2:$A1009,"mmm-yy")=TEXT($AB754,"mmm-yy"))*
  ('Weekly Dump'!$B$2:$B1009=$C754)*
  'Weekly Dump'!$E$2:$E1009
)</f>
        <v>0</v>
      </c>
      <c r="M754" s="4">
        <f>SUMPRODUCT(
  (TEXT('Weekly Dump'!$A$2:$A1009,"mmm-yy")=TEXT($AB754,"mmm-yy"))*
  ('Weekly Dump'!$B$2:$B1009=$C754)*
  'Weekly Dump'!$P$2:$P1009
)</f>
        <v>0</v>
      </c>
      <c r="N754" s="39"/>
      <c r="O754" s="40">
        <f>SUMIFS('Weekly Dump'!$D:$D,'Weekly Dump'!$B:$B,$C754,'Weekly Dump'!$A:$A,$AB754)</f>
        <v>0</v>
      </c>
      <c r="P754" s="40">
        <f>SUMIFS('Weekly Dump'!R:R,'Weekly Dump'!B:B,C754,'Weekly Dump'!A:A,AB754)</f>
        <v>0</v>
      </c>
      <c r="Q754" s="40">
        <f t="shared" si="20"/>
        <v>0</v>
      </c>
      <c r="R754" s="41"/>
      <c r="T754" s="4">
        <f>SUMIFS('Weekly Dump'!E:E,'Weekly Dump'!B:B,C754,'Weekly Dump'!A:A,AB754)</f>
        <v>0</v>
      </c>
      <c r="U754" s="3">
        <f t="shared" si="21"/>
        <v>0</v>
      </c>
      <c r="V754" s="42"/>
      <c r="X754" s="4">
        <f>SUMIFS('Weekly Dump'!P:P,'Weekly Dump'!B:B,C754,'Weekly Dump'!A:A,AB754)</f>
        <v>0</v>
      </c>
      <c r="Y754" s="4">
        <f t="shared" si="22"/>
        <v>0</v>
      </c>
      <c r="Z754" s="41"/>
      <c r="AA754" s="12" t="str">
        <f>iferror(IF(VLOOKUP(C754,'Weekly Dump'!B:B,1,0)=C754,"Yes","Missing"),"")</f>
        <v/>
      </c>
      <c r="AB754" s="66"/>
    </row>
    <row r="755">
      <c r="B755" s="63"/>
      <c r="C755" s="63"/>
      <c r="G755" s="3" t="str">
        <f t="shared" si="26"/>
        <v/>
      </c>
      <c r="I755" s="4">
        <f>SUMIFS('Weekly Dump'!D:D,'Weekly Dump'!B:B,C755)</f>
        <v>0</v>
      </c>
      <c r="J755" s="5">
        <f>SUMIFS('Weekly Dump'!AE:AE,'Weekly Dump'!B:B,C755)</f>
        <v>0</v>
      </c>
      <c r="K755" s="4">
        <f>SUMPRODUCT(
  (TEXT('Weekly Dump'!$A$2:$A1009,"mmm-yy")=TEXT($AB755,"mmm-yy"))*
  ('Weekly Dump'!$B$2:$B1009=$C755)*
  'Weekly Dump'!$D$2:$D1009)</f>
        <v>0</v>
      </c>
      <c r="L755" s="4">
        <f>SUMPRODUCT(
  (TEXT('Weekly Dump'!$A$2:$A1009,"mmm-yy")=TEXT($AB755,"mmm-yy"))*
  ('Weekly Dump'!$B$2:$B1009=$C755)*
  'Weekly Dump'!$E$2:$E1009
)</f>
        <v>0</v>
      </c>
      <c r="M755" s="4">
        <f>SUMPRODUCT(
  (TEXT('Weekly Dump'!$A$2:$A1009,"mmm-yy")=TEXT($AB755,"mmm-yy"))*
  ('Weekly Dump'!$B$2:$B1009=$C755)*
  'Weekly Dump'!$P$2:$P1009
)</f>
        <v>0</v>
      </c>
      <c r="N755" s="39"/>
      <c r="O755" s="40">
        <f>SUMIFS('Weekly Dump'!$D:$D,'Weekly Dump'!$B:$B,$C755,'Weekly Dump'!$A:$A,$AB755)</f>
        <v>0</v>
      </c>
      <c r="P755" s="40">
        <f>SUMIFS('Weekly Dump'!R:R,'Weekly Dump'!B:B,C755,'Weekly Dump'!A:A,AB755)</f>
        <v>0</v>
      </c>
      <c r="Q755" s="40">
        <f t="shared" si="20"/>
        <v>0</v>
      </c>
      <c r="R755" s="41"/>
      <c r="T755" s="4">
        <f>SUMIFS('Weekly Dump'!E:E,'Weekly Dump'!B:B,C755,'Weekly Dump'!A:A,AB755)</f>
        <v>0</v>
      </c>
      <c r="U755" s="3">
        <f t="shared" si="21"/>
        <v>0</v>
      </c>
      <c r="V755" s="42"/>
      <c r="X755" s="4">
        <f>SUMIFS('Weekly Dump'!P:P,'Weekly Dump'!B:B,C755,'Weekly Dump'!A:A,AB755)</f>
        <v>0</v>
      </c>
      <c r="Y755" s="4">
        <f t="shared" si="22"/>
        <v>0</v>
      </c>
      <c r="Z755" s="41"/>
      <c r="AA755" s="12" t="str">
        <f>iferror(IF(VLOOKUP(C755,'Weekly Dump'!B:B,1,0)=C755,"Yes","Missing"),"")</f>
        <v/>
      </c>
      <c r="AB755" s="66"/>
    </row>
    <row r="756">
      <c r="B756" s="63"/>
      <c r="C756" s="63"/>
      <c r="G756" s="3" t="str">
        <f t="shared" si="26"/>
        <v/>
      </c>
      <c r="I756" s="4">
        <f>SUMIFS('Weekly Dump'!D:D,'Weekly Dump'!B:B,C756)</f>
        <v>0</v>
      </c>
      <c r="J756" s="5">
        <f>SUMIFS('Weekly Dump'!AE:AE,'Weekly Dump'!B:B,C756)</f>
        <v>0</v>
      </c>
      <c r="K756" s="4">
        <f>SUMPRODUCT(
  (TEXT('Weekly Dump'!$A$2:$A1009,"mmm-yy")=TEXT($AB756,"mmm-yy"))*
  ('Weekly Dump'!$B$2:$B1009=$C756)*
  'Weekly Dump'!$D$2:$D1009)</f>
        <v>0</v>
      </c>
      <c r="L756" s="4">
        <f>SUMPRODUCT(
  (TEXT('Weekly Dump'!$A$2:$A1009,"mmm-yy")=TEXT($AB756,"mmm-yy"))*
  ('Weekly Dump'!$B$2:$B1009=$C756)*
  'Weekly Dump'!$E$2:$E1009
)</f>
        <v>0</v>
      </c>
      <c r="M756" s="4">
        <f>SUMPRODUCT(
  (TEXT('Weekly Dump'!$A$2:$A1009,"mmm-yy")=TEXT($AB756,"mmm-yy"))*
  ('Weekly Dump'!$B$2:$B1009=$C756)*
  'Weekly Dump'!$P$2:$P1009
)</f>
        <v>0</v>
      </c>
      <c r="N756" s="39"/>
      <c r="O756" s="40">
        <f>SUMIFS('Weekly Dump'!$D:$D,'Weekly Dump'!$B:$B,$C756,'Weekly Dump'!$A:$A,$AB756)</f>
        <v>0</v>
      </c>
      <c r="P756" s="40">
        <f>SUMIFS('Weekly Dump'!R:R,'Weekly Dump'!B:B,C756,'Weekly Dump'!A:A,AB756)</f>
        <v>0</v>
      </c>
      <c r="Q756" s="40">
        <f t="shared" si="20"/>
        <v>0</v>
      </c>
      <c r="R756" s="41"/>
      <c r="T756" s="4">
        <f>SUMIFS('Weekly Dump'!E:E,'Weekly Dump'!B:B,C756,'Weekly Dump'!A:A,AB756)</f>
        <v>0</v>
      </c>
      <c r="U756" s="3">
        <f t="shared" si="21"/>
        <v>0</v>
      </c>
      <c r="V756" s="42"/>
      <c r="X756" s="4">
        <f>SUMIFS('Weekly Dump'!P:P,'Weekly Dump'!B:B,C756,'Weekly Dump'!A:A,AB756)</f>
        <v>0</v>
      </c>
      <c r="Y756" s="4">
        <f t="shared" si="22"/>
        <v>0</v>
      </c>
      <c r="Z756" s="41"/>
      <c r="AA756" s="12" t="str">
        <f>iferror(IF(VLOOKUP(C756,'Weekly Dump'!B:B,1,0)=C756,"Yes","Missing"),"")</f>
        <v/>
      </c>
      <c r="AB756" s="66"/>
    </row>
    <row r="757">
      <c r="B757" s="63"/>
      <c r="C757" s="63"/>
      <c r="G757" s="3" t="str">
        <f t="shared" si="26"/>
        <v/>
      </c>
      <c r="I757" s="4">
        <f>SUMIFS('Weekly Dump'!D:D,'Weekly Dump'!B:B,C757)</f>
        <v>0</v>
      </c>
      <c r="J757" s="5">
        <f>SUMIFS('Weekly Dump'!AE:AE,'Weekly Dump'!B:B,C757)</f>
        <v>0</v>
      </c>
      <c r="K757" s="4">
        <f>SUMPRODUCT(
  (TEXT('Weekly Dump'!$A$2:$A1009,"mmm-yy")=TEXT($AB757,"mmm-yy"))*
  ('Weekly Dump'!$B$2:$B1009=$C757)*
  'Weekly Dump'!$D$2:$D1009)</f>
        <v>0</v>
      </c>
      <c r="L757" s="4">
        <f>SUMPRODUCT(
  (TEXT('Weekly Dump'!$A$2:$A1009,"mmm-yy")=TEXT($AB757,"mmm-yy"))*
  ('Weekly Dump'!$B$2:$B1009=$C757)*
  'Weekly Dump'!$E$2:$E1009
)</f>
        <v>0</v>
      </c>
      <c r="M757" s="4">
        <f>SUMPRODUCT(
  (TEXT('Weekly Dump'!$A$2:$A1009,"mmm-yy")=TEXT($AB757,"mmm-yy"))*
  ('Weekly Dump'!$B$2:$B1009=$C757)*
  'Weekly Dump'!$P$2:$P1009
)</f>
        <v>0</v>
      </c>
      <c r="N757" s="39"/>
      <c r="O757" s="40">
        <f>SUMIFS('Weekly Dump'!$D:$D,'Weekly Dump'!$B:$B,$C757,'Weekly Dump'!$A:$A,$AB757)</f>
        <v>0</v>
      </c>
      <c r="P757" s="40">
        <f>SUMIFS('Weekly Dump'!R:R,'Weekly Dump'!B:B,C757,'Weekly Dump'!A:A,AB757)</f>
        <v>0</v>
      </c>
      <c r="Q757" s="40">
        <f t="shared" si="20"/>
        <v>0</v>
      </c>
      <c r="R757" s="41"/>
      <c r="T757" s="4">
        <f>SUMIFS('Weekly Dump'!E:E,'Weekly Dump'!B:B,C757,'Weekly Dump'!A:A,AB757)</f>
        <v>0</v>
      </c>
      <c r="U757" s="3">
        <f t="shared" si="21"/>
        <v>0</v>
      </c>
      <c r="V757" s="42"/>
      <c r="X757" s="4">
        <f>SUMIFS('Weekly Dump'!P:P,'Weekly Dump'!B:B,C757,'Weekly Dump'!A:A,AB757)</f>
        <v>0</v>
      </c>
      <c r="Y757" s="4">
        <f t="shared" si="22"/>
        <v>0</v>
      </c>
      <c r="Z757" s="41"/>
      <c r="AA757" s="12" t="str">
        <f>iferror(IF(VLOOKUP(C757,'Weekly Dump'!B:B,1,0)=C757,"Yes","Missing"),"")</f>
        <v/>
      </c>
      <c r="AB757" s="66"/>
    </row>
    <row r="758">
      <c r="B758" s="63"/>
      <c r="C758" s="63"/>
      <c r="G758" s="3" t="str">
        <f t="shared" si="26"/>
        <v/>
      </c>
      <c r="I758" s="4">
        <f>SUMIFS('Weekly Dump'!D:D,'Weekly Dump'!B:B,C758)</f>
        <v>0</v>
      </c>
      <c r="J758" s="5">
        <f>SUMIFS('Weekly Dump'!AE:AE,'Weekly Dump'!B:B,C758)</f>
        <v>0</v>
      </c>
      <c r="K758" s="4">
        <f>SUMPRODUCT(
  (TEXT('Weekly Dump'!$A$2:$A1009,"mmm-yy")=TEXT($AB758,"mmm-yy"))*
  ('Weekly Dump'!$B$2:$B1009=$C758)*
  'Weekly Dump'!$D$2:$D1009)</f>
        <v>0</v>
      </c>
      <c r="L758" s="4">
        <f>SUMPRODUCT(
  (TEXT('Weekly Dump'!$A$2:$A1009,"mmm-yy")=TEXT($AB758,"mmm-yy"))*
  ('Weekly Dump'!$B$2:$B1009=$C758)*
  'Weekly Dump'!$E$2:$E1009
)</f>
        <v>0</v>
      </c>
      <c r="M758" s="4">
        <f>SUMPRODUCT(
  (TEXT('Weekly Dump'!$A$2:$A1009,"mmm-yy")=TEXT($AB758,"mmm-yy"))*
  ('Weekly Dump'!$B$2:$B1009=$C758)*
  'Weekly Dump'!$P$2:$P1009
)</f>
        <v>0</v>
      </c>
      <c r="N758" s="39"/>
      <c r="O758" s="40">
        <f>SUMIFS('Weekly Dump'!$D:$D,'Weekly Dump'!$B:$B,$C758,'Weekly Dump'!$A:$A,$AB758)</f>
        <v>0</v>
      </c>
      <c r="P758" s="40">
        <f>SUMIFS('Weekly Dump'!R:R,'Weekly Dump'!B:B,C758,'Weekly Dump'!A:A,AB758)</f>
        <v>0</v>
      </c>
      <c r="Q758" s="40">
        <f t="shared" si="20"/>
        <v>0</v>
      </c>
      <c r="R758" s="41"/>
      <c r="T758" s="4">
        <f>SUMIFS('Weekly Dump'!E:E,'Weekly Dump'!B:B,C758,'Weekly Dump'!A:A,AB758)</f>
        <v>0</v>
      </c>
      <c r="U758" s="3">
        <f t="shared" si="21"/>
        <v>0</v>
      </c>
      <c r="V758" s="42"/>
      <c r="X758" s="4">
        <f>SUMIFS('Weekly Dump'!P:P,'Weekly Dump'!B:B,C758,'Weekly Dump'!A:A,AB758)</f>
        <v>0</v>
      </c>
      <c r="Y758" s="4">
        <f t="shared" si="22"/>
        <v>0</v>
      </c>
      <c r="Z758" s="41"/>
      <c r="AA758" s="12" t="str">
        <f>iferror(IF(VLOOKUP(C758,'Weekly Dump'!B:B,1,0)=C758,"Yes","Missing"),"")</f>
        <v/>
      </c>
      <c r="AB758" s="66"/>
    </row>
    <row r="759">
      <c r="B759" s="63"/>
      <c r="C759" s="63"/>
      <c r="G759" s="3" t="str">
        <f t="shared" si="26"/>
        <v/>
      </c>
      <c r="I759" s="4">
        <f>SUMIFS('Weekly Dump'!D:D,'Weekly Dump'!B:B,C759)</f>
        <v>0</v>
      </c>
      <c r="J759" s="5">
        <f>SUMIFS('Weekly Dump'!AE:AE,'Weekly Dump'!B:B,C759)</f>
        <v>0</v>
      </c>
      <c r="K759" s="4">
        <f>SUMPRODUCT(
  (TEXT('Weekly Dump'!$A$2:$A1009,"mmm-yy")=TEXT($AB759,"mmm-yy"))*
  ('Weekly Dump'!$B$2:$B1009=$C759)*
  'Weekly Dump'!$D$2:$D1009)</f>
        <v>0</v>
      </c>
      <c r="L759" s="4">
        <f>SUMPRODUCT(
  (TEXT('Weekly Dump'!$A$2:$A1009,"mmm-yy")=TEXT($AB759,"mmm-yy"))*
  ('Weekly Dump'!$B$2:$B1009=$C759)*
  'Weekly Dump'!$E$2:$E1009
)</f>
        <v>0</v>
      </c>
      <c r="M759" s="4">
        <f>SUMPRODUCT(
  (TEXT('Weekly Dump'!$A$2:$A1009,"mmm-yy")=TEXT($AB759,"mmm-yy"))*
  ('Weekly Dump'!$B$2:$B1009=$C759)*
  'Weekly Dump'!$P$2:$P1009
)</f>
        <v>0</v>
      </c>
      <c r="N759" s="39"/>
      <c r="O759" s="40">
        <f>SUMIFS('Weekly Dump'!$D:$D,'Weekly Dump'!$B:$B,$C759,'Weekly Dump'!$A:$A,$AB759)</f>
        <v>0</v>
      </c>
      <c r="P759" s="40">
        <f>SUMIFS('Weekly Dump'!R:R,'Weekly Dump'!B:B,C759,'Weekly Dump'!A:A,AB759)</f>
        <v>0</v>
      </c>
      <c r="Q759" s="40">
        <f t="shared" si="20"/>
        <v>0</v>
      </c>
      <c r="R759" s="41"/>
      <c r="T759" s="4">
        <f>SUMIFS('Weekly Dump'!E:E,'Weekly Dump'!B:B,C759,'Weekly Dump'!A:A,AB759)</f>
        <v>0</v>
      </c>
      <c r="U759" s="3">
        <f t="shared" si="21"/>
        <v>0</v>
      </c>
      <c r="V759" s="42"/>
      <c r="X759" s="4">
        <f>SUMIFS('Weekly Dump'!P:P,'Weekly Dump'!B:B,C759,'Weekly Dump'!A:A,AB759)</f>
        <v>0</v>
      </c>
      <c r="Y759" s="4">
        <f t="shared" si="22"/>
        <v>0</v>
      </c>
      <c r="Z759" s="41"/>
      <c r="AA759" s="12" t="str">
        <f>iferror(IF(VLOOKUP(C759,'Weekly Dump'!B:B,1,0)=C759,"Yes","Missing"),"")</f>
        <v/>
      </c>
      <c r="AB759" s="66"/>
    </row>
    <row r="760">
      <c r="B760" s="63"/>
      <c r="C760" s="63"/>
      <c r="G760" s="3" t="str">
        <f t="shared" si="26"/>
        <v/>
      </c>
      <c r="I760" s="4">
        <f>SUMIFS('Weekly Dump'!D:D,'Weekly Dump'!B:B,C760)</f>
        <v>0</v>
      </c>
      <c r="J760" s="5">
        <f>SUMIFS('Weekly Dump'!AE:AE,'Weekly Dump'!B:B,C760)</f>
        <v>0</v>
      </c>
      <c r="K760" s="4">
        <f>SUMPRODUCT(
  (TEXT('Weekly Dump'!$A$2:$A1009,"mmm-yy")=TEXT($AB760,"mmm-yy"))*
  ('Weekly Dump'!$B$2:$B1009=$C760)*
  'Weekly Dump'!$D$2:$D1009)</f>
        <v>0</v>
      </c>
      <c r="L760" s="4">
        <f>SUMPRODUCT(
  (TEXT('Weekly Dump'!$A$2:$A1009,"mmm-yy")=TEXT($AB760,"mmm-yy"))*
  ('Weekly Dump'!$B$2:$B1009=$C760)*
  'Weekly Dump'!$E$2:$E1009
)</f>
        <v>0</v>
      </c>
      <c r="M760" s="4">
        <f>SUMPRODUCT(
  (TEXT('Weekly Dump'!$A$2:$A1009,"mmm-yy")=TEXT($AB760,"mmm-yy"))*
  ('Weekly Dump'!$B$2:$B1009=$C760)*
  'Weekly Dump'!$P$2:$P1009
)</f>
        <v>0</v>
      </c>
      <c r="N760" s="39"/>
      <c r="O760" s="40">
        <f>SUMIFS('Weekly Dump'!$D:$D,'Weekly Dump'!$B:$B,$C760,'Weekly Dump'!$A:$A,$AB760)</f>
        <v>0</v>
      </c>
      <c r="P760" s="40">
        <f>SUMIFS('Weekly Dump'!R:R,'Weekly Dump'!B:B,C760,'Weekly Dump'!A:A,AB760)</f>
        <v>0</v>
      </c>
      <c r="Q760" s="40">
        <f t="shared" si="20"/>
        <v>0</v>
      </c>
      <c r="R760" s="41"/>
      <c r="T760" s="4">
        <f>SUMIFS('Weekly Dump'!E:E,'Weekly Dump'!B:B,C760,'Weekly Dump'!A:A,AB760)</f>
        <v>0</v>
      </c>
      <c r="U760" s="3">
        <f t="shared" si="21"/>
        <v>0</v>
      </c>
      <c r="V760" s="42"/>
      <c r="X760" s="4">
        <f>SUMIFS('Weekly Dump'!P:P,'Weekly Dump'!B:B,C760,'Weekly Dump'!A:A,AB760)</f>
        <v>0</v>
      </c>
      <c r="Y760" s="4">
        <f t="shared" si="22"/>
        <v>0</v>
      </c>
      <c r="Z760" s="41"/>
      <c r="AA760" s="12" t="str">
        <f>iferror(IF(VLOOKUP(C760,'Weekly Dump'!B:B,1,0)=C760,"Yes","Missing"),"")</f>
        <v/>
      </c>
      <c r="AB760" s="66"/>
    </row>
    <row r="761">
      <c r="B761" s="63"/>
      <c r="C761" s="63"/>
      <c r="G761" s="3" t="str">
        <f t="shared" si="26"/>
        <v/>
      </c>
      <c r="I761" s="4">
        <f>SUMIFS('Weekly Dump'!D:D,'Weekly Dump'!B:B,C761)</f>
        <v>0</v>
      </c>
      <c r="J761" s="5">
        <f>SUMIFS('Weekly Dump'!AE:AE,'Weekly Dump'!B:B,C761)</f>
        <v>0</v>
      </c>
      <c r="K761" s="4">
        <f>SUMPRODUCT(
  (TEXT('Weekly Dump'!$A$2:$A1009,"mmm-yy")=TEXT($AB761,"mmm-yy"))*
  ('Weekly Dump'!$B$2:$B1009=$C761)*
  'Weekly Dump'!$D$2:$D1009)</f>
        <v>0</v>
      </c>
      <c r="L761" s="4">
        <f>SUMPRODUCT(
  (TEXT('Weekly Dump'!$A$2:$A1009,"mmm-yy")=TEXT($AB761,"mmm-yy"))*
  ('Weekly Dump'!$B$2:$B1009=$C761)*
  'Weekly Dump'!$E$2:$E1009
)</f>
        <v>0</v>
      </c>
      <c r="M761" s="4">
        <f>SUMPRODUCT(
  (TEXT('Weekly Dump'!$A$2:$A1009,"mmm-yy")=TEXT($AB761,"mmm-yy"))*
  ('Weekly Dump'!$B$2:$B1009=$C761)*
  'Weekly Dump'!$P$2:$P1009
)</f>
        <v>0</v>
      </c>
      <c r="N761" s="39"/>
      <c r="O761" s="40">
        <f>SUMIFS('Weekly Dump'!$D:$D,'Weekly Dump'!$B:$B,$C761,'Weekly Dump'!$A:$A,$AB761)</f>
        <v>0</v>
      </c>
      <c r="P761" s="40">
        <f>SUMIFS('Weekly Dump'!R:R,'Weekly Dump'!B:B,C761,'Weekly Dump'!A:A,AB761)</f>
        <v>0</v>
      </c>
      <c r="Q761" s="40">
        <f t="shared" si="20"/>
        <v>0</v>
      </c>
      <c r="R761" s="41"/>
      <c r="T761" s="4">
        <f>SUMIFS('Weekly Dump'!E:E,'Weekly Dump'!B:B,C761,'Weekly Dump'!A:A,AB761)</f>
        <v>0</v>
      </c>
      <c r="U761" s="3">
        <f t="shared" si="21"/>
        <v>0</v>
      </c>
      <c r="V761" s="42"/>
      <c r="X761" s="4">
        <f>SUMIFS('Weekly Dump'!P:P,'Weekly Dump'!B:B,C761,'Weekly Dump'!A:A,AB761)</f>
        <v>0</v>
      </c>
      <c r="Y761" s="4">
        <f t="shared" si="22"/>
        <v>0</v>
      </c>
      <c r="Z761" s="41"/>
      <c r="AA761" s="12" t="str">
        <f>iferror(IF(VLOOKUP(C761,'Weekly Dump'!B:B,1,0)=C761,"Yes","Missing"),"")</f>
        <v/>
      </c>
      <c r="AB761" s="66"/>
    </row>
    <row r="762">
      <c r="B762" s="63"/>
      <c r="C762" s="63"/>
      <c r="G762" s="3" t="str">
        <f t="shared" si="26"/>
        <v/>
      </c>
      <c r="I762" s="4">
        <f>SUMIFS('Weekly Dump'!D:D,'Weekly Dump'!B:B,C762)</f>
        <v>0</v>
      </c>
      <c r="J762" s="5">
        <f>SUMIFS('Weekly Dump'!AE:AE,'Weekly Dump'!B:B,C762)</f>
        <v>0</v>
      </c>
      <c r="K762" s="4">
        <f>SUMPRODUCT(
  (TEXT('Weekly Dump'!$A$2:$A1009,"mmm-yy")=TEXT($AB762,"mmm-yy"))*
  ('Weekly Dump'!$B$2:$B1009=$C762)*
  'Weekly Dump'!$D$2:$D1009)</f>
        <v>0</v>
      </c>
      <c r="L762" s="4">
        <f>SUMPRODUCT(
  (TEXT('Weekly Dump'!$A$2:$A1009,"mmm-yy")=TEXT($AB762,"mmm-yy"))*
  ('Weekly Dump'!$B$2:$B1009=$C762)*
  'Weekly Dump'!$E$2:$E1009
)</f>
        <v>0</v>
      </c>
      <c r="M762" s="4">
        <f>SUMPRODUCT(
  (TEXT('Weekly Dump'!$A$2:$A1009,"mmm-yy")=TEXT($AB762,"mmm-yy"))*
  ('Weekly Dump'!$B$2:$B1009=$C762)*
  'Weekly Dump'!$P$2:$P1009
)</f>
        <v>0</v>
      </c>
      <c r="N762" s="39"/>
      <c r="O762" s="40">
        <f>SUMIFS('Weekly Dump'!$D:$D,'Weekly Dump'!$B:$B,$C762,'Weekly Dump'!$A:$A,$AB762)</f>
        <v>0</v>
      </c>
      <c r="P762" s="40">
        <f>SUMIFS('Weekly Dump'!R:R,'Weekly Dump'!B:B,C762,'Weekly Dump'!A:A,AB762)</f>
        <v>0</v>
      </c>
      <c r="Q762" s="40">
        <f t="shared" si="20"/>
        <v>0</v>
      </c>
      <c r="R762" s="41"/>
      <c r="T762" s="4">
        <f>SUMIFS('Weekly Dump'!E:E,'Weekly Dump'!B:B,C762,'Weekly Dump'!A:A,AB762)</f>
        <v>0</v>
      </c>
      <c r="U762" s="3">
        <f t="shared" si="21"/>
        <v>0</v>
      </c>
      <c r="V762" s="42"/>
      <c r="X762" s="4">
        <f>SUMIFS('Weekly Dump'!P:P,'Weekly Dump'!B:B,C762,'Weekly Dump'!A:A,AB762)</f>
        <v>0</v>
      </c>
      <c r="Y762" s="4">
        <f t="shared" si="22"/>
        <v>0</v>
      </c>
      <c r="Z762" s="41"/>
      <c r="AA762" s="12" t="str">
        <f>iferror(IF(VLOOKUP(C762,'Weekly Dump'!B:B,1,0)=C762,"Yes","Missing"),"")</f>
        <v/>
      </c>
      <c r="AB762" s="66"/>
    </row>
    <row r="763">
      <c r="B763" s="63"/>
      <c r="C763" s="63"/>
      <c r="G763" s="3" t="str">
        <f t="shared" si="26"/>
        <v/>
      </c>
      <c r="I763" s="4">
        <f>SUMIFS('Weekly Dump'!D:D,'Weekly Dump'!B:B,C763)</f>
        <v>0</v>
      </c>
      <c r="J763" s="5">
        <f>SUMIFS('Weekly Dump'!AE:AE,'Weekly Dump'!B:B,C763)</f>
        <v>0</v>
      </c>
      <c r="K763" s="4">
        <f>SUMPRODUCT(
  (TEXT('Weekly Dump'!$A$2:$A1009,"mmm-yy")=TEXT($AB763,"mmm-yy"))*
  ('Weekly Dump'!$B$2:$B1009=$C763)*
  'Weekly Dump'!$D$2:$D1009)</f>
        <v>0</v>
      </c>
      <c r="L763" s="4">
        <f>SUMPRODUCT(
  (TEXT('Weekly Dump'!$A$2:$A1009,"mmm-yy")=TEXT($AB763,"mmm-yy"))*
  ('Weekly Dump'!$B$2:$B1009=$C763)*
  'Weekly Dump'!$E$2:$E1009
)</f>
        <v>0</v>
      </c>
      <c r="M763" s="4">
        <f>SUMPRODUCT(
  (TEXT('Weekly Dump'!$A$2:$A1009,"mmm-yy")=TEXT($AB763,"mmm-yy"))*
  ('Weekly Dump'!$B$2:$B1009=$C763)*
  'Weekly Dump'!$P$2:$P1009
)</f>
        <v>0</v>
      </c>
      <c r="N763" s="39"/>
      <c r="O763" s="40">
        <f>SUMIFS('Weekly Dump'!$D:$D,'Weekly Dump'!$B:$B,$C763,'Weekly Dump'!$A:$A,$AB763)</f>
        <v>0</v>
      </c>
      <c r="P763" s="40">
        <f>SUMIFS('Weekly Dump'!R:R,'Weekly Dump'!B:B,C763,'Weekly Dump'!A:A,AB763)</f>
        <v>0</v>
      </c>
      <c r="Q763" s="40">
        <f t="shared" si="20"/>
        <v>0</v>
      </c>
      <c r="R763" s="41"/>
      <c r="T763" s="4">
        <f>SUMIFS('Weekly Dump'!E:E,'Weekly Dump'!B:B,C763,'Weekly Dump'!A:A,AB763)</f>
        <v>0</v>
      </c>
      <c r="U763" s="3">
        <f t="shared" si="21"/>
        <v>0</v>
      </c>
      <c r="V763" s="42"/>
      <c r="X763" s="4">
        <f>SUMIFS('Weekly Dump'!P:P,'Weekly Dump'!B:B,C763,'Weekly Dump'!A:A,AB763)</f>
        <v>0</v>
      </c>
      <c r="Y763" s="4">
        <f t="shared" si="22"/>
        <v>0</v>
      </c>
      <c r="Z763" s="41"/>
      <c r="AA763" s="12" t="str">
        <f>iferror(IF(VLOOKUP(C763,'Weekly Dump'!B:B,1,0)=C763,"Yes","Missing"),"")</f>
        <v/>
      </c>
      <c r="AB763" s="66"/>
    </row>
    <row r="764">
      <c r="B764" s="63"/>
      <c r="C764" s="63"/>
      <c r="G764" s="3" t="str">
        <f t="shared" si="26"/>
        <v/>
      </c>
      <c r="I764" s="4">
        <f>SUMIFS('Weekly Dump'!D:D,'Weekly Dump'!B:B,C764)</f>
        <v>0</v>
      </c>
      <c r="J764" s="5">
        <f>SUMIFS('Weekly Dump'!AE:AE,'Weekly Dump'!B:B,C764)</f>
        <v>0</v>
      </c>
      <c r="K764" s="4">
        <f>SUMPRODUCT(
  (TEXT('Weekly Dump'!$A$2:$A1009,"mmm-yy")=TEXT($AB764,"mmm-yy"))*
  ('Weekly Dump'!$B$2:$B1009=$C764)*
  'Weekly Dump'!$D$2:$D1009)</f>
        <v>0</v>
      </c>
      <c r="L764" s="4">
        <f>SUMPRODUCT(
  (TEXT('Weekly Dump'!$A$2:$A1009,"mmm-yy")=TEXT($AB764,"mmm-yy"))*
  ('Weekly Dump'!$B$2:$B1009=$C764)*
  'Weekly Dump'!$E$2:$E1009
)</f>
        <v>0</v>
      </c>
      <c r="M764" s="4">
        <f>SUMPRODUCT(
  (TEXT('Weekly Dump'!$A$2:$A1009,"mmm-yy")=TEXT($AB764,"mmm-yy"))*
  ('Weekly Dump'!$B$2:$B1009=$C764)*
  'Weekly Dump'!$P$2:$P1009
)</f>
        <v>0</v>
      </c>
      <c r="N764" s="39"/>
      <c r="O764" s="40">
        <f>SUMIFS('Weekly Dump'!$D:$D,'Weekly Dump'!$B:$B,$C764,'Weekly Dump'!$A:$A,$AB764)</f>
        <v>0</v>
      </c>
      <c r="P764" s="40">
        <f>SUMIFS('Weekly Dump'!R:R,'Weekly Dump'!B:B,C764,'Weekly Dump'!A:A,AB764)</f>
        <v>0</v>
      </c>
      <c r="Q764" s="40">
        <f t="shared" si="20"/>
        <v>0</v>
      </c>
      <c r="R764" s="41"/>
      <c r="T764" s="4">
        <f>SUMIFS('Weekly Dump'!E:E,'Weekly Dump'!B:B,C764,'Weekly Dump'!A:A,AB764)</f>
        <v>0</v>
      </c>
      <c r="U764" s="3">
        <f t="shared" si="21"/>
        <v>0</v>
      </c>
      <c r="V764" s="42"/>
      <c r="X764" s="4">
        <f>SUMIFS('Weekly Dump'!P:P,'Weekly Dump'!B:B,C764,'Weekly Dump'!A:A,AB764)</f>
        <v>0</v>
      </c>
      <c r="Y764" s="4">
        <f t="shared" si="22"/>
        <v>0</v>
      </c>
      <c r="Z764" s="41"/>
      <c r="AA764" s="12" t="str">
        <f>iferror(IF(VLOOKUP(C764,'Weekly Dump'!B:B,1,0)=C764,"Yes","Missing"),"")</f>
        <v/>
      </c>
      <c r="AB764" s="66"/>
    </row>
    <row r="765">
      <c r="B765" s="63"/>
      <c r="C765" s="63"/>
      <c r="G765" s="3" t="str">
        <f t="shared" si="26"/>
        <v/>
      </c>
      <c r="I765" s="4">
        <f>SUMIFS('Weekly Dump'!D:D,'Weekly Dump'!B:B,C765)</f>
        <v>0</v>
      </c>
      <c r="J765" s="5">
        <f>SUMIFS('Weekly Dump'!AE:AE,'Weekly Dump'!B:B,C765)</f>
        <v>0</v>
      </c>
      <c r="K765" s="4">
        <f>SUMPRODUCT(
  (TEXT('Weekly Dump'!$A$2:$A1009,"mmm-yy")=TEXT($AB765,"mmm-yy"))*
  ('Weekly Dump'!$B$2:$B1009=$C765)*
  'Weekly Dump'!$D$2:$D1009)</f>
        <v>0</v>
      </c>
      <c r="L765" s="4">
        <f>SUMPRODUCT(
  (TEXT('Weekly Dump'!$A$2:$A1009,"mmm-yy")=TEXT($AB765,"mmm-yy"))*
  ('Weekly Dump'!$B$2:$B1009=$C765)*
  'Weekly Dump'!$E$2:$E1009
)</f>
        <v>0</v>
      </c>
      <c r="M765" s="4">
        <f>SUMPRODUCT(
  (TEXT('Weekly Dump'!$A$2:$A1009,"mmm-yy")=TEXT($AB765,"mmm-yy"))*
  ('Weekly Dump'!$B$2:$B1009=$C765)*
  'Weekly Dump'!$P$2:$P1009
)</f>
        <v>0</v>
      </c>
      <c r="N765" s="39"/>
      <c r="O765" s="40">
        <f>SUMIFS('Weekly Dump'!$D:$D,'Weekly Dump'!$B:$B,$C765,'Weekly Dump'!$A:$A,$AB765)</f>
        <v>0</v>
      </c>
      <c r="P765" s="40">
        <f>SUMIFS('Weekly Dump'!R:R,'Weekly Dump'!B:B,C765,'Weekly Dump'!A:A,AB765)</f>
        <v>0</v>
      </c>
      <c r="Q765" s="40">
        <f t="shared" si="20"/>
        <v>0</v>
      </c>
      <c r="R765" s="41"/>
      <c r="T765" s="4">
        <f>SUMIFS('Weekly Dump'!E:E,'Weekly Dump'!B:B,C765,'Weekly Dump'!A:A,AB765)</f>
        <v>0</v>
      </c>
      <c r="U765" s="3">
        <f t="shared" si="21"/>
        <v>0</v>
      </c>
      <c r="V765" s="42"/>
      <c r="X765" s="4">
        <f>SUMIFS('Weekly Dump'!P:P,'Weekly Dump'!B:B,C765,'Weekly Dump'!A:A,AB765)</f>
        <v>0</v>
      </c>
      <c r="Y765" s="4">
        <f t="shared" si="22"/>
        <v>0</v>
      </c>
      <c r="Z765" s="41"/>
      <c r="AA765" s="12" t="str">
        <f>iferror(IF(VLOOKUP(C765,'Weekly Dump'!B:B,1,0)=C765,"Yes","Missing"),"")</f>
        <v/>
      </c>
      <c r="AB765" s="66"/>
    </row>
    <row r="766">
      <c r="B766" s="63"/>
      <c r="C766" s="63"/>
      <c r="G766" s="3" t="str">
        <f t="shared" si="26"/>
        <v/>
      </c>
      <c r="I766" s="4">
        <f>SUMIFS('Weekly Dump'!D:D,'Weekly Dump'!B:B,C766)</f>
        <v>0</v>
      </c>
      <c r="J766" s="5">
        <f>SUMIFS('Weekly Dump'!AE:AE,'Weekly Dump'!B:B,C766)</f>
        <v>0</v>
      </c>
      <c r="K766" s="4">
        <f>SUMPRODUCT(
  (TEXT('Weekly Dump'!$A$2:$A1009,"mmm-yy")=TEXT($AB766,"mmm-yy"))*
  ('Weekly Dump'!$B$2:$B1009=$C766)*
  'Weekly Dump'!$D$2:$D1009)</f>
        <v>0</v>
      </c>
      <c r="L766" s="4">
        <f>SUMPRODUCT(
  (TEXT('Weekly Dump'!$A$2:$A1009,"mmm-yy")=TEXT($AB766,"mmm-yy"))*
  ('Weekly Dump'!$B$2:$B1009=$C766)*
  'Weekly Dump'!$E$2:$E1009
)</f>
        <v>0</v>
      </c>
      <c r="M766" s="4">
        <f>SUMPRODUCT(
  (TEXT('Weekly Dump'!$A$2:$A1009,"mmm-yy")=TEXT($AB766,"mmm-yy"))*
  ('Weekly Dump'!$B$2:$B1009=$C766)*
  'Weekly Dump'!$P$2:$P1009
)</f>
        <v>0</v>
      </c>
      <c r="N766" s="39"/>
      <c r="O766" s="40">
        <f>SUMIFS('Weekly Dump'!$D:$D,'Weekly Dump'!$B:$B,$C766,'Weekly Dump'!$A:$A,$AB766)</f>
        <v>0</v>
      </c>
      <c r="P766" s="40">
        <f>SUMIFS('Weekly Dump'!R:R,'Weekly Dump'!B:B,C766,'Weekly Dump'!A:A,AB766)</f>
        <v>0</v>
      </c>
      <c r="Q766" s="40">
        <f t="shared" si="20"/>
        <v>0</v>
      </c>
      <c r="R766" s="41"/>
      <c r="T766" s="4">
        <f>SUMIFS('Weekly Dump'!E:E,'Weekly Dump'!B:B,C766,'Weekly Dump'!A:A,AB766)</f>
        <v>0</v>
      </c>
      <c r="U766" s="3">
        <f t="shared" si="21"/>
        <v>0</v>
      </c>
      <c r="V766" s="42"/>
      <c r="X766" s="4">
        <f>SUMIFS('Weekly Dump'!P:P,'Weekly Dump'!B:B,C766,'Weekly Dump'!A:A,AB766)</f>
        <v>0</v>
      </c>
      <c r="Y766" s="4">
        <f t="shared" si="22"/>
        <v>0</v>
      </c>
      <c r="Z766" s="41"/>
      <c r="AA766" s="12" t="str">
        <f>iferror(IF(VLOOKUP(C766,'Weekly Dump'!B:B,1,0)=C766,"Yes","Missing"),"")</f>
        <v/>
      </c>
      <c r="AB766" s="66"/>
    </row>
    <row r="767">
      <c r="B767" s="63"/>
      <c r="C767" s="63"/>
      <c r="G767" s="3" t="str">
        <f t="shared" si="26"/>
        <v/>
      </c>
      <c r="I767" s="4">
        <f>SUMIFS('Weekly Dump'!D:D,'Weekly Dump'!B:B,C767)</f>
        <v>0</v>
      </c>
      <c r="J767" s="5">
        <f>SUMIFS('Weekly Dump'!AE:AE,'Weekly Dump'!B:B,C767)</f>
        <v>0</v>
      </c>
      <c r="K767" s="4">
        <f>SUMPRODUCT(
  (TEXT('Weekly Dump'!$A$2:$A1009,"mmm-yy")=TEXT($AB767,"mmm-yy"))*
  ('Weekly Dump'!$B$2:$B1009=$C767)*
  'Weekly Dump'!$D$2:$D1009)</f>
        <v>0</v>
      </c>
      <c r="L767" s="4">
        <f>SUMPRODUCT(
  (TEXT('Weekly Dump'!$A$2:$A1009,"mmm-yy")=TEXT($AB767,"mmm-yy"))*
  ('Weekly Dump'!$B$2:$B1009=$C767)*
  'Weekly Dump'!$E$2:$E1009
)</f>
        <v>0</v>
      </c>
      <c r="M767" s="4">
        <f>SUMPRODUCT(
  (TEXT('Weekly Dump'!$A$2:$A1009,"mmm-yy")=TEXT($AB767,"mmm-yy"))*
  ('Weekly Dump'!$B$2:$B1009=$C767)*
  'Weekly Dump'!$P$2:$P1009
)</f>
        <v>0</v>
      </c>
      <c r="N767" s="39"/>
      <c r="O767" s="40">
        <f>SUMIFS('Weekly Dump'!$D:$D,'Weekly Dump'!$B:$B,$C767,'Weekly Dump'!$A:$A,$AB767)</f>
        <v>0</v>
      </c>
      <c r="P767" s="40">
        <f>SUMIFS('Weekly Dump'!R:R,'Weekly Dump'!B:B,C767,'Weekly Dump'!A:A,AB767)</f>
        <v>0</v>
      </c>
      <c r="Q767" s="40">
        <f t="shared" si="20"/>
        <v>0</v>
      </c>
      <c r="R767" s="41"/>
      <c r="T767" s="4">
        <f>SUMIFS('Weekly Dump'!E:E,'Weekly Dump'!B:B,C767,'Weekly Dump'!A:A,AB767)</f>
        <v>0</v>
      </c>
      <c r="U767" s="3">
        <f t="shared" si="21"/>
        <v>0</v>
      </c>
      <c r="V767" s="42"/>
      <c r="X767" s="4">
        <f>SUMIFS('Weekly Dump'!P:P,'Weekly Dump'!B:B,C767,'Weekly Dump'!A:A,AB767)</f>
        <v>0</v>
      </c>
      <c r="Y767" s="4">
        <f t="shared" si="22"/>
        <v>0</v>
      </c>
      <c r="Z767" s="41"/>
      <c r="AA767" s="12" t="str">
        <f>iferror(IF(VLOOKUP(C767,'Weekly Dump'!B:B,1,0)=C767,"Yes","Missing"),"")</f>
        <v/>
      </c>
      <c r="AB767" s="66"/>
    </row>
    <row r="768">
      <c r="B768" s="63"/>
      <c r="C768" s="63"/>
      <c r="G768" s="3" t="str">
        <f t="shared" si="26"/>
        <v/>
      </c>
      <c r="I768" s="4">
        <f>SUMIFS('Weekly Dump'!D:D,'Weekly Dump'!B:B,C768)</f>
        <v>0</v>
      </c>
      <c r="J768" s="5">
        <f>SUMIFS('Weekly Dump'!AE:AE,'Weekly Dump'!B:B,C768)</f>
        <v>0</v>
      </c>
      <c r="K768" s="4">
        <f>SUMPRODUCT(
  (TEXT('Weekly Dump'!$A$2:$A1009,"mmm-yy")=TEXT($AB768,"mmm-yy"))*
  ('Weekly Dump'!$B$2:$B1009=$C768)*
  'Weekly Dump'!$D$2:$D1009)</f>
        <v>0</v>
      </c>
      <c r="L768" s="4">
        <f>SUMPRODUCT(
  (TEXT('Weekly Dump'!$A$2:$A1009,"mmm-yy")=TEXT($AB768,"mmm-yy"))*
  ('Weekly Dump'!$B$2:$B1009=$C768)*
  'Weekly Dump'!$E$2:$E1009
)</f>
        <v>0</v>
      </c>
      <c r="M768" s="4">
        <f>SUMPRODUCT(
  (TEXT('Weekly Dump'!$A$2:$A1009,"mmm-yy")=TEXT($AB768,"mmm-yy"))*
  ('Weekly Dump'!$B$2:$B1009=$C768)*
  'Weekly Dump'!$P$2:$P1009
)</f>
        <v>0</v>
      </c>
      <c r="N768" s="39"/>
      <c r="O768" s="40">
        <f>SUMIFS('Weekly Dump'!$D:$D,'Weekly Dump'!$B:$B,$C768,'Weekly Dump'!$A:$A,$AB768)</f>
        <v>0</v>
      </c>
      <c r="P768" s="40">
        <f>SUMIFS('Weekly Dump'!R:R,'Weekly Dump'!B:B,C768,'Weekly Dump'!A:A,AB768)</f>
        <v>0</v>
      </c>
      <c r="Q768" s="40">
        <f t="shared" si="20"/>
        <v>0</v>
      </c>
      <c r="R768" s="41"/>
      <c r="T768" s="4">
        <f>SUMIFS('Weekly Dump'!E:E,'Weekly Dump'!B:B,C768,'Weekly Dump'!A:A,AB768)</f>
        <v>0</v>
      </c>
      <c r="U768" s="3">
        <f t="shared" si="21"/>
        <v>0</v>
      </c>
      <c r="V768" s="42"/>
      <c r="X768" s="4">
        <f>SUMIFS('Weekly Dump'!P:P,'Weekly Dump'!B:B,C768,'Weekly Dump'!A:A,AB768)</f>
        <v>0</v>
      </c>
      <c r="Y768" s="4">
        <f t="shared" si="22"/>
        <v>0</v>
      </c>
      <c r="Z768" s="41"/>
      <c r="AA768" s="12" t="str">
        <f>iferror(IF(VLOOKUP(C768,'Weekly Dump'!B:B,1,0)=C768,"Yes","Missing"),"")</f>
        <v/>
      </c>
      <c r="AB768" s="66"/>
    </row>
    <row r="769">
      <c r="B769" s="63"/>
      <c r="C769" s="63"/>
      <c r="G769" s="3" t="str">
        <f t="shared" si="26"/>
        <v/>
      </c>
      <c r="I769" s="4">
        <f>SUMIFS('Weekly Dump'!D:D,'Weekly Dump'!B:B,C769)</f>
        <v>0</v>
      </c>
      <c r="J769" s="5">
        <f>SUMIFS('Weekly Dump'!AE:AE,'Weekly Dump'!B:B,C769)</f>
        <v>0</v>
      </c>
      <c r="K769" s="4">
        <f>SUMPRODUCT(
  (TEXT('Weekly Dump'!$A$2:$A1009,"mmm-yy")=TEXT($AB769,"mmm-yy"))*
  ('Weekly Dump'!$B$2:$B1009=$C769)*
  'Weekly Dump'!$D$2:$D1009)</f>
        <v>0</v>
      </c>
      <c r="L769" s="4">
        <f>SUMPRODUCT(
  (TEXT('Weekly Dump'!$A$2:$A1009,"mmm-yy")=TEXT($AB769,"mmm-yy"))*
  ('Weekly Dump'!$B$2:$B1009=$C769)*
  'Weekly Dump'!$E$2:$E1009
)</f>
        <v>0</v>
      </c>
      <c r="M769" s="4">
        <f>SUMPRODUCT(
  (TEXT('Weekly Dump'!$A$2:$A1009,"mmm-yy")=TEXT($AB769,"mmm-yy"))*
  ('Weekly Dump'!$B$2:$B1009=$C769)*
  'Weekly Dump'!$P$2:$P1009
)</f>
        <v>0</v>
      </c>
      <c r="N769" s="39"/>
      <c r="O769" s="40">
        <f>SUMIFS('Weekly Dump'!$D:$D,'Weekly Dump'!$B:$B,$C769,'Weekly Dump'!$A:$A,$AB769)</f>
        <v>0</v>
      </c>
      <c r="P769" s="40">
        <f>SUMIFS('Weekly Dump'!R:R,'Weekly Dump'!B:B,C769,'Weekly Dump'!A:A,AB769)</f>
        <v>0</v>
      </c>
      <c r="Q769" s="40">
        <f t="shared" si="20"/>
        <v>0</v>
      </c>
      <c r="R769" s="41"/>
      <c r="T769" s="4">
        <f>SUMIFS('Weekly Dump'!E:E,'Weekly Dump'!B:B,C769,'Weekly Dump'!A:A,AB769)</f>
        <v>0</v>
      </c>
      <c r="U769" s="3">
        <f t="shared" si="21"/>
        <v>0</v>
      </c>
      <c r="V769" s="42"/>
      <c r="X769" s="4">
        <f>SUMIFS('Weekly Dump'!P:P,'Weekly Dump'!B:B,C769,'Weekly Dump'!A:A,AB769)</f>
        <v>0</v>
      </c>
      <c r="Y769" s="4">
        <f t="shared" si="22"/>
        <v>0</v>
      </c>
      <c r="Z769" s="41"/>
      <c r="AA769" s="12" t="str">
        <f>iferror(IF(VLOOKUP(C769,'Weekly Dump'!B:B,1,0)=C769,"Yes","Missing"),"")</f>
        <v/>
      </c>
      <c r="AB769" s="66"/>
    </row>
    <row r="770">
      <c r="B770" s="63"/>
      <c r="C770" s="63"/>
      <c r="G770" s="3" t="str">
        <f t="shared" si="26"/>
        <v/>
      </c>
      <c r="I770" s="4">
        <f>SUMIFS('Weekly Dump'!D:D,'Weekly Dump'!B:B,C770)</f>
        <v>0</v>
      </c>
      <c r="J770" s="5">
        <f>SUMIFS('Weekly Dump'!AE:AE,'Weekly Dump'!B:B,C770)</f>
        <v>0</v>
      </c>
      <c r="K770" s="4">
        <f>SUMPRODUCT(
  (TEXT('Weekly Dump'!$A$2:$A1009,"mmm-yy")=TEXT($AB770,"mmm-yy"))*
  ('Weekly Dump'!$B$2:$B1009=$C770)*
  'Weekly Dump'!$D$2:$D1009)</f>
        <v>0</v>
      </c>
      <c r="L770" s="4">
        <f>SUMPRODUCT(
  (TEXT('Weekly Dump'!$A$2:$A1009,"mmm-yy")=TEXT($AB770,"mmm-yy"))*
  ('Weekly Dump'!$B$2:$B1009=$C770)*
  'Weekly Dump'!$E$2:$E1009
)</f>
        <v>0</v>
      </c>
      <c r="M770" s="4">
        <f>SUMPRODUCT(
  (TEXT('Weekly Dump'!$A$2:$A1009,"mmm-yy")=TEXT($AB770,"mmm-yy"))*
  ('Weekly Dump'!$B$2:$B1009=$C770)*
  'Weekly Dump'!$P$2:$P1009
)</f>
        <v>0</v>
      </c>
      <c r="N770" s="39"/>
      <c r="O770" s="40">
        <f>SUMIFS('Weekly Dump'!$D:$D,'Weekly Dump'!$B:$B,$C770,'Weekly Dump'!$A:$A,$AB770)</f>
        <v>0</v>
      </c>
      <c r="P770" s="40">
        <f>SUMIFS('Weekly Dump'!R:R,'Weekly Dump'!B:B,C770,'Weekly Dump'!A:A,AB770)</f>
        <v>0</v>
      </c>
      <c r="Q770" s="40">
        <f t="shared" si="20"/>
        <v>0</v>
      </c>
      <c r="R770" s="41"/>
      <c r="T770" s="4">
        <f>SUMIFS('Weekly Dump'!E:E,'Weekly Dump'!B:B,C770,'Weekly Dump'!A:A,AB770)</f>
        <v>0</v>
      </c>
      <c r="U770" s="3">
        <f t="shared" si="21"/>
        <v>0</v>
      </c>
      <c r="V770" s="42"/>
      <c r="X770" s="4">
        <f>SUMIFS('Weekly Dump'!P:P,'Weekly Dump'!B:B,C770,'Weekly Dump'!A:A,AB770)</f>
        <v>0</v>
      </c>
      <c r="Y770" s="4">
        <f t="shared" si="22"/>
        <v>0</v>
      </c>
      <c r="Z770" s="41"/>
      <c r="AA770" s="12" t="str">
        <f>iferror(IF(VLOOKUP(C770,'Weekly Dump'!B:B,1,0)=C770,"Yes","Missing"),"")</f>
        <v/>
      </c>
      <c r="AB770" s="66"/>
    </row>
    <row r="771">
      <c r="B771" s="63"/>
      <c r="C771" s="63"/>
      <c r="G771" s="3" t="str">
        <f t="shared" si="26"/>
        <v/>
      </c>
      <c r="I771" s="4">
        <f>SUMIFS('Weekly Dump'!D:D,'Weekly Dump'!B:B,C771)</f>
        <v>0</v>
      </c>
      <c r="J771" s="5">
        <f>SUMIFS('Weekly Dump'!AE:AE,'Weekly Dump'!B:B,C771)</f>
        <v>0</v>
      </c>
      <c r="K771" s="4">
        <f>SUMPRODUCT(
  (TEXT('Weekly Dump'!$A$2:$A1009,"mmm-yy")=TEXT($AB771,"mmm-yy"))*
  ('Weekly Dump'!$B$2:$B1009=$C771)*
  'Weekly Dump'!$D$2:$D1009)</f>
        <v>0</v>
      </c>
      <c r="L771" s="4">
        <f>SUMPRODUCT(
  (TEXT('Weekly Dump'!$A$2:$A1009,"mmm-yy")=TEXT($AB771,"mmm-yy"))*
  ('Weekly Dump'!$B$2:$B1009=$C771)*
  'Weekly Dump'!$E$2:$E1009
)</f>
        <v>0</v>
      </c>
      <c r="M771" s="4">
        <f>SUMPRODUCT(
  (TEXT('Weekly Dump'!$A$2:$A1009,"mmm-yy")=TEXT($AB771,"mmm-yy"))*
  ('Weekly Dump'!$B$2:$B1009=$C771)*
  'Weekly Dump'!$P$2:$P1009
)</f>
        <v>0</v>
      </c>
      <c r="N771" s="39"/>
      <c r="O771" s="40">
        <f>SUMIFS('Weekly Dump'!$D:$D,'Weekly Dump'!$B:$B,$C771,'Weekly Dump'!$A:$A,$AB771)</f>
        <v>0</v>
      </c>
      <c r="P771" s="40">
        <f>SUMIFS('Weekly Dump'!R:R,'Weekly Dump'!B:B,C771,'Weekly Dump'!A:A,AB771)</f>
        <v>0</v>
      </c>
      <c r="Q771" s="40">
        <f t="shared" si="20"/>
        <v>0</v>
      </c>
      <c r="R771" s="41"/>
      <c r="T771" s="4">
        <f>SUMIFS('Weekly Dump'!E:E,'Weekly Dump'!B:B,C771,'Weekly Dump'!A:A,AB771)</f>
        <v>0</v>
      </c>
      <c r="U771" s="3">
        <f t="shared" si="21"/>
        <v>0</v>
      </c>
      <c r="V771" s="42"/>
      <c r="X771" s="4">
        <f>SUMIFS('Weekly Dump'!P:P,'Weekly Dump'!B:B,C771,'Weekly Dump'!A:A,AB771)</f>
        <v>0</v>
      </c>
      <c r="Y771" s="4">
        <f t="shared" si="22"/>
        <v>0</v>
      </c>
      <c r="Z771" s="41"/>
      <c r="AA771" s="12" t="str">
        <f>iferror(IF(VLOOKUP(C771,'Weekly Dump'!B:B,1,0)=C771,"Yes","Missing"),"")</f>
        <v/>
      </c>
      <c r="AB771" s="66"/>
    </row>
    <row r="772">
      <c r="B772" s="63"/>
      <c r="C772" s="63"/>
      <c r="G772" s="3" t="str">
        <f t="shared" si="26"/>
        <v/>
      </c>
      <c r="I772" s="4">
        <f>SUMIFS('Weekly Dump'!D:D,'Weekly Dump'!B:B,C772)</f>
        <v>0</v>
      </c>
      <c r="J772" s="5">
        <f>SUMIFS('Weekly Dump'!AE:AE,'Weekly Dump'!B:B,C772)</f>
        <v>0</v>
      </c>
      <c r="K772" s="4">
        <f>SUMPRODUCT(
  (TEXT('Weekly Dump'!$A$2:$A1009,"mmm-yy")=TEXT($AB772,"mmm-yy"))*
  ('Weekly Dump'!$B$2:$B1009=$C772)*
  'Weekly Dump'!$D$2:$D1009)</f>
        <v>0</v>
      </c>
      <c r="L772" s="4">
        <f>SUMPRODUCT(
  (TEXT('Weekly Dump'!$A$2:$A1009,"mmm-yy")=TEXT($AB772,"mmm-yy"))*
  ('Weekly Dump'!$B$2:$B1009=$C772)*
  'Weekly Dump'!$E$2:$E1009
)</f>
        <v>0</v>
      </c>
      <c r="M772" s="4">
        <f>SUMPRODUCT(
  (TEXT('Weekly Dump'!$A$2:$A1009,"mmm-yy")=TEXT($AB772,"mmm-yy"))*
  ('Weekly Dump'!$B$2:$B1009=$C772)*
  'Weekly Dump'!$P$2:$P1009
)</f>
        <v>0</v>
      </c>
      <c r="N772" s="39"/>
      <c r="O772" s="40">
        <f>SUMIFS('Weekly Dump'!$D:$D,'Weekly Dump'!$B:$B,$C772,'Weekly Dump'!$A:$A,$AB772)</f>
        <v>0</v>
      </c>
      <c r="P772" s="40">
        <f>SUMIFS('Weekly Dump'!R:R,'Weekly Dump'!B:B,C772,'Weekly Dump'!A:A,AB772)</f>
        <v>0</v>
      </c>
      <c r="Q772" s="40">
        <f t="shared" si="20"/>
        <v>0</v>
      </c>
      <c r="R772" s="41"/>
      <c r="T772" s="4">
        <f>SUMIFS('Weekly Dump'!E:E,'Weekly Dump'!B:B,C772,'Weekly Dump'!A:A,AB772)</f>
        <v>0</v>
      </c>
      <c r="U772" s="3">
        <f t="shared" si="21"/>
        <v>0</v>
      </c>
      <c r="V772" s="42"/>
      <c r="X772" s="4">
        <f>SUMIFS('Weekly Dump'!P:P,'Weekly Dump'!B:B,C772,'Weekly Dump'!A:A,AB772)</f>
        <v>0</v>
      </c>
      <c r="Y772" s="4">
        <f t="shared" si="22"/>
        <v>0</v>
      </c>
      <c r="Z772" s="41"/>
      <c r="AA772" s="12" t="str">
        <f>iferror(IF(VLOOKUP(C772,'Weekly Dump'!B:B,1,0)=C772,"Yes","Missing"),"")</f>
        <v/>
      </c>
      <c r="AB772" s="66"/>
    </row>
    <row r="773">
      <c r="B773" s="63"/>
      <c r="C773" s="63"/>
      <c r="G773" s="3" t="str">
        <f t="shared" si="26"/>
        <v/>
      </c>
      <c r="I773" s="4">
        <f>SUMIFS('Weekly Dump'!D:D,'Weekly Dump'!B:B,C773)</f>
        <v>0</v>
      </c>
      <c r="J773" s="5">
        <f>SUMIFS('Weekly Dump'!AE:AE,'Weekly Dump'!B:B,C773)</f>
        <v>0</v>
      </c>
      <c r="K773" s="4">
        <f>SUMPRODUCT(
  (TEXT('Weekly Dump'!$A$2:$A1009,"mmm-yy")=TEXT($AB773,"mmm-yy"))*
  ('Weekly Dump'!$B$2:$B1009=$C773)*
  'Weekly Dump'!$D$2:$D1009)</f>
        <v>0</v>
      </c>
      <c r="L773" s="4">
        <f>SUMPRODUCT(
  (TEXT('Weekly Dump'!$A$2:$A1009,"mmm-yy")=TEXT($AB773,"mmm-yy"))*
  ('Weekly Dump'!$B$2:$B1009=$C773)*
  'Weekly Dump'!$E$2:$E1009
)</f>
        <v>0</v>
      </c>
      <c r="M773" s="4">
        <f>SUMPRODUCT(
  (TEXT('Weekly Dump'!$A$2:$A1009,"mmm-yy")=TEXT($AB773,"mmm-yy"))*
  ('Weekly Dump'!$B$2:$B1009=$C773)*
  'Weekly Dump'!$P$2:$P1009
)</f>
        <v>0</v>
      </c>
      <c r="N773" s="39"/>
      <c r="O773" s="40">
        <f>SUMIFS('Weekly Dump'!$D:$D,'Weekly Dump'!$B:$B,$C773,'Weekly Dump'!$A:$A,$AB773)</f>
        <v>0</v>
      </c>
      <c r="P773" s="40">
        <f>SUMIFS('Weekly Dump'!R:R,'Weekly Dump'!B:B,C773,'Weekly Dump'!A:A,AB773)</f>
        <v>0</v>
      </c>
      <c r="Q773" s="40">
        <f t="shared" si="20"/>
        <v>0</v>
      </c>
      <c r="R773" s="41"/>
      <c r="T773" s="4">
        <f>SUMIFS('Weekly Dump'!E:E,'Weekly Dump'!B:B,C773,'Weekly Dump'!A:A,AB773)</f>
        <v>0</v>
      </c>
      <c r="U773" s="3">
        <f t="shared" si="21"/>
        <v>0</v>
      </c>
      <c r="V773" s="42"/>
      <c r="X773" s="4">
        <f>SUMIFS('Weekly Dump'!P:P,'Weekly Dump'!B:B,C773,'Weekly Dump'!A:A,AB773)</f>
        <v>0</v>
      </c>
      <c r="Y773" s="4">
        <f t="shared" si="22"/>
        <v>0</v>
      </c>
      <c r="Z773" s="41"/>
      <c r="AA773" s="12" t="str">
        <f>iferror(IF(VLOOKUP(C773,'Weekly Dump'!B:B,1,0)=C773,"Yes","Missing"),"")</f>
        <v/>
      </c>
      <c r="AB773" s="66"/>
    </row>
    <row r="774">
      <c r="B774" s="63"/>
      <c r="C774" s="63"/>
      <c r="G774" s="3" t="str">
        <f t="shared" si="26"/>
        <v/>
      </c>
      <c r="I774" s="4">
        <f>SUMIFS('Weekly Dump'!D:D,'Weekly Dump'!B:B,C774)</f>
        <v>0</v>
      </c>
      <c r="J774" s="5">
        <f>SUMIFS('Weekly Dump'!AE:AE,'Weekly Dump'!B:B,C774)</f>
        <v>0</v>
      </c>
      <c r="K774" s="4">
        <f>SUMPRODUCT(
  (TEXT('Weekly Dump'!$A$2:$A1009,"mmm-yy")=TEXT($AB774,"mmm-yy"))*
  ('Weekly Dump'!$B$2:$B1009=$C774)*
  'Weekly Dump'!$D$2:$D1009)</f>
        <v>0</v>
      </c>
      <c r="L774" s="4">
        <f>SUMPRODUCT(
  (TEXT('Weekly Dump'!$A$2:$A1009,"mmm-yy")=TEXT($AB774,"mmm-yy"))*
  ('Weekly Dump'!$B$2:$B1009=$C774)*
  'Weekly Dump'!$E$2:$E1009
)</f>
        <v>0</v>
      </c>
      <c r="M774" s="4">
        <f>SUMPRODUCT(
  (TEXT('Weekly Dump'!$A$2:$A1009,"mmm-yy")=TEXT($AB774,"mmm-yy"))*
  ('Weekly Dump'!$B$2:$B1009=$C774)*
  'Weekly Dump'!$P$2:$P1009
)</f>
        <v>0</v>
      </c>
      <c r="N774" s="39"/>
      <c r="O774" s="40">
        <f>SUMIFS('Weekly Dump'!$D:$D,'Weekly Dump'!$B:$B,$C774,'Weekly Dump'!$A:$A,$AB774)</f>
        <v>0</v>
      </c>
      <c r="P774" s="40">
        <f>SUMIFS('Weekly Dump'!R:R,'Weekly Dump'!B:B,C774,'Weekly Dump'!A:A,AB774)</f>
        <v>0</v>
      </c>
      <c r="Q774" s="40">
        <f t="shared" si="20"/>
        <v>0</v>
      </c>
      <c r="R774" s="41"/>
      <c r="T774" s="4">
        <f>SUMIFS('Weekly Dump'!E:E,'Weekly Dump'!B:B,C774,'Weekly Dump'!A:A,AB774)</f>
        <v>0</v>
      </c>
      <c r="U774" s="3">
        <f t="shared" si="21"/>
        <v>0</v>
      </c>
      <c r="V774" s="42"/>
      <c r="X774" s="4">
        <f>SUMIFS('Weekly Dump'!P:P,'Weekly Dump'!B:B,C774,'Weekly Dump'!A:A,AB774)</f>
        <v>0</v>
      </c>
      <c r="Y774" s="4">
        <f t="shared" si="22"/>
        <v>0</v>
      </c>
      <c r="Z774" s="41"/>
      <c r="AA774" s="12" t="str">
        <f>iferror(IF(VLOOKUP(C774,'Weekly Dump'!B:B,1,0)=C774,"Yes","Missing"),"")</f>
        <v/>
      </c>
      <c r="AB774" s="66"/>
    </row>
    <row r="775">
      <c r="B775" s="63"/>
      <c r="C775" s="63"/>
      <c r="G775" s="3" t="str">
        <f t="shared" si="26"/>
        <v/>
      </c>
      <c r="I775" s="4">
        <f>SUMIFS('Weekly Dump'!D:D,'Weekly Dump'!B:B,C775)</f>
        <v>0</v>
      </c>
      <c r="J775" s="5">
        <f>SUMIFS('Weekly Dump'!AE:AE,'Weekly Dump'!B:B,C775)</f>
        <v>0</v>
      </c>
      <c r="K775" s="4">
        <f>SUMPRODUCT(
  (TEXT('Weekly Dump'!$A$2:$A1009,"mmm-yy")=TEXT($AB775,"mmm-yy"))*
  ('Weekly Dump'!$B$2:$B1009=$C775)*
  'Weekly Dump'!$D$2:$D1009)</f>
        <v>0</v>
      </c>
      <c r="L775" s="4">
        <f>SUMPRODUCT(
  (TEXT('Weekly Dump'!$A$2:$A1009,"mmm-yy")=TEXT($AB775,"mmm-yy"))*
  ('Weekly Dump'!$B$2:$B1009=$C775)*
  'Weekly Dump'!$E$2:$E1009
)</f>
        <v>0</v>
      </c>
      <c r="M775" s="4">
        <f>SUMPRODUCT(
  (TEXT('Weekly Dump'!$A$2:$A1009,"mmm-yy")=TEXT($AB775,"mmm-yy"))*
  ('Weekly Dump'!$B$2:$B1009=$C775)*
  'Weekly Dump'!$P$2:$P1009
)</f>
        <v>0</v>
      </c>
      <c r="N775" s="39"/>
      <c r="O775" s="40">
        <f>SUMIFS('Weekly Dump'!$D:$D,'Weekly Dump'!$B:$B,$C775,'Weekly Dump'!$A:$A,$AB775)</f>
        <v>0</v>
      </c>
      <c r="P775" s="40">
        <f>SUMIFS('Weekly Dump'!R:R,'Weekly Dump'!B:B,C775,'Weekly Dump'!A:A,AB775)</f>
        <v>0</v>
      </c>
      <c r="Q775" s="40">
        <f t="shared" si="20"/>
        <v>0</v>
      </c>
      <c r="R775" s="41"/>
      <c r="T775" s="4">
        <f>SUMIFS('Weekly Dump'!E:E,'Weekly Dump'!B:B,C775,'Weekly Dump'!A:A,AB775)</f>
        <v>0</v>
      </c>
      <c r="U775" s="3">
        <f t="shared" si="21"/>
        <v>0</v>
      </c>
      <c r="V775" s="42"/>
      <c r="X775" s="4">
        <f>SUMIFS('Weekly Dump'!P:P,'Weekly Dump'!B:B,C775,'Weekly Dump'!A:A,AB775)</f>
        <v>0</v>
      </c>
      <c r="Y775" s="4">
        <f t="shared" si="22"/>
        <v>0</v>
      </c>
      <c r="Z775" s="41"/>
      <c r="AA775" s="12" t="str">
        <f>iferror(IF(VLOOKUP(C775,'Weekly Dump'!B:B,1,0)=C775,"Yes","Missing"),"")</f>
        <v/>
      </c>
      <c r="AB775" s="66"/>
    </row>
    <row r="776">
      <c r="B776" s="63"/>
      <c r="C776" s="63"/>
      <c r="G776" s="3" t="str">
        <f t="shared" si="26"/>
        <v/>
      </c>
      <c r="I776" s="4">
        <f>SUMIFS('Weekly Dump'!D:D,'Weekly Dump'!B:B,C776)</f>
        <v>0</v>
      </c>
      <c r="J776" s="5">
        <f>SUMIFS('Weekly Dump'!AE:AE,'Weekly Dump'!B:B,C776)</f>
        <v>0</v>
      </c>
      <c r="K776" s="4">
        <f>SUMPRODUCT(
  (TEXT('Weekly Dump'!$A$2:$A1009,"mmm-yy")=TEXT($AB776,"mmm-yy"))*
  ('Weekly Dump'!$B$2:$B1009=$C776)*
  'Weekly Dump'!$D$2:$D1009)</f>
        <v>0</v>
      </c>
      <c r="L776" s="4">
        <f>SUMPRODUCT(
  (TEXT('Weekly Dump'!$A$2:$A1009,"mmm-yy")=TEXT($AB776,"mmm-yy"))*
  ('Weekly Dump'!$B$2:$B1009=$C776)*
  'Weekly Dump'!$E$2:$E1009
)</f>
        <v>0</v>
      </c>
      <c r="M776" s="4">
        <f>SUMPRODUCT(
  (TEXT('Weekly Dump'!$A$2:$A1009,"mmm-yy")=TEXT($AB776,"mmm-yy"))*
  ('Weekly Dump'!$B$2:$B1009=$C776)*
  'Weekly Dump'!$P$2:$P1009
)</f>
        <v>0</v>
      </c>
      <c r="N776" s="39"/>
      <c r="O776" s="40">
        <f>SUMIFS('Weekly Dump'!$D:$D,'Weekly Dump'!$B:$B,$C776,'Weekly Dump'!$A:$A,$AB776)</f>
        <v>0</v>
      </c>
      <c r="P776" s="40">
        <f>SUMIFS('Weekly Dump'!R:R,'Weekly Dump'!B:B,C776,'Weekly Dump'!A:A,AB776)</f>
        <v>0</v>
      </c>
      <c r="Q776" s="40">
        <f t="shared" si="20"/>
        <v>0</v>
      </c>
      <c r="R776" s="41"/>
      <c r="T776" s="4">
        <f>SUMIFS('Weekly Dump'!E:E,'Weekly Dump'!B:B,C776,'Weekly Dump'!A:A,AB776)</f>
        <v>0</v>
      </c>
      <c r="U776" s="3">
        <f t="shared" si="21"/>
        <v>0</v>
      </c>
      <c r="V776" s="42"/>
      <c r="X776" s="4">
        <f>SUMIFS('Weekly Dump'!P:P,'Weekly Dump'!B:B,C776,'Weekly Dump'!A:A,AB776)</f>
        <v>0</v>
      </c>
      <c r="Y776" s="4">
        <f t="shared" si="22"/>
        <v>0</v>
      </c>
      <c r="Z776" s="41"/>
      <c r="AA776" s="12" t="str">
        <f>iferror(IF(VLOOKUP(C776,'Weekly Dump'!B:B,1,0)=C776,"Yes","Missing"),"")</f>
        <v/>
      </c>
      <c r="AB776" s="66"/>
    </row>
    <row r="777">
      <c r="B777" s="63"/>
      <c r="C777" s="63"/>
      <c r="G777" s="3" t="str">
        <f t="shared" si="26"/>
        <v/>
      </c>
      <c r="I777" s="4">
        <f>SUMIFS('Weekly Dump'!D:D,'Weekly Dump'!B:B,C777)</f>
        <v>0</v>
      </c>
      <c r="J777" s="5">
        <f>SUMIFS('Weekly Dump'!AE:AE,'Weekly Dump'!B:B,C777)</f>
        <v>0</v>
      </c>
      <c r="K777" s="4">
        <f>SUMPRODUCT(
  (TEXT('Weekly Dump'!$A$2:$A1009,"mmm-yy")=TEXT($AB777,"mmm-yy"))*
  ('Weekly Dump'!$B$2:$B1009=$C777)*
  'Weekly Dump'!$D$2:$D1009)</f>
        <v>0</v>
      </c>
      <c r="L777" s="4">
        <f>SUMPRODUCT(
  (TEXT('Weekly Dump'!$A$2:$A1009,"mmm-yy")=TEXT($AB777,"mmm-yy"))*
  ('Weekly Dump'!$B$2:$B1009=$C777)*
  'Weekly Dump'!$E$2:$E1009
)</f>
        <v>0</v>
      </c>
      <c r="M777" s="4">
        <f>SUMPRODUCT(
  (TEXT('Weekly Dump'!$A$2:$A1009,"mmm-yy")=TEXT($AB777,"mmm-yy"))*
  ('Weekly Dump'!$B$2:$B1009=$C777)*
  'Weekly Dump'!$P$2:$P1009
)</f>
        <v>0</v>
      </c>
      <c r="N777" s="39"/>
      <c r="O777" s="40">
        <f>SUMIFS('Weekly Dump'!$D:$D,'Weekly Dump'!$B:$B,$C777,'Weekly Dump'!$A:$A,$AB777)</f>
        <v>0</v>
      </c>
      <c r="P777" s="40">
        <f>SUMIFS('Weekly Dump'!R:R,'Weekly Dump'!B:B,C777,'Weekly Dump'!A:A,AB777)</f>
        <v>0</v>
      </c>
      <c r="Q777" s="40">
        <f t="shared" si="20"/>
        <v>0</v>
      </c>
      <c r="R777" s="41"/>
      <c r="T777" s="4">
        <f>SUMIFS('Weekly Dump'!E:E,'Weekly Dump'!B:B,C777,'Weekly Dump'!A:A,AB777)</f>
        <v>0</v>
      </c>
      <c r="U777" s="3">
        <f t="shared" si="21"/>
        <v>0</v>
      </c>
      <c r="V777" s="42"/>
      <c r="X777" s="4">
        <f>SUMIFS('Weekly Dump'!P:P,'Weekly Dump'!B:B,C777,'Weekly Dump'!A:A,AB777)</f>
        <v>0</v>
      </c>
      <c r="Y777" s="4">
        <f t="shared" si="22"/>
        <v>0</v>
      </c>
      <c r="Z777" s="41"/>
      <c r="AA777" s="12" t="str">
        <f>iferror(IF(VLOOKUP(C777,'Weekly Dump'!B:B,1,0)=C777,"Yes","Missing"),"")</f>
        <v/>
      </c>
      <c r="AB777" s="66"/>
    </row>
    <row r="778">
      <c r="B778" s="63"/>
      <c r="C778" s="63"/>
      <c r="G778" s="3" t="str">
        <f t="shared" si="26"/>
        <v/>
      </c>
      <c r="I778" s="4">
        <f>SUMIFS('Weekly Dump'!D:D,'Weekly Dump'!B:B,C778)</f>
        <v>0</v>
      </c>
      <c r="J778" s="5">
        <f>SUMIFS('Weekly Dump'!AE:AE,'Weekly Dump'!B:B,C778)</f>
        <v>0</v>
      </c>
      <c r="K778" s="4">
        <f>SUMPRODUCT(
  (TEXT('Weekly Dump'!$A$2:$A1009,"mmm-yy")=TEXT($AB778,"mmm-yy"))*
  ('Weekly Dump'!$B$2:$B1009=$C778)*
  'Weekly Dump'!$D$2:$D1009)</f>
        <v>0</v>
      </c>
      <c r="L778" s="4">
        <f>SUMPRODUCT(
  (TEXT('Weekly Dump'!$A$2:$A1009,"mmm-yy")=TEXT($AB778,"mmm-yy"))*
  ('Weekly Dump'!$B$2:$B1009=$C778)*
  'Weekly Dump'!$E$2:$E1009
)</f>
        <v>0</v>
      </c>
      <c r="M778" s="4">
        <f>SUMPRODUCT(
  (TEXT('Weekly Dump'!$A$2:$A1009,"mmm-yy")=TEXT($AB778,"mmm-yy"))*
  ('Weekly Dump'!$B$2:$B1009=$C778)*
  'Weekly Dump'!$P$2:$P1009
)</f>
        <v>0</v>
      </c>
      <c r="N778" s="39"/>
      <c r="O778" s="40">
        <f>SUMIFS('Weekly Dump'!$D:$D,'Weekly Dump'!$B:$B,$C778,'Weekly Dump'!$A:$A,$AB778)</f>
        <v>0</v>
      </c>
      <c r="P778" s="40">
        <f>SUMIFS('Weekly Dump'!R:R,'Weekly Dump'!B:B,C778,'Weekly Dump'!A:A,AB778)</f>
        <v>0</v>
      </c>
      <c r="Q778" s="40">
        <f t="shared" si="20"/>
        <v>0</v>
      </c>
      <c r="R778" s="41"/>
      <c r="T778" s="4">
        <f>SUMIFS('Weekly Dump'!E:E,'Weekly Dump'!B:B,C778,'Weekly Dump'!A:A,AB778)</f>
        <v>0</v>
      </c>
      <c r="U778" s="3">
        <f t="shared" si="21"/>
        <v>0</v>
      </c>
      <c r="V778" s="42"/>
      <c r="X778" s="4">
        <f>SUMIFS('Weekly Dump'!P:P,'Weekly Dump'!B:B,C778,'Weekly Dump'!A:A,AB778)</f>
        <v>0</v>
      </c>
      <c r="Y778" s="4">
        <f t="shared" si="22"/>
        <v>0</v>
      </c>
      <c r="Z778" s="41"/>
      <c r="AA778" s="12" t="str">
        <f>iferror(IF(VLOOKUP(C778,'Weekly Dump'!B:B,1,0)=C778,"Yes","Missing"),"")</f>
        <v/>
      </c>
      <c r="AB778" s="66"/>
    </row>
    <row r="779">
      <c r="B779" s="63"/>
      <c r="C779" s="63"/>
      <c r="G779" s="3" t="str">
        <f t="shared" si="26"/>
        <v/>
      </c>
      <c r="I779" s="4">
        <f>SUMIFS('Weekly Dump'!D:D,'Weekly Dump'!B:B,C779)</f>
        <v>0</v>
      </c>
      <c r="J779" s="5">
        <f>SUMIFS('Weekly Dump'!AE:AE,'Weekly Dump'!B:B,C779)</f>
        <v>0</v>
      </c>
      <c r="K779" s="4">
        <f>SUMPRODUCT(
  (TEXT('Weekly Dump'!$A$2:$A1009,"mmm-yy")=TEXT($AB779,"mmm-yy"))*
  ('Weekly Dump'!$B$2:$B1009=$C779)*
  'Weekly Dump'!$D$2:$D1009)</f>
        <v>0</v>
      </c>
      <c r="L779" s="4">
        <f>SUMPRODUCT(
  (TEXT('Weekly Dump'!$A$2:$A1009,"mmm-yy")=TEXT($AB779,"mmm-yy"))*
  ('Weekly Dump'!$B$2:$B1009=$C779)*
  'Weekly Dump'!$E$2:$E1009
)</f>
        <v>0</v>
      </c>
      <c r="M779" s="4">
        <f>SUMPRODUCT(
  (TEXT('Weekly Dump'!$A$2:$A1009,"mmm-yy")=TEXT($AB779,"mmm-yy"))*
  ('Weekly Dump'!$B$2:$B1009=$C779)*
  'Weekly Dump'!$P$2:$P1009
)</f>
        <v>0</v>
      </c>
      <c r="N779" s="39"/>
      <c r="O779" s="40">
        <f>SUMIFS('Weekly Dump'!$D:$D,'Weekly Dump'!$B:$B,$C779,'Weekly Dump'!$A:$A,$AB779)</f>
        <v>0</v>
      </c>
      <c r="P779" s="40">
        <f>SUMIFS('Weekly Dump'!R:R,'Weekly Dump'!B:B,C779,'Weekly Dump'!A:A,AB779)</f>
        <v>0</v>
      </c>
      <c r="Q779" s="40">
        <f t="shared" si="20"/>
        <v>0</v>
      </c>
      <c r="R779" s="41"/>
      <c r="T779" s="4">
        <f>SUMIFS('Weekly Dump'!E:E,'Weekly Dump'!B:B,C779,'Weekly Dump'!A:A,AB779)</f>
        <v>0</v>
      </c>
      <c r="U779" s="3">
        <f t="shared" si="21"/>
        <v>0</v>
      </c>
      <c r="V779" s="42"/>
      <c r="X779" s="4">
        <f>SUMIFS('Weekly Dump'!P:P,'Weekly Dump'!B:B,C779,'Weekly Dump'!A:A,AB779)</f>
        <v>0</v>
      </c>
      <c r="Y779" s="4">
        <f t="shared" si="22"/>
        <v>0</v>
      </c>
      <c r="Z779" s="41"/>
      <c r="AA779" s="12" t="str">
        <f>iferror(IF(VLOOKUP(C779,'Weekly Dump'!B:B,1,0)=C779,"Yes","Missing"),"")</f>
        <v/>
      </c>
      <c r="AB779" s="66"/>
    </row>
    <row r="780">
      <c r="B780" s="63"/>
      <c r="C780" s="63"/>
      <c r="G780" s="3" t="str">
        <f t="shared" si="26"/>
        <v/>
      </c>
      <c r="I780" s="4">
        <f>SUMIFS('Weekly Dump'!D:D,'Weekly Dump'!B:B,C780)</f>
        <v>0</v>
      </c>
      <c r="J780" s="5">
        <f>SUMIFS('Weekly Dump'!AE:AE,'Weekly Dump'!B:B,C780)</f>
        <v>0</v>
      </c>
      <c r="K780" s="4">
        <f>SUMPRODUCT(
  (TEXT('Weekly Dump'!$A$2:$A1009,"mmm-yy")=TEXT($AB780,"mmm-yy"))*
  ('Weekly Dump'!$B$2:$B1009=$C780)*
  'Weekly Dump'!$D$2:$D1009)</f>
        <v>0</v>
      </c>
      <c r="L780" s="4">
        <f>SUMPRODUCT(
  (TEXT('Weekly Dump'!$A$2:$A1009,"mmm-yy")=TEXT($AB780,"mmm-yy"))*
  ('Weekly Dump'!$B$2:$B1009=$C780)*
  'Weekly Dump'!$E$2:$E1009
)</f>
        <v>0</v>
      </c>
      <c r="M780" s="4">
        <f>SUMPRODUCT(
  (TEXT('Weekly Dump'!$A$2:$A1009,"mmm-yy")=TEXT($AB780,"mmm-yy"))*
  ('Weekly Dump'!$B$2:$B1009=$C780)*
  'Weekly Dump'!$P$2:$P1009
)</f>
        <v>0</v>
      </c>
      <c r="N780" s="39"/>
      <c r="O780" s="40">
        <f>SUMIFS('Weekly Dump'!$D:$D,'Weekly Dump'!$B:$B,$C780,'Weekly Dump'!$A:$A,$AB780)</f>
        <v>0</v>
      </c>
      <c r="P780" s="40">
        <f>SUMIFS('Weekly Dump'!R:R,'Weekly Dump'!B:B,C780,'Weekly Dump'!A:A,AB780)</f>
        <v>0</v>
      </c>
      <c r="Q780" s="40">
        <f t="shared" si="20"/>
        <v>0</v>
      </c>
      <c r="R780" s="41"/>
      <c r="T780" s="4">
        <f>SUMIFS('Weekly Dump'!E:E,'Weekly Dump'!B:B,C780,'Weekly Dump'!A:A,AB780)</f>
        <v>0</v>
      </c>
      <c r="U780" s="3">
        <f t="shared" si="21"/>
        <v>0</v>
      </c>
      <c r="V780" s="42"/>
      <c r="X780" s="4">
        <f>SUMIFS('Weekly Dump'!P:P,'Weekly Dump'!B:B,C780,'Weekly Dump'!A:A,AB780)</f>
        <v>0</v>
      </c>
      <c r="Y780" s="4">
        <f t="shared" si="22"/>
        <v>0</v>
      </c>
      <c r="Z780" s="41"/>
      <c r="AA780" s="12" t="str">
        <f>iferror(IF(VLOOKUP(C780,'Weekly Dump'!B:B,1,0)=C780,"Yes","Missing"),"")</f>
        <v/>
      </c>
      <c r="AB780" s="66"/>
    </row>
    <row r="781">
      <c r="B781" s="63"/>
      <c r="C781" s="63"/>
      <c r="G781" s="3" t="str">
        <f t="shared" si="26"/>
        <v/>
      </c>
      <c r="I781" s="4">
        <f>SUMIFS('Weekly Dump'!D:D,'Weekly Dump'!B:B,C781)</f>
        <v>0</v>
      </c>
      <c r="J781" s="5">
        <f>SUMIFS('Weekly Dump'!AE:AE,'Weekly Dump'!B:B,C781)</f>
        <v>0</v>
      </c>
      <c r="K781" s="4">
        <f>SUMPRODUCT(
  (TEXT('Weekly Dump'!$A$2:$A1009,"mmm-yy")=TEXT($AB781,"mmm-yy"))*
  ('Weekly Dump'!$B$2:$B1009=$C781)*
  'Weekly Dump'!$D$2:$D1009)</f>
        <v>0</v>
      </c>
      <c r="L781" s="4">
        <f>SUMPRODUCT(
  (TEXT('Weekly Dump'!$A$2:$A1009,"mmm-yy")=TEXT($AB781,"mmm-yy"))*
  ('Weekly Dump'!$B$2:$B1009=$C781)*
  'Weekly Dump'!$E$2:$E1009
)</f>
        <v>0</v>
      </c>
      <c r="M781" s="4">
        <f>SUMPRODUCT(
  (TEXT('Weekly Dump'!$A$2:$A1009,"mmm-yy")=TEXT($AB781,"mmm-yy"))*
  ('Weekly Dump'!$B$2:$B1009=$C781)*
  'Weekly Dump'!$P$2:$P1009
)</f>
        <v>0</v>
      </c>
      <c r="N781" s="39"/>
      <c r="O781" s="40">
        <f>SUMIFS('Weekly Dump'!$D:$D,'Weekly Dump'!$B:$B,$C781,'Weekly Dump'!$A:$A,$AB781)</f>
        <v>0</v>
      </c>
      <c r="P781" s="40">
        <f>SUMIFS('Weekly Dump'!R:R,'Weekly Dump'!B:B,C781,'Weekly Dump'!A:A,AB781)</f>
        <v>0</v>
      </c>
      <c r="Q781" s="40">
        <f t="shared" si="20"/>
        <v>0</v>
      </c>
      <c r="R781" s="41"/>
      <c r="T781" s="4">
        <f>SUMIFS('Weekly Dump'!E:E,'Weekly Dump'!B:B,C781,'Weekly Dump'!A:A,AB781)</f>
        <v>0</v>
      </c>
      <c r="U781" s="3">
        <f t="shared" si="21"/>
        <v>0</v>
      </c>
      <c r="V781" s="42"/>
      <c r="X781" s="4">
        <f>SUMIFS('Weekly Dump'!P:P,'Weekly Dump'!B:B,C781,'Weekly Dump'!A:A,AB781)</f>
        <v>0</v>
      </c>
      <c r="Y781" s="4">
        <f t="shared" si="22"/>
        <v>0</v>
      </c>
      <c r="Z781" s="41"/>
      <c r="AA781" s="12" t="str">
        <f>iferror(IF(VLOOKUP(C781,'Weekly Dump'!B:B,1,0)=C781,"Yes","Missing"),"")</f>
        <v/>
      </c>
      <c r="AB781" s="66"/>
    </row>
    <row r="782">
      <c r="B782" s="63"/>
      <c r="C782" s="63"/>
      <c r="G782" s="3" t="str">
        <f t="shared" si="26"/>
        <v/>
      </c>
      <c r="I782" s="4">
        <f>SUMIFS('Weekly Dump'!D:D,'Weekly Dump'!B:B,C782)</f>
        <v>0</v>
      </c>
      <c r="J782" s="5">
        <f>SUMIFS('Weekly Dump'!AE:AE,'Weekly Dump'!B:B,C782)</f>
        <v>0</v>
      </c>
      <c r="K782" s="4">
        <f>SUMPRODUCT(
  (TEXT('Weekly Dump'!$A$2:$A1009,"mmm-yy")=TEXT($AB782,"mmm-yy"))*
  ('Weekly Dump'!$B$2:$B1009=$C782)*
  'Weekly Dump'!$D$2:$D1009)</f>
        <v>0</v>
      </c>
      <c r="L782" s="4">
        <f>SUMPRODUCT(
  (TEXT('Weekly Dump'!$A$2:$A1009,"mmm-yy")=TEXT($AB782,"mmm-yy"))*
  ('Weekly Dump'!$B$2:$B1009=$C782)*
  'Weekly Dump'!$E$2:$E1009
)</f>
        <v>0</v>
      </c>
      <c r="M782" s="4">
        <f>SUMPRODUCT(
  (TEXT('Weekly Dump'!$A$2:$A1009,"mmm-yy")=TEXT($AB782,"mmm-yy"))*
  ('Weekly Dump'!$B$2:$B1009=$C782)*
  'Weekly Dump'!$P$2:$P1009
)</f>
        <v>0</v>
      </c>
      <c r="N782" s="39"/>
      <c r="O782" s="40">
        <f>SUMIFS('Weekly Dump'!$D:$D,'Weekly Dump'!$B:$B,$C782,'Weekly Dump'!$A:$A,$AB782)</f>
        <v>0</v>
      </c>
      <c r="P782" s="40">
        <f>SUMIFS('Weekly Dump'!R:R,'Weekly Dump'!B:B,C782,'Weekly Dump'!A:A,AB782)</f>
        <v>0</v>
      </c>
      <c r="Q782" s="40">
        <f t="shared" si="20"/>
        <v>0</v>
      </c>
      <c r="R782" s="41"/>
      <c r="T782" s="4">
        <f>SUMIFS('Weekly Dump'!E:E,'Weekly Dump'!B:B,C782,'Weekly Dump'!A:A,AB782)</f>
        <v>0</v>
      </c>
      <c r="U782" s="3">
        <f t="shared" si="21"/>
        <v>0</v>
      </c>
      <c r="V782" s="42"/>
      <c r="X782" s="4">
        <f>SUMIFS('Weekly Dump'!P:P,'Weekly Dump'!B:B,C782,'Weekly Dump'!A:A,AB782)</f>
        <v>0</v>
      </c>
      <c r="Y782" s="4">
        <f t="shared" si="22"/>
        <v>0</v>
      </c>
      <c r="Z782" s="41"/>
      <c r="AA782" s="12" t="str">
        <f>iferror(IF(VLOOKUP(C782,'Weekly Dump'!B:B,1,0)=C782,"Yes","Missing"),"")</f>
        <v/>
      </c>
      <c r="AB782" s="66"/>
    </row>
    <row r="783">
      <c r="B783" s="63"/>
      <c r="C783" s="63"/>
      <c r="G783" s="3" t="str">
        <f t="shared" si="26"/>
        <v/>
      </c>
      <c r="I783" s="4">
        <f>SUMIFS('Weekly Dump'!D:D,'Weekly Dump'!B:B,C783)</f>
        <v>0</v>
      </c>
      <c r="J783" s="5">
        <f>SUMIFS('Weekly Dump'!AE:AE,'Weekly Dump'!B:B,C783)</f>
        <v>0</v>
      </c>
      <c r="K783" s="4">
        <f>SUMPRODUCT(
  (TEXT('Weekly Dump'!$A$2:$A1009,"mmm-yy")=TEXT($AB783,"mmm-yy"))*
  ('Weekly Dump'!$B$2:$B1009=$C783)*
  'Weekly Dump'!$D$2:$D1009)</f>
        <v>0</v>
      </c>
      <c r="L783" s="4">
        <f>SUMPRODUCT(
  (TEXT('Weekly Dump'!$A$2:$A1009,"mmm-yy")=TEXT($AB783,"mmm-yy"))*
  ('Weekly Dump'!$B$2:$B1009=$C783)*
  'Weekly Dump'!$E$2:$E1009
)</f>
        <v>0</v>
      </c>
      <c r="M783" s="4">
        <f>SUMPRODUCT(
  (TEXT('Weekly Dump'!$A$2:$A1009,"mmm-yy")=TEXT($AB783,"mmm-yy"))*
  ('Weekly Dump'!$B$2:$B1009=$C783)*
  'Weekly Dump'!$P$2:$P1009
)</f>
        <v>0</v>
      </c>
      <c r="N783" s="39"/>
      <c r="O783" s="40">
        <f>SUMIFS('Weekly Dump'!$D:$D,'Weekly Dump'!$B:$B,$C783,'Weekly Dump'!$A:$A,$AB783)</f>
        <v>0</v>
      </c>
      <c r="P783" s="40">
        <f>SUMIFS('Weekly Dump'!R:R,'Weekly Dump'!B:B,C783,'Weekly Dump'!A:A,AB783)</f>
        <v>0</v>
      </c>
      <c r="Q783" s="40">
        <f t="shared" si="20"/>
        <v>0</v>
      </c>
      <c r="R783" s="41"/>
      <c r="T783" s="4">
        <f>SUMIFS('Weekly Dump'!E:E,'Weekly Dump'!B:B,C783,'Weekly Dump'!A:A,AB783)</f>
        <v>0</v>
      </c>
      <c r="U783" s="3">
        <f t="shared" si="21"/>
        <v>0</v>
      </c>
      <c r="V783" s="42"/>
      <c r="X783" s="4">
        <f>SUMIFS('Weekly Dump'!P:P,'Weekly Dump'!B:B,C783,'Weekly Dump'!A:A,AB783)</f>
        <v>0</v>
      </c>
      <c r="Y783" s="4">
        <f t="shared" si="22"/>
        <v>0</v>
      </c>
      <c r="Z783" s="41"/>
      <c r="AA783" s="12" t="str">
        <f>iferror(IF(VLOOKUP(C783,'Weekly Dump'!B:B,1,0)=C783,"Yes","Missing"),"")</f>
        <v/>
      </c>
      <c r="AB783" s="66"/>
    </row>
    <row r="784">
      <c r="B784" s="63"/>
      <c r="C784" s="63"/>
      <c r="G784" s="3" t="str">
        <f t="shared" si="26"/>
        <v/>
      </c>
      <c r="I784" s="4">
        <f>SUMIFS('Weekly Dump'!D:D,'Weekly Dump'!B:B,C784)</f>
        <v>0</v>
      </c>
      <c r="J784" s="5">
        <f>SUMIFS('Weekly Dump'!AE:AE,'Weekly Dump'!B:B,C784)</f>
        <v>0</v>
      </c>
      <c r="K784" s="4">
        <f>SUMPRODUCT(
  (TEXT('Weekly Dump'!$A$2:$A1009,"mmm-yy")=TEXT($AB784,"mmm-yy"))*
  ('Weekly Dump'!$B$2:$B1009=$C784)*
  'Weekly Dump'!$D$2:$D1009)</f>
        <v>0</v>
      </c>
      <c r="L784" s="4">
        <f>SUMPRODUCT(
  (TEXT('Weekly Dump'!$A$2:$A1009,"mmm-yy")=TEXT($AB784,"mmm-yy"))*
  ('Weekly Dump'!$B$2:$B1009=$C784)*
  'Weekly Dump'!$E$2:$E1009
)</f>
        <v>0</v>
      </c>
      <c r="M784" s="4">
        <f>SUMPRODUCT(
  (TEXT('Weekly Dump'!$A$2:$A1009,"mmm-yy")=TEXT($AB784,"mmm-yy"))*
  ('Weekly Dump'!$B$2:$B1009=$C784)*
  'Weekly Dump'!$P$2:$P1009
)</f>
        <v>0</v>
      </c>
      <c r="N784" s="39"/>
      <c r="O784" s="40">
        <f>SUMIFS('Weekly Dump'!$D:$D,'Weekly Dump'!$B:$B,$C784,'Weekly Dump'!$A:$A,$AB784)</f>
        <v>0</v>
      </c>
      <c r="P784" s="40">
        <f>SUMIFS('Weekly Dump'!R:R,'Weekly Dump'!B:B,C784,'Weekly Dump'!A:A,AB784)</f>
        <v>0</v>
      </c>
      <c r="Q784" s="40">
        <f t="shared" si="20"/>
        <v>0</v>
      </c>
      <c r="R784" s="41"/>
      <c r="T784" s="4">
        <f>SUMIFS('Weekly Dump'!E:E,'Weekly Dump'!B:B,C784,'Weekly Dump'!A:A,AB784)</f>
        <v>0</v>
      </c>
      <c r="U784" s="3">
        <f t="shared" si="21"/>
        <v>0</v>
      </c>
      <c r="V784" s="42"/>
      <c r="X784" s="4">
        <f>SUMIFS('Weekly Dump'!P:P,'Weekly Dump'!B:B,C784,'Weekly Dump'!A:A,AB784)</f>
        <v>0</v>
      </c>
      <c r="Y784" s="4">
        <f t="shared" si="22"/>
        <v>0</v>
      </c>
      <c r="Z784" s="41"/>
      <c r="AA784" s="12" t="str">
        <f>iferror(IF(VLOOKUP(C784,'Weekly Dump'!B:B,1,0)=C784,"Yes","Missing"),"")</f>
        <v/>
      </c>
      <c r="AB784" s="66"/>
    </row>
    <row r="785">
      <c r="B785" s="63"/>
      <c r="C785" s="63"/>
      <c r="G785" s="3" t="str">
        <f t="shared" si="26"/>
        <v/>
      </c>
      <c r="I785" s="4">
        <f>SUMIFS('Weekly Dump'!D:D,'Weekly Dump'!B:B,C785)</f>
        <v>0</v>
      </c>
      <c r="J785" s="5">
        <f>SUMIFS('Weekly Dump'!AE:AE,'Weekly Dump'!B:B,C785)</f>
        <v>0</v>
      </c>
      <c r="K785" s="4">
        <f>SUMPRODUCT(
  (TEXT('Weekly Dump'!$A$2:$A1009,"mmm-yy")=TEXT($AB785,"mmm-yy"))*
  ('Weekly Dump'!$B$2:$B1009=$C785)*
  'Weekly Dump'!$D$2:$D1009)</f>
        <v>0</v>
      </c>
      <c r="L785" s="4">
        <f>SUMPRODUCT(
  (TEXT('Weekly Dump'!$A$2:$A1009,"mmm-yy")=TEXT($AB785,"mmm-yy"))*
  ('Weekly Dump'!$B$2:$B1009=$C785)*
  'Weekly Dump'!$E$2:$E1009
)</f>
        <v>0</v>
      </c>
      <c r="M785" s="4">
        <f>SUMPRODUCT(
  (TEXT('Weekly Dump'!$A$2:$A1009,"mmm-yy")=TEXT($AB785,"mmm-yy"))*
  ('Weekly Dump'!$B$2:$B1009=$C785)*
  'Weekly Dump'!$P$2:$P1009
)</f>
        <v>0</v>
      </c>
      <c r="N785" s="39"/>
      <c r="O785" s="40">
        <f>SUMIFS('Weekly Dump'!$D:$D,'Weekly Dump'!$B:$B,$C785,'Weekly Dump'!$A:$A,$AB785)</f>
        <v>0</v>
      </c>
      <c r="P785" s="40">
        <f>SUMIFS('Weekly Dump'!R:R,'Weekly Dump'!B:B,C785,'Weekly Dump'!A:A,AB785)</f>
        <v>0</v>
      </c>
      <c r="Q785" s="40">
        <f t="shared" si="20"/>
        <v>0</v>
      </c>
      <c r="R785" s="41"/>
      <c r="T785" s="4">
        <f>SUMIFS('Weekly Dump'!E:E,'Weekly Dump'!B:B,C785,'Weekly Dump'!A:A,AB785)</f>
        <v>0</v>
      </c>
      <c r="U785" s="3">
        <f t="shared" si="21"/>
        <v>0</v>
      </c>
      <c r="V785" s="42"/>
      <c r="X785" s="4">
        <f>SUMIFS('Weekly Dump'!P:P,'Weekly Dump'!B:B,C785,'Weekly Dump'!A:A,AB785)</f>
        <v>0</v>
      </c>
      <c r="Y785" s="4">
        <f t="shared" si="22"/>
        <v>0</v>
      </c>
      <c r="Z785" s="41"/>
      <c r="AA785" s="12" t="str">
        <f>iferror(IF(VLOOKUP(C785,'Weekly Dump'!B:B,1,0)=C785,"Yes","Missing"),"")</f>
        <v/>
      </c>
      <c r="AB785" s="66"/>
    </row>
    <row r="786">
      <c r="B786" s="63"/>
      <c r="C786" s="63"/>
      <c r="G786" s="3" t="str">
        <f t="shared" si="26"/>
        <v/>
      </c>
      <c r="I786" s="4">
        <f>SUMIFS('Weekly Dump'!D:D,'Weekly Dump'!B:B,C786)</f>
        <v>0</v>
      </c>
      <c r="J786" s="5">
        <f>SUMIFS('Weekly Dump'!AE:AE,'Weekly Dump'!B:B,C786)</f>
        <v>0</v>
      </c>
      <c r="K786" s="4">
        <f>SUMPRODUCT(
  (TEXT('Weekly Dump'!$A$2:$A1009,"mmm-yy")=TEXT($AB786,"mmm-yy"))*
  ('Weekly Dump'!$B$2:$B1009=$C786)*
  'Weekly Dump'!$D$2:$D1009)</f>
        <v>0</v>
      </c>
      <c r="L786" s="4">
        <f>SUMPRODUCT(
  (TEXT('Weekly Dump'!$A$2:$A1009,"mmm-yy")=TEXT($AB786,"mmm-yy"))*
  ('Weekly Dump'!$B$2:$B1009=$C786)*
  'Weekly Dump'!$E$2:$E1009
)</f>
        <v>0</v>
      </c>
      <c r="M786" s="4">
        <f>SUMPRODUCT(
  (TEXT('Weekly Dump'!$A$2:$A1009,"mmm-yy")=TEXT($AB786,"mmm-yy"))*
  ('Weekly Dump'!$B$2:$B1009=$C786)*
  'Weekly Dump'!$P$2:$P1009
)</f>
        <v>0</v>
      </c>
      <c r="N786" s="39"/>
      <c r="O786" s="40">
        <f>SUMIFS('Weekly Dump'!$D:$D,'Weekly Dump'!$B:$B,$C786,'Weekly Dump'!$A:$A,$AB786)</f>
        <v>0</v>
      </c>
      <c r="P786" s="40">
        <f>SUMIFS('Weekly Dump'!R:R,'Weekly Dump'!B:B,C786,'Weekly Dump'!A:A,AB786)</f>
        <v>0</v>
      </c>
      <c r="Q786" s="40">
        <f t="shared" si="20"/>
        <v>0</v>
      </c>
      <c r="R786" s="41"/>
      <c r="T786" s="4">
        <f>SUMIFS('Weekly Dump'!E:E,'Weekly Dump'!B:B,C786,'Weekly Dump'!A:A,AB786)</f>
        <v>0</v>
      </c>
      <c r="U786" s="3">
        <f t="shared" si="21"/>
        <v>0</v>
      </c>
      <c r="V786" s="42"/>
      <c r="X786" s="4">
        <f>SUMIFS('Weekly Dump'!P:P,'Weekly Dump'!B:B,C786,'Weekly Dump'!A:A,AB786)</f>
        <v>0</v>
      </c>
      <c r="Y786" s="4">
        <f t="shared" si="22"/>
        <v>0</v>
      </c>
      <c r="Z786" s="41"/>
      <c r="AA786" s="12" t="str">
        <f>iferror(IF(VLOOKUP(C786,'Weekly Dump'!B:B,1,0)=C786,"Yes","Missing"),"")</f>
        <v/>
      </c>
      <c r="AB786" s="66"/>
    </row>
    <row r="787">
      <c r="B787" s="63"/>
      <c r="C787" s="63"/>
      <c r="G787" s="3" t="str">
        <f t="shared" si="26"/>
        <v/>
      </c>
      <c r="I787" s="4">
        <f>SUMIFS('Weekly Dump'!D:D,'Weekly Dump'!B:B,C787)</f>
        <v>0</v>
      </c>
      <c r="J787" s="5">
        <f>SUMIFS('Weekly Dump'!AE:AE,'Weekly Dump'!B:B,C787)</f>
        <v>0</v>
      </c>
      <c r="K787" s="4">
        <f>SUMPRODUCT(
  (TEXT('Weekly Dump'!$A$2:$A1009,"mmm-yy")=TEXT($AB787,"mmm-yy"))*
  ('Weekly Dump'!$B$2:$B1009=$C787)*
  'Weekly Dump'!$D$2:$D1009)</f>
        <v>0</v>
      </c>
      <c r="L787" s="4">
        <f>SUMPRODUCT(
  (TEXT('Weekly Dump'!$A$2:$A1009,"mmm-yy")=TEXT($AB787,"mmm-yy"))*
  ('Weekly Dump'!$B$2:$B1009=$C787)*
  'Weekly Dump'!$E$2:$E1009
)</f>
        <v>0</v>
      </c>
      <c r="M787" s="4">
        <f>SUMPRODUCT(
  (TEXT('Weekly Dump'!$A$2:$A1009,"mmm-yy")=TEXT($AB787,"mmm-yy"))*
  ('Weekly Dump'!$B$2:$B1009=$C787)*
  'Weekly Dump'!$P$2:$P1009
)</f>
        <v>0</v>
      </c>
      <c r="N787" s="39"/>
      <c r="O787" s="40">
        <f>SUMIFS('Weekly Dump'!$D:$D,'Weekly Dump'!$B:$B,$C787,'Weekly Dump'!$A:$A,$AB787)</f>
        <v>0</v>
      </c>
      <c r="P787" s="40">
        <f>SUMIFS('Weekly Dump'!R:R,'Weekly Dump'!B:B,C787,'Weekly Dump'!A:A,AB787)</f>
        <v>0</v>
      </c>
      <c r="Q787" s="40">
        <f t="shared" si="20"/>
        <v>0</v>
      </c>
      <c r="R787" s="41"/>
      <c r="T787" s="4">
        <f>SUMIFS('Weekly Dump'!E:E,'Weekly Dump'!B:B,C787,'Weekly Dump'!A:A,AB787)</f>
        <v>0</v>
      </c>
      <c r="U787" s="3">
        <f t="shared" si="21"/>
        <v>0</v>
      </c>
      <c r="V787" s="42"/>
      <c r="X787" s="4">
        <f>SUMIFS('Weekly Dump'!P:P,'Weekly Dump'!B:B,C787,'Weekly Dump'!A:A,AB787)</f>
        <v>0</v>
      </c>
      <c r="Y787" s="4">
        <f t="shared" si="22"/>
        <v>0</v>
      </c>
      <c r="Z787" s="41"/>
      <c r="AA787" s="12" t="str">
        <f>iferror(IF(VLOOKUP(C787,'Weekly Dump'!B:B,1,0)=C787,"Yes","Missing"),"")</f>
        <v/>
      </c>
      <c r="AB787" s="66"/>
    </row>
    <row r="788">
      <c r="B788" s="63"/>
      <c r="C788" s="63"/>
      <c r="G788" s="3" t="str">
        <f t="shared" si="26"/>
        <v/>
      </c>
      <c r="I788" s="4">
        <f>SUMIFS('Weekly Dump'!D:D,'Weekly Dump'!B:B,C788)</f>
        <v>0</v>
      </c>
      <c r="J788" s="5">
        <f>SUMIFS('Weekly Dump'!AE:AE,'Weekly Dump'!B:B,C788)</f>
        <v>0</v>
      </c>
      <c r="K788" s="4">
        <f>SUMPRODUCT(
  (TEXT('Weekly Dump'!$A$2:$A1009,"mmm-yy")=TEXT($AB788,"mmm-yy"))*
  ('Weekly Dump'!$B$2:$B1009=$C788)*
  'Weekly Dump'!$D$2:$D1009)</f>
        <v>0</v>
      </c>
      <c r="L788" s="4">
        <f>SUMPRODUCT(
  (TEXT('Weekly Dump'!$A$2:$A1009,"mmm-yy")=TEXT($AB788,"mmm-yy"))*
  ('Weekly Dump'!$B$2:$B1009=$C788)*
  'Weekly Dump'!$E$2:$E1009
)</f>
        <v>0</v>
      </c>
      <c r="M788" s="4">
        <f>SUMPRODUCT(
  (TEXT('Weekly Dump'!$A$2:$A1009,"mmm-yy")=TEXT($AB788,"mmm-yy"))*
  ('Weekly Dump'!$B$2:$B1009=$C788)*
  'Weekly Dump'!$P$2:$P1009
)</f>
        <v>0</v>
      </c>
      <c r="N788" s="39"/>
      <c r="O788" s="40">
        <f>SUMIFS('Weekly Dump'!$D:$D,'Weekly Dump'!$B:$B,$C788,'Weekly Dump'!$A:$A,$AB788)</f>
        <v>0</v>
      </c>
      <c r="P788" s="40">
        <f>SUMIFS('Weekly Dump'!R:R,'Weekly Dump'!B:B,C788,'Weekly Dump'!A:A,AB788)</f>
        <v>0</v>
      </c>
      <c r="Q788" s="40">
        <f t="shared" si="20"/>
        <v>0</v>
      </c>
      <c r="R788" s="41"/>
      <c r="T788" s="4">
        <f>SUMIFS('Weekly Dump'!E:E,'Weekly Dump'!B:B,C788,'Weekly Dump'!A:A,AB788)</f>
        <v>0</v>
      </c>
      <c r="U788" s="3">
        <f t="shared" si="21"/>
        <v>0</v>
      </c>
      <c r="V788" s="42"/>
      <c r="X788" s="4">
        <f>SUMIFS('Weekly Dump'!P:P,'Weekly Dump'!B:B,C788,'Weekly Dump'!A:A,AB788)</f>
        <v>0</v>
      </c>
      <c r="Y788" s="4">
        <f t="shared" si="22"/>
        <v>0</v>
      </c>
      <c r="Z788" s="41"/>
      <c r="AA788" s="12" t="str">
        <f>iferror(IF(VLOOKUP(C788,'Weekly Dump'!B:B,1,0)=C788,"Yes","Missing"),"")</f>
        <v/>
      </c>
      <c r="AB788" s="66"/>
    </row>
    <row r="789">
      <c r="B789" s="63"/>
      <c r="C789" s="63"/>
      <c r="G789" s="3" t="str">
        <f t="shared" si="26"/>
        <v/>
      </c>
      <c r="I789" s="4">
        <f>SUMIFS('Weekly Dump'!D:D,'Weekly Dump'!B:B,C789)</f>
        <v>0</v>
      </c>
      <c r="J789" s="5">
        <f>SUMIFS('Weekly Dump'!AE:AE,'Weekly Dump'!B:B,C789)</f>
        <v>0</v>
      </c>
      <c r="K789" s="4">
        <f>SUMPRODUCT(
  (TEXT('Weekly Dump'!$A$2:$A1009,"mmm-yy")=TEXT($AB789,"mmm-yy"))*
  ('Weekly Dump'!$B$2:$B1009=$C789)*
  'Weekly Dump'!$D$2:$D1009)</f>
        <v>0</v>
      </c>
      <c r="L789" s="4">
        <f>SUMPRODUCT(
  (TEXT('Weekly Dump'!$A$2:$A1009,"mmm-yy")=TEXT($AB789,"mmm-yy"))*
  ('Weekly Dump'!$B$2:$B1009=$C789)*
  'Weekly Dump'!$E$2:$E1009
)</f>
        <v>0</v>
      </c>
      <c r="M789" s="4">
        <f>SUMPRODUCT(
  (TEXT('Weekly Dump'!$A$2:$A1009,"mmm-yy")=TEXT($AB789,"mmm-yy"))*
  ('Weekly Dump'!$B$2:$B1009=$C789)*
  'Weekly Dump'!$P$2:$P1009
)</f>
        <v>0</v>
      </c>
      <c r="N789" s="39"/>
      <c r="O789" s="40">
        <f>SUMIFS('Weekly Dump'!$D:$D,'Weekly Dump'!$B:$B,$C789,'Weekly Dump'!$A:$A,$AB789)</f>
        <v>0</v>
      </c>
      <c r="P789" s="40">
        <f>SUMIFS('Weekly Dump'!R:R,'Weekly Dump'!B:B,C789,'Weekly Dump'!A:A,AB789)</f>
        <v>0</v>
      </c>
      <c r="Q789" s="40">
        <f t="shared" si="20"/>
        <v>0</v>
      </c>
      <c r="R789" s="41"/>
      <c r="T789" s="4">
        <f>SUMIFS('Weekly Dump'!E:E,'Weekly Dump'!B:B,C789,'Weekly Dump'!A:A,AB789)</f>
        <v>0</v>
      </c>
      <c r="U789" s="3">
        <f t="shared" si="21"/>
        <v>0</v>
      </c>
      <c r="V789" s="42"/>
      <c r="X789" s="4">
        <f>SUMIFS('Weekly Dump'!P:P,'Weekly Dump'!B:B,C789,'Weekly Dump'!A:A,AB789)</f>
        <v>0</v>
      </c>
      <c r="Y789" s="4">
        <f t="shared" si="22"/>
        <v>0</v>
      </c>
      <c r="Z789" s="41"/>
      <c r="AA789" s="12" t="str">
        <f>iferror(IF(VLOOKUP(C789,'Weekly Dump'!B:B,1,0)=C789,"Yes","Missing"),"")</f>
        <v/>
      </c>
      <c r="AB789" s="66"/>
    </row>
    <row r="790">
      <c r="B790" s="63"/>
      <c r="C790" s="63"/>
      <c r="G790" s="3" t="str">
        <f t="shared" si="26"/>
        <v/>
      </c>
      <c r="I790" s="4">
        <f>SUMIFS('Weekly Dump'!D:D,'Weekly Dump'!B:B,C790)</f>
        <v>0</v>
      </c>
      <c r="J790" s="5">
        <f>SUMIFS('Weekly Dump'!AE:AE,'Weekly Dump'!B:B,C790)</f>
        <v>0</v>
      </c>
      <c r="K790" s="4">
        <f>SUMPRODUCT(
  (TEXT('Weekly Dump'!$A$2:$A1009,"mmm-yy")=TEXT($AB790,"mmm-yy"))*
  ('Weekly Dump'!$B$2:$B1009=$C790)*
  'Weekly Dump'!$D$2:$D1009)</f>
        <v>0</v>
      </c>
      <c r="L790" s="4">
        <f>SUMPRODUCT(
  (TEXT('Weekly Dump'!$A$2:$A1009,"mmm-yy")=TEXT($AB790,"mmm-yy"))*
  ('Weekly Dump'!$B$2:$B1009=$C790)*
  'Weekly Dump'!$E$2:$E1009
)</f>
        <v>0</v>
      </c>
      <c r="M790" s="4">
        <f>SUMPRODUCT(
  (TEXT('Weekly Dump'!$A$2:$A1009,"mmm-yy")=TEXT($AB790,"mmm-yy"))*
  ('Weekly Dump'!$B$2:$B1009=$C790)*
  'Weekly Dump'!$P$2:$P1009
)</f>
        <v>0</v>
      </c>
      <c r="N790" s="39"/>
      <c r="O790" s="40">
        <f>SUMIFS('Weekly Dump'!$D:$D,'Weekly Dump'!$B:$B,$C790,'Weekly Dump'!$A:$A,$AB790)</f>
        <v>0</v>
      </c>
      <c r="P790" s="40">
        <f>SUMIFS('Weekly Dump'!R:R,'Weekly Dump'!B:B,C790,'Weekly Dump'!A:A,AB790)</f>
        <v>0</v>
      </c>
      <c r="Q790" s="40">
        <f t="shared" si="20"/>
        <v>0</v>
      </c>
      <c r="R790" s="41"/>
      <c r="T790" s="4">
        <f>SUMIFS('Weekly Dump'!E:E,'Weekly Dump'!B:B,C790,'Weekly Dump'!A:A,AB790)</f>
        <v>0</v>
      </c>
      <c r="U790" s="3">
        <f t="shared" si="21"/>
        <v>0</v>
      </c>
      <c r="V790" s="42"/>
      <c r="X790" s="4">
        <f>SUMIFS('Weekly Dump'!P:P,'Weekly Dump'!B:B,C790,'Weekly Dump'!A:A,AB790)</f>
        <v>0</v>
      </c>
      <c r="Y790" s="4">
        <f t="shared" si="22"/>
        <v>0</v>
      </c>
      <c r="Z790" s="41"/>
      <c r="AA790" s="12" t="str">
        <f>iferror(IF(VLOOKUP(C790,'Weekly Dump'!B:B,1,0)=C790,"Yes","Missing"),"")</f>
        <v/>
      </c>
      <c r="AB790" s="66"/>
    </row>
    <row r="791">
      <c r="B791" s="63"/>
      <c r="C791" s="63"/>
      <c r="G791" s="3" t="str">
        <f t="shared" si="26"/>
        <v/>
      </c>
      <c r="I791" s="4">
        <f>SUMIFS('Weekly Dump'!D:D,'Weekly Dump'!B:B,C791)</f>
        <v>0</v>
      </c>
      <c r="J791" s="5">
        <f>SUMIFS('Weekly Dump'!AE:AE,'Weekly Dump'!B:B,C791)</f>
        <v>0</v>
      </c>
      <c r="K791" s="4">
        <f>SUMPRODUCT(
  (TEXT('Weekly Dump'!$A$2:$A1009,"mmm-yy")=TEXT($AB791,"mmm-yy"))*
  ('Weekly Dump'!$B$2:$B1009=$C791)*
  'Weekly Dump'!$D$2:$D1009)</f>
        <v>0</v>
      </c>
      <c r="L791" s="4">
        <f>SUMPRODUCT(
  (TEXT('Weekly Dump'!$A$2:$A1009,"mmm-yy")=TEXT($AB791,"mmm-yy"))*
  ('Weekly Dump'!$B$2:$B1009=$C791)*
  'Weekly Dump'!$E$2:$E1009
)</f>
        <v>0</v>
      </c>
      <c r="M791" s="4">
        <f>SUMPRODUCT(
  (TEXT('Weekly Dump'!$A$2:$A1009,"mmm-yy")=TEXT($AB791,"mmm-yy"))*
  ('Weekly Dump'!$B$2:$B1009=$C791)*
  'Weekly Dump'!$P$2:$P1009
)</f>
        <v>0</v>
      </c>
      <c r="N791" s="39"/>
      <c r="O791" s="40">
        <f>SUMIFS('Weekly Dump'!$D:$D,'Weekly Dump'!$B:$B,$C791,'Weekly Dump'!$A:$A,$AB791)</f>
        <v>0</v>
      </c>
      <c r="P791" s="40">
        <f>SUMIFS('Weekly Dump'!R:R,'Weekly Dump'!B:B,C791,'Weekly Dump'!A:A,AB791)</f>
        <v>0</v>
      </c>
      <c r="Q791" s="40">
        <f t="shared" si="20"/>
        <v>0</v>
      </c>
      <c r="R791" s="41"/>
      <c r="T791" s="4">
        <f>SUMIFS('Weekly Dump'!E:E,'Weekly Dump'!B:B,C791,'Weekly Dump'!A:A,AB791)</f>
        <v>0</v>
      </c>
      <c r="U791" s="3">
        <f t="shared" si="21"/>
        <v>0</v>
      </c>
      <c r="V791" s="42"/>
      <c r="X791" s="4">
        <f>SUMIFS('Weekly Dump'!P:P,'Weekly Dump'!B:B,C791,'Weekly Dump'!A:A,AB791)</f>
        <v>0</v>
      </c>
      <c r="Y791" s="4">
        <f t="shared" si="22"/>
        <v>0</v>
      </c>
      <c r="Z791" s="41"/>
      <c r="AA791" s="12" t="str">
        <f>iferror(IF(VLOOKUP(C791,'Weekly Dump'!B:B,1,0)=C791,"Yes","Missing"),"")</f>
        <v/>
      </c>
      <c r="AB791" s="66"/>
    </row>
    <row r="792">
      <c r="B792" s="63"/>
      <c r="C792" s="63"/>
      <c r="G792" s="3" t="str">
        <f t="shared" si="26"/>
        <v/>
      </c>
      <c r="I792" s="4">
        <f>SUMIFS('Weekly Dump'!D:D,'Weekly Dump'!B:B,C792)</f>
        <v>0</v>
      </c>
      <c r="J792" s="5">
        <f>SUMIFS('Weekly Dump'!AE:AE,'Weekly Dump'!B:B,C792)</f>
        <v>0</v>
      </c>
      <c r="K792" s="4">
        <f>SUMPRODUCT(
  (TEXT('Weekly Dump'!$A$2:$A1009,"mmm-yy")=TEXT($AB792,"mmm-yy"))*
  ('Weekly Dump'!$B$2:$B1009=$C792)*
  'Weekly Dump'!$D$2:$D1009)</f>
        <v>0</v>
      </c>
      <c r="L792" s="4">
        <f>SUMPRODUCT(
  (TEXT('Weekly Dump'!$A$2:$A1009,"mmm-yy")=TEXT($AB792,"mmm-yy"))*
  ('Weekly Dump'!$B$2:$B1009=$C792)*
  'Weekly Dump'!$E$2:$E1009
)</f>
        <v>0</v>
      </c>
      <c r="M792" s="4">
        <f>SUMPRODUCT(
  (TEXT('Weekly Dump'!$A$2:$A1009,"mmm-yy")=TEXT($AB792,"mmm-yy"))*
  ('Weekly Dump'!$B$2:$B1009=$C792)*
  'Weekly Dump'!$P$2:$P1009
)</f>
        <v>0</v>
      </c>
      <c r="N792" s="39"/>
      <c r="O792" s="40">
        <f>SUMIFS('Weekly Dump'!$D:$D,'Weekly Dump'!$B:$B,$C792,'Weekly Dump'!$A:$A,$AB792)</f>
        <v>0</v>
      </c>
      <c r="P792" s="40">
        <f>SUMIFS('Weekly Dump'!R:R,'Weekly Dump'!B:B,C792,'Weekly Dump'!A:A,AB792)</f>
        <v>0</v>
      </c>
      <c r="Q792" s="40">
        <f t="shared" si="20"/>
        <v>0</v>
      </c>
      <c r="R792" s="41"/>
      <c r="T792" s="4">
        <f>SUMIFS('Weekly Dump'!E:E,'Weekly Dump'!B:B,C792,'Weekly Dump'!A:A,AB792)</f>
        <v>0</v>
      </c>
      <c r="U792" s="3">
        <f t="shared" si="21"/>
        <v>0</v>
      </c>
      <c r="V792" s="42"/>
      <c r="X792" s="4">
        <f>SUMIFS('Weekly Dump'!P:P,'Weekly Dump'!B:B,C792,'Weekly Dump'!A:A,AB792)</f>
        <v>0</v>
      </c>
      <c r="Y792" s="4">
        <f t="shared" si="22"/>
        <v>0</v>
      </c>
      <c r="Z792" s="41"/>
      <c r="AA792" s="12" t="str">
        <f>iferror(IF(VLOOKUP(C792,'Weekly Dump'!B:B,1,0)=C792,"Yes","Missing"),"")</f>
        <v/>
      </c>
      <c r="AB792" s="66"/>
    </row>
    <row r="793">
      <c r="B793" s="63"/>
      <c r="C793" s="63"/>
      <c r="G793" s="3" t="str">
        <f t="shared" si="26"/>
        <v/>
      </c>
      <c r="I793" s="4">
        <f>SUMIFS('Weekly Dump'!D:D,'Weekly Dump'!B:B,C793)</f>
        <v>0</v>
      </c>
      <c r="J793" s="5">
        <f>SUMIFS('Weekly Dump'!AE:AE,'Weekly Dump'!B:B,C793)</f>
        <v>0</v>
      </c>
      <c r="K793" s="4">
        <f>SUMPRODUCT(
  (TEXT('Weekly Dump'!$A$2:$A1009,"mmm-yy")=TEXT($AB793,"mmm-yy"))*
  ('Weekly Dump'!$B$2:$B1009=$C793)*
  'Weekly Dump'!$D$2:$D1009)</f>
        <v>0</v>
      </c>
      <c r="L793" s="4">
        <f>SUMPRODUCT(
  (TEXT('Weekly Dump'!$A$2:$A1009,"mmm-yy")=TEXT($AB793,"mmm-yy"))*
  ('Weekly Dump'!$B$2:$B1009=$C793)*
  'Weekly Dump'!$E$2:$E1009
)</f>
        <v>0</v>
      </c>
      <c r="M793" s="4">
        <f>SUMPRODUCT(
  (TEXT('Weekly Dump'!$A$2:$A1009,"mmm-yy")=TEXT($AB793,"mmm-yy"))*
  ('Weekly Dump'!$B$2:$B1009=$C793)*
  'Weekly Dump'!$P$2:$P1009
)</f>
        <v>0</v>
      </c>
      <c r="N793" s="39"/>
      <c r="O793" s="40">
        <f>SUMIFS('Weekly Dump'!$D:$D,'Weekly Dump'!$B:$B,$C793,'Weekly Dump'!$A:$A,$AB793)</f>
        <v>0</v>
      </c>
      <c r="P793" s="40">
        <f>SUMIFS('Weekly Dump'!R:R,'Weekly Dump'!B:B,C793,'Weekly Dump'!A:A,AB793)</f>
        <v>0</v>
      </c>
      <c r="Q793" s="40">
        <f t="shared" si="20"/>
        <v>0</v>
      </c>
      <c r="R793" s="41"/>
      <c r="T793" s="4">
        <f>SUMIFS('Weekly Dump'!E:E,'Weekly Dump'!B:B,C793,'Weekly Dump'!A:A,AB793)</f>
        <v>0</v>
      </c>
      <c r="U793" s="3">
        <f t="shared" si="21"/>
        <v>0</v>
      </c>
      <c r="V793" s="42"/>
      <c r="X793" s="4">
        <f>SUMIFS('Weekly Dump'!P:P,'Weekly Dump'!B:B,C793,'Weekly Dump'!A:A,AB793)</f>
        <v>0</v>
      </c>
      <c r="Y793" s="4">
        <f t="shared" si="22"/>
        <v>0</v>
      </c>
      <c r="Z793" s="41"/>
      <c r="AA793" s="12" t="str">
        <f>iferror(IF(VLOOKUP(C793,'Weekly Dump'!B:B,1,0)=C793,"Yes","Missing"),"")</f>
        <v/>
      </c>
      <c r="AB793" s="66"/>
    </row>
    <row r="794">
      <c r="B794" s="63"/>
      <c r="C794" s="63"/>
      <c r="G794" s="3" t="str">
        <f t="shared" si="26"/>
        <v/>
      </c>
      <c r="I794" s="4">
        <f>SUMIFS('Weekly Dump'!D:D,'Weekly Dump'!B:B,C794)</f>
        <v>0</v>
      </c>
      <c r="J794" s="5">
        <f>SUMIFS('Weekly Dump'!AE:AE,'Weekly Dump'!B:B,C794)</f>
        <v>0</v>
      </c>
      <c r="K794" s="4">
        <f>SUMPRODUCT(
  (TEXT('Weekly Dump'!$A$2:$A1009,"mmm-yy")=TEXT($AB794,"mmm-yy"))*
  ('Weekly Dump'!$B$2:$B1009=$C794)*
  'Weekly Dump'!$D$2:$D1009)</f>
        <v>0</v>
      </c>
      <c r="L794" s="4">
        <f>SUMPRODUCT(
  (TEXT('Weekly Dump'!$A$2:$A1009,"mmm-yy")=TEXT($AB794,"mmm-yy"))*
  ('Weekly Dump'!$B$2:$B1009=$C794)*
  'Weekly Dump'!$E$2:$E1009
)</f>
        <v>0</v>
      </c>
      <c r="M794" s="4">
        <f>SUMPRODUCT(
  (TEXT('Weekly Dump'!$A$2:$A1009,"mmm-yy")=TEXT($AB794,"mmm-yy"))*
  ('Weekly Dump'!$B$2:$B1009=$C794)*
  'Weekly Dump'!$P$2:$P1009
)</f>
        <v>0</v>
      </c>
      <c r="N794" s="39"/>
      <c r="O794" s="40">
        <f>SUMIFS('Weekly Dump'!$D:$D,'Weekly Dump'!$B:$B,$C794,'Weekly Dump'!$A:$A,$AB794)</f>
        <v>0</v>
      </c>
      <c r="P794" s="40">
        <f>SUMIFS('Weekly Dump'!R:R,'Weekly Dump'!B:B,C794,'Weekly Dump'!A:A,AB794)</f>
        <v>0</v>
      </c>
      <c r="Q794" s="40">
        <f t="shared" si="20"/>
        <v>0</v>
      </c>
      <c r="R794" s="41"/>
      <c r="T794" s="4">
        <f>SUMIFS('Weekly Dump'!E:E,'Weekly Dump'!B:B,C794,'Weekly Dump'!A:A,AB794)</f>
        <v>0</v>
      </c>
      <c r="U794" s="3">
        <f t="shared" si="21"/>
        <v>0</v>
      </c>
      <c r="V794" s="42"/>
      <c r="X794" s="4">
        <f>SUMIFS('Weekly Dump'!P:P,'Weekly Dump'!B:B,C794,'Weekly Dump'!A:A,AB794)</f>
        <v>0</v>
      </c>
      <c r="Y794" s="4">
        <f t="shared" si="22"/>
        <v>0</v>
      </c>
      <c r="Z794" s="41"/>
      <c r="AA794" s="12" t="str">
        <f>iferror(IF(VLOOKUP(C794,'Weekly Dump'!B:B,1,0)=C794,"Yes","Missing"),"")</f>
        <v/>
      </c>
      <c r="AB794" s="66"/>
    </row>
    <row r="795">
      <c r="B795" s="63"/>
      <c r="C795" s="63"/>
      <c r="G795" s="3" t="str">
        <f t="shared" si="26"/>
        <v/>
      </c>
      <c r="I795" s="4">
        <f>SUMIFS('Weekly Dump'!D:D,'Weekly Dump'!B:B,C795)</f>
        <v>0</v>
      </c>
      <c r="J795" s="5">
        <f>SUMIFS('Weekly Dump'!AE:AE,'Weekly Dump'!B:B,C795)</f>
        <v>0</v>
      </c>
      <c r="K795" s="4">
        <f>SUMPRODUCT(
  (TEXT('Weekly Dump'!$A$2:$A1009,"mmm-yy")=TEXT($AB795,"mmm-yy"))*
  ('Weekly Dump'!$B$2:$B1009=$C795)*
  'Weekly Dump'!$D$2:$D1009)</f>
        <v>0</v>
      </c>
      <c r="L795" s="4">
        <f>SUMPRODUCT(
  (TEXT('Weekly Dump'!$A$2:$A1009,"mmm-yy")=TEXT($AB795,"mmm-yy"))*
  ('Weekly Dump'!$B$2:$B1009=$C795)*
  'Weekly Dump'!$E$2:$E1009
)</f>
        <v>0</v>
      </c>
      <c r="M795" s="4">
        <f>SUMPRODUCT(
  (TEXT('Weekly Dump'!$A$2:$A1009,"mmm-yy")=TEXT($AB795,"mmm-yy"))*
  ('Weekly Dump'!$B$2:$B1009=$C795)*
  'Weekly Dump'!$P$2:$P1009
)</f>
        <v>0</v>
      </c>
      <c r="N795" s="39"/>
      <c r="O795" s="40">
        <f>SUMIFS('Weekly Dump'!$D:$D,'Weekly Dump'!$B:$B,$C795,'Weekly Dump'!$A:$A,$AB795)</f>
        <v>0</v>
      </c>
      <c r="P795" s="40">
        <f>SUMIFS('Weekly Dump'!R:R,'Weekly Dump'!B:B,C795,'Weekly Dump'!A:A,AB795)</f>
        <v>0</v>
      </c>
      <c r="Q795" s="40">
        <f t="shared" si="20"/>
        <v>0</v>
      </c>
      <c r="R795" s="41"/>
      <c r="T795" s="4">
        <f>SUMIFS('Weekly Dump'!E:E,'Weekly Dump'!B:B,C795,'Weekly Dump'!A:A,AB795)</f>
        <v>0</v>
      </c>
      <c r="U795" s="3">
        <f t="shared" si="21"/>
        <v>0</v>
      </c>
      <c r="V795" s="42"/>
      <c r="X795" s="4">
        <f>SUMIFS('Weekly Dump'!P:P,'Weekly Dump'!B:B,C795,'Weekly Dump'!A:A,AB795)</f>
        <v>0</v>
      </c>
      <c r="Y795" s="4">
        <f t="shared" si="22"/>
        <v>0</v>
      </c>
      <c r="Z795" s="41"/>
      <c r="AA795" s="12" t="str">
        <f>iferror(IF(VLOOKUP(C795,'Weekly Dump'!B:B,1,0)=C795,"Yes","Missing"),"")</f>
        <v/>
      </c>
      <c r="AB795" s="66"/>
    </row>
    <row r="796">
      <c r="B796" s="63"/>
      <c r="C796" s="63"/>
      <c r="G796" s="3" t="str">
        <f t="shared" si="26"/>
        <v/>
      </c>
      <c r="I796" s="4">
        <f>SUMIFS('Weekly Dump'!D:D,'Weekly Dump'!B:B,C796)</f>
        <v>0</v>
      </c>
      <c r="J796" s="5">
        <f>SUMIFS('Weekly Dump'!AE:AE,'Weekly Dump'!B:B,C796)</f>
        <v>0</v>
      </c>
      <c r="K796" s="4">
        <f>SUMPRODUCT(
  (TEXT('Weekly Dump'!$A$2:$A1009,"mmm-yy")=TEXT($AB796,"mmm-yy"))*
  ('Weekly Dump'!$B$2:$B1009=$C796)*
  'Weekly Dump'!$D$2:$D1009)</f>
        <v>0</v>
      </c>
      <c r="L796" s="4">
        <f>SUMPRODUCT(
  (TEXT('Weekly Dump'!$A$2:$A1009,"mmm-yy")=TEXT($AB796,"mmm-yy"))*
  ('Weekly Dump'!$B$2:$B1009=$C796)*
  'Weekly Dump'!$E$2:$E1009
)</f>
        <v>0</v>
      </c>
      <c r="M796" s="4">
        <f>SUMPRODUCT(
  (TEXT('Weekly Dump'!$A$2:$A1009,"mmm-yy")=TEXT($AB796,"mmm-yy"))*
  ('Weekly Dump'!$B$2:$B1009=$C796)*
  'Weekly Dump'!$P$2:$P1009
)</f>
        <v>0</v>
      </c>
      <c r="N796" s="39"/>
      <c r="O796" s="40">
        <f>SUMIFS('Weekly Dump'!$D:$D,'Weekly Dump'!$B:$B,$C796,'Weekly Dump'!$A:$A,$AB796)</f>
        <v>0</v>
      </c>
      <c r="P796" s="40">
        <f>SUMIFS('Weekly Dump'!R:R,'Weekly Dump'!B:B,C796,'Weekly Dump'!A:A,AB796)</f>
        <v>0</v>
      </c>
      <c r="Q796" s="40">
        <f t="shared" si="20"/>
        <v>0</v>
      </c>
      <c r="R796" s="41"/>
      <c r="T796" s="4">
        <f>SUMIFS('Weekly Dump'!E:E,'Weekly Dump'!B:B,C796,'Weekly Dump'!A:A,AB796)</f>
        <v>0</v>
      </c>
      <c r="U796" s="3">
        <f t="shared" si="21"/>
        <v>0</v>
      </c>
      <c r="V796" s="42"/>
      <c r="X796" s="4">
        <f>SUMIFS('Weekly Dump'!P:P,'Weekly Dump'!B:B,C796,'Weekly Dump'!A:A,AB796)</f>
        <v>0</v>
      </c>
      <c r="Y796" s="4">
        <f t="shared" si="22"/>
        <v>0</v>
      </c>
      <c r="Z796" s="41"/>
      <c r="AA796" s="12" t="str">
        <f>iferror(IF(VLOOKUP(C796,'Weekly Dump'!B:B,1,0)=C796,"Yes","Missing"),"")</f>
        <v/>
      </c>
      <c r="AB796" s="66"/>
    </row>
    <row r="797">
      <c r="B797" s="63"/>
      <c r="C797" s="63"/>
      <c r="G797" s="3" t="str">
        <f t="shared" si="26"/>
        <v/>
      </c>
      <c r="I797" s="4">
        <f>SUMIFS('Weekly Dump'!D:D,'Weekly Dump'!B:B,C797)</f>
        <v>0</v>
      </c>
      <c r="J797" s="5">
        <f>SUMIFS('Weekly Dump'!AE:AE,'Weekly Dump'!B:B,C797)</f>
        <v>0</v>
      </c>
      <c r="K797" s="4">
        <f>SUMPRODUCT(
  (TEXT('Weekly Dump'!$A$2:$A1009,"mmm-yy")=TEXT($AB797,"mmm-yy"))*
  ('Weekly Dump'!$B$2:$B1009=$C797)*
  'Weekly Dump'!$D$2:$D1009)</f>
        <v>0</v>
      </c>
      <c r="L797" s="4">
        <f>SUMPRODUCT(
  (TEXT('Weekly Dump'!$A$2:$A1009,"mmm-yy")=TEXT($AB797,"mmm-yy"))*
  ('Weekly Dump'!$B$2:$B1009=$C797)*
  'Weekly Dump'!$E$2:$E1009
)</f>
        <v>0</v>
      </c>
      <c r="M797" s="4">
        <f>SUMPRODUCT(
  (TEXT('Weekly Dump'!$A$2:$A1009,"mmm-yy")=TEXT($AB797,"mmm-yy"))*
  ('Weekly Dump'!$B$2:$B1009=$C797)*
  'Weekly Dump'!$P$2:$P1009
)</f>
        <v>0</v>
      </c>
      <c r="N797" s="39"/>
      <c r="O797" s="40">
        <f>SUMIFS('Weekly Dump'!$D:$D,'Weekly Dump'!$B:$B,$C797,'Weekly Dump'!$A:$A,$AB797)</f>
        <v>0</v>
      </c>
      <c r="P797" s="40">
        <f>SUMIFS('Weekly Dump'!R:R,'Weekly Dump'!B:B,C797,'Weekly Dump'!A:A,AB797)</f>
        <v>0</v>
      </c>
      <c r="Q797" s="40">
        <f t="shared" si="20"/>
        <v>0</v>
      </c>
      <c r="R797" s="41"/>
      <c r="T797" s="4">
        <f>SUMIFS('Weekly Dump'!E:E,'Weekly Dump'!B:B,C797,'Weekly Dump'!A:A,AB797)</f>
        <v>0</v>
      </c>
      <c r="U797" s="3">
        <f t="shared" si="21"/>
        <v>0</v>
      </c>
      <c r="V797" s="42"/>
      <c r="X797" s="4">
        <f>SUMIFS('Weekly Dump'!P:P,'Weekly Dump'!B:B,C797,'Weekly Dump'!A:A,AB797)</f>
        <v>0</v>
      </c>
      <c r="Y797" s="4">
        <f t="shared" si="22"/>
        <v>0</v>
      </c>
      <c r="Z797" s="41"/>
      <c r="AA797" s="12" t="str">
        <f>iferror(IF(VLOOKUP(C797,'Weekly Dump'!B:B,1,0)=C797,"Yes","Missing"),"")</f>
        <v/>
      </c>
      <c r="AB797" s="66"/>
    </row>
    <row r="798">
      <c r="B798" s="63"/>
      <c r="C798" s="63"/>
      <c r="G798" s="3" t="str">
        <f t="shared" si="26"/>
        <v/>
      </c>
      <c r="I798" s="4">
        <f>SUMIFS('Weekly Dump'!D:D,'Weekly Dump'!B:B,C798)</f>
        <v>0</v>
      </c>
      <c r="J798" s="5">
        <f>SUMIFS('Weekly Dump'!AE:AE,'Weekly Dump'!B:B,C798)</f>
        <v>0</v>
      </c>
      <c r="K798" s="4">
        <f>SUMPRODUCT(
  (TEXT('Weekly Dump'!$A$2:$A1009,"mmm-yy")=TEXT($AB798,"mmm-yy"))*
  ('Weekly Dump'!$B$2:$B1009=$C798)*
  'Weekly Dump'!$D$2:$D1009)</f>
        <v>0</v>
      </c>
      <c r="L798" s="4">
        <f>SUMPRODUCT(
  (TEXT('Weekly Dump'!$A$2:$A1009,"mmm-yy")=TEXT($AB798,"mmm-yy"))*
  ('Weekly Dump'!$B$2:$B1009=$C798)*
  'Weekly Dump'!$E$2:$E1009
)</f>
        <v>0</v>
      </c>
      <c r="M798" s="4">
        <f>SUMPRODUCT(
  (TEXT('Weekly Dump'!$A$2:$A1009,"mmm-yy")=TEXT($AB798,"mmm-yy"))*
  ('Weekly Dump'!$B$2:$B1009=$C798)*
  'Weekly Dump'!$P$2:$P1009
)</f>
        <v>0</v>
      </c>
      <c r="N798" s="39"/>
      <c r="O798" s="40">
        <f>SUMIFS('Weekly Dump'!$D:$D,'Weekly Dump'!$B:$B,$C798,'Weekly Dump'!$A:$A,$AB798)</f>
        <v>0</v>
      </c>
      <c r="P798" s="40">
        <f>SUMIFS('Weekly Dump'!R:R,'Weekly Dump'!B:B,C798,'Weekly Dump'!A:A,AB798)</f>
        <v>0</v>
      </c>
      <c r="Q798" s="40">
        <f t="shared" si="20"/>
        <v>0</v>
      </c>
      <c r="R798" s="41"/>
      <c r="T798" s="4">
        <f>SUMIFS('Weekly Dump'!E:E,'Weekly Dump'!B:B,C798,'Weekly Dump'!A:A,AB798)</f>
        <v>0</v>
      </c>
      <c r="U798" s="3">
        <f t="shared" si="21"/>
        <v>0</v>
      </c>
      <c r="V798" s="42"/>
      <c r="X798" s="4">
        <f>SUMIFS('Weekly Dump'!P:P,'Weekly Dump'!B:B,C798,'Weekly Dump'!A:A,AB798)</f>
        <v>0</v>
      </c>
      <c r="Y798" s="4">
        <f t="shared" si="22"/>
        <v>0</v>
      </c>
      <c r="Z798" s="41"/>
      <c r="AA798" s="12" t="str">
        <f>iferror(IF(VLOOKUP(C798,'Weekly Dump'!B:B,1,0)=C798,"Yes","Missing"),"")</f>
        <v/>
      </c>
      <c r="AB798" s="66"/>
    </row>
    <row r="799">
      <c r="B799" s="63"/>
      <c r="C799" s="63"/>
      <c r="G799" s="3" t="str">
        <f t="shared" si="26"/>
        <v/>
      </c>
      <c r="I799" s="4">
        <f>SUMIFS('Weekly Dump'!D:D,'Weekly Dump'!B:B,C799)</f>
        <v>0</v>
      </c>
      <c r="J799" s="5">
        <f>SUMIFS('Weekly Dump'!AE:AE,'Weekly Dump'!B:B,C799)</f>
        <v>0</v>
      </c>
      <c r="K799" s="4">
        <f>SUMPRODUCT(
  (TEXT('Weekly Dump'!$A$2:$A1009,"mmm-yy")=TEXT($AB799,"mmm-yy"))*
  ('Weekly Dump'!$B$2:$B1009=$C799)*
  'Weekly Dump'!$D$2:$D1009)</f>
        <v>0</v>
      </c>
      <c r="L799" s="4">
        <f>SUMPRODUCT(
  (TEXT('Weekly Dump'!$A$2:$A1009,"mmm-yy")=TEXT($AB799,"mmm-yy"))*
  ('Weekly Dump'!$B$2:$B1009=$C799)*
  'Weekly Dump'!$E$2:$E1009
)</f>
        <v>0</v>
      </c>
      <c r="M799" s="4">
        <f>SUMPRODUCT(
  (TEXT('Weekly Dump'!$A$2:$A1009,"mmm-yy")=TEXT($AB799,"mmm-yy"))*
  ('Weekly Dump'!$B$2:$B1009=$C799)*
  'Weekly Dump'!$P$2:$P1009
)</f>
        <v>0</v>
      </c>
      <c r="N799" s="39"/>
      <c r="O799" s="40">
        <f>SUMIFS('Weekly Dump'!$D:$D,'Weekly Dump'!$B:$B,$C799,'Weekly Dump'!$A:$A,$AB799)</f>
        <v>0</v>
      </c>
      <c r="P799" s="40">
        <f>SUMIFS('Weekly Dump'!R:R,'Weekly Dump'!B:B,C799,'Weekly Dump'!A:A,AB799)</f>
        <v>0</v>
      </c>
      <c r="Q799" s="40">
        <f t="shared" si="20"/>
        <v>0</v>
      </c>
      <c r="R799" s="41"/>
      <c r="T799" s="4">
        <f>SUMIFS('Weekly Dump'!E:E,'Weekly Dump'!B:B,C799,'Weekly Dump'!A:A,AB799)</f>
        <v>0</v>
      </c>
      <c r="U799" s="3">
        <f t="shared" si="21"/>
        <v>0</v>
      </c>
      <c r="V799" s="42"/>
      <c r="X799" s="4">
        <f>SUMIFS('Weekly Dump'!P:P,'Weekly Dump'!B:B,C799,'Weekly Dump'!A:A,AB799)</f>
        <v>0</v>
      </c>
      <c r="Y799" s="4">
        <f t="shared" si="22"/>
        <v>0</v>
      </c>
      <c r="Z799" s="41"/>
      <c r="AA799" s="12" t="str">
        <f>iferror(IF(VLOOKUP(C799,'Weekly Dump'!B:B,1,0)=C799,"Yes","Missing"),"")</f>
        <v/>
      </c>
      <c r="AB799" s="66"/>
    </row>
    <row r="800">
      <c r="B800" s="63"/>
      <c r="C800" s="63"/>
      <c r="G800" s="3" t="str">
        <f t="shared" si="26"/>
        <v/>
      </c>
      <c r="I800" s="4">
        <f>SUMIFS('Weekly Dump'!D:D,'Weekly Dump'!B:B,C800)</f>
        <v>0</v>
      </c>
      <c r="J800" s="5">
        <f>SUMIFS('Weekly Dump'!AE:AE,'Weekly Dump'!B:B,C800)</f>
        <v>0</v>
      </c>
      <c r="K800" s="4">
        <f>SUMPRODUCT(
  (TEXT('Weekly Dump'!$A$2:$A1009,"mmm-yy")=TEXT($AB800,"mmm-yy"))*
  ('Weekly Dump'!$B$2:$B1009=$C800)*
  'Weekly Dump'!$D$2:$D1009)</f>
        <v>0</v>
      </c>
      <c r="L800" s="4">
        <f>SUMPRODUCT(
  (TEXT('Weekly Dump'!$A$2:$A1009,"mmm-yy")=TEXT($AB800,"mmm-yy"))*
  ('Weekly Dump'!$B$2:$B1009=$C800)*
  'Weekly Dump'!$E$2:$E1009
)</f>
        <v>0</v>
      </c>
      <c r="M800" s="4">
        <f>SUMPRODUCT(
  (TEXT('Weekly Dump'!$A$2:$A1009,"mmm-yy")=TEXT($AB800,"mmm-yy"))*
  ('Weekly Dump'!$B$2:$B1009=$C800)*
  'Weekly Dump'!$P$2:$P1009
)</f>
        <v>0</v>
      </c>
      <c r="N800" s="39"/>
      <c r="O800" s="40">
        <f>SUMIFS('Weekly Dump'!$D:$D,'Weekly Dump'!$B:$B,$C800,'Weekly Dump'!$A:$A,$AB800)</f>
        <v>0</v>
      </c>
      <c r="P800" s="40">
        <f>SUMIFS('Weekly Dump'!R:R,'Weekly Dump'!B:B,C800,'Weekly Dump'!A:A,AB800)</f>
        <v>0</v>
      </c>
      <c r="Q800" s="40">
        <f t="shared" si="20"/>
        <v>0</v>
      </c>
      <c r="R800" s="41"/>
      <c r="T800" s="4">
        <f>SUMIFS('Weekly Dump'!E:E,'Weekly Dump'!B:B,C800,'Weekly Dump'!A:A,AB800)</f>
        <v>0</v>
      </c>
      <c r="U800" s="3">
        <f t="shared" si="21"/>
        <v>0</v>
      </c>
      <c r="V800" s="42"/>
      <c r="X800" s="4">
        <f>SUMIFS('Weekly Dump'!P:P,'Weekly Dump'!B:B,C800,'Weekly Dump'!A:A,AB800)</f>
        <v>0</v>
      </c>
      <c r="Y800" s="4">
        <f t="shared" si="22"/>
        <v>0</v>
      </c>
      <c r="Z800" s="41"/>
      <c r="AA800" s="12" t="str">
        <f>iferror(IF(VLOOKUP(C800,'Weekly Dump'!B:B,1,0)=C800,"Yes","Missing"),"")</f>
        <v/>
      </c>
      <c r="AB800" s="66"/>
    </row>
    <row r="801">
      <c r="B801" s="63"/>
      <c r="C801" s="63"/>
      <c r="G801" s="3" t="str">
        <f t="shared" si="26"/>
        <v/>
      </c>
      <c r="I801" s="4">
        <f>SUMIFS('Weekly Dump'!D:D,'Weekly Dump'!B:B,C801)</f>
        <v>0</v>
      </c>
      <c r="J801" s="5">
        <f>SUMIFS('Weekly Dump'!AE:AE,'Weekly Dump'!B:B,C801)</f>
        <v>0</v>
      </c>
      <c r="K801" s="4">
        <f>SUMPRODUCT(
  (TEXT('Weekly Dump'!$A$2:$A1009,"mmm-yy")=TEXT($AB801,"mmm-yy"))*
  ('Weekly Dump'!$B$2:$B1009=$C801)*
  'Weekly Dump'!$D$2:$D1009)</f>
        <v>0</v>
      </c>
      <c r="L801" s="4">
        <f>SUMPRODUCT(
  (TEXT('Weekly Dump'!$A$2:$A1009,"mmm-yy")=TEXT($AB801,"mmm-yy"))*
  ('Weekly Dump'!$B$2:$B1009=$C801)*
  'Weekly Dump'!$E$2:$E1009
)</f>
        <v>0</v>
      </c>
      <c r="M801" s="4">
        <f>SUMPRODUCT(
  (TEXT('Weekly Dump'!$A$2:$A1009,"mmm-yy")=TEXT($AB801,"mmm-yy"))*
  ('Weekly Dump'!$B$2:$B1009=$C801)*
  'Weekly Dump'!$P$2:$P1009
)</f>
        <v>0</v>
      </c>
      <c r="N801" s="39"/>
      <c r="O801" s="40">
        <f>SUMIFS('Weekly Dump'!$D:$D,'Weekly Dump'!$B:$B,$C801,'Weekly Dump'!$A:$A,$AB801)</f>
        <v>0</v>
      </c>
      <c r="P801" s="40">
        <f>SUMIFS('Weekly Dump'!R:R,'Weekly Dump'!B:B,C801,'Weekly Dump'!A:A,AB801)</f>
        <v>0</v>
      </c>
      <c r="Q801" s="40">
        <f t="shared" si="20"/>
        <v>0</v>
      </c>
      <c r="R801" s="41"/>
      <c r="T801" s="4">
        <f>SUMIFS('Weekly Dump'!E:E,'Weekly Dump'!B:B,C801,'Weekly Dump'!A:A,AB801)</f>
        <v>0</v>
      </c>
      <c r="U801" s="3">
        <f t="shared" si="21"/>
        <v>0</v>
      </c>
      <c r="V801" s="42"/>
      <c r="X801" s="4">
        <f>SUMIFS('Weekly Dump'!P:P,'Weekly Dump'!B:B,C801,'Weekly Dump'!A:A,AB801)</f>
        <v>0</v>
      </c>
      <c r="Y801" s="4">
        <f t="shared" si="22"/>
        <v>0</v>
      </c>
      <c r="Z801" s="41"/>
      <c r="AA801" s="12" t="str">
        <f>iferror(IF(VLOOKUP(C801,'Weekly Dump'!B:B,1,0)=C801,"Yes","Missing"),"")</f>
        <v/>
      </c>
      <c r="AB801" s="66"/>
    </row>
    <row r="802">
      <c r="B802" s="63"/>
      <c r="C802" s="63"/>
      <c r="G802" s="3" t="str">
        <f t="shared" si="26"/>
        <v/>
      </c>
      <c r="I802" s="4">
        <f>SUMIFS('Weekly Dump'!D:D,'Weekly Dump'!B:B,C802)</f>
        <v>0</v>
      </c>
      <c r="J802" s="5">
        <f>SUMIFS('Weekly Dump'!AE:AE,'Weekly Dump'!B:B,C802)</f>
        <v>0</v>
      </c>
      <c r="K802" s="4">
        <f>SUMPRODUCT(
  (TEXT('Weekly Dump'!$A$2:$A1009,"mmm-yy")=TEXT($AB802,"mmm-yy"))*
  ('Weekly Dump'!$B$2:$B1009=$C802)*
  'Weekly Dump'!$D$2:$D1009)</f>
        <v>0</v>
      </c>
      <c r="L802" s="4">
        <f>SUMPRODUCT(
  (TEXT('Weekly Dump'!$A$2:$A1009,"mmm-yy")=TEXT($AB802,"mmm-yy"))*
  ('Weekly Dump'!$B$2:$B1009=$C802)*
  'Weekly Dump'!$E$2:$E1009
)</f>
        <v>0</v>
      </c>
      <c r="M802" s="4">
        <f>SUMPRODUCT(
  (TEXT('Weekly Dump'!$A$2:$A1009,"mmm-yy")=TEXT($AB802,"mmm-yy"))*
  ('Weekly Dump'!$B$2:$B1009=$C802)*
  'Weekly Dump'!$P$2:$P1009
)</f>
        <v>0</v>
      </c>
      <c r="N802" s="39"/>
      <c r="O802" s="40">
        <f>SUMIFS('Weekly Dump'!$D:$D,'Weekly Dump'!$B:$B,$C802,'Weekly Dump'!$A:$A,$AB802)</f>
        <v>0</v>
      </c>
      <c r="P802" s="40">
        <f>SUMIFS('Weekly Dump'!R:R,'Weekly Dump'!B:B,C802,'Weekly Dump'!A:A,AB802)</f>
        <v>0</v>
      </c>
      <c r="Q802" s="40">
        <f t="shared" si="20"/>
        <v>0</v>
      </c>
      <c r="R802" s="41"/>
      <c r="T802" s="4">
        <f>SUMIFS('Weekly Dump'!E:E,'Weekly Dump'!B:B,C802,'Weekly Dump'!A:A,AB802)</f>
        <v>0</v>
      </c>
      <c r="U802" s="3">
        <f t="shared" si="21"/>
        <v>0</v>
      </c>
      <c r="V802" s="42"/>
      <c r="X802" s="4">
        <f>SUMIFS('Weekly Dump'!P:P,'Weekly Dump'!B:B,C802,'Weekly Dump'!A:A,AB802)</f>
        <v>0</v>
      </c>
      <c r="Y802" s="4">
        <f t="shared" si="22"/>
        <v>0</v>
      </c>
      <c r="Z802" s="41"/>
      <c r="AA802" s="12" t="str">
        <f>iferror(IF(VLOOKUP(C802,'Weekly Dump'!B:B,1,0)=C802,"Yes","Missing"),"")</f>
        <v/>
      </c>
      <c r="AB802" s="66"/>
    </row>
    <row r="803">
      <c r="B803" s="63"/>
      <c r="C803" s="63"/>
      <c r="G803" s="3" t="str">
        <f t="shared" si="26"/>
        <v/>
      </c>
      <c r="I803" s="4">
        <f>SUMIFS('Weekly Dump'!D:D,'Weekly Dump'!B:B,C803)</f>
        <v>0</v>
      </c>
      <c r="J803" s="5">
        <f>SUMIFS('Weekly Dump'!AE:AE,'Weekly Dump'!B:B,C803)</f>
        <v>0</v>
      </c>
      <c r="K803" s="4">
        <f>SUMPRODUCT(
  (TEXT('Weekly Dump'!$A$2:$A1009,"mmm-yy")=TEXT($AB803,"mmm-yy"))*
  ('Weekly Dump'!$B$2:$B1009=$C803)*
  'Weekly Dump'!$D$2:$D1009)</f>
        <v>0</v>
      </c>
      <c r="L803" s="4">
        <f>SUMPRODUCT(
  (TEXT('Weekly Dump'!$A$2:$A1009,"mmm-yy")=TEXT($AB803,"mmm-yy"))*
  ('Weekly Dump'!$B$2:$B1009=$C803)*
  'Weekly Dump'!$E$2:$E1009
)</f>
        <v>0</v>
      </c>
      <c r="M803" s="4">
        <f>SUMPRODUCT(
  (TEXT('Weekly Dump'!$A$2:$A1009,"mmm-yy")=TEXT($AB803,"mmm-yy"))*
  ('Weekly Dump'!$B$2:$B1009=$C803)*
  'Weekly Dump'!$P$2:$P1009
)</f>
        <v>0</v>
      </c>
      <c r="N803" s="39"/>
      <c r="O803" s="40">
        <f>SUMIFS('Weekly Dump'!$D:$D,'Weekly Dump'!$B:$B,$C803,'Weekly Dump'!$A:$A,$AB803)</f>
        <v>0</v>
      </c>
      <c r="P803" s="40">
        <f>SUMIFS('Weekly Dump'!R:R,'Weekly Dump'!B:B,C803,'Weekly Dump'!A:A,AB803)</f>
        <v>0</v>
      </c>
      <c r="Q803" s="40">
        <f t="shared" si="20"/>
        <v>0</v>
      </c>
      <c r="R803" s="41"/>
      <c r="T803" s="4">
        <f>SUMIFS('Weekly Dump'!E:E,'Weekly Dump'!B:B,C803,'Weekly Dump'!A:A,AB803)</f>
        <v>0</v>
      </c>
      <c r="U803" s="3">
        <f t="shared" si="21"/>
        <v>0</v>
      </c>
      <c r="V803" s="42"/>
      <c r="X803" s="4">
        <f>SUMIFS('Weekly Dump'!P:P,'Weekly Dump'!B:B,C803,'Weekly Dump'!A:A,AB803)</f>
        <v>0</v>
      </c>
      <c r="Y803" s="4">
        <f t="shared" si="22"/>
        <v>0</v>
      </c>
      <c r="Z803" s="41"/>
      <c r="AA803" s="12" t="str">
        <f>iferror(IF(VLOOKUP(C803,'Weekly Dump'!B:B,1,0)=C803,"Yes","Missing"),"")</f>
        <v/>
      </c>
      <c r="AB803" s="66"/>
    </row>
    <row r="804">
      <c r="B804" s="63"/>
      <c r="C804" s="63"/>
      <c r="G804" s="3" t="str">
        <f t="shared" si="26"/>
        <v/>
      </c>
      <c r="I804" s="4">
        <f>SUMIFS('Weekly Dump'!D:D,'Weekly Dump'!B:B,C804)</f>
        <v>0</v>
      </c>
      <c r="J804" s="5">
        <f>SUMIFS('Weekly Dump'!AE:AE,'Weekly Dump'!B:B,C804)</f>
        <v>0</v>
      </c>
      <c r="K804" s="4">
        <f>SUMPRODUCT(
  (TEXT('Weekly Dump'!$A$2:$A1009,"mmm-yy")=TEXT($AB804,"mmm-yy"))*
  ('Weekly Dump'!$B$2:$B1009=$C804)*
  'Weekly Dump'!$D$2:$D1009)</f>
        <v>0</v>
      </c>
      <c r="L804" s="4">
        <f>SUMPRODUCT(
  (TEXT('Weekly Dump'!$A$2:$A1009,"mmm-yy")=TEXT($AB804,"mmm-yy"))*
  ('Weekly Dump'!$B$2:$B1009=$C804)*
  'Weekly Dump'!$E$2:$E1009
)</f>
        <v>0</v>
      </c>
      <c r="M804" s="4">
        <f>SUMPRODUCT(
  (TEXT('Weekly Dump'!$A$2:$A1009,"mmm-yy")=TEXT($AB804,"mmm-yy"))*
  ('Weekly Dump'!$B$2:$B1009=$C804)*
  'Weekly Dump'!$P$2:$P1009
)</f>
        <v>0</v>
      </c>
      <c r="N804" s="39"/>
      <c r="O804" s="40">
        <f>SUMIFS('Weekly Dump'!$D:$D,'Weekly Dump'!$B:$B,$C804,'Weekly Dump'!$A:$A,$AB804)</f>
        <v>0</v>
      </c>
      <c r="P804" s="40">
        <f>SUMIFS('Weekly Dump'!R:R,'Weekly Dump'!B:B,C804,'Weekly Dump'!A:A,AB804)</f>
        <v>0</v>
      </c>
      <c r="Q804" s="40">
        <f t="shared" si="20"/>
        <v>0</v>
      </c>
      <c r="R804" s="41"/>
      <c r="T804" s="4">
        <f>SUMIFS('Weekly Dump'!E:E,'Weekly Dump'!B:B,C804,'Weekly Dump'!A:A,AB804)</f>
        <v>0</v>
      </c>
      <c r="U804" s="3">
        <f t="shared" si="21"/>
        <v>0</v>
      </c>
      <c r="V804" s="42"/>
      <c r="X804" s="4">
        <f>SUMIFS('Weekly Dump'!P:P,'Weekly Dump'!B:B,C804,'Weekly Dump'!A:A,AB804)</f>
        <v>0</v>
      </c>
      <c r="Y804" s="4">
        <f t="shared" si="22"/>
        <v>0</v>
      </c>
      <c r="Z804" s="41"/>
      <c r="AA804" s="12" t="str">
        <f>iferror(IF(VLOOKUP(C804,'Weekly Dump'!B:B,1,0)=C804,"Yes","Missing"),"")</f>
        <v/>
      </c>
      <c r="AB804" s="66"/>
    </row>
    <row r="805">
      <c r="B805" s="63"/>
      <c r="C805" s="63"/>
      <c r="G805" s="3" t="str">
        <f t="shared" si="26"/>
        <v/>
      </c>
      <c r="I805" s="4">
        <f>SUMIFS('Weekly Dump'!D:D,'Weekly Dump'!B:B,C805)</f>
        <v>0</v>
      </c>
      <c r="J805" s="5">
        <f>SUMIFS('Weekly Dump'!AE:AE,'Weekly Dump'!B:B,C805)</f>
        <v>0</v>
      </c>
      <c r="K805" s="4">
        <f>SUMPRODUCT(
  (TEXT('Weekly Dump'!$A$2:$A1009,"mmm-yy")=TEXT($AB805,"mmm-yy"))*
  ('Weekly Dump'!$B$2:$B1009=$C805)*
  'Weekly Dump'!$D$2:$D1009)</f>
        <v>0</v>
      </c>
      <c r="L805" s="4">
        <f>SUMPRODUCT(
  (TEXT('Weekly Dump'!$A$2:$A1009,"mmm-yy")=TEXT($AB805,"mmm-yy"))*
  ('Weekly Dump'!$B$2:$B1009=$C805)*
  'Weekly Dump'!$E$2:$E1009
)</f>
        <v>0</v>
      </c>
      <c r="M805" s="4">
        <f>SUMPRODUCT(
  (TEXT('Weekly Dump'!$A$2:$A1009,"mmm-yy")=TEXT($AB805,"mmm-yy"))*
  ('Weekly Dump'!$B$2:$B1009=$C805)*
  'Weekly Dump'!$P$2:$P1009
)</f>
        <v>0</v>
      </c>
      <c r="N805" s="39"/>
      <c r="O805" s="40">
        <f>SUMIFS('Weekly Dump'!$D:$D,'Weekly Dump'!$B:$B,$C805,'Weekly Dump'!$A:$A,$AB805)</f>
        <v>0</v>
      </c>
      <c r="P805" s="40">
        <f>SUMIFS('Weekly Dump'!R:R,'Weekly Dump'!B:B,C805,'Weekly Dump'!A:A,AB805)</f>
        <v>0</v>
      </c>
      <c r="Q805" s="40">
        <f t="shared" si="20"/>
        <v>0</v>
      </c>
      <c r="R805" s="41"/>
      <c r="T805" s="4">
        <f>SUMIFS('Weekly Dump'!E:E,'Weekly Dump'!B:B,C805,'Weekly Dump'!A:A,AB805)</f>
        <v>0</v>
      </c>
      <c r="U805" s="3">
        <f t="shared" si="21"/>
        <v>0</v>
      </c>
      <c r="V805" s="42"/>
      <c r="X805" s="4">
        <f>SUMIFS('Weekly Dump'!P:P,'Weekly Dump'!B:B,C805,'Weekly Dump'!A:A,AB805)</f>
        <v>0</v>
      </c>
      <c r="Y805" s="4">
        <f t="shared" si="22"/>
        <v>0</v>
      </c>
      <c r="Z805" s="41"/>
      <c r="AA805" s="12" t="str">
        <f>iferror(IF(VLOOKUP(C805,'Weekly Dump'!B:B,1,0)=C805,"Yes","Missing"),"")</f>
        <v/>
      </c>
      <c r="AB805" s="66"/>
    </row>
    <row r="806">
      <c r="B806" s="63"/>
      <c r="C806" s="63"/>
      <c r="G806" s="3" t="str">
        <f t="shared" si="26"/>
        <v/>
      </c>
      <c r="I806" s="4">
        <f>SUMIFS('Weekly Dump'!D:D,'Weekly Dump'!B:B,C806)</f>
        <v>0</v>
      </c>
      <c r="J806" s="5">
        <f>SUMIFS('Weekly Dump'!AE:AE,'Weekly Dump'!B:B,C806)</f>
        <v>0</v>
      </c>
      <c r="K806" s="4">
        <f>SUMPRODUCT(
  (TEXT('Weekly Dump'!$A$2:$A1009,"mmm-yy")=TEXT($AB806,"mmm-yy"))*
  ('Weekly Dump'!$B$2:$B1009=$C806)*
  'Weekly Dump'!$D$2:$D1009)</f>
        <v>0</v>
      </c>
      <c r="L806" s="4">
        <f>SUMPRODUCT(
  (TEXT('Weekly Dump'!$A$2:$A1009,"mmm-yy")=TEXT($AB806,"mmm-yy"))*
  ('Weekly Dump'!$B$2:$B1009=$C806)*
  'Weekly Dump'!$E$2:$E1009
)</f>
        <v>0</v>
      </c>
      <c r="M806" s="4">
        <f>SUMPRODUCT(
  (TEXT('Weekly Dump'!$A$2:$A1009,"mmm-yy")=TEXT($AB806,"mmm-yy"))*
  ('Weekly Dump'!$B$2:$B1009=$C806)*
  'Weekly Dump'!$P$2:$P1009
)</f>
        <v>0</v>
      </c>
      <c r="N806" s="39"/>
      <c r="O806" s="40">
        <f>SUMIFS('Weekly Dump'!$D:$D,'Weekly Dump'!$B:$B,$C806,'Weekly Dump'!$A:$A,$AB806)</f>
        <v>0</v>
      </c>
      <c r="P806" s="40">
        <f>SUMIFS('Weekly Dump'!R:R,'Weekly Dump'!B:B,C806,'Weekly Dump'!A:A,AB806)</f>
        <v>0</v>
      </c>
      <c r="Q806" s="40">
        <f t="shared" si="20"/>
        <v>0</v>
      </c>
      <c r="R806" s="41"/>
      <c r="T806" s="4">
        <f>SUMIFS('Weekly Dump'!E:E,'Weekly Dump'!B:B,C806,'Weekly Dump'!A:A,AB806)</f>
        <v>0</v>
      </c>
      <c r="U806" s="3">
        <f t="shared" si="21"/>
        <v>0</v>
      </c>
      <c r="V806" s="42"/>
      <c r="X806" s="4">
        <f>SUMIFS('Weekly Dump'!P:P,'Weekly Dump'!B:B,C806,'Weekly Dump'!A:A,AB806)</f>
        <v>0</v>
      </c>
      <c r="Y806" s="4">
        <f t="shared" si="22"/>
        <v>0</v>
      </c>
      <c r="Z806" s="41"/>
      <c r="AA806" s="12" t="str">
        <f>iferror(IF(VLOOKUP(C806,'Weekly Dump'!B:B,1,0)=C806,"Yes","Missing"),"")</f>
        <v/>
      </c>
      <c r="AB806" s="66"/>
    </row>
    <row r="807">
      <c r="B807" s="63"/>
      <c r="C807" s="63"/>
      <c r="G807" s="3" t="str">
        <f t="shared" si="26"/>
        <v/>
      </c>
      <c r="I807" s="4">
        <f>SUMIFS('Weekly Dump'!D:D,'Weekly Dump'!B:B,C807)</f>
        <v>0</v>
      </c>
      <c r="J807" s="5">
        <f>SUMIFS('Weekly Dump'!AE:AE,'Weekly Dump'!B:B,C807)</f>
        <v>0</v>
      </c>
      <c r="K807" s="4">
        <f>SUMPRODUCT(
  (TEXT('Weekly Dump'!$A$2:$A1009,"mmm-yy")=TEXT($AB807,"mmm-yy"))*
  ('Weekly Dump'!$B$2:$B1009=$C807)*
  'Weekly Dump'!$D$2:$D1009)</f>
        <v>0</v>
      </c>
      <c r="L807" s="4">
        <f>SUMPRODUCT(
  (TEXT('Weekly Dump'!$A$2:$A1009,"mmm-yy")=TEXT($AB807,"mmm-yy"))*
  ('Weekly Dump'!$B$2:$B1009=$C807)*
  'Weekly Dump'!$E$2:$E1009
)</f>
        <v>0</v>
      </c>
      <c r="M807" s="4">
        <f>SUMPRODUCT(
  (TEXT('Weekly Dump'!$A$2:$A1009,"mmm-yy")=TEXT($AB807,"mmm-yy"))*
  ('Weekly Dump'!$B$2:$B1009=$C807)*
  'Weekly Dump'!$P$2:$P1009
)</f>
        <v>0</v>
      </c>
      <c r="N807" s="39"/>
      <c r="O807" s="40">
        <f>SUMIFS('Weekly Dump'!$D:$D,'Weekly Dump'!$B:$B,$C807,'Weekly Dump'!$A:$A,$AB807)</f>
        <v>0</v>
      </c>
      <c r="P807" s="40">
        <f>SUMIFS('Weekly Dump'!R:R,'Weekly Dump'!B:B,C807,'Weekly Dump'!A:A,AB807)</f>
        <v>0</v>
      </c>
      <c r="Q807" s="40">
        <f t="shared" si="20"/>
        <v>0</v>
      </c>
      <c r="R807" s="41"/>
      <c r="T807" s="4">
        <f>SUMIFS('Weekly Dump'!E:E,'Weekly Dump'!B:B,C807,'Weekly Dump'!A:A,AB807)</f>
        <v>0</v>
      </c>
      <c r="U807" s="3">
        <f t="shared" si="21"/>
        <v>0</v>
      </c>
      <c r="V807" s="42"/>
      <c r="X807" s="4">
        <f>SUMIFS('Weekly Dump'!P:P,'Weekly Dump'!B:B,C807,'Weekly Dump'!A:A,AB807)</f>
        <v>0</v>
      </c>
      <c r="Y807" s="4">
        <f t="shared" si="22"/>
        <v>0</v>
      </c>
      <c r="Z807" s="41"/>
      <c r="AA807" s="12" t="str">
        <f>iferror(IF(VLOOKUP(C807,'Weekly Dump'!B:B,1,0)=C807,"Yes","Missing"),"")</f>
        <v/>
      </c>
      <c r="AB807" s="66"/>
    </row>
    <row r="808">
      <c r="B808" s="63"/>
      <c r="C808" s="63"/>
      <c r="G808" s="3" t="str">
        <f t="shared" si="26"/>
        <v/>
      </c>
      <c r="I808" s="4">
        <f>SUMIFS('Weekly Dump'!D:D,'Weekly Dump'!B:B,C808)</f>
        <v>0</v>
      </c>
      <c r="J808" s="5">
        <f>SUMIFS('Weekly Dump'!AE:AE,'Weekly Dump'!B:B,C808)</f>
        <v>0</v>
      </c>
      <c r="K808" s="4">
        <f>SUMPRODUCT(
  (TEXT('Weekly Dump'!$A$2:$A1009,"mmm-yy")=TEXT($AB808,"mmm-yy"))*
  ('Weekly Dump'!$B$2:$B1009=$C808)*
  'Weekly Dump'!$D$2:$D1009)</f>
        <v>0</v>
      </c>
      <c r="L808" s="4">
        <f>SUMPRODUCT(
  (TEXT('Weekly Dump'!$A$2:$A1009,"mmm-yy")=TEXT($AB808,"mmm-yy"))*
  ('Weekly Dump'!$B$2:$B1009=$C808)*
  'Weekly Dump'!$E$2:$E1009
)</f>
        <v>0</v>
      </c>
      <c r="M808" s="4">
        <f>SUMPRODUCT(
  (TEXT('Weekly Dump'!$A$2:$A1009,"mmm-yy")=TEXT($AB808,"mmm-yy"))*
  ('Weekly Dump'!$B$2:$B1009=$C808)*
  'Weekly Dump'!$P$2:$P1009
)</f>
        <v>0</v>
      </c>
      <c r="N808" s="39"/>
      <c r="O808" s="40">
        <f>SUMIFS('Weekly Dump'!$D:$D,'Weekly Dump'!$B:$B,$C808,'Weekly Dump'!$A:$A,$AB808)</f>
        <v>0</v>
      </c>
      <c r="P808" s="40">
        <f>SUMIFS('Weekly Dump'!R:R,'Weekly Dump'!B:B,C808,'Weekly Dump'!A:A,AB808)</f>
        <v>0</v>
      </c>
      <c r="Q808" s="40">
        <f t="shared" si="20"/>
        <v>0</v>
      </c>
      <c r="R808" s="41"/>
      <c r="T808" s="4">
        <f>SUMIFS('Weekly Dump'!E:E,'Weekly Dump'!B:B,C808,'Weekly Dump'!A:A,AB808)</f>
        <v>0</v>
      </c>
      <c r="U808" s="3">
        <f t="shared" si="21"/>
        <v>0</v>
      </c>
      <c r="V808" s="42"/>
      <c r="X808" s="4">
        <f>SUMIFS('Weekly Dump'!P:P,'Weekly Dump'!B:B,C808,'Weekly Dump'!A:A,AB808)</f>
        <v>0</v>
      </c>
      <c r="Y808" s="4">
        <f t="shared" si="22"/>
        <v>0</v>
      </c>
      <c r="Z808" s="41"/>
      <c r="AA808" s="12" t="str">
        <f>iferror(IF(VLOOKUP(C808,'Weekly Dump'!B:B,1,0)=C808,"Yes","Missing"),"")</f>
        <v/>
      </c>
      <c r="AB808" s="66"/>
    </row>
    <row r="809">
      <c r="B809" s="63"/>
      <c r="C809" s="63"/>
      <c r="G809" s="3" t="str">
        <f t="shared" si="26"/>
        <v/>
      </c>
      <c r="I809" s="4">
        <f>SUMIFS('Weekly Dump'!D:D,'Weekly Dump'!B:B,C809)</f>
        <v>0</v>
      </c>
      <c r="J809" s="5">
        <f>SUMIFS('Weekly Dump'!AE:AE,'Weekly Dump'!B:B,C809)</f>
        <v>0</v>
      </c>
      <c r="K809" s="4">
        <f>SUMPRODUCT(
  (TEXT('Weekly Dump'!$A$2:$A1009,"mmm-yy")=TEXT($AB809,"mmm-yy"))*
  ('Weekly Dump'!$B$2:$B1009=$C809)*
  'Weekly Dump'!$D$2:$D1009)</f>
        <v>0</v>
      </c>
      <c r="L809" s="4">
        <f>SUMPRODUCT(
  (TEXT('Weekly Dump'!$A$2:$A1009,"mmm-yy")=TEXT($AB809,"mmm-yy"))*
  ('Weekly Dump'!$B$2:$B1009=$C809)*
  'Weekly Dump'!$E$2:$E1009
)</f>
        <v>0</v>
      </c>
      <c r="M809" s="4">
        <f>SUMPRODUCT(
  (TEXT('Weekly Dump'!$A$2:$A1009,"mmm-yy")=TEXT($AB809,"mmm-yy"))*
  ('Weekly Dump'!$B$2:$B1009=$C809)*
  'Weekly Dump'!$P$2:$P1009
)</f>
        <v>0</v>
      </c>
      <c r="N809" s="39"/>
      <c r="O809" s="40">
        <f>SUMIFS('Weekly Dump'!$D:$D,'Weekly Dump'!$B:$B,$C809,'Weekly Dump'!$A:$A,$AB809)</f>
        <v>0</v>
      </c>
      <c r="P809" s="40">
        <f>SUMIFS('Weekly Dump'!R:R,'Weekly Dump'!B:B,C809,'Weekly Dump'!A:A,AB809)</f>
        <v>0</v>
      </c>
      <c r="Q809" s="40">
        <f t="shared" si="20"/>
        <v>0</v>
      </c>
      <c r="R809" s="41"/>
      <c r="T809" s="4">
        <f>SUMIFS('Weekly Dump'!E:E,'Weekly Dump'!B:B,C809,'Weekly Dump'!A:A,AB809)</f>
        <v>0</v>
      </c>
      <c r="U809" s="3">
        <f t="shared" si="21"/>
        <v>0</v>
      </c>
      <c r="V809" s="42"/>
      <c r="X809" s="4">
        <f>SUMIFS('Weekly Dump'!P:P,'Weekly Dump'!B:B,C809,'Weekly Dump'!A:A,AB809)</f>
        <v>0</v>
      </c>
      <c r="Y809" s="4">
        <f t="shared" si="22"/>
        <v>0</v>
      </c>
      <c r="Z809" s="41"/>
      <c r="AA809" s="12" t="str">
        <f>iferror(IF(VLOOKUP(C809,'Weekly Dump'!B:B,1,0)=C809,"Yes","Missing"),"")</f>
        <v/>
      </c>
      <c r="AB809" s="66"/>
    </row>
    <row r="810">
      <c r="B810" s="63"/>
      <c r="C810" s="63"/>
      <c r="G810" s="3" t="str">
        <f t="shared" si="26"/>
        <v/>
      </c>
      <c r="I810" s="4">
        <f>SUMIFS('Weekly Dump'!D:D,'Weekly Dump'!B:B,C810)</f>
        <v>0</v>
      </c>
      <c r="J810" s="5">
        <f>SUMIFS('Weekly Dump'!AE:AE,'Weekly Dump'!B:B,C810)</f>
        <v>0</v>
      </c>
      <c r="K810" s="4">
        <f>SUMPRODUCT(
  (TEXT('Weekly Dump'!$A$2:$A1009,"mmm-yy")=TEXT($AB810,"mmm-yy"))*
  ('Weekly Dump'!$B$2:$B1009=$C810)*
  'Weekly Dump'!$D$2:$D1009)</f>
        <v>0</v>
      </c>
      <c r="L810" s="4">
        <f>SUMPRODUCT(
  (TEXT('Weekly Dump'!$A$2:$A1009,"mmm-yy")=TEXT($AB810,"mmm-yy"))*
  ('Weekly Dump'!$B$2:$B1009=$C810)*
  'Weekly Dump'!$E$2:$E1009
)</f>
        <v>0</v>
      </c>
      <c r="M810" s="4">
        <f>SUMPRODUCT(
  (TEXT('Weekly Dump'!$A$2:$A1009,"mmm-yy")=TEXT($AB810,"mmm-yy"))*
  ('Weekly Dump'!$B$2:$B1009=$C810)*
  'Weekly Dump'!$P$2:$P1009
)</f>
        <v>0</v>
      </c>
      <c r="N810" s="39"/>
      <c r="O810" s="40">
        <f>SUMIFS('Weekly Dump'!$D:$D,'Weekly Dump'!$B:$B,$C810,'Weekly Dump'!$A:$A,$AB810)</f>
        <v>0</v>
      </c>
      <c r="P810" s="40">
        <f>SUMIFS('Weekly Dump'!R:R,'Weekly Dump'!B:B,C810,'Weekly Dump'!A:A,AB810)</f>
        <v>0</v>
      </c>
      <c r="Q810" s="40">
        <f t="shared" si="20"/>
        <v>0</v>
      </c>
      <c r="R810" s="41"/>
      <c r="T810" s="4">
        <f>SUMIFS('Weekly Dump'!E:E,'Weekly Dump'!B:B,C810,'Weekly Dump'!A:A,AB810)</f>
        <v>0</v>
      </c>
      <c r="U810" s="3">
        <f t="shared" si="21"/>
        <v>0</v>
      </c>
      <c r="V810" s="42"/>
      <c r="X810" s="4">
        <f>SUMIFS('Weekly Dump'!P:P,'Weekly Dump'!B:B,C810,'Weekly Dump'!A:A,AB810)</f>
        <v>0</v>
      </c>
      <c r="Y810" s="4">
        <f t="shared" si="22"/>
        <v>0</v>
      </c>
      <c r="Z810" s="41"/>
      <c r="AA810" s="12" t="str">
        <f>iferror(IF(VLOOKUP(C810,'Weekly Dump'!B:B,1,0)=C810,"Yes","Missing"),"")</f>
        <v/>
      </c>
      <c r="AB810" s="66"/>
    </row>
    <row r="811">
      <c r="B811" s="63"/>
      <c r="C811" s="63"/>
      <c r="G811" s="3" t="str">
        <f t="shared" si="26"/>
        <v/>
      </c>
      <c r="I811" s="4">
        <f>SUMIFS('Weekly Dump'!D:D,'Weekly Dump'!B:B,C811)</f>
        <v>0</v>
      </c>
      <c r="J811" s="5">
        <f>SUMIFS('Weekly Dump'!AE:AE,'Weekly Dump'!B:B,C811)</f>
        <v>0</v>
      </c>
      <c r="K811" s="4">
        <f>SUMPRODUCT(
  (TEXT('Weekly Dump'!$A$2:$A1009,"mmm-yy")=TEXT($AB811,"mmm-yy"))*
  ('Weekly Dump'!$B$2:$B1009=$C811)*
  'Weekly Dump'!$D$2:$D1009)</f>
        <v>0</v>
      </c>
      <c r="L811" s="4">
        <f>SUMPRODUCT(
  (TEXT('Weekly Dump'!$A$2:$A1009,"mmm-yy")=TEXT($AB811,"mmm-yy"))*
  ('Weekly Dump'!$B$2:$B1009=$C811)*
  'Weekly Dump'!$E$2:$E1009
)</f>
        <v>0</v>
      </c>
      <c r="M811" s="4">
        <f>SUMPRODUCT(
  (TEXT('Weekly Dump'!$A$2:$A1009,"mmm-yy")=TEXT($AB811,"mmm-yy"))*
  ('Weekly Dump'!$B$2:$B1009=$C811)*
  'Weekly Dump'!$P$2:$P1009
)</f>
        <v>0</v>
      </c>
      <c r="N811" s="39"/>
      <c r="O811" s="40">
        <f>SUMIFS('Weekly Dump'!$D:$D,'Weekly Dump'!$B:$B,$C811,'Weekly Dump'!$A:$A,$AB811)</f>
        <v>0</v>
      </c>
      <c r="P811" s="40">
        <f>SUMIFS('Weekly Dump'!R:R,'Weekly Dump'!B:B,C811,'Weekly Dump'!A:A,AB811)</f>
        <v>0</v>
      </c>
      <c r="Q811" s="40">
        <f t="shared" si="20"/>
        <v>0</v>
      </c>
      <c r="R811" s="41"/>
      <c r="T811" s="4">
        <f>SUMIFS('Weekly Dump'!E:E,'Weekly Dump'!B:B,C811,'Weekly Dump'!A:A,AB811)</f>
        <v>0</v>
      </c>
      <c r="U811" s="3">
        <f t="shared" si="21"/>
        <v>0</v>
      </c>
      <c r="V811" s="42"/>
      <c r="X811" s="4">
        <f>SUMIFS('Weekly Dump'!P:P,'Weekly Dump'!B:B,C811,'Weekly Dump'!A:A,AB811)</f>
        <v>0</v>
      </c>
      <c r="Y811" s="4">
        <f t="shared" si="22"/>
        <v>0</v>
      </c>
      <c r="Z811" s="41"/>
      <c r="AA811" s="12" t="str">
        <f>iferror(IF(VLOOKUP(C811,'Weekly Dump'!B:B,1,0)=C811,"Yes","Missing"),"")</f>
        <v/>
      </c>
      <c r="AB811" s="66"/>
    </row>
    <row r="812">
      <c r="B812" s="63"/>
      <c r="C812" s="63"/>
      <c r="G812" s="3" t="str">
        <f t="shared" si="26"/>
        <v/>
      </c>
      <c r="I812" s="4">
        <f>SUMIFS('Weekly Dump'!D:D,'Weekly Dump'!B:B,C812)</f>
        <v>0</v>
      </c>
      <c r="J812" s="5">
        <f>SUMIFS('Weekly Dump'!AE:AE,'Weekly Dump'!B:B,C812)</f>
        <v>0</v>
      </c>
      <c r="K812" s="4">
        <f>SUMPRODUCT(
  (TEXT('Weekly Dump'!$A$2:$A1009,"mmm-yy")=TEXT($AB812,"mmm-yy"))*
  ('Weekly Dump'!$B$2:$B1009=$C812)*
  'Weekly Dump'!$D$2:$D1009)</f>
        <v>0</v>
      </c>
      <c r="L812" s="4">
        <f>SUMPRODUCT(
  (TEXT('Weekly Dump'!$A$2:$A1009,"mmm-yy")=TEXT($AB812,"mmm-yy"))*
  ('Weekly Dump'!$B$2:$B1009=$C812)*
  'Weekly Dump'!$E$2:$E1009
)</f>
        <v>0</v>
      </c>
      <c r="M812" s="4">
        <f>SUMPRODUCT(
  (TEXT('Weekly Dump'!$A$2:$A1009,"mmm-yy")=TEXT($AB812,"mmm-yy"))*
  ('Weekly Dump'!$B$2:$B1009=$C812)*
  'Weekly Dump'!$P$2:$P1009
)</f>
        <v>0</v>
      </c>
      <c r="N812" s="39"/>
      <c r="O812" s="40">
        <f>SUMIFS('Weekly Dump'!$D:$D,'Weekly Dump'!$B:$B,$C812,'Weekly Dump'!$A:$A,$AB812)</f>
        <v>0</v>
      </c>
      <c r="P812" s="40">
        <f>SUMIFS('Weekly Dump'!R:R,'Weekly Dump'!B:B,C812,'Weekly Dump'!A:A,AB812)</f>
        <v>0</v>
      </c>
      <c r="Q812" s="40">
        <f t="shared" si="20"/>
        <v>0</v>
      </c>
      <c r="R812" s="41"/>
      <c r="T812" s="4">
        <f>SUMIFS('Weekly Dump'!E:E,'Weekly Dump'!B:B,C812,'Weekly Dump'!A:A,AB812)</f>
        <v>0</v>
      </c>
      <c r="U812" s="3">
        <f t="shared" si="21"/>
        <v>0</v>
      </c>
      <c r="V812" s="42"/>
      <c r="X812" s="4">
        <f>SUMIFS('Weekly Dump'!P:P,'Weekly Dump'!B:B,C812,'Weekly Dump'!A:A,AB812)</f>
        <v>0</v>
      </c>
      <c r="Y812" s="4">
        <f t="shared" si="22"/>
        <v>0</v>
      </c>
      <c r="Z812" s="41"/>
      <c r="AA812" s="12" t="str">
        <f>iferror(IF(VLOOKUP(C812,'Weekly Dump'!B:B,1,0)=C812,"Yes","Missing"),"")</f>
        <v/>
      </c>
      <c r="AB812" s="66"/>
    </row>
    <row r="813">
      <c r="B813" s="63"/>
      <c r="C813" s="63"/>
      <c r="G813" s="3" t="str">
        <f t="shared" si="26"/>
        <v/>
      </c>
      <c r="I813" s="4">
        <f>SUMIFS('Weekly Dump'!D:D,'Weekly Dump'!B:B,C813)</f>
        <v>0</v>
      </c>
      <c r="J813" s="5">
        <f>SUMIFS('Weekly Dump'!AE:AE,'Weekly Dump'!B:B,C813)</f>
        <v>0</v>
      </c>
      <c r="K813" s="4">
        <f>SUMPRODUCT(
  (TEXT('Weekly Dump'!$A$2:$A1009,"mmm-yy")=TEXT($AB813,"mmm-yy"))*
  ('Weekly Dump'!$B$2:$B1009=$C813)*
  'Weekly Dump'!$D$2:$D1009)</f>
        <v>0</v>
      </c>
      <c r="L813" s="4">
        <f>SUMPRODUCT(
  (TEXT('Weekly Dump'!$A$2:$A1009,"mmm-yy")=TEXT($AB813,"mmm-yy"))*
  ('Weekly Dump'!$B$2:$B1009=$C813)*
  'Weekly Dump'!$E$2:$E1009
)</f>
        <v>0</v>
      </c>
      <c r="M813" s="4">
        <f>SUMPRODUCT(
  (TEXT('Weekly Dump'!$A$2:$A1009,"mmm-yy")=TEXT($AB813,"mmm-yy"))*
  ('Weekly Dump'!$B$2:$B1009=$C813)*
  'Weekly Dump'!$P$2:$P1009
)</f>
        <v>0</v>
      </c>
      <c r="N813" s="39"/>
      <c r="O813" s="40">
        <f>SUMIFS('Weekly Dump'!$D:$D,'Weekly Dump'!$B:$B,$C813,'Weekly Dump'!$A:$A,$AB813)</f>
        <v>0</v>
      </c>
      <c r="P813" s="40">
        <f>SUMIFS('Weekly Dump'!R:R,'Weekly Dump'!B:B,C813,'Weekly Dump'!A:A,AB813)</f>
        <v>0</v>
      </c>
      <c r="Q813" s="40">
        <f t="shared" si="20"/>
        <v>0</v>
      </c>
      <c r="R813" s="41"/>
      <c r="T813" s="4">
        <f>SUMIFS('Weekly Dump'!E:E,'Weekly Dump'!B:B,C813,'Weekly Dump'!A:A,AB813)</f>
        <v>0</v>
      </c>
      <c r="U813" s="3">
        <f t="shared" si="21"/>
        <v>0</v>
      </c>
      <c r="V813" s="42"/>
      <c r="X813" s="4">
        <f>SUMIFS('Weekly Dump'!P:P,'Weekly Dump'!B:B,C813,'Weekly Dump'!A:A,AB813)</f>
        <v>0</v>
      </c>
      <c r="Y813" s="4">
        <f t="shared" si="22"/>
        <v>0</v>
      </c>
      <c r="Z813" s="41"/>
      <c r="AA813" s="12" t="str">
        <f>iferror(IF(VLOOKUP(C813,'Weekly Dump'!B:B,1,0)=C813,"Yes","Missing"),"")</f>
        <v/>
      </c>
      <c r="AB813" s="66"/>
    </row>
    <row r="814">
      <c r="B814" s="63"/>
      <c r="C814" s="63"/>
      <c r="G814" s="3" t="str">
        <f t="shared" si="26"/>
        <v/>
      </c>
      <c r="I814" s="4">
        <f>SUMIFS('Weekly Dump'!D:D,'Weekly Dump'!B:B,C814)</f>
        <v>0</v>
      </c>
      <c r="J814" s="5">
        <f>SUMIFS('Weekly Dump'!AE:AE,'Weekly Dump'!B:B,C814)</f>
        <v>0</v>
      </c>
      <c r="K814" s="4">
        <f>SUMPRODUCT(
  (TEXT('Weekly Dump'!$A$2:$A1009,"mmm-yy")=TEXT($AB814,"mmm-yy"))*
  ('Weekly Dump'!$B$2:$B1009=$C814)*
  'Weekly Dump'!$D$2:$D1009)</f>
        <v>0</v>
      </c>
      <c r="L814" s="4">
        <f>SUMPRODUCT(
  (TEXT('Weekly Dump'!$A$2:$A1009,"mmm-yy")=TEXT($AB814,"mmm-yy"))*
  ('Weekly Dump'!$B$2:$B1009=$C814)*
  'Weekly Dump'!$E$2:$E1009
)</f>
        <v>0</v>
      </c>
      <c r="M814" s="4">
        <f>SUMPRODUCT(
  (TEXT('Weekly Dump'!$A$2:$A1009,"mmm-yy")=TEXT($AB814,"mmm-yy"))*
  ('Weekly Dump'!$B$2:$B1009=$C814)*
  'Weekly Dump'!$P$2:$P1009
)</f>
        <v>0</v>
      </c>
      <c r="N814" s="39"/>
      <c r="O814" s="40">
        <f>SUMIFS('Weekly Dump'!$D:$D,'Weekly Dump'!$B:$B,$C814,'Weekly Dump'!$A:$A,$AB814)</f>
        <v>0</v>
      </c>
      <c r="P814" s="40">
        <f>SUMIFS('Weekly Dump'!R:R,'Weekly Dump'!B:B,C814,'Weekly Dump'!A:A,AB814)</f>
        <v>0</v>
      </c>
      <c r="Q814" s="40">
        <f t="shared" si="20"/>
        <v>0</v>
      </c>
      <c r="R814" s="41"/>
      <c r="T814" s="4">
        <f>SUMIFS('Weekly Dump'!E:E,'Weekly Dump'!B:B,C814,'Weekly Dump'!A:A,AB814)</f>
        <v>0</v>
      </c>
      <c r="U814" s="3">
        <f t="shared" si="21"/>
        <v>0</v>
      </c>
      <c r="V814" s="42"/>
      <c r="X814" s="4">
        <f>SUMIFS('Weekly Dump'!P:P,'Weekly Dump'!B:B,C814,'Weekly Dump'!A:A,AB814)</f>
        <v>0</v>
      </c>
      <c r="Y814" s="4">
        <f t="shared" si="22"/>
        <v>0</v>
      </c>
      <c r="Z814" s="41"/>
      <c r="AA814" s="12" t="str">
        <f>iferror(IF(VLOOKUP(C814,'Weekly Dump'!B:B,1,0)=C814,"Yes","Missing"),"")</f>
        <v/>
      </c>
      <c r="AB814" s="66"/>
    </row>
    <row r="815">
      <c r="B815" s="63"/>
      <c r="C815" s="63"/>
      <c r="G815" s="3" t="str">
        <f t="shared" si="26"/>
        <v/>
      </c>
      <c r="I815" s="4">
        <f>SUMIFS('Weekly Dump'!D:D,'Weekly Dump'!B:B,C815)</f>
        <v>0</v>
      </c>
      <c r="J815" s="5">
        <f>SUMIFS('Weekly Dump'!AE:AE,'Weekly Dump'!B:B,C815)</f>
        <v>0</v>
      </c>
      <c r="K815" s="4">
        <f>SUMPRODUCT(
  (TEXT('Weekly Dump'!$A$2:$A1009,"mmm-yy")=TEXT($AB815,"mmm-yy"))*
  ('Weekly Dump'!$B$2:$B1009=$C815)*
  'Weekly Dump'!$D$2:$D1009)</f>
        <v>0</v>
      </c>
      <c r="L815" s="4">
        <f>SUMPRODUCT(
  (TEXT('Weekly Dump'!$A$2:$A1009,"mmm-yy")=TEXT($AB815,"mmm-yy"))*
  ('Weekly Dump'!$B$2:$B1009=$C815)*
  'Weekly Dump'!$E$2:$E1009
)</f>
        <v>0</v>
      </c>
      <c r="M815" s="4">
        <f>SUMPRODUCT(
  (TEXT('Weekly Dump'!$A$2:$A1009,"mmm-yy")=TEXT($AB815,"mmm-yy"))*
  ('Weekly Dump'!$B$2:$B1009=$C815)*
  'Weekly Dump'!$P$2:$P1009
)</f>
        <v>0</v>
      </c>
      <c r="N815" s="39"/>
      <c r="O815" s="40">
        <f>SUMIFS('Weekly Dump'!$D:$D,'Weekly Dump'!$B:$B,$C815,'Weekly Dump'!$A:$A,$AB815)</f>
        <v>0</v>
      </c>
      <c r="P815" s="40">
        <f>SUMIFS('Weekly Dump'!R:R,'Weekly Dump'!B:B,C815,'Weekly Dump'!A:A,AB815)</f>
        <v>0</v>
      </c>
      <c r="Q815" s="40">
        <f t="shared" si="20"/>
        <v>0</v>
      </c>
      <c r="R815" s="41"/>
      <c r="T815" s="4">
        <f>SUMIFS('Weekly Dump'!E:E,'Weekly Dump'!B:B,C815,'Weekly Dump'!A:A,AB815)</f>
        <v>0</v>
      </c>
      <c r="U815" s="3">
        <f t="shared" si="21"/>
        <v>0</v>
      </c>
      <c r="V815" s="42"/>
      <c r="X815" s="4">
        <f>SUMIFS('Weekly Dump'!P:P,'Weekly Dump'!B:B,C815,'Weekly Dump'!A:A,AB815)</f>
        <v>0</v>
      </c>
      <c r="Y815" s="4">
        <f t="shared" si="22"/>
        <v>0</v>
      </c>
      <c r="Z815" s="41"/>
      <c r="AA815" s="12" t="str">
        <f>iferror(IF(VLOOKUP(C815,'Weekly Dump'!B:B,1,0)=C815,"Yes","Missing"),"")</f>
        <v/>
      </c>
      <c r="AB815" s="66"/>
    </row>
    <row r="816">
      <c r="B816" s="63"/>
      <c r="C816" s="63"/>
      <c r="G816" s="3" t="str">
        <f t="shared" si="26"/>
        <v/>
      </c>
      <c r="I816" s="4">
        <f>SUMIFS('Weekly Dump'!D:D,'Weekly Dump'!B:B,C816)</f>
        <v>0</v>
      </c>
      <c r="J816" s="5">
        <f>SUMIFS('Weekly Dump'!AE:AE,'Weekly Dump'!B:B,C816)</f>
        <v>0</v>
      </c>
      <c r="K816" s="4">
        <f>SUMPRODUCT(
  (TEXT('Weekly Dump'!$A$2:$A1009,"mmm-yy")=TEXT($AB816,"mmm-yy"))*
  ('Weekly Dump'!$B$2:$B1009=$C816)*
  'Weekly Dump'!$D$2:$D1009)</f>
        <v>0</v>
      </c>
      <c r="L816" s="4">
        <f>SUMPRODUCT(
  (TEXT('Weekly Dump'!$A$2:$A1009,"mmm-yy")=TEXT($AB816,"mmm-yy"))*
  ('Weekly Dump'!$B$2:$B1009=$C816)*
  'Weekly Dump'!$E$2:$E1009
)</f>
        <v>0</v>
      </c>
      <c r="M816" s="4">
        <f>SUMPRODUCT(
  (TEXT('Weekly Dump'!$A$2:$A1009,"mmm-yy")=TEXT($AB816,"mmm-yy"))*
  ('Weekly Dump'!$B$2:$B1009=$C816)*
  'Weekly Dump'!$P$2:$P1009
)</f>
        <v>0</v>
      </c>
      <c r="N816" s="39"/>
      <c r="O816" s="40">
        <f>SUMIFS('Weekly Dump'!$D:$D,'Weekly Dump'!$B:$B,$C816,'Weekly Dump'!$A:$A,$AB816)</f>
        <v>0</v>
      </c>
      <c r="P816" s="40">
        <f>SUMIFS('Weekly Dump'!R:R,'Weekly Dump'!B:B,C816,'Weekly Dump'!A:A,AB816)</f>
        <v>0</v>
      </c>
      <c r="Q816" s="40">
        <f t="shared" si="20"/>
        <v>0</v>
      </c>
      <c r="R816" s="41"/>
      <c r="T816" s="4">
        <f>SUMIFS('Weekly Dump'!E:E,'Weekly Dump'!B:B,C816,'Weekly Dump'!A:A,AB816)</f>
        <v>0</v>
      </c>
      <c r="U816" s="3">
        <f t="shared" si="21"/>
        <v>0</v>
      </c>
      <c r="V816" s="42"/>
      <c r="X816" s="4">
        <f>SUMIFS('Weekly Dump'!P:P,'Weekly Dump'!B:B,C816,'Weekly Dump'!A:A,AB816)</f>
        <v>0</v>
      </c>
      <c r="Y816" s="4">
        <f t="shared" si="22"/>
        <v>0</v>
      </c>
      <c r="Z816" s="41"/>
      <c r="AA816" s="12" t="str">
        <f>iferror(IF(VLOOKUP(C816,'Weekly Dump'!B:B,1,0)=C816,"Yes","Missing"),"")</f>
        <v/>
      </c>
      <c r="AB816" s="66"/>
    </row>
    <row r="817">
      <c r="B817" s="63"/>
      <c r="C817" s="63"/>
      <c r="G817" s="3" t="str">
        <f t="shared" si="26"/>
        <v/>
      </c>
      <c r="I817" s="4">
        <f>SUMIFS('Weekly Dump'!D:D,'Weekly Dump'!B:B,C817)</f>
        <v>0</v>
      </c>
      <c r="J817" s="5">
        <f>SUMIFS('Weekly Dump'!AE:AE,'Weekly Dump'!B:B,C817)</f>
        <v>0</v>
      </c>
      <c r="K817" s="4">
        <f>SUMPRODUCT(
  (TEXT('Weekly Dump'!$A$2:$A1009,"mmm-yy")=TEXT($AB817,"mmm-yy"))*
  ('Weekly Dump'!$B$2:$B1009=$C817)*
  'Weekly Dump'!$D$2:$D1009)</f>
        <v>0</v>
      </c>
      <c r="L817" s="4">
        <f>SUMPRODUCT(
  (TEXT('Weekly Dump'!$A$2:$A1009,"mmm-yy")=TEXT($AB817,"mmm-yy"))*
  ('Weekly Dump'!$B$2:$B1009=$C817)*
  'Weekly Dump'!$E$2:$E1009
)</f>
        <v>0</v>
      </c>
      <c r="M817" s="4">
        <f>SUMPRODUCT(
  (TEXT('Weekly Dump'!$A$2:$A1009,"mmm-yy")=TEXT($AB817,"mmm-yy"))*
  ('Weekly Dump'!$B$2:$B1009=$C817)*
  'Weekly Dump'!$P$2:$P1009
)</f>
        <v>0</v>
      </c>
      <c r="N817" s="39"/>
      <c r="O817" s="40">
        <f>SUMIFS('Weekly Dump'!$D:$D,'Weekly Dump'!$B:$B,$C817,'Weekly Dump'!$A:$A,$AB817)</f>
        <v>0</v>
      </c>
      <c r="P817" s="40">
        <f>SUMIFS('Weekly Dump'!R:R,'Weekly Dump'!B:B,C817,'Weekly Dump'!A:A,AB817)</f>
        <v>0</v>
      </c>
      <c r="Q817" s="40">
        <f t="shared" si="20"/>
        <v>0</v>
      </c>
      <c r="R817" s="41"/>
      <c r="T817" s="4">
        <f>SUMIFS('Weekly Dump'!E:E,'Weekly Dump'!B:B,C817,'Weekly Dump'!A:A,AB817)</f>
        <v>0</v>
      </c>
      <c r="U817" s="3">
        <f t="shared" si="21"/>
        <v>0</v>
      </c>
      <c r="V817" s="42"/>
      <c r="X817" s="4">
        <f>SUMIFS('Weekly Dump'!P:P,'Weekly Dump'!B:B,C817,'Weekly Dump'!A:A,AB817)</f>
        <v>0</v>
      </c>
      <c r="Y817" s="4">
        <f t="shared" si="22"/>
        <v>0</v>
      </c>
      <c r="Z817" s="41"/>
      <c r="AA817" s="12" t="str">
        <f>iferror(IF(VLOOKUP(C817,'Weekly Dump'!B:B,1,0)=C817,"Yes","Missing"),"")</f>
        <v/>
      </c>
      <c r="AB817" s="66"/>
    </row>
    <row r="818">
      <c r="B818" s="63"/>
      <c r="C818" s="63"/>
      <c r="G818" s="3" t="str">
        <f t="shared" si="26"/>
        <v/>
      </c>
      <c r="I818" s="4">
        <f>SUMIFS('Weekly Dump'!D:D,'Weekly Dump'!B:B,C818)</f>
        <v>0</v>
      </c>
      <c r="J818" s="5">
        <f>SUMIFS('Weekly Dump'!AE:AE,'Weekly Dump'!B:B,C818)</f>
        <v>0</v>
      </c>
      <c r="K818" s="4">
        <f>SUMPRODUCT(
  (TEXT('Weekly Dump'!$A$2:$A1009,"mmm-yy")=TEXT($AB818,"mmm-yy"))*
  ('Weekly Dump'!$B$2:$B1009=$C818)*
  'Weekly Dump'!$D$2:$D1009)</f>
        <v>0</v>
      </c>
      <c r="L818" s="4">
        <f>SUMPRODUCT(
  (TEXT('Weekly Dump'!$A$2:$A1009,"mmm-yy")=TEXT($AB818,"mmm-yy"))*
  ('Weekly Dump'!$B$2:$B1009=$C818)*
  'Weekly Dump'!$E$2:$E1009
)</f>
        <v>0</v>
      </c>
      <c r="M818" s="4">
        <f>SUMPRODUCT(
  (TEXT('Weekly Dump'!$A$2:$A1009,"mmm-yy")=TEXT($AB818,"mmm-yy"))*
  ('Weekly Dump'!$B$2:$B1009=$C818)*
  'Weekly Dump'!$P$2:$P1009
)</f>
        <v>0</v>
      </c>
      <c r="N818" s="39"/>
      <c r="O818" s="40">
        <f>SUMIFS('Weekly Dump'!$D:$D,'Weekly Dump'!$B:$B,$C818,'Weekly Dump'!$A:$A,$AB818)</f>
        <v>0</v>
      </c>
      <c r="P818" s="40">
        <f>SUMIFS('Weekly Dump'!R:R,'Weekly Dump'!B:B,C818,'Weekly Dump'!A:A,AB818)</f>
        <v>0</v>
      </c>
      <c r="Q818" s="40">
        <f t="shared" si="20"/>
        <v>0</v>
      </c>
      <c r="R818" s="41"/>
      <c r="T818" s="4">
        <f>SUMIFS('Weekly Dump'!E:E,'Weekly Dump'!B:B,C818,'Weekly Dump'!A:A,AB818)</f>
        <v>0</v>
      </c>
      <c r="U818" s="3">
        <f t="shared" si="21"/>
        <v>0</v>
      </c>
      <c r="V818" s="42"/>
      <c r="X818" s="4">
        <f>SUMIFS('Weekly Dump'!P:P,'Weekly Dump'!B:B,C818,'Weekly Dump'!A:A,AB818)</f>
        <v>0</v>
      </c>
      <c r="Y818" s="4">
        <f t="shared" si="22"/>
        <v>0</v>
      </c>
      <c r="Z818" s="41"/>
      <c r="AA818" s="12" t="str">
        <f>iferror(IF(VLOOKUP(C818,'Weekly Dump'!B:B,1,0)=C818,"Yes","Missing"),"")</f>
        <v/>
      </c>
      <c r="AB818" s="66"/>
    </row>
    <row r="819">
      <c r="B819" s="63"/>
      <c r="C819" s="63"/>
      <c r="G819" s="3" t="str">
        <f t="shared" si="26"/>
        <v/>
      </c>
      <c r="I819" s="4">
        <f>SUMIFS('Weekly Dump'!D:D,'Weekly Dump'!B:B,C819)</f>
        <v>0</v>
      </c>
      <c r="J819" s="5">
        <f>SUMIFS('Weekly Dump'!AE:AE,'Weekly Dump'!B:B,C819)</f>
        <v>0</v>
      </c>
      <c r="K819" s="4">
        <f>SUMPRODUCT(
  (TEXT('Weekly Dump'!$A$2:$A1009,"mmm-yy")=TEXT($AB819,"mmm-yy"))*
  ('Weekly Dump'!$B$2:$B1009=$C819)*
  'Weekly Dump'!$D$2:$D1009)</f>
        <v>0</v>
      </c>
      <c r="L819" s="4">
        <f>SUMPRODUCT(
  (TEXT('Weekly Dump'!$A$2:$A1009,"mmm-yy")=TEXT($AB819,"mmm-yy"))*
  ('Weekly Dump'!$B$2:$B1009=$C819)*
  'Weekly Dump'!$E$2:$E1009
)</f>
        <v>0</v>
      </c>
      <c r="M819" s="4">
        <f>SUMPRODUCT(
  (TEXT('Weekly Dump'!$A$2:$A1009,"mmm-yy")=TEXT($AB819,"mmm-yy"))*
  ('Weekly Dump'!$B$2:$B1009=$C819)*
  'Weekly Dump'!$P$2:$P1009
)</f>
        <v>0</v>
      </c>
      <c r="N819" s="39"/>
      <c r="O819" s="40">
        <f>SUMIFS('Weekly Dump'!$D:$D,'Weekly Dump'!$B:$B,$C819,'Weekly Dump'!$A:$A,$AB819)</f>
        <v>0</v>
      </c>
      <c r="P819" s="40">
        <f>SUMIFS('Weekly Dump'!R:R,'Weekly Dump'!B:B,C819,'Weekly Dump'!A:A,AB819)</f>
        <v>0</v>
      </c>
      <c r="Q819" s="40">
        <f t="shared" si="20"/>
        <v>0</v>
      </c>
      <c r="R819" s="41"/>
      <c r="T819" s="4">
        <f>SUMIFS('Weekly Dump'!E:E,'Weekly Dump'!B:B,C819,'Weekly Dump'!A:A,AB819)</f>
        <v>0</v>
      </c>
      <c r="U819" s="3">
        <f t="shared" si="21"/>
        <v>0</v>
      </c>
      <c r="V819" s="42"/>
      <c r="X819" s="4">
        <f>SUMIFS('Weekly Dump'!P:P,'Weekly Dump'!B:B,C819,'Weekly Dump'!A:A,AB819)</f>
        <v>0</v>
      </c>
      <c r="Y819" s="4">
        <f t="shared" si="22"/>
        <v>0</v>
      </c>
      <c r="Z819" s="41"/>
      <c r="AA819" s="12" t="str">
        <f>iferror(IF(VLOOKUP(C819,'Weekly Dump'!B:B,1,0)=C819,"Yes","Missing"),"")</f>
        <v/>
      </c>
      <c r="AB819" s="66"/>
    </row>
    <row r="820">
      <c r="B820" s="63"/>
      <c r="C820" s="63"/>
      <c r="G820" s="3" t="str">
        <f t="shared" si="26"/>
        <v/>
      </c>
      <c r="I820" s="4">
        <f>SUMIFS('Weekly Dump'!D:D,'Weekly Dump'!B:B,C820)</f>
        <v>0</v>
      </c>
      <c r="J820" s="5">
        <f>SUMIFS('Weekly Dump'!AE:AE,'Weekly Dump'!B:B,C820)</f>
        <v>0</v>
      </c>
      <c r="K820" s="4">
        <f>SUMPRODUCT(
  (TEXT('Weekly Dump'!$A$2:$A1009,"mmm-yy")=TEXT($AB820,"mmm-yy"))*
  ('Weekly Dump'!$B$2:$B1009=$C820)*
  'Weekly Dump'!$D$2:$D1009)</f>
        <v>0</v>
      </c>
      <c r="L820" s="4">
        <f>SUMPRODUCT(
  (TEXT('Weekly Dump'!$A$2:$A1009,"mmm-yy")=TEXT($AB820,"mmm-yy"))*
  ('Weekly Dump'!$B$2:$B1009=$C820)*
  'Weekly Dump'!$E$2:$E1009
)</f>
        <v>0</v>
      </c>
      <c r="M820" s="4">
        <f>SUMPRODUCT(
  (TEXT('Weekly Dump'!$A$2:$A1009,"mmm-yy")=TEXT($AB820,"mmm-yy"))*
  ('Weekly Dump'!$B$2:$B1009=$C820)*
  'Weekly Dump'!$P$2:$P1009
)</f>
        <v>0</v>
      </c>
      <c r="N820" s="39"/>
      <c r="O820" s="40">
        <f>SUMIFS('Weekly Dump'!$D:$D,'Weekly Dump'!$B:$B,$C820,'Weekly Dump'!$A:$A,$AB820)</f>
        <v>0</v>
      </c>
      <c r="P820" s="40">
        <f>SUMIFS('Weekly Dump'!R:R,'Weekly Dump'!B:B,C820,'Weekly Dump'!A:A,AB820)</f>
        <v>0</v>
      </c>
      <c r="Q820" s="40">
        <f t="shared" si="20"/>
        <v>0</v>
      </c>
      <c r="R820" s="41"/>
      <c r="T820" s="4">
        <f>SUMIFS('Weekly Dump'!E:E,'Weekly Dump'!B:B,C820,'Weekly Dump'!A:A,AB820)</f>
        <v>0</v>
      </c>
      <c r="U820" s="3">
        <f t="shared" si="21"/>
        <v>0</v>
      </c>
      <c r="V820" s="42"/>
      <c r="X820" s="4">
        <f>SUMIFS('Weekly Dump'!P:P,'Weekly Dump'!B:B,C820,'Weekly Dump'!A:A,AB820)</f>
        <v>0</v>
      </c>
      <c r="Y820" s="4">
        <f t="shared" si="22"/>
        <v>0</v>
      </c>
      <c r="Z820" s="41"/>
      <c r="AA820" s="12" t="str">
        <f>iferror(IF(VLOOKUP(C820,'Weekly Dump'!B:B,1,0)=C820,"Yes","Missing"),"")</f>
        <v/>
      </c>
      <c r="AB820" s="66"/>
    </row>
    <row r="821">
      <c r="B821" s="63"/>
      <c r="C821" s="63"/>
      <c r="G821" s="3" t="str">
        <f t="shared" si="26"/>
        <v/>
      </c>
      <c r="I821" s="4">
        <f>SUMIFS('Weekly Dump'!D:D,'Weekly Dump'!B:B,C821)</f>
        <v>0</v>
      </c>
      <c r="J821" s="5">
        <f>SUMIFS('Weekly Dump'!AE:AE,'Weekly Dump'!B:B,C821)</f>
        <v>0</v>
      </c>
      <c r="K821" s="4">
        <f>SUMPRODUCT(
  (TEXT('Weekly Dump'!$A$2:$A1009,"mmm-yy")=TEXT($AB821,"mmm-yy"))*
  ('Weekly Dump'!$B$2:$B1009=$C821)*
  'Weekly Dump'!$D$2:$D1009)</f>
        <v>0</v>
      </c>
      <c r="L821" s="4">
        <f>SUMPRODUCT(
  (TEXT('Weekly Dump'!$A$2:$A1009,"mmm-yy")=TEXT($AB821,"mmm-yy"))*
  ('Weekly Dump'!$B$2:$B1009=$C821)*
  'Weekly Dump'!$E$2:$E1009
)</f>
        <v>0</v>
      </c>
      <c r="M821" s="4">
        <f>SUMPRODUCT(
  (TEXT('Weekly Dump'!$A$2:$A1009,"mmm-yy")=TEXT($AB821,"mmm-yy"))*
  ('Weekly Dump'!$B$2:$B1009=$C821)*
  'Weekly Dump'!$P$2:$P1009
)</f>
        <v>0</v>
      </c>
      <c r="N821" s="39"/>
      <c r="O821" s="40">
        <f>SUMIFS('Weekly Dump'!$D:$D,'Weekly Dump'!$B:$B,$C821,'Weekly Dump'!$A:$A,$AB821)</f>
        <v>0</v>
      </c>
      <c r="P821" s="40">
        <f>SUMIFS('Weekly Dump'!R:R,'Weekly Dump'!B:B,C821,'Weekly Dump'!A:A,AB821)</f>
        <v>0</v>
      </c>
      <c r="Q821" s="40">
        <f t="shared" si="20"/>
        <v>0</v>
      </c>
      <c r="R821" s="41"/>
      <c r="T821" s="4">
        <f>SUMIFS('Weekly Dump'!E:E,'Weekly Dump'!B:B,C821,'Weekly Dump'!A:A,AB821)</f>
        <v>0</v>
      </c>
      <c r="U821" s="3">
        <f t="shared" si="21"/>
        <v>0</v>
      </c>
      <c r="V821" s="42"/>
      <c r="X821" s="4">
        <f>SUMIFS('Weekly Dump'!P:P,'Weekly Dump'!B:B,C821,'Weekly Dump'!A:A,AB821)</f>
        <v>0</v>
      </c>
      <c r="Y821" s="4">
        <f t="shared" si="22"/>
        <v>0</v>
      </c>
      <c r="Z821" s="41"/>
      <c r="AA821" s="12" t="str">
        <f>iferror(IF(VLOOKUP(C821,'Weekly Dump'!B:B,1,0)=C821,"Yes","Missing"),"")</f>
        <v/>
      </c>
      <c r="AB821" s="66"/>
    </row>
    <row r="822">
      <c r="B822" s="63"/>
      <c r="C822" s="63"/>
      <c r="G822" s="3" t="str">
        <f t="shared" si="26"/>
        <v/>
      </c>
      <c r="I822" s="4">
        <f>SUMIFS('Weekly Dump'!D:D,'Weekly Dump'!B:B,C822)</f>
        <v>0</v>
      </c>
      <c r="J822" s="5">
        <f>SUMIFS('Weekly Dump'!AE:AE,'Weekly Dump'!B:B,C822)</f>
        <v>0</v>
      </c>
      <c r="K822" s="4">
        <f>SUMPRODUCT(
  (TEXT('Weekly Dump'!$A$2:$A1009,"mmm-yy")=TEXT($AB822,"mmm-yy"))*
  ('Weekly Dump'!$B$2:$B1009=$C822)*
  'Weekly Dump'!$D$2:$D1009)</f>
        <v>0</v>
      </c>
      <c r="L822" s="4">
        <f>SUMPRODUCT(
  (TEXT('Weekly Dump'!$A$2:$A1009,"mmm-yy")=TEXT($AB822,"mmm-yy"))*
  ('Weekly Dump'!$B$2:$B1009=$C822)*
  'Weekly Dump'!$E$2:$E1009
)</f>
        <v>0</v>
      </c>
      <c r="M822" s="4">
        <f>SUMPRODUCT(
  (TEXT('Weekly Dump'!$A$2:$A1009,"mmm-yy")=TEXT($AB822,"mmm-yy"))*
  ('Weekly Dump'!$B$2:$B1009=$C822)*
  'Weekly Dump'!$P$2:$P1009
)</f>
        <v>0</v>
      </c>
      <c r="N822" s="39"/>
      <c r="O822" s="40">
        <f>SUMIFS('Weekly Dump'!$D:$D,'Weekly Dump'!$B:$B,$C822,'Weekly Dump'!$A:$A,$AB822)</f>
        <v>0</v>
      </c>
      <c r="P822" s="40">
        <f>SUMIFS('Weekly Dump'!R:R,'Weekly Dump'!B:B,C822,'Weekly Dump'!A:A,AB822)</f>
        <v>0</v>
      </c>
      <c r="Q822" s="40">
        <f t="shared" si="20"/>
        <v>0</v>
      </c>
      <c r="R822" s="41"/>
      <c r="T822" s="4">
        <f>SUMIFS('Weekly Dump'!E:E,'Weekly Dump'!B:B,C822,'Weekly Dump'!A:A,AB822)</f>
        <v>0</v>
      </c>
      <c r="U822" s="3">
        <f t="shared" si="21"/>
        <v>0</v>
      </c>
      <c r="V822" s="42"/>
      <c r="X822" s="4">
        <f>SUMIFS('Weekly Dump'!P:P,'Weekly Dump'!B:B,C822,'Weekly Dump'!A:A,AB822)</f>
        <v>0</v>
      </c>
      <c r="Y822" s="4">
        <f t="shared" si="22"/>
        <v>0</v>
      </c>
      <c r="Z822" s="41"/>
      <c r="AA822" s="12" t="str">
        <f>iferror(IF(VLOOKUP(C822,'Weekly Dump'!B:B,1,0)=C822,"Yes","Missing"),"")</f>
        <v/>
      </c>
      <c r="AB822" s="66"/>
    </row>
    <row r="823">
      <c r="B823" s="63"/>
      <c r="C823" s="63"/>
      <c r="G823" s="3" t="str">
        <f t="shared" si="26"/>
        <v/>
      </c>
      <c r="I823" s="4">
        <f>SUMIFS('Weekly Dump'!D:D,'Weekly Dump'!B:B,C823)</f>
        <v>0</v>
      </c>
      <c r="J823" s="5">
        <f>SUMIFS('Weekly Dump'!AE:AE,'Weekly Dump'!B:B,C823)</f>
        <v>0</v>
      </c>
      <c r="K823" s="4">
        <f>SUMPRODUCT(
  (TEXT('Weekly Dump'!$A$2:$A1009,"mmm-yy")=TEXT($AB823,"mmm-yy"))*
  ('Weekly Dump'!$B$2:$B1009=$C823)*
  'Weekly Dump'!$D$2:$D1009)</f>
        <v>0</v>
      </c>
      <c r="L823" s="4">
        <f>SUMPRODUCT(
  (TEXT('Weekly Dump'!$A$2:$A1009,"mmm-yy")=TEXT($AB823,"mmm-yy"))*
  ('Weekly Dump'!$B$2:$B1009=$C823)*
  'Weekly Dump'!$E$2:$E1009
)</f>
        <v>0</v>
      </c>
      <c r="M823" s="4">
        <f>SUMPRODUCT(
  (TEXT('Weekly Dump'!$A$2:$A1009,"mmm-yy")=TEXT($AB823,"mmm-yy"))*
  ('Weekly Dump'!$B$2:$B1009=$C823)*
  'Weekly Dump'!$P$2:$P1009
)</f>
        <v>0</v>
      </c>
      <c r="N823" s="39"/>
      <c r="O823" s="40">
        <f>SUMIFS('Weekly Dump'!$D:$D,'Weekly Dump'!$B:$B,$C823,'Weekly Dump'!$A:$A,$AB823)</f>
        <v>0</v>
      </c>
      <c r="P823" s="40">
        <f>SUMIFS('Weekly Dump'!R:R,'Weekly Dump'!B:B,C823,'Weekly Dump'!A:A,AB823)</f>
        <v>0</v>
      </c>
      <c r="Q823" s="40">
        <f t="shared" si="20"/>
        <v>0</v>
      </c>
      <c r="R823" s="41"/>
      <c r="T823" s="4">
        <f>SUMIFS('Weekly Dump'!E:E,'Weekly Dump'!B:B,C823,'Weekly Dump'!A:A,AB823)</f>
        <v>0</v>
      </c>
      <c r="U823" s="3">
        <f t="shared" si="21"/>
        <v>0</v>
      </c>
      <c r="V823" s="42"/>
      <c r="X823" s="4">
        <f>SUMIFS('Weekly Dump'!P:P,'Weekly Dump'!B:B,C823,'Weekly Dump'!A:A,AB823)</f>
        <v>0</v>
      </c>
      <c r="Y823" s="4">
        <f t="shared" si="22"/>
        <v>0</v>
      </c>
      <c r="Z823" s="41"/>
      <c r="AA823" s="12" t="str">
        <f>iferror(IF(VLOOKUP(C823,'Weekly Dump'!B:B,1,0)=C823,"Yes","Missing"),"")</f>
        <v/>
      </c>
      <c r="AB823" s="66"/>
    </row>
    <row r="824">
      <c r="B824" s="63"/>
      <c r="C824" s="63"/>
      <c r="G824" s="3" t="str">
        <f t="shared" si="26"/>
        <v/>
      </c>
      <c r="I824" s="4">
        <f>SUMIFS('Weekly Dump'!D:D,'Weekly Dump'!B:B,C824)</f>
        <v>0</v>
      </c>
      <c r="J824" s="5">
        <f>SUMIFS('Weekly Dump'!AE:AE,'Weekly Dump'!B:B,C824)</f>
        <v>0</v>
      </c>
      <c r="K824" s="4">
        <f>SUMPRODUCT(
  (TEXT('Weekly Dump'!$A$2:$A1009,"mmm-yy")=TEXT($AB824,"mmm-yy"))*
  ('Weekly Dump'!$B$2:$B1009=$C824)*
  'Weekly Dump'!$D$2:$D1009)</f>
        <v>0</v>
      </c>
      <c r="L824" s="4">
        <f>SUMPRODUCT(
  (TEXT('Weekly Dump'!$A$2:$A1009,"mmm-yy")=TEXT($AB824,"mmm-yy"))*
  ('Weekly Dump'!$B$2:$B1009=$C824)*
  'Weekly Dump'!$E$2:$E1009
)</f>
        <v>0</v>
      </c>
      <c r="M824" s="4">
        <f>SUMPRODUCT(
  (TEXT('Weekly Dump'!$A$2:$A1009,"mmm-yy")=TEXT($AB824,"mmm-yy"))*
  ('Weekly Dump'!$B$2:$B1009=$C824)*
  'Weekly Dump'!$P$2:$P1009
)</f>
        <v>0</v>
      </c>
      <c r="N824" s="39"/>
      <c r="O824" s="40">
        <f>SUMIFS('Weekly Dump'!$D:$D,'Weekly Dump'!$B:$B,$C824,'Weekly Dump'!$A:$A,$AB824)</f>
        <v>0</v>
      </c>
      <c r="P824" s="40">
        <f>SUMIFS('Weekly Dump'!R:R,'Weekly Dump'!B:B,C824,'Weekly Dump'!A:A,AB824)</f>
        <v>0</v>
      </c>
      <c r="Q824" s="40">
        <f t="shared" si="20"/>
        <v>0</v>
      </c>
      <c r="R824" s="41"/>
      <c r="T824" s="4">
        <f>SUMIFS('Weekly Dump'!E:E,'Weekly Dump'!B:B,C824,'Weekly Dump'!A:A,AB824)</f>
        <v>0</v>
      </c>
      <c r="U824" s="3">
        <f t="shared" si="21"/>
        <v>0</v>
      </c>
      <c r="V824" s="42"/>
      <c r="X824" s="4">
        <f>SUMIFS('Weekly Dump'!P:P,'Weekly Dump'!B:B,C824,'Weekly Dump'!A:A,AB824)</f>
        <v>0</v>
      </c>
      <c r="Y824" s="4">
        <f t="shared" si="22"/>
        <v>0</v>
      </c>
      <c r="Z824" s="41"/>
      <c r="AA824" s="12" t="str">
        <f>iferror(IF(VLOOKUP(C824,'Weekly Dump'!B:B,1,0)=C824,"Yes","Missing"),"")</f>
        <v/>
      </c>
      <c r="AB824" s="66"/>
    </row>
    <row r="825">
      <c r="B825" s="63"/>
      <c r="C825" s="63"/>
      <c r="G825" s="3" t="str">
        <f t="shared" si="26"/>
        <v/>
      </c>
      <c r="I825" s="4">
        <f>SUMIFS('Weekly Dump'!D:D,'Weekly Dump'!B:B,C825)</f>
        <v>0</v>
      </c>
      <c r="J825" s="5">
        <f>SUMIFS('Weekly Dump'!AE:AE,'Weekly Dump'!B:B,C825)</f>
        <v>0</v>
      </c>
      <c r="K825" s="4">
        <f>SUMPRODUCT(
  (TEXT('Weekly Dump'!$A$2:$A1009,"mmm-yy")=TEXT($AB825,"mmm-yy"))*
  ('Weekly Dump'!$B$2:$B1009=$C825)*
  'Weekly Dump'!$D$2:$D1009)</f>
        <v>0</v>
      </c>
      <c r="L825" s="4">
        <f>SUMPRODUCT(
  (TEXT('Weekly Dump'!$A$2:$A1009,"mmm-yy")=TEXT($AB825,"mmm-yy"))*
  ('Weekly Dump'!$B$2:$B1009=$C825)*
  'Weekly Dump'!$E$2:$E1009
)</f>
        <v>0</v>
      </c>
      <c r="M825" s="4">
        <f>SUMPRODUCT(
  (TEXT('Weekly Dump'!$A$2:$A1009,"mmm-yy")=TEXT($AB825,"mmm-yy"))*
  ('Weekly Dump'!$B$2:$B1009=$C825)*
  'Weekly Dump'!$P$2:$P1009
)</f>
        <v>0</v>
      </c>
      <c r="N825" s="39"/>
      <c r="O825" s="40">
        <f>SUMIFS('Weekly Dump'!$D:$D,'Weekly Dump'!$B:$B,$C825,'Weekly Dump'!$A:$A,$AB825)</f>
        <v>0</v>
      </c>
      <c r="P825" s="40">
        <f>SUMIFS('Weekly Dump'!R:R,'Weekly Dump'!B:B,C825,'Weekly Dump'!A:A,AB825)</f>
        <v>0</v>
      </c>
      <c r="Q825" s="40">
        <f t="shared" si="20"/>
        <v>0</v>
      </c>
      <c r="R825" s="41"/>
      <c r="T825" s="4">
        <f>SUMIFS('Weekly Dump'!E:E,'Weekly Dump'!B:B,C825,'Weekly Dump'!A:A,AB825)</f>
        <v>0</v>
      </c>
      <c r="U825" s="3">
        <f t="shared" si="21"/>
        <v>0</v>
      </c>
      <c r="V825" s="42"/>
      <c r="X825" s="4">
        <f>SUMIFS('Weekly Dump'!P:P,'Weekly Dump'!B:B,C825,'Weekly Dump'!A:A,AB825)</f>
        <v>0</v>
      </c>
      <c r="Y825" s="4">
        <f t="shared" si="22"/>
        <v>0</v>
      </c>
      <c r="Z825" s="41"/>
      <c r="AA825" s="12" t="str">
        <f>iferror(IF(VLOOKUP(C825,'Weekly Dump'!B:B,1,0)=C825,"Yes","Missing"),"")</f>
        <v/>
      </c>
      <c r="AB825" s="66"/>
    </row>
    <row r="826">
      <c r="B826" s="63"/>
      <c r="C826" s="63"/>
      <c r="G826" s="3" t="str">
        <f t="shared" si="26"/>
        <v/>
      </c>
      <c r="I826" s="4">
        <f>SUMIFS('Weekly Dump'!D:D,'Weekly Dump'!B:B,C826)</f>
        <v>0</v>
      </c>
      <c r="J826" s="5">
        <f>SUMIFS('Weekly Dump'!AE:AE,'Weekly Dump'!B:B,C826)</f>
        <v>0</v>
      </c>
      <c r="K826" s="4">
        <f>SUMPRODUCT(
  (TEXT('Weekly Dump'!$A$2:$A1009,"mmm-yy")=TEXT($AB826,"mmm-yy"))*
  ('Weekly Dump'!$B$2:$B1009=$C826)*
  'Weekly Dump'!$D$2:$D1009)</f>
        <v>0</v>
      </c>
      <c r="L826" s="4">
        <f>SUMPRODUCT(
  (TEXT('Weekly Dump'!$A$2:$A1009,"mmm-yy")=TEXT($AB826,"mmm-yy"))*
  ('Weekly Dump'!$B$2:$B1009=$C826)*
  'Weekly Dump'!$E$2:$E1009
)</f>
        <v>0</v>
      </c>
      <c r="M826" s="4">
        <f>SUMPRODUCT(
  (TEXT('Weekly Dump'!$A$2:$A1009,"mmm-yy")=TEXT($AB826,"mmm-yy"))*
  ('Weekly Dump'!$B$2:$B1009=$C826)*
  'Weekly Dump'!$P$2:$P1009
)</f>
        <v>0</v>
      </c>
      <c r="N826" s="39"/>
      <c r="O826" s="40">
        <f>SUMIFS('Weekly Dump'!$D:$D,'Weekly Dump'!$B:$B,$C826,'Weekly Dump'!$A:$A,$AB826)</f>
        <v>0</v>
      </c>
      <c r="P826" s="40">
        <f>SUMIFS('Weekly Dump'!R:R,'Weekly Dump'!B:B,C826,'Weekly Dump'!A:A,AB826)</f>
        <v>0</v>
      </c>
      <c r="Q826" s="40">
        <f t="shared" si="20"/>
        <v>0</v>
      </c>
      <c r="R826" s="41"/>
      <c r="T826" s="4">
        <f>SUMIFS('Weekly Dump'!E:E,'Weekly Dump'!B:B,C826,'Weekly Dump'!A:A,AB826)</f>
        <v>0</v>
      </c>
      <c r="U826" s="3">
        <f t="shared" si="21"/>
        <v>0</v>
      </c>
      <c r="V826" s="42"/>
      <c r="X826" s="4">
        <f>SUMIFS('Weekly Dump'!P:P,'Weekly Dump'!B:B,C826,'Weekly Dump'!A:A,AB826)</f>
        <v>0</v>
      </c>
      <c r="Y826" s="4">
        <f t="shared" si="22"/>
        <v>0</v>
      </c>
      <c r="Z826" s="41"/>
      <c r="AA826" s="12" t="str">
        <f>iferror(IF(VLOOKUP(C826,'Weekly Dump'!B:B,1,0)=C826,"Yes","Missing"),"")</f>
        <v/>
      </c>
      <c r="AB826" s="66"/>
    </row>
    <row r="827">
      <c r="B827" s="63"/>
      <c r="C827" s="63"/>
      <c r="G827" s="3" t="str">
        <f t="shared" si="26"/>
        <v/>
      </c>
      <c r="I827" s="4">
        <f>SUMIFS('Weekly Dump'!D:D,'Weekly Dump'!B:B,C827)</f>
        <v>0</v>
      </c>
      <c r="J827" s="5">
        <f>SUMIFS('Weekly Dump'!AE:AE,'Weekly Dump'!B:B,C827)</f>
        <v>0</v>
      </c>
      <c r="K827" s="4">
        <f>SUMPRODUCT(
  (TEXT('Weekly Dump'!$A$2:$A1009,"mmm-yy")=TEXT($AB827,"mmm-yy"))*
  ('Weekly Dump'!$B$2:$B1009=$C827)*
  'Weekly Dump'!$D$2:$D1009)</f>
        <v>0</v>
      </c>
      <c r="L827" s="4">
        <f>SUMPRODUCT(
  (TEXT('Weekly Dump'!$A$2:$A1009,"mmm-yy")=TEXT($AB827,"mmm-yy"))*
  ('Weekly Dump'!$B$2:$B1009=$C827)*
  'Weekly Dump'!$E$2:$E1009
)</f>
        <v>0</v>
      </c>
      <c r="M827" s="4">
        <f>SUMPRODUCT(
  (TEXT('Weekly Dump'!$A$2:$A1009,"mmm-yy")=TEXT($AB827,"mmm-yy"))*
  ('Weekly Dump'!$B$2:$B1009=$C827)*
  'Weekly Dump'!$P$2:$P1009
)</f>
        <v>0</v>
      </c>
      <c r="N827" s="39"/>
      <c r="O827" s="40">
        <f>SUMIFS('Weekly Dump'!$D:$D,'Weekly Dump'!$B:$B,$C827,'Weekly Dump'!$A:$A,$AB827)</f>
        <v>0</v>
      </c>
      <c r="P827" s="40">
        <f>SUMIFS('Weekly Dump'!R:R,'Weekly Dump'!B:B,C827,'Weekly Dump'!A:A,AB827)</f>
        <v>0</v>
      </c>
      <c r="Q827" s="40">
        <f t="shared" si="20"/>
        <v>0</v>
      </c>
      <c r="R827" s="41"/>
      <c r="T827" s="4">
        <f>SUMIFS('Weekly Dump'!E:E,'Weekly Dump'!B:B,C827,'Weekly Dump'!A:A,AB827)</f>
        <v>0</v>
      </c>
      <c r="U827" s="3">
        <f t="shared" si="21"/>
        <v>0</v>
      </c>
      <c r="V827" s="42"/>
      <c r="X827" s="4">
        <f>SUMIFS('Weekly Dump'!P:P,'Weekly Dump'!B:B,C827,'Weekly Dump'!A:A,AB827)</f>
        <v>0</v>
      </c>
      <c r="Y827" s="4">
        <f t="shared" si="22"/>
        <v>0</v>
      </c>
      <c r="Z827" s="41"/>
      <c r="AA827" s="12" t="str">
        <f>iferror(IF(VLOOKUP(C827,'Weekly Dump'!B:B,1,0)=C827,"Yes","Missing"),"")</f>
        <v/>
      </c>
      <c r="AB827" s="66"/>
    </row>
    <row r="828">
      <c r="B828" s="63"/>
      <c r="C828" s="63"/>
      <c r="G828" s="3" t="str">
        <f t="shared" si="26"/>
        <v/>
      </c>
      <c r="I828" s="4">
        <f>SUMIFS('Weekly Dump'!D:D,'Weekly Dump'!B:B,C828)</f>
        <v>0</v>
      </c>
      <c r="J828" s="5">
        <f>SUMIFS('Weekly Dump'!AE:AE,'Weekly Dump'!B:B,C828)</f>
        <v>0</v>
      </c>
      <c r="K828" s="4">
        <f>SUMPRODUCT(
  (TEXT('Weekly Dump'!$A$2:$A1009,"mmm-yy")=TEXT($AB828,"mmm-yy"))*
  ('Weekly Dump'!$B$2:$B1009=$C828)*
  'Weekly Dump'!$D$2:$D1009)</f>
        <v>0</v>
      </c>
      <c r="L828" s="4">
        <f>SUMPRODUCT(
  (TEXT('Weekly Dump'!$A$2:$A1009,"mmm-yy")=TEXT($AB828,"mmm-yy"))*
  ('Weekly Dump'!$B$2:$B1009=$C828)*
  'Weekly Dump'!$E$2:$E1009
)</f>
        <v>0</v>
      </c>
      <c r="M828" s="4">
        <f>SUMPRODUCT(
  (TEXT('Weekly Dump'!$A$2:$A1009,"mmm-yy")=TEXT($AB828,"mmm-yy"))*
  ('Weekly Dump'!$B$2:$B1009=$C828)*
  'Weekly Dump'!$P$2:$P1009
)</f>
        <v>0</v>
      </c>
      <c r="N828" s="39"/>
      <c r="O828" s="40">
        <f>SUMIFS('Weekly Dump'!$D:$D,'Weekly Dump'!$B:$B,$C828,'Weekly Dump'!$A:$A,$AB828)</f>
        <v>0</v>
      </c>
      <c r="P828" s="40">
        <f>SUMIFS('Weekly Dump'!R:R,'Weekly Dump'!B:B,C828,'Weekly Dump'!A:A,AB828)</f>
        <v>0</v>
      </c>
      <c r="Q828" s="40">
        <f t="shared" si="20"/>
        <v>0</v>
      </c>
      <c r="R828" s="41"/>
      <c r="T828" s="4">
        <f>SUMIFS('Weekly Dump'!E:E,'Weekly Dump'!B:B,C828,'Weekly Dump'!A:A,AB828)</f>
        <v>0</v>
      </c>
      <c r="U828" s="3">
        <f t="shared" si="21"/>
        <v>0</v>
      </c>
      <c r="V828" s="42"/>
      <c r="X828" s="4">
        <f>SUMIFS('Weekly Dump'!P:P,'Weekly Dump'!B:B,C828,'Weekly Dump'!A:A,AB828)</f>
        <v>0</v>
      </c>
      <c r="Y828" s="4">
        <f t="shared" si="22"/>
        <v>0</v>
      </c>
      <c r="Z828" s="41"/>
      <c r="AA828" s="12" t="str">
        <f>iferror(IF(VLOOKUP(C828,'Weekly Dump'!B:B,1,0)=C828,"Yes","Missing"),"")</f>
        <v/>
      </c>
      <c r="AB828" s="66"/>
    </row>
    <row r="829">
      <c r="B829" s="63"/>
      <c r="C829" s="63"/>
      <c r="G829" s="3" t="str">
        <f t="shared" si="26"/>
        <v/>
      </c>
      <c r="I829" s="4">
        <f>SUMIFS('Weekly Dump'!D:D,'Weekly Dump'!B:B,C829)</f>
        <v>0</v>
      </c>
      <c r="J829" s="5">
        <f>SUMIFS('Weekly Dump'!AE:AE,'Weekly Dump'!B:B,C829)</f>
        <v>0</v>
      </c>
      <c r="K829" s="4">
        <f>SUMPRODUCT(
  (TEXT('Weekly Dump'!$A$2:$A1009,"mmm-yy")=TEXT($AB829,"mmm-yy"))*
  ('Weekly Dump'!$B$2:$B1009=$C829)*
  'Weekly Dump'!$D$2:$D1009)</f>
        <v>0</v>
      </c>
      <c r="L829" s="4">
        <f>SUMPRODUCT(
  (TEXT('Weekly Dump'!$A$2:$A1009,"mmm-yy")=TEXT($AB829,"mmm-yy"))*
  ('Weekly Dump'!$B$2:$B1009=$C829)*
  'Weekly Dump'!$E$2:$E1009
)</f>
        <v>0</v>
      </c>
      <c r="M829" s="4">
        <f>SUMPRODUCT(
  (TEXT('Weekly Dump'!$A$2:$A1009,"mmm-yy")=TEXT($AB829,"mmm-yy"))*
  ('Weekly Dump'!$B$2:$B1009=$C829)*
  'Weekly Dump'!$P$2:$P1009
)</f>
        <v>0</v>
      </c>
      <c r="N829" s="39"/>
      <c r="O829" s="40">
        <f>SUMIFS('Weekly Dump'!$D:$D,'Weekly Dump'!$B:$B,$C829,'Weekly Dump'!$A:$A,$AB829)</f>
        <v>0</v>
      </c>
      <c r="P829" s="40">
        <f>SUMIFS('Weekly Dump'!R:R,'Weekly Dump'!B:B,C829,'Weekly Dump'!A:A,AB829)</f>
        <v>0</v>
      </c>
      <c r="Q829" s="40">
        <f t="shared" si="20"/>
        <v>0</v>
      </c>
      <c r="R829" s="41"/>
      <c r="T829" s="4">
        <f>SUMIFS('Weekly Dump'!E:E,'Weekly Dump'!B:B,C829,'Weekly Dump'!A:A,AB829)</f>
        <v>0</v>
      </c>
      <c r="U829" s="3">
        <f t="shared" si="21"/>
        <v>0</v>
      </c>
      <c r="V829" s="42"/>
      <c r="X829" s="4">
        <f>SUMIFS('Weekly Dump'!P:P,'Weekly Dump'!B:B,C829,'Weekly Dump'!A:A,AB829)</f>
        <v>0</v>
      </c>
      <c r="Y829" s="4">
        <f t="shared" si="22"/>
        <v>0</v>
      </c>
      <c r="Z829" s="41"/>
      <c r="AA829" s="12" t="str">
        <f>iferror(IF(VLOOKUP(C829,'Weekly Dump'!B:B,1,0)=C829,"Yes","Missing"),"")</f>
        <v/>
      </c>
      <c r="AB829" s="66"/>
    </row>
    <row r="830">
      <c r="B830" s="63"/>
      <c r="C830" s="63"/>
      <c r="G830" s="3" t="str">
        <f t="shared" si="26"/>
        <v/>
      </c>
      <c r="I830" s="4">
        <f>SUMIFS('Weekly Dump'!D:D,'Weekly Dump'!B:B,C830)</f>
        <v>0</v>
      </c>
      <c r="J830" s="5">
        <f>SUMIFS('Weekly Dump'!AE:AE,'Weekly Dump'!B:B,C830)</f>
        <v>0</v>
      </c>
      <c r="K830" s="4">
        <f>SUMPRODUCT(
  (TEXT('Weekly Dump'!$A$2:$A1009,"mmm-yy")=TEXT($AB830,"mmm-yy"))*
  ('Weekly Dump'!$B$2:$B1009=$C830)*
  'Weekly Dump'!$D$2:$D1009)</f>
        <v>0</v>
      </c>
      <c r="L830" s="4">
        <f>SUMPRODUCT(
  (TEXT('Weekly Dump'!$A$2:$A1009,"mmm-yy")=TEXT($AB830,"mmm-yy"))*
  ('Weekly Dump'!$B$2:$B1009=$C830)*
  'Weekly Dump'!$E$2:$E1009
)</f>
        <v>0</v>
      </c>
      <c r="M830" s="4">
        <f>SUMPRODUCT(
  (TEXT('Weekly Dump'!$A$2:$A1009,"mmm-yy")=TEXT($AB830,"mmm-yy"))*
  ('Weekly Dump'!$B$2:$B1009=$C830)*
  'Weekly Dump'!$P$2:$P1009
)</f>
        <v>0</v>
      </c>
      <c r="N830" s="39"/>
      <c r="O830" s="40">
        <f>SUMIFS('Weekly Dump'!$D:$D,'Weekly Dump'!$B:$B,$C830,'Weekly Dump'!$A:$A,$AB830)</f>
        <v>0</v>
      </c>
      <c r="P830" s="40">
        <f>SUMIFS('Weekly Dump'!R:R,'Weekly Dump'!B:B,C830,'Weekly Dump'!A:A,AB830)</f>
        <v>0</v>
      </c>
      <c r="Q830" s="40">
        <f t="shared" si="20"/>
        <v>0</v>
      </c>
      <c r="R830" s="41"/>
      <c r="T830" s="4">
        <f>SUMIFS('Weekly Dump'!E:E,'Weekly Dump'!B:B,C830,'Weekly Dump'!A:A,AB830)</f>
        <v>0</v>
      </c>
      <c r="U830" s="3">
        <f t="shared" si="21"/>
        <v>0</v>
      </c>
      <c r="V830" s="42"/>
      <c r="X830" s="4">
        <f>SUMIFS('Weekly Dump'!P:P,'Weekly Dump'!B:B,C830,'Weekly Dump'!A:A,AB830)</f>
        <v>0</v>
      </c>
      <c r="Y830" s="4">
        <f t="shared" si="22"/>
        <v>0</v>
      </c>
      <c r="Z830" s="41"/>
      <c r="AA830" s="12" t="str">
        <f>iferror(IF(VLOOKUP(C830,'Weekly Dump'!B:B,1,0)=C830,"Yes","Missing"),"")</f>
        <v/>
      </c>
      <c r="AB830" s="66"/>
    </row>
    <row r="831">
      <c r="B831" s="63"/>
      <c r="C831" s="63"/>
      <c r="G831" s="3" t="str">
        <f t="shared" si="26"/>
        <v/>
      </c>
      <c r="I831" s="4">
        <f>SUMIFS('Weekly Dump'!D:D,'Weekly Dump'!B:B,C831)</f>
        <v>0</v>
      </c>
      <c r="J831" s="5">
        <f>SUMIFS('Weekly Dump'!AE:AE,'Weekly Dump'!B:B,C831)</f>
        <v>0</v>
      </c>
      <c r="K831" s="4">
        <f>SUMPRODUCT(
  (TEXT('Weekly Dump'!$A$2:$A1009,"mmm-yy")=TEXT($AB831,"mmm-yy"))*
  ('Weekly Dump'!$B$2:$B1009=$C831)*
  'Weekly Dump'!$D$2:$D1009)</f>
        <v>0</v>
      </c>
      <c r="L831" s="4">
        <f>SUMPRODUCT(
  (TEXT('Weekly Dump'!$A$2:$A1009,"mmm-yy")=TEXT($AB831,"mmm-yy"))*
  ('Weekly Dump'!$B$2:$B1009=$C831)*
  'Weekly Dump'!$E$2:$E1009
)</f>
        <v>0</v>
      </c>
      <c r="M831" s="4">
        <f>SUMPRODUCT(
  (TEXT('Weekly Dump'!$A$2:$A1009,"mmm-yy")=TEXT($AB831,"mmm-yy"))*
  ('Weekly Dump'!$B$2:$B1009=$C831)*
  'Weekly Dump'!$P$2:$P1009
)</f>
        <v>0</v>
      </c>
      <c r="N831" s="39"/>
      <c r="O831" s="40">
        <f>SUMIFS('Weekly Dump'!$D:$D,'Weekly Dump'!$B:$B,$C831,'Weekly Dump'!$A:$A,$AB831)</f>
        <v>0</v>
      </c>
      <c r="P831" s="40">
        <f>SUMIFS('Weekly Dump'!R:R,'Weekly Dump'!B:B,C831,'Weekly Dump'!A:A,AB831)</f>
        <v>0</v>
      </c>
      <c r="Q831" s="40">
        <f t="shared" si="20"/>
        <v>0</v>
      </c>
      <c r="R831" s="41"/>
      <c r="T831" s="4">
        <f>SUMIFS('Weekly Dump'!E:E,'Weekly Dump'!B:B,C831,'Weekly Dump'!A:A,AB831)</f>
        <v>0</v>
      </c>
      <c r="U831" s="3">
        <f t="shared" si="21"/>
        <v>0</v>
      </c>
      <c r="V831" s="42"/>
      <c r="X831" s="4">
        <f>SUMIFS('Weekly Dump'!P:P,'Weekly Dump'!B:B,C831,'Weekly Dump'!A:A,AB831)</f>
        <v>0</v>
      </c>
      <c r="Y831" s="4">
        <f t="shared" si="22"/>
        <v>0</v>
      </c>
      <c r="Z831" s="41"/>
      <c r="AA831" s="12" t="str">
        <f>iferror(IF(VLOOKUP(C831,'Weekly Dump'!B:B,1,0)=C831,"Yes","Missing"),"")</f>
        <v/>
      </c>
      <c r="AB831" s="66"/>
    </row>
    <row r="832">
      <c r="B832" s="63"/>
      <c r="C832" s="63"/>
      <c r="G832" s="3" t="str">
        <f t="shared" si="26"/>
        <v/>
      </c>
      <c r="I832" s="4">
        <f>SUMIFS('Weekly Dump'!D:D,'Weekly Dump'!B:B,C832)</f>
        <v>0</v>
      </c>
      <c r="J832" s="5">
        <f>SUMIFS('Weekly Dump'!AE:AE,'Weekly Dump'!B:B,C832)</f>
        <v>0</v>
      </c>
      <c r="K832" s="4">
        <f>SUMPRODUCT(
  (TEXT('Weekly Dump'!$A$2:$A1009,"mmm-yy")=TEXT($AB832,"mmm-yy"))*
  ('Weekly Dump'!$B$2:$B1009=$C832)*
  'Weekly Dump'!$D$2:$D1009)</f>
        <v>0</v>
      </c>
      <c r="L832" s="4">
        <f>SUMPRODUCT(
  (TEXT('Weekly Dump'!$A$2:$A1009,"mmm-yy")=TEXT($AB832,"mmm-yy"))*
  ('Weekly Dump'!$B$2:$B1009=$C832)*
  'Weekly Dump'!$E$2:$E1009
)</f>
        <v>0</v>
      </c>
      <c r="M832" s="4">
        <f>SUMPRODUCT(
  (TEXT('Weekly Dump'!$A$2:$A1009,"mmm-yy")=TEXT($AB832,"mmm-yy"))*
  ('Weekly Dump'!$B$2:$B1009=$C832)*
  'Weekly Dump'!$P$2:$P1009
)</f>
        <v>0</v>
      </c>
      <c r="N832" s="39"/>
      <c r="O832" s="40">
        <f>SUMIFS('Weekly Dump'!$D:$D,'Weekly Dump'!$B:$B,$C832,'Weekly Dump'!$A:$A,$AB832)</f>
        <v>0</v>
      </c>
      <c r="P832" s="40">
        <f>SUMIFS('Weekly Dump'!R:R,'Weekly Dump'!B:B,C832,'Weekly Dump'!A:A,AB832)</f>
        <v>0</v>
      </c>
      <c r="Q832" s="40">
        <f t="shared" si="20"/>
        <v>0</v>
      </c>
      <c r="R832" s="41"/>
      <c r="T832" s="4">
        <f>SUMIFS('Weekly Dump'!E:E,'Weekly Dump'!B:B,C832,'Weekly Dump'!A:A,AB832)</f>
        <v>0</v>
      </c>
      <c r="U832" s="3">
        <f t="shared" si="21"/>
        <v>0</v>
      </c>
      <c r="V832" s="42"/>
      <c r="X832" s="4">
        <f>SUMIFS('Weekly Dump'!P:P,'Weekly Dump'!B:B,C832,'Weekly Dump'!A:A,AB832)</f>
        <v>0</v>
      </c>
      <c r="Y832" s="4">
        <f t="shared" si="22"/>
        <v>0</v>
      </c>
      <c r="Z832" s="41"/>
      <c r="AA832" s="12" t="str">
        <f>iferror(IF(VLOOKUP(C832,'Weekly Dump'!B:B,1,0)=C832,"Yes","Missing"),"")</f>
        <v/>
      </c>
      <c r="AB832" s="66"/>
    </row>
    <row r="833">
      <c r="B833" s="63"/>
      <c r="C833" s="63"/>
      <c r="G833" s="3" t="str">
        <f t="shared" si="26"/>
        <v/>
      </c>
      <c r="I833" s="4">
        <f>SUMIFS('Weekly Dump'!D:D,'Weekly Dump'!B:B,C833)</f>
        <v>0</v>
      </c>
      <c r="J833" s="5">
        <f>SUMIFS('Weekly Dump'!AE:AE,'Weekly Dump'!B:B,C833)</f>
        <v>0</v>
      </c>
      <c r="K833" s="4">
        <f>SUMPRODUCT(
  (TEXT('Weekly Dump'!$A$2:$A1009,"mmm-yy")=TEXT($AB833,"mmm-yy"))*
  ('Weekly Dump'!$B$2:$B1009=$C833)*
  'Weekly Dump'!$D$2:$D1009)</f>
        <v>0</v>
      </c>
      <c r="L833" s="4">
        <f>SUMPRODUCT(
  (TEXT('Weekly Dump'!$A$2:$A1009,"mmm-yy")=TEXT($AB833,"mmm-yy"))*
  ('Weekly Dump'!$B$2:$B1009=$C833)*
  'Weekly Dump'!$E$2:$E1009
)</f>
        <v>0</v>
      </c>
      <c r="M833" s="4">
        <f>SUMPRODUCT(
  (TEXT('Weekly Dump'!$A$2:$A1009,"mmm-yy")=TEXT($AB833,"mmm-yy"))*
  ('Weekly Dump'!$B$2:$B1009=$C833)*
  'Weekly Dump'!$P$2:$P1009
)</f>
        <v>0</v>
      </c>
      <c r="N833" s="39"/>
      <c r="O833" s="40">
        <f>SUMIFS('Weekly Dump'!$D:$D,'Weekly Dump'!$B:$B,$C833,'Weekly Dump'!$A:$A,$AB833)</f>
        <v>0</v>
      </c>
      <c r="P833" s="40">
        <f>SUMIFS('Weekly Dump'!R:R,'Weekly Dump'!B:B,C833,'Weekly Dump'!A:A,AB833)</f>
        <v>0</v>
      </c>
      <c r="Q833" s="40">
        <f t="shared" si="20"/>
        <v>0</v>
      </c>
      <c r="R833" s="41"/>
      <c r="T833" s="4">
        <f>SUMIFS('Weekly Dump'!E:E,'Weekly Dump'!B:B,C833,'Weekly Dump'!A:A,AB833)</f>
        <v>0</v>
      </c>
      <c r="U833" s="3">
        <f t="shared" si="21"/>
        <v>0</v>
      </c>
      <c r="V833" s="42"/>
      <c r="X833" s="4">
        <f>SUMIFS('Weekly Dump'!P:P,'Weekly Dump'!B:B,C833,'Weekly Dump'!A:A,AB833)</f>
        <v>0</v>
      </c>
      <c r="Y833" s="4">
        <f t="shared" si="22"/>
        <v>0</v>
      </c>
      <c r="Z833" s="41"/>
      <c r="AA833" s="12" t="str">
        <f>iferror(IF(VLOOKUP(C833,'Weekly Dump'!B:B,1,0)=C833,"Yes","Missing"),"")</f>
        <v/>
      </c>
      <c r="AB833" s="66"/>
    </row>
    <row r="834">
      <c r="B834" s="63"/>
      <c r="C834" s="63"/>
      <c r="G834" s="3" t="str">
        <f t="shared" si="26"/>
        <v/>
      </c>
      <c r="I834" s="4">
        <f>SUMIFS('Weekly Dump'!D:D,'Weekly Dump'!B:B,C834)</f>
        <v>0</v>
      </c>
      <c r="J834" s="5">
        <f>SUMIFS('Weekly Dump'!AE:AE,'Weekly Dump'!B:B,C834)</f>
        <v>0</v>
      </c>
      <c r="K834" s="4">
        <f>SUMPRODUCT(
  (TEXT('Weekly Dump'!$A$2:$A1009,"mmm-yy")=TEXT($AB834,"mmm-yy"))*
  ('Weekly Dump'!$B$2:$B1009=$C834)*
  'Weekly Dump'!$D$2:$D1009)</f>
        <v>0</v>
      </c>
      <c r="L834" s="4">
        <f>SUMPRODUCT(
  (TEXT('Weekly Dump'!$A$2:$A1009,"mmm-yy")=TEXT($AB834,"mmm-yy"))*
  ('Weekly Dump'!$B$2:$B1009=$C834)*
  'Weekly Dump'!$E$2:$E1009
)</f>
        <v>0</v>
      </c>
      <c r="M834" s="4">
        <f>SUMPRODUCT(
  (TEXT('Weekly Dump'!$A$2:$A1009,"mmm-yy")=TEXT($AB834,"mmm-yy"))*
  ('Weekly Dump'!$B$2:$B1009=$C834)*
  'Weekly Dump'!$P$2:$P1009
)</f>
        <v>0</v>
      </c>
      <c r="N834" s="39"/>
      <c r="O834" s="40">
        <f>SUMIFS('Weekly Dump'!$D:$D,'Weekly Dump'!$B:$B,$C834,'Weekly Dump'!$A:$A,$AB834)</f>
        <v>0</v>
      </c>
      <c r="P834" s="40">
        <f>SUMIFS('Weekly Dump'!R:R,'Weekly Dump'!B:B,C834,'Weekly Dump'!A:A,AB834)</f>
        <v>0</v>
      </c>
      <c r="Q834" s="40">
        <f t="shared" si="20"/>
        <v>0</v>
      </c>
      <c r="R834" s="41"/>
      <c r="T834" s="4">
        <f>SUMIFS('Weekly Dump'!E:E,'Weekly Dump'!B:B,C834,'Weekly Dump'!A:A,AB834)</f>
        <v>0</v>
      </c>
      <c r="U834" s="3">
        <f t="shared" si="21"/>
        <v>0</v>
      </c>
      <c r="V834" s="42"/>
      <c r="X834" s="4">
        <f>SUMIFS('Weekly Dump'!P:P,'Weekly Dump'!B:B,C834,'Weekly Dump'!A:A,AB834)</f>
        <v>0</v>
      </c>
      <c r="Y834" s="4">
        <f t="shared" si="22"/>
        <v>0</v>
      </c>
      <c r="Z834" s="41"/>
      <c r="AA834" s="12" t="str">
        <f>iferror(IF(VLOOKUP(C834,'Weekly Dump'!B:B,1,0)=C834,"Yes","Missing"),"")</f>
        <v/>
      </c>
      <c r="AB834" s="66"/>
    </row>
    <row r="835">
      <c r="B835" s="63"/>
      <c r="C835" s="63"/>
      <c r="G835" s="3" t="str">
        <f t="shared" si="26"/>
        <v/>
      </c>
      <c r="I835" s="4">
        <f>SUMIFS('Weekly Dump'!D:D,'Weekly Dump'!B:B,C835)</f>
        <v>0</v>
      </c>
      <c r="J835" s="5">
        <f>SUMIFS('Weekly Dump'!AE:AE,'Weekly Dump'!B:B,C835)</f>
        <v>0</v>
      </c>
      <c r="K835" s="4">
        <f>SUMPRODUCT(
  (TEXT('Weekly Dump'!$A$2:$A1009,"mmm-yy")=TEXT($AB835,"mmm-yy"))*
  ('Weekly Dump'!$B$2:$B1009=$C835)*
  'Weekly Dump'!$D$2:$D1009)</f>
        <v>0</v>
      </c>
      <c r="L835" s="4">
        <f>SUMPRODUCT(
  (TEXT('Weekly Dump'!$A$2:$A1009,"mmm-yy")=TEXT($AB835,"mmm-yy"))*
  ('Weekly Dump'!$B$2:$B1009=$C835)*
  'Weekly Dump'!$E$2:$E1009
)</f>
        <v>0</v>
      </c>
      <c r="M835" s="4">
        <f>SUMPRODUCT(
  (TEXT('Weekly Dump'!$A$2:$A1009,"mmm-yy")=TEXT($AB835,"mmm-yy"))*
  ('Weekly Dump'!$B$2:$B1009=$C835)*
  'Weekly Dump'!$P$2:$P1009
)</f>
        <v>0</v>
      </c>
      <c r="N835" s="39"/>
      <c r="O835" s="40">
        <f>SUMIFS('Weekly Dump'!$D:$D,'Weekly Dump'!$B:$B,$C835,'Weekly Dump'!$A:$A,$AB835)</f>
        <v>0</v>
      </c>
      <c r="P835" s="40">
        <f>SUMIFS('Weekly Dump'!R:R,'Weekly Dump'!B:B,C835,'Weekly Dump'!A:A,AB835)</f>
        <v>0</v>
      </c>
      <c r="Q835" s="40">
        <f t="shared" si="20"/>
        <v>0</v>
      </c>
      <c r="R835" s="41"/>
      <c r="T835" s="4">
        <f>SUMIFS('Weekly Dump'!E:E,'Weekly Dump'!B:B,C835,'Weekly Dump'!A:A,AB835)</f>
        <v>0</v>
      </c>
      <c r="U835" s="3">
        <f t="shared" si="21"/>
        <v>0</v>
      </c>
      <c r="V835" s="42"/>
      <c r="X835" s="4">
        <f>SUMIFS('Weekly Dump'!P:P,'Weekly Dump'!B:B,C835,'Weekly Dump'!A:A,AB835)</f>
        <v>0</v>
      </c>
      <c r="Y835" s="4">
        <f t="shared" si="22"/>
        <v>0</v>
      </c>
      <c r="Z835" s="41"/>
      <c r="AA835" s="12" t="str">
        <f>iferror(IF(VLOOKUP(C835,'Weekly Dump'!B:B,1,0)=C835,"Yes","Missing"),"")</f>
        <v/>
      </c>
      <c r="AB835" s="66"/>
    </row>
    <row r="836">
      <c r="B836" s="63"/>
      <c r="C836" s="63"/>
      <c r="G836" s="3" t="str">
        <f t="shared" si="26"/>
        <v/>
      </c>
      <c r="I836" s="4">
        <f>SUMIFS('Weekly Dump'!D:D,'Weekly Dump'!B:B,C836)</f>
        <v>0</v>
      </c>
      <c r="J836" s="5">
        <f>SUMIFS('Weekly Dump'!AE:AE,'Weekly Dump'!B:B,C836)</f>
        <v>0</v>
      </c>
      <c r="K836" s="4">
        <f>SUMPRODUCT(
  (TEXT('Weekly Dump'!$A$2:$A1009,"mmm-yy")=TEXT($AB836,"mmm-yy"))*
  ('Weekly Dump'!$B$2:$B1009=$C836)*
  'Weekly Dump'!$D$2:$D1009)</f>
        <v>0</v>
      </c>
      <c r="L836" s="4">
        <f>SUMPRODUCT(
  (TEXT('Weekly Dump'!$A$2:$A1009,"mmm-yy")=TEXT($AB836,"mmm-yy"))*
  ('Weekly Dump'!$B$2:$B1009=$C836)*
  'Weekly Dump'!$E$2:$E1009
)</f>
        <v>0</v>
      </c>
      <c r="M836" s="4">
        <f>SUMPRODUCT(
  (TEXT('Weekly Dump'!$A$2:$A1009,"mmm-yy")=TEXT($AB836,"mmm-yy"))*
  ('Weekly Dump'!$B$2:$B1009=$C836)*
  'Weekly Dump'!$P$2:$P1009
)</f>
        <v>0</v>
      </c>
      <c r="N836" s="39"/>
      <c r="O836" s="40">
        <f>SUMIFS('Weekly Dump'!$D:$D,'Weekly Dump'!$B:$B,$C836,'Weekly Dump'!$A:$A,$AB836)</f>
        <v>0</v>
      </c>
      <c r="P836" s="40">
        <f>SUMIFS('Weekly Dump'!R:R,'Weekly Dump'!B:B,C836,'Weekly Dump'!A:A,AB836)</f>
        <v>0</v>
      </c>
      <c r="Q836" s="40">
        <f t="shared" si="20"/>
        <v>0</v>
      </c>
      <c r="R836" s="41"/>
      <c r="T836" s="4">
        <f>SUMIFS('Weekly Dump'!E:E,'Weekly Dump'!B:B,C836,'Weekly Dump'!A:A,AB836)</f>
        <v>0</v>
      </c>
      <c r="U836" s="3">
        <f t="shared" si="21"/>
        <v>0</v>
      </c>
      <c r="V836" s="42"/>
      <c r="X836" s="4">
        <f>SUMIFS('Weekly Dump'!P:P,'Weekly Dump'!B:B,C836,'Weekly Dump'!A:A,AB836)</f>
        <v>0</v>
      </c>
      <c r="Y836" s="4">
        <f t="shared" si="22"/>
        <v>0</v>
      </c>
      <c r="Z836" s="41"/>
      <c r="AA836" s="12" t="str">
        <f>iferror(IF(VLOOKUP(C836,'Weekly Dump'!B:B,1,0)=C836,"Yes","Missing"),"")</f>
        <v/>
      </c>
      <c r="AB836" s="66"/>
    </row>
    <row r="837">
      <c r="B837" s="63"/>
      <c r="C837" s="63"/>
      <c r="G837" s="3" t="str">
        <f t="shared" si="26"/>
        <v/>
      </c>
      <c r="I837" s="4">
        <f>SUMIFS('Weekly Dump'!D:D,'Weekly Dump'!B:B,C837)</f>
        <v>0</v>
      </c>
      <c r="J837" s="5">
        <f>SUMIFS('Weekly Dump'!AE:AE,'Weekly Dump'!B:B,C837)</f>
        <v>0</v>
      </c>
      <c r="K837" s="4">
        <f>SUMPRODUCT(
  (TEXT('Weekly Dump'!$A$2:$A1009,"mmm-yy")=TEXT($AB837,"mmm-yy"))*
  ('Weekly Dump'!$B$2:$B1009=$C837)*
  'Weekly Dump'!$D$2:$D1009)</f>
        <v>0</v>
      </c>
      <c r="L837" s="4">
        <f>SUMPRODUCT(
  (TEXT('Weekly Dump'!$A$2:$A1009,"mmm-yy")=TEXT($AB837,"mmm-yy"))*
  ('Weekly Dump'!$B$2:$B1009=$C837)*
  'Weekly Dump'!$E$2:$E1009
)</f>
        <v>0</v>
      </c>
      <c r="M837" s="4">
        <f>SUMPRODUCT(
  (TEXT('Weekly Dump'!$A$2:$A1009,"mmm-yy")=TEXT($AB837,"mmm-yy"))*
  ('Weekly Dump'!$B$2:$B1009=$C837)*
  'Weekly Dump'!$P$2:$P1009
)</f>
        <v>0</v>
      </c>
      <c r="N837" s="39"/>
      <c r="O837" s="40">
        <f>SUMIFS('Weekly Dump'!$D:$D,'Weekly Dump'!$B:$B,$C837,'Weekly Dump'!$A:$A,$AB837)</f>
        <v>0</v>
      </c>
      <c r="P837" s="40">
        <f>SUMIFS('Weekly Dump'!R:R,'Weekly Dump'!B:B,C837,'Weekly Dump'!A:A,AB837)</f>
        <v>0</v>
      </c>
      <c r="Q837" s="40">
        <f t="shared" si="20"/>
        <v>0</v>
      </c>
      <c r="R837" s="41"/>
      <c r="T837" s="4">
        <f>SUMIFS('Weekly Dump'!E:E,'Weekly Dump'!B:B,C837,'Weekly Dump'!A:A,AB837)</f>
        <v>0</v>
      </c>
      <c r="U837" s="3">
        <f t="shared" si="21"/>
        <v>0</v>
      </c>
      <c r="V837" s="42"/>
      <c r="X837" s="4">
        <f>SUMIFS('Weekly Dump'!P:P,'Weekly Dump'!B:B,C837,'Weekly Dump'!A:A,AB837)</f>
        <v>0</v>
      </c>
      <c r="Y837" s="4">
        <f t="shared" si="22"/>
        <v>0</v>
      </c>
      <c r="Z837" s="41"/>
      <c r="AA837" s="12" t="str">
        <f>iferror(IF(VLOOKUP(C837,'Weekly Dump'!B:B,1,0)=C837,"Yes","Missing"),"")</f>
        <v/>
      </c>
      <c r="AB837" s="66"/>
    </row>
    <row r="838">
      <c r="B838" s="63"/>
      <c r="C838" s="63"/>
      <c r="G838" s="3" t="str">
        <f t="shared" si="26"/>
        <v/>
      </c>
      <c r="I838" s="4">
        <f>SUMIFS('Weekly Dump'!D:D,'Weekly Dump'!B:B,C838)</f>
        <v>0</v>
      </c>
      <c r="J838" s="5">
        <f>SUMIFS('Weekly Dump'!AE:AE,'Weekly Dump'!B:B,C838)</f>
        <v>0</v>
      </c>
      <c r="K838" s="4">
        <f>SUMPRODUCT(
  (TEXT('Weekly Dump'!$A$2:$A1009,"mmm-yy")=TEXT($AB838,"mmm-yy"))*
  ('Weekly Dump'!$B$2:$B1009=$C838)*
  'Weekly Dump'!$D$2:$D1009)</f>
        <v>0</v>
      </c>
      <c r="L838" s="4">
        <f>SUMPRODUCT(
  (TEXT('Weekly Dump'!$A$2:$A1009,"mmm-yy")=TEXT($AB838,"mmm-yy"))*
  ('Weekly Dump'!$B$2:$B1009=$C838)*
  'Weekly Dump'!$E$2:$E1009
)</f>
        <v>0</v>
      </c>
      <c r="M838" s="4">
        <f>SUMPRODUCT(
  (TEXT('Weekly Dump'!$A$2:$A1009,"mmm-yy")=TEXT($AB838,"mmm-yy"))*
  ('Weekly Dump'!$B$2:$B1009=$C838)*
  'Weekly Dump'!$P$2:$P1009
)</f>
        <v>0</v>
      </c>
      <c r="N838" s="39"/>
      <c r="O838" s="40">
        <f>SUMIFS('Weekly Dump'!$D:$D,'Weekly Dump'!$B:$B,$C838,'Weekly Dump'!$A:$A,$AB838)</f>
        <v>0</v>
      </c>
      <c r="P838" s="40">
        <f>SUMIFS('Weekly Dump'!R:R,'Weekly Dump'!B:B,C838,'Weekly Dump'!A:A,AB838)</f>
        <v>0</v>
      </c>
      <c r="Q838" s="40">
        <f t="shared" si="20"/>
        <v>0</v>
      </c>
      <c r="R838" s="41"/>
      <c r="T838" s="4">
        <f>SUMIFS('Weekly Dump'!E:E,'Weekly Dump'!B:B,C838,'Weekly Dump'!A:A,AB838)</f>
        <v>0</v>
      </c>
      <c r="U838" s="3">
        <f t="shared" si="21"/>
        <v>0</v>
      </c>
      <c r="V838" s="42"/>
      <c r="X838" s="4">
        <f>SUMIFS('Weekly Dump'!P:P,'Weekly Dump'!B:B,C838,'Weekly Dump'!A:A,AB838)</f>
        <v>0</v>
      </c>
      <c r="Y838" s="4">
        <f t="shared" si="22"/>
        <v>0</v>
      </c>
      <c r="Z838" s="41"/>
      <c r="AA838" s="12" t="str">
        <f>iferror(IF(VLOOKUP(C838,'Weekly Dump'!B:B,1,0)=C838,"Yes","Missing"),"")</f>
        <v/>
      </c>
      <c r="AB838" s="66"/>
    </row>
    <row r="839">
      <c r="B839" s="63"/>
      <c r="C839" s="63"/>
      <c r="G839" s="3" t="str">
        <f t="shared" si="26"/>
        <v/>
      </c>
      <c r="I839" s="4">
        <f>SUMIFS('Weekly Dump'!D:D,'Weekly Dump'!B:B,C839)</f>
        <v>0</v>
      </c>
      <c r="J839" s="5">
        <f>SUMIFS('Weekly Dump'!AE:AE,'Weekly Dump'!B:B,C839)</f>
        <v>0</v>
      </c>
      <c r="K839" s="4">
        <f>SUMPRODUCT(
  (TEXT('Weekly Dump'!$A$2:$A1009,"mmm-yy")=TEXT($AB839,"mmm-yy"))*
  ('Weekly Dump'!$B$2:$B1009=$C839)*
  'Weekly Dump'!$D$2:$D1009)</f>
        <v>0</v>
      </c>
      <c r="L839" s="4">
        <f>SUMPRODUCT(
  (TEXT('Weekly Dump'!$A$2:$A1009,"mmm-yy")=TEXT($AB839,"mmm-yy"))*
  ('Weekly Dump'!$B$2:$B1009=$C839)*
  'Weekly Dump'!$E$2:$E1009
)</f>
        <v>0</v>
      </c>
      <c r="M839" s="4">
        <f>SUMPRODUCT(
  (TEXT('Weekly Dump'!$A$2:$A1009,"mmm-yy")=TEXT($AB839,"mmm-yy"))*
  ('Weekly Dump'!$B$2:$B1009=$C839)*
  'Weekly Dump'!$P$2:$P1009
)</f>
        <v>0</v>
      </c>
      <c r="N839" s="39"/>
      <c r="O839" s="40">
        <f>SUMIFS('Weekly Dump'!$D:$D,'Weekly Dump'!$B:$B,$C839,'Weekly Dump'!$A:$A,$AB839)</f>
        <v>0</v>
      </c>
      <c r="P839" s="40">
        <f>SUMIFS('Weekly Dump'!R:R,'Weekly Dump'!B:B,C839,'Weekly Dump'!A:A,AB839)</f>
        <v>0</v>
      </c>
      <c r="Q839" s="40">
        <f t="shared" si="20"/>
        <v>0</v>
      </c>
      <c r="R839" s="41"/>
      <c r="T839" s="4">
        <f>SUMIFS('Weekly Dump'!E:E,'Weekly Dump'!B:B,C839,'Weekly Dump'!A:A,AB839)</f>
        <v>0</v>
      </c>
      <c r="U839" s="3">
        <f t="shared" si="21"/>
        <v>0</v>
      </c>
      <c r="V839" s="42"/>
      <c r="X839" s="4">
        <f>SUMIFS('Weekly Dump'!P:P,'Weekly Dump'!B:B,C839,'Weekly Dump'!A:A,AB839)</f>
        <v>0</v>
      </c>
      <c r="Y839" s="4">
        <f t="shared" si="22"/>
        <v>0</v>
      </c>
      <c r="Z839" s="41"/>
      <c r="AA839" s="12" t="str">
        <f>iferror(IF(VLOOKUP(C839,'Weekly Dump'!B:B,1,0)=C839,"Yes","Missing"),"")</f>
        <v/>
      </c>
      <c r="AB839" s="66"/>
    </row>
    <row r="840">
      <c r="B840" s="63"/>
      <c r="C840" s="63"/>
      <c r="G840" s="3" t="str">
        <f t="shared" si="26"/>
        <v/>
      </c>
      <c r="I840" s="4">
        <f>SUMIFS('Weekly Dump'!D:D,'Weekly Dump'!B:B,C840)</f>
        <v>0</v>
      </c>
      <c r="J840" s="5">
        <f>SUMIFS('Weekly Dump'!AE:AE,'Weekly Dump'!B:B,C840)</f>
        <v>0</v>
      </c>
      <c r="K840" s="4">
        <f>SUMPRODUCT(
  (TEXT('Weekly Dump'!$A$2:$A1009,"mmm-yy")=TEXT($AB840,"mmm-yy"))*
  ('Weekly Dump'!$B$2:$B1009=$C840)*
  'Weekly Dump'!$D$2:$D1009)</f>
        <v>0</v>
      </c>
      <c r="L840" s="4">
        <f>SUMPRODUCT(
  (TEXT('Weekly Dump'!$A$2:$A1009,"mmm-yy")=TEXT($AB840,"mmm-yy"))*
  ('Weekly Dump'!$B$2:$B1009=$C840)*
  'Weekly Dump'!$E$2:$E1009
)</f>
        <v>0</v>
      </c>
      <c r="M840" s="4">
        <f>SUMPRODUCT(
  (TEXT('Weekly Dump'!$A$2:$A1009,"mmm-yy")=TEXT($AB840,"mmm-yy"))*
  ('Weekly Dump'!$B$2:$B1009=$C840)*
  'Weekly Dump'!$P$2:$P1009
)</f>
        <v>0</v>
      </c>
      <c r="N840" s="39"/>
      <c r="O840" s="40">
        <f>SUMIFS('Weekly Dump'!$D:$D,'Weekly Dump'!$B:$B,$C840,'Weekly Dump'!$A:$A,$AB840)</f>
        <v>0</v>
      </c>
      <c r="P840" s="40">
        <f>SUMIFS('Weekly Dump'!R:R,'Weekly Dump'!B:B,C840,'Weekly Dump'!A:A,AB840)</f>
        <v>0</v>
      </c>
      <c r="Q840" s="40">
        <f t="shared" si="20"/>
        <v>0</v>
      </c>
      <c r="R840" s="41"/>
      <c r="T840" s="4">
        <f>SUMIFS('Weekly Dump'!E:E,'Weekly Dump'!B:B,C840,'Weekly Dump'!A:A,AB840)</f>
        <v>0</v>
      </c>
      <c r="U840" s="3">
        <f t="shared" si="21"/>
        <v>0</v>
      </c>
      <c r="V840" s="42"/>
      <c r="X840" s="4">
        <f>SUMIFS('Weekly Dump'!P:P,'Weekly Dump'!B:B,C840,'Weekly Dump'!A:A,AB840)</f>
        <v>0</v>
      </c>
      <c r="Y840" s="4">
        <f t="shared" si="22"/>
        <v>0</v>
      </c>
      <c r="Z840" s="41"/>
      <c r="AA840" s="12" t="str">
        <f>iferror(IF(VLOOKUP(C840,'Weekly Dump'!B:B,1,0)=C840,"Yes","Missing"),"")</f>
        <v/>
      </c>
      <c r="AB840" s="66"/>
    </row>
    <row r="841">
      <c r="B841" s="63"/>
      <c r="C841" s="63"/>
      <c r="G841" s="3" t="str">
        <f t="shared" si="26"/>
        <v/>
      </c>
      <c r="I841" s="4">
        <f>SUMIFS('Weekly Dump'!D:D,'Weekly Dump'!B:B,C841)</f>
        <v>0</v>
      </c>
      <c r="J841" s="5">
        <f>SUMIFS('Weekly Dump'!AE:AE,'Weekly Dump'!B:B,C841)</f>
        <v>0</v>
      </c>
      <c r="K841" s="4">
        <f>SUMPRODUCT(
  (TEXT('Weekly Dump'!$A$2:$A1009,"mmm-yy")=TEXT($AB841,"mmm-yy"))*
  ('Weekly Dump'!$B$2:$B1009=$C841)*
  'Weekly Dump'!$D$2:$D1009)</f>
        <v>0</v>
      </c>
      <c r="L841" s="4">
        <f>SUMPRODUCT(
  (TEXT('Weekly Dump'!$A$2:$A1009,"mmm-yy")=TEXT($AB841,"mmm-yy"))*
  ('Weekly Dump'!$B$2:$B1009=$C841)*
  'Weekly Dump'!$E$2:$E1009
)</f>
        <v>0</v>
      </c>
      <c r="M841" s="4">
        <f>SUMPRODUCT(
  (TEXT('Weekly Dump'!$A$2:$A1009,"mmm-yy")=TEXT($AB841,"mmm-yy"))*
  ('Weekly Dump'!$B$2:$B1009=$C841)*
  'Weekly Dump'!$P$2:$P1009
)</f>
        <v>0</v>
      </c>
      <c r="N841" s="39"/>
      <c r="O841" s="40">
        <f>SUMIFS('Weekly Dump'!$D:$D,'Weekly Dump'!$B:$B,$C841,'Weekly Dump'!$A:$A,$AB841)</f>
        <v>0</v>
      </c>
      <c r="P841" s="40">
        <f>SUMIFS('Weekly Dump'!R:R,'Weekly Dump'!B:B,C841,'Weekly Dump'!A:A,AB841)</f>
        <v>0</v>
      </c>
      <c r="Q841" s="40">
        <f t="shared" si="20"/>
        <v>0</v>
      </c>
      <c r="R841" s="41"/>
      <c r="T841" s="4">
        <f>SUMIFS('Weekly Dump'!E:E,'Weekly Dump'!B:B,C841,'Weekly Dump'!A:A,AB841)</f>
        <v>0</v>
      </c>
      <c r="U841" s="3">
        <f t="shared" si="21"/>
        <v>0</v>
      </c>
      <c r="V841" s="42"/>
      <c r="X841" s="4">
        <f>SUMIFS('Weekly Dump'!P:P,'Weekly Dump'!B:B,C841,'Weekly Dump'!A:A,AB841)</f>
        <v>0</v>
      </c>
      <c r="Y841" s="4">
        <f t="shared" si="22"/>
        <v>0</v>
      </c>
      <c r="Z841" s="41"/>
      <c r="AA841" s="12" t="str">
        <f>iferror(IF(VLOOKUP(C841,'Weekly Dump'!B:B,1,0)=C841,"Yes","Missing"),"")</f>
        <v/>
      </c>
      <c r="AB841" s="66"/>
    </row>
    <row r="842">
      <c r="B842" s="63"/>
      <c r="C842" s="63"/>
      <c r="G842" s="3" t="str">
        <f t="shared" si="26"/>
        <v/>
      </c>
      <c r="I842" s="4">
        <f>SUMIFS('Weekly Dump'!D:D,'Weekly Dump'!B:B,C842)</f>
        <v>0</v>
      </c>
      <c r="J842" s="5">
        <f>SUMIFS('Weekly Dump'!AE:AE,'Weekly Dump'!B:B,C842)</f>
        <v>0</v>
      </c>
      <c r="K842" s="4">
        <f>SUMPRODUCT(
  (TEXT('Weekly Dump'!$A$2:$A1009,"mmm-yy")=TEXT($AB842,"mmm-yy"))*
  ('Weekly Dump'!$B$2:$B1009=$C842)*
  'Weekly Dump'!$D$2:$D1009)</f>
        <v>0</v>
      </c>
      <c r="L842" s="4">
        <f>SUMPRODUCT(
  (TEXT('Weekly Dump'!$A$2:$A1009,"mmm-yy")=TEXT($AB842,"mmm-yy"))*
  ('Weekly Dump'!$B$2:$B1009=$C842)*
  'Weekly Dump'!$E$2:$E1009
)</f>
        <v>0</v>
      </c>
      <c r="M842" s="4">
        <f>SUMPRODUCT(
  (TEXT('Weekly Dump'!$A$2:$A1009,"mmm-yy")=TEXT($AB842,"mmm-yy"))*
  ('Weekly Dump'!$B$2:$B1009=$C842)*
  'Weekly Dump'!$P$2:$P1009
)</f>
        <v>0</v>
      </c>
      <c r="N842" s="39"/>
      <c r="O842" s="40">
        <f>SUMIFS('Weekly Dump'!$D:$D,'Weekly Dump'!$B:$B,$C842,'Weekly Dump'!$A:$A,$AB842)</f>
        <v>0</v>
      </c>
      <c r="P842" s="40">
        <f>SUMIFS('Weekly Dump'!R:R,'Weekly Dump'!B:B,C842,'Weekly Dump'!A:A,AB842)</f>
        <v>0</v>
      </c>
      <c r="Q842" s="40">
        <f t="shared" si="20"/>
        <v>0</v>
      </c>
      <c r="R842" s="41"/>
      <c r="T842" s="4">
        <f>SUMIFS('Weekly Dump'!E:E,'Weekly Dump'!B:B,C842,'Weekly Dump'!A:A,AB842)</f>
        <v>0</v>
      </c>
      <c r="U842" s="3">
        <f t="shared" si="21"/>
        <v>0</v>
      </c>
      <c r="V842" s="42"/>
      <c r="X842" s="4">
        <f>SUMIFS('Weekly Dump'!P:P,'Weekly Dump'!B:B,C842,'Weekly Dump'!A:A,AB842)</f>
        <v>0</v>
      </c>
      <c r="Y842" s="4">
        <f t="shared" si="22"/>
        <v>0</v>
      </c>
      <c r="Z842" s="41"/>
      <c r="AA842" s="12" t="str">
        <f>iferror(IF(VLOOKUP(C842,'Weekly Dump'!B:B,1,0)=C842,"Yes","Missing"),"")</f>
        <v/>
      </c>
      <c r="AB842" s="66"/>
    </row>
    <row r="843">
      <c r="B843" s="63"/>
      <c r="C843" s="63"/>
      <c r="G843" s="3" t="str">
        <f t="shared" si="26"/>
        <v/>
      </c>
      <c r="I843" s="4">
        <f>SUMIFS('Weekly Dump'!D:D,'Weekly Dump'!B:B,C843)</f>
        <v>0</v>
      </c>
      <c r="J843" s="5">
        <f>SUMIFS('Weekly Dump'!AE:AE,'Weekly Dump'!B:B,C843)</f>
        <v>0</v>
      </c>
      <c r="K843" s="4">
        <f>SUMPRODUCT(
  (TEXT('Weekly Dump'!$A$2:$A1009,"mmm-yy")=TEXT($AB843,"mmm-yy"))*
  ('Weekly Dump'!$B$2:$B1009=$C843)*
  'Weekly Dump'!$D$2:$D1009)</f>
        <v>0</v>
      </c>
      <c r="L843" s="4">
        <f>SUMPRODUCT(
  (TEXT('Weekly Dump'!$A$2:$A1009,"mmm-yy")=TEXT($AB843,"mmm-yy"))*
  ('Weekly Dump'!$B$2:$B1009=$C843)*
  'Weekly Dump'!$E$2:$E1009
)</f>
        <v>0</v>
      </c>
      <c r="M843" s="4">
        <f>SUMPRODUCT(
  (TEXT('Weekly Dump'!$A$2:$A1009,"mmm-yy")=TEXT($AB843,"mmm-yy"))*
  ('Weekly Dump'!$B$2:$B1009=$C843)*
  'Weekly Dump'!$P$2:$P1009
)</f>
        <v>0</v>
      </c>
      <c r="N843" s="39"/>
      <c r="O843" s="40">
        <f>SUMIFS('Weekly Dump'!$D:$D,'Weekly Dump'!$B:$B,$C843,'Weekly Dump'!$A:$A,$AB843)</f>
        <v>0</v>
      </c>
      <c r="P843" s="40">
        <f>SUMIFS('Weekly Dump'!R:R,'Weekly Dump'!B:B,C843,'Weekly Dump'!A:A,AB843)</f>
        <v>0</v>
      </c>
      <c r="Q843" s="40">
        <f t="shared" si="20"/>
        <v>0</v>
      </c>
      <c r="R843" s="41"/>
      <c r="T843" s="4">
        <f>SUMIFS('Weekly Dump'!E:E,'Weekly Dump'!B:B,C843,'Weekly Dump'!A:A,AB843)</f>
        <v>0</v>
      </c>
      <c r="U843" s="3">
        <f t="shared" si="21"/>
        <v>0</v>
      </c>
      <c r="V843" s="42"/>
      <c r="X843" s="4">
        <f>SUMIFS('Weekly Dump'!P:P,'Weekly Dump'!B:B,C843,'Weekly Dump'!A:A,AB843)</f>
        <v>0</v>
      </c>
      <c r="Y843" s="4">
        <f t="shared" si="22"/>
        <v>0</v>
      </c>
      <c r="Z843" s="41"/>
      <c r="AA843" s="12" t="str">
        <f>iferror(IF(VLOOKUP(C843,'Weekly Dump'!B:B,1,0)=C843,"Yes","Missing"),"")</f>
        <v/>
      </c>
      <c r="AB843" s="66"/>
    </row>
    <row r="844">
      <c r="B844" s="63"/>
      <c r="C844" s="63"/>
      <c r="G844" s="3" t="str">
        <f t="shared" si="26"/>
        <v/>
      </c>
      <c r="I844" s="4">
        <f>SUMIFS('Weekly Dump'!D:D,'Weekly Dump'!B:B,C844)</f>
        <v>0</v>
      </c>
      <c r="J844" s="5">
        <f>SUMIFS('Weekly Dump'!AE:AE,'Weekly Dump'!B:B,C844)</f>
        <v>0</v>
      </c>
      <c r="K844" s="4">
        <f>SUMPRODUCT(
  (TEXT('Weekly Dump'!$A$2:$A1009,"mmm-yy")=TEXT($AB844,"mmm-yy"))*
  ('Weekly Dump'!$B$2:$B1009=$C844)*
  'Weekly Dump'!$D$2:$D1009)</f>
        <v>0</v>
      </c>
      <c r="L844" s="4">
        <f>SUMPRODUCT(
  (TEXT('Weekly Dump'!$A$2:$A1009,"mmm-yy")=TEXT($AB844,"mmm-yy"))*
  ('Weekly Dump'!$B$2:$B1009=$C844)*
  'Weekly Dump'!$E$2:$E1009
)</f>
        <v>0</v>
      </c>
      <c r="M844" s="4">
        <f>SUMPRODUCT(
  (TEXT('Weekly Dump'!$A$2:$A1009,"mmm-yy")=TEXT($AB844,"mmm-yy"))*
  ('Weekly Dump'!$B$2:$B1009=$C844)*
  'Weekly Dump'!$P$2:$P1009
)</f>
        <v>0</v>
      </c>
      <c r="N844" s="39"/>
      <c r="O844" s="40">
        <f>SUMIFS('Weekly Dump'!$D:$D,'Weekly Dump'!$B:$B,$C844,'Weekly Dump'!$A:$A,$AB844)</f>
        <v>0</v>
      </c>
      <c r="P844" s="40">
        <f>SUMIFS('Weekly Dump'!R:R,'Weekly Dump'!B:B,C844,'Weekly Dump'!A:A,AB844)</f>
        <v>0</v>
      </c>
      <c r="Q844" s="40">
        <f t="shared" si="20"/>
        <v>0</v>
      </c>
      <c r="R844" s="41"/>
      <c r="T844" s="4">
        <f>SUMIFS('Weekly Dump'!E:E,'Weekly Dump'!B:B,C844,'Weekly Dump'!A:A,AB844)</f>
        <v>0</v>
      </c>
      <c r="U844" s="3">
        <f t="shared" si="21"/>
        <v>0</v>
      </c>
      <c r="V844" s="42"/>
      <c r="X844" s="4">
        <f>SUMIFS('Weekly Dump'!P:P,'Weekly Dump'!B:B,C844,'Weekly Dump'!A:A,AB844)</f>
        <v>0</v>
      </c>
      <c r="Y844" s="4">
        <f t="shared" si="22"/>
        <v>0</v>
      </c>
      <c r="Z844" s="41"/>
      <c r="AA844" s="12" t="str">
        <f>iferror(IF(VLOOKUP(C844,'Weekly Dump'!B:B,1,0)=C844,"Yes","Missing"),"")</f>
        <v/>
      </c>
      <c r="AB844" s="66"/>
    </row>
    <row r="845">
      <c r="B845" s="63"/>
      <c r="C845" s="63"/>
      <c r="G845" s="3" t="str">
        <f t="shared" si="26"/>
        <v/>
      </c>
      <c r="I845" s="4">
        <f>SUMIFS('Weekly Dump'!D:D,'Weekly Dump'!B:B,C845)</f>
        <v>0</v>
      </c>
      <c r="J845" s="5">
        <f>SUMIFS('Weekly Dump'!AE:AE,'Weekly Dump'!B:B,C845)</f>
        <v>0</v>
      </c>
      <c r="K845" s="4">
        <f>SUMPRODUCT(
  (TEXT('Weekly Dump'!$A$2:$A1009,"mmm-yy")=TEXT($AB845,"mmm-yy"))*
  ('Weekly Dump'!$B$2:$B1009=$C845)*
  'Weekly Dump'!$D$2:$D1009)</f>
        <v>0</v>
      </c>
      <c r="L845" s="4">
        <f>SUMPRODUCT(
  (TEXT('Weekly Dump'!$A$2:$A1009,"mmm-yy")=TEXT($AB845,"mmm-yy"))*
  ('Weekly Dump'!$B$2:$B1009=$C845)*
  'Weekly Dump'!$E$2:$E1009
)</f>
        <v>0</v>
      </c>
      <c r="M845" s="4">
        <f>SUMPRODUCT(
  (TEXT('Weekly Dump'!$A$2:$A1009,"mmm-yy")=TEXT($AB845,"mmm-yy"))*
  ('Weekly Dump'!$B$2:$B1009=$C845)*
  'Weekly Dump'!$P$2:$P1009
)</f>
        <v>0</v>
      </c>
      <c r="N845" s="39"/>
      <c r="O845" s="40">
        <f>SUMIFS('Weekly Dump'!$D:$D,'Weekly Dump'!$B:$B,$C845,'Weekly Dump'!$A:$A,$AB845)</f>
        <v>0</v>
      </c>
      <c r="P845" s="40">
        <f>SUMIFS('Weekly Dump'!R:R,'Weekly Dump'!B:B,C845,'Weekly Dump'!A:A,AB845)</f>
        <v>0</v>
      </c>
      <c r="Q845" s="40">
        <f t="shared" si="20"/>
        <v>0</v>
      </c>
      <c r="R845" s="41"/>
      <c r="T845" s="4">
        <f>SUMIFS('Weekly Dump'!E:E,'Weekly Dump'!B:B,C845,'Weekly Dump'!A:A,AB845)</f>
        <v>0</v>
      </c>
      <c r="U845" s="3">
        <f t="shared" si="21"/>
        <v>0</v>
      </c>
      <c r="V845" s="42"/>
      <c r="X845" s="4">
        <f>SUMIFS('Weekly Dump'!P:P,'Weekly Dump'!B:B,C845,'Weekly Dump'!A:A,AB845)</f>
        <v>0</v>
      </c>
      <c r="Y845" s="4">
        <f t="shared" si="22"/>
        <v>0</v>
      </c>
      <c r="Z845" s="41"/>
      <c r="AA845" s="12" t="str">
        <f>iferror(IF(VLOOKUP(C845,'Weekly Dump'!B:B,1,0)=C845,"Yes","Missing"),"")</f>
        <v/>
      </c>
      <c r="AB845" s="66"/>
    </row>
    <row r="846">
      <c r="B846" s="63"/>
      <c r="C846" s="63"/>
      <c r="G846" s="3" t="str">
        <f t="shared" si="26"/>
        <v/>
      </c>
      <c r="I846" s="4">
        <f>SUMIFS('Weekly Dump'!D:D,'Weekly Dump'!B:B,C846)</f>
        <v>0</v>
      </c>
      <c r="J846" s="5">
        <f>SUMIFS('Weekly Dump'!AE:AE,'Weekly Dump'!B:B,C846)</f>
        <v>0</v>
      </c>
      <c r="K846" s="4">
        <f>SUMPRODUCT(
  (TEXT('Weekly Dump'!$A$2:$A1009,"mmm-yy")=TEXT($AB846,"mmm-yy"))*
  ('Weekly Dump'!$B$2:$B1009=$C846)*
  'Weekly Dump'!$D$2:$D1009)</f>
        <v>0</v>
      </c>
      <c r="L846" s="4">
        <f>SUMPRODUCT(
  (TEXT('Weekly Dump'!$A$2:$A1009,"mmm-yy")=TEXT($AB846,"mmm-yy"))*
  ('Weekly Dump'!$B$2:$B1009=$C846)*
  'Weekly Dump'!$E$2:$E1009
)</f>
        <v>0</v>
      </c>
      <c r="M846" s="4">
        <f>SUMPRODUCT(
  (TEXT('Weekly Dump'!$A$2:$A1009,"mmm-yy")=TEXT($AB846,"mmm-yy"))*
  ('Weekly Dump'!$B$2:$B1009=$C846)*
  'Weekly Dump'!$P$2:$P1009
)</f>
        <v>0</v>
      </c>
      <c r="N846" s="39"/>
      <c r="O846" s="40">
        <f>SUMIFS('Weekly Dump'!$D:$D,'Weekly Dump'!$B:$B,$C846,'Weekly Dump'!$A:$A,$AB846)</f>
        <v>0</v>
      </c>
      <c r="P846" s="40">
        <f>SUMIFS('Weekly Dump'!R:R,'Weekly Dump'!B:B,C846,'Weekly Dump'!A:A,AB846)</f>
        <v>0</v>
      </c>
      <c r="Q846" s="40">
        <f t="shared" si="20"/>
        <v>0</v>
      </c>
      <c r="R846" s="41"/>
      <c r="T846" s="4">
        <f>SUMIFS('Weekly Dump'!E:E,'Weekly Dump'!B:B,C846,'Weekly Dump'!A:A,AB846)</f>
        <v>0</v>
      </c>
      <c r="U846" s="3">
        <f t="shared" si="21"/>
        <v>0</v>
      </c>
      <c r="V846" s="42"/>
      <c r="X846" s="4">
        <f>SUMIFS('Weekly Dump'!P:P,'Weekly Dump'!B:B,C846,'Weekly Dump'!A:A,AB846)</f>
        <v>0</v>
      </c>
      <c r="Y846" s="4">
        <f t="shared" si="22"/>
        <v>0</v>
      </c>
      <c r="Z846" s="41"/>
      <c r="AA846" s="12" t="str">
        <f>iferror(IF(VLOOKUP(C846,'Weekly Dump'!B:B,1,0)=C846,"Yes","Missing"),"")</f>
        <v/>
      </c>
      <c r="AB846" s="66"/>
    </row>
    <row r="847">
      <c r="B847" s="63"/>
      <c r="C847" s="63"/>
      <c r="G847" s="3" t="str">
        <f t="shared" si="26"/>
        <v/>
      </c>
      <c r="I847" s="4">
        <f>SUMIFS('Weekly Dump'!D:D,'Weekly Dump'!B:B,C847)</f>
        <v>0</v>
      </c>
      <c r="J847" s="5">
        <f>SUMIFS('Weekly Dump'!AE:AE,'Weekly Dump'!B:B,C847)</f>
        <v>0</v>
      </c>
      <c r="K847" s="4">
        <f>SUMPRODUCT(
  (TEXT('Weekly Dump'!$A$2:$A1009,"mmm-yy")=TEXT($AB847,"mmm-yy"))*
  ('Weekly Dump'!$B$2:$B1009=$C847)*
  'Weekly Dump'!$D$2:$D1009)</f>
        <v>0</v>
      </c>
      <c r="L847" s="4">
        <f>SUMPRODUCT(
  (TEXT('Weekly Dump'!$A$2:$A1009,"mmm-yy")=TEXT($AB847,"mmm-yy"))*
  ('Weekly Dump'!$B$2:$B1009=$C847)*
  'Weekly Dump'!$E$2:$E1009
)</f>
        <v>0</v>
      </c>
      <c r="M847" s="4">
        <f>SUMPRODUCT(
  (TEXT('Weekly Dump'!$A$2:$A1009,"mmm-yy")=TEXT($AB847,"mmm-yy"))*
  ('Weekly Dump'!$B$2:$B1009=$C847)*
  'Weekly Dump'!$P$2:$P1009
)</f>
        <v>0</v>
      </c>
      <c r="N847" s="39"/>
      <c r="O847" s="40">
        <f>SUMIFS('Weekly Dump'!$D:$D,'Weekly Dump'!$B:$B,$C847,'Weekly Dump'!$A:$A,$AB847)</f>
        <v>0</v>
      </c>
      <c r="P847" s="40">
        <f>SUMIFS('Weekly Dump'!R:R,'Weekly Dump'!B:B,C847,'Weekly Dump'!A:A,AB847)</f>
        <v>0</v>
      </c>
      <c r="Q847" s="40">
        <f t="shared" si="20"/>
        <v>0</v>
      </c>
      <c r="R847" s="41"/>
      <c r="T847" s="4">
        <f>SUMIFS('Weekly Dump'!E:E,'Weekly Dump'!B:B,C847,'Weekly Dump'!A:A,AB847)</f>
        <v>0</v>
      </c>
      <c r="U847" s="3">
        <f t="shared" si="21"/>
        <v>0</v>
      </c>
      <c r="V847" s="42"/>
      <c r="X847" s="4">
        <f>SUMIFS('Weekly Dump'!P:P,'Weekly Dump'!B:B,C847,'Weekly Dump'!A:A,AB847)</f>
        <v>0</v>
      </c>
      <c r="Y847" s="4">
        <f t="shared" si="22"/>
        <v>0</v>
      </c>
      <c r="Z847" s="41"/>
      <c r="AA847" s="12" t="str">
        <f>iferror(IF(VLOOKUP(C847,'Weekly Dump'!B:B,1,0)=C847,"Yes","Missing"),"")</f>
        <v/>
      </c>
      <c r="AB847" s="66"/>
    </row>
    <row r="848">
      <c r="B848" s="63"/>
      <c r="C848" s="63"/>
      <c r="G848" s="3" t="str">
        <f t="shared" si="26"/>
        <v/>
      </c>
      <c r="I848" s="4">
        <f>SUMIFS('Weekly Dump'!D:D,'Weekly Dump'!B:B,C848)</f>
        <v>0</v>
      </c>
      <c r="J848" s="5">
        <f>SUMIFS('Weekly Dump'!AE:AE,'Weekly Dump'!B:B,C848)</f>
        <v>0</v>
      </c>
      <c r="K848" s="4">
        <f>SUMPRODUCT(
  (TEXT('Weekly Dump'!$A$2:$A1009,"mmm-yy")=TEXT($AB848,"mmm-yy"))*
  ('Weekly Dump'!$B$2:$B1009=$C848)*
  'Weekly Dump'!$D$2:$D1009)</f>
        <v>0</v>
      </c>
      <c r="L848" s="4">
        <f>SUMPRODUCT(
  (TEXT('Weekly Dump'!$A$2:$A1009,"mmm-yy")=TEXT($AB848,"mmm-yy"))*
  ('Weekly Dump'!$B$2:$B1009=$C848)*
  'Weekly Dump'!$E$2:$E1009
)</f>
        <v>0</v>
      </c>
      <c r="M848" s="4">
        <f>SUMPRODUCT(
  (TEXT('Weekly Dump'!$A$2:$A1009,"mmm-yy")=TEXT($AB848,"mmm-yy"))*
  ('Weekly Dump'!$B$2:$B1009=$C848)*
  'Weekly Dump'!$P$2:$P1009
)</f>
        <v>0</v>
      </c>
      <c r="N848" s="39"/>
      <c r="O848" s="40">
        <f>SUMIFS('Weekly Dump'!$D:$D,'Weekly Dump'!$B:$B,$C848,'Weekly Dump'!$A:$A,$AB848)</f>
        <v>0</v>
      </c>
      <c r="P848" s="40">
        <f>SUMIFS('Weekly Dump'!R:R,'Weekly Dump'!B:B,C848,'Weekly Dump'!A:A,AB848)</f>
        <v>0</v>
      </c>
      <c r="Q848" s="40">
        <f t="shared" si="20"/>
        <v>0</v>
      </c>
      <c r="R848" s="41"/>
      <c r="T848" s="4">
        <f>SUMIFS('Weekly Dump'!E:E,'Weekly Dump'!B:B,C848,'Weekly Dump'!A:A,AB848)</f>
        <v>0</v>
      </c>
      <c r="U848" s="3">
        <f t="shared" si="21"/>
        <v>0</v>
      </c>
      <c r="V848" s="42"/>
      <c r="X848" s="4">
        <f>SUMIFS('Weekly Dump'!P:P,'Weekly Dump'!B:B,C848,'Weekly Dump'!A:A,AB848)</f>
        <v>0</v>
      </c>
      <c r="Y848" s="4">
        <f t="shared" si="22"/>
        <v>0</v>
      </c>
      <c r="Z848" s="41"/>
      <c r="AA848" s="12" t="str">
        <f>iferror(IF(VLOOKUP(C848,'Weekly Dump'!B:B,1,0)=C848,"Yes","Missing"),"")</f>
        <v/>
      </c>
      <c r="AB848" s="66"/>
    </row>
    <row r="849">
      <c r="B849" s="63"/>
      <c r="C849" s="63"/>
      <c r="G849" s="3" t="str">
        <f t="shared" si="26"/>
        <v/>
      </c>
      <c r="I849" s="4">
        <f>SUMIFS('Weekly Dump'!D:D,'Weekly Dump'!B:B,C849)</f>
        <v>0</v>
      </c>
      <c r="J849" s="5">
        <f>SUMIFS('Weekly Dump'!AE:AE,'Weekly Dump'!B:B,C849)</f>
        <v>0</v>
      </c>
      <c r="K849" s="4">
        <f>SUMPRODUCT(
  (TEXT('Weekly Dump'!$A$2:$A1009,"mmm-yy")=TEXT($AB849,"mmm-yy"))*
  ('Weekly Dump'!$B$2:$B1009=$C849)*
  'Weekly Dump'!$D$2:$D1009)</f>
        <v>0</v>
      </c>
      <c r="L849" s="4">
        <f>SUMPRODUCT(
  (TEXT('Weekly Dump'!$A$2:$A1009,"mmm-yy")=TEXT($AB849,"mmm-yy"))*
  ('Weekly Dump'!$B$2:$B1009=$C849)*
  'Weekly Dump'!$E$2:$E1009
)</f>
        <v>0</v>
      </c>
      <c r="M849" s="4">
        <f>SUMPRODUCT(
  (TEXT('Weekly Dump'!$A$2:$A1009,"mmm-yy")=TEXT($AB849,"mmm-yy"))*
  ('Weekly Dump'!$B$2:$B1009=$C849)*
  'Weekly Dump'!$P$2:$P1009
)</f>
        <v>0</v>
      </c>
      <c r="N849" s="39"/>
      <c r="O849" s="40">
        <f>SUMIFS('Weekly Dump'!$D:$D,'Weekly Dump'!$B:$B,$C849,'Weekly Dump'!$A:$A,$AB849)</f>
        <v>0</v>
      </c>
      <c r="P849" s="40">
        <f>SUMIFS('Weekly Dump'!R:R,'Weekly Dump'!B:B,C849,'Weekly Dump'!A:A,AB849)</f>
        <v>0</v>
      </c>
      <c r="Q849" s="40">
        <f t="shared" si="20"/>
        <v>0</v>
      </c>
      <c r="R849" s="41"/>
      <c r="T849" s="4">
        <f>SUMIFS('Weekly Dump'!E:E,'Weekly Dump'!B:B,C849,'Weekly Dump'!A:A,AB849)</f>
        <v>0</v>
      </c>
      <c r="U849" s="3">
        <f t="shared" si="21"/>
        <v>0</v>
      </c>
      <c r="V849" s="42"/>
      <c r="X849" s="4">
        <f>SUMIFS('Weekly Dump'!P:P,'Weekly Dump'!B:B,C849,'Weekly Dump'!A:A,AB849)</f>
        <v>0</v>
      </c>
      <c r="Y849" s="4">
        <f t="shared" si="22"/>
        <v>0</v>
      </c>
      <c r="Z849" s="41"/>
      <c r="AA849" s="12" t="str">
        <f>iferror(IF(VLOOKUP(C849,'Weekly Dump'!B:B,1,0)=C849,"Yes","Missing"),"")</f>
        <v/>
      </c>
      <c r="AB849" s="66"/>
    </row>
    <row r="850">
      <c r="B850" s="63"/>
      <c r="C850" s="63"/>
      <c r="G850" s="3" t="str">
        <f t="shared" si="26"/>
        <v/>
      </c>
      <c r="I850" s="4">
        <f>SUMIFS('Weekly Dump'!D:D,'Weekly Dump'!B:B,C850)</f>
        <v>0</v>
      </c>
      <c r="J850" s="5">
        <f>SUMIFS('Weekly Dump'!AE:AE,'Weekly Dump'!B:B,C850)</f>
        <v>0</v>
      </c>
      <c r="K850" s="4">
        <f>SUMPRODUCT(
  (TEXT('Weekly Dump'!$A$2:$A1009,"mmm-yy")=TEXT($AB850,"mmm-yy"))*
  ('Weekly Dump'!$B$2:$B1009=$C850)*
  'Weekly Dump'!$D$2:$D1009)</f>
        <v>0</v>
      </c>
      <c r="L850" s="4">
        <f>SUMPRODUCT(
  (TEXT('Weekly Dump'!$A$2:$A1009,"mmm-yy")=TEXT($AB850,"mmm-yy"))*
  ('Weekly Dump'!$B$2:$B1009=$C850)*
  'Weekly Dump'!$E$2:$E1009
)</f>
        <v>0</v>
      </c>
      <c r="M850" s="4">
        <f>SUMPRODUCT(
  (TEXT('Weekly Dump'!$A$2:$A1009,"mmm-yy")=TEXT($AB850,"mmm-yy"))*
  ('Weekly Dump'!$B$2:$B1009=$C850)*
  'Weekly Dump'!$P$2:$P1009
)</f>
        <v>0</v>
      </c>
      <c r="N850" s="39"/>
      <c r="O850" s="40">
        <f>SUMIFS('Weekly Dump'!$D:$D,'Weekly Dump'!$B:$B,$C850,'Weekly Dump'!$A:$A,$AB850)</f>
        <v>0</v>
      </c>
      <c r="P850" s="40">
        <f>SUMIFS('Weekly Dump'!R:R,'Weekly Dump'!B:B,C850,'Weekly Dump'!A:A,AB850)</f>
        <v>0</v>
      </c>
      <c r="Q850" s="40">
        <f t="shared" si="20"/>
        <v>0</v>
      </c>
      <c r="R850" s="41"/>
      <c r="T850" s="4">
        <f>SUMIFS('Weekly Dump'!E:E,'Weekly Dump'!B:B,C850,'Weekly Dump'!A:A,AB850)</f>
        <v>0</v>
      </c>
      <c r="U850" s="3">
        <f t="shared" si="21"/>
        <v>0</v>
      </c>
      <c r="V850" s="42"/>
      <c r="X850" s="4">
        <f>SUMIFS('Weekly Dump'!P:P,'Weekly Dump'!B:B,C850,'Weekly Dump'!A:A,AB850)</f>
        <v>0</v>
      </c>
      <c r="Y850" s="4">
        <f t="shared" si="22"/>
        <v>0</v>
      </c>
      <c r="Z850" s="41"/>
      <c r="AA850" s="12" t="str">
        <f>iferror(IF(VLOOKUP(C850,'Weekly Dump'!B:B,1,0)=C850,"Yes","Missing"),"")</f>
        <v/>
      </c>
      <c r="AB850" s="66"/>
    </row>
    <row r="851">
      <c r="B851" s="63"/>
      <c r="C851" s="63"/>
      <c r="G851" s="3" t="str">
        <f t="shared" si="26"/>
        <v/>
      </c>
      <c r="I851" s="4">
        <f>SUMIFS('Weekly Dump'!D:D,'Weekly Dump'!B:B,C851)</f>
        <v>0</v>
      </c>
      <c r="J851" s="5">
        <f>SUMIFS('Weekly Dump'!AE:AE,'Weekly Dump'!B:B,C851)</f>
        <v>0</v>
      </c>
      <c r="K851" s="4">
        <f>SUMPRODUCT(
  (TEXT('Weekly Dump'!$A$2:$A1009,"mmm-yy")=TEXT($AB851,"mmm-yy"))*
  ('Weekly Dump'!$B$2:$B1009=$C851)*
  'Weekly Dump'!$D$2:$D1009)</f>
        <v>0</v>
      </c>
      <c r="L851" s="4">
        <f>SUMPRODUCT(
  (TEXT('Weekly Dump'!$A$2:$A1009,"mmm-yy")=TEXT($AB851,"mmm-yy"))*
  ('Weekly Dump'!$B$2:$B1009=$C851)*
  'Weekly Dump'!$E$2:$E1009
)</f>
        <v>0</v>
      </c>
      <c r="M851" s="4">
        <f>SUMPRODUCT(
  (TEXT('Weekly Dump'!$A$2:$A1009,"mmm-yy")=TEXT($AB851,"mmm-yy"))*
  ('Weekly Dump'!$B$2:$B1009=$C851)*
  'Weekly Dump'!$P$2:$P1009
)</f>
        <v>0</v>
      </c>
      <c r="N851" s="39"/>
      <c r="O851" s="40">
        <f>SUMIFS('Weekly Dump'!$D:$D,'Weekly Dump'!$B:$B,$C851,'Weekly Dump'!$A:$A,$AB851)</f>
        <v>0</v>
      </c>
      <c r="P851" s="40">
        <f>SUMIFS('Weekly Dump'!R:R,'Weekly Dump'!B:B,C851,'Weekly Dump'!A:A,AB851)</f>
        <v>0</v>
      </c>
      <c r="Q851" s="40">
        <f t="shared" si="20"/>
        <v>0</v>
      </c>
      <c r="R851" s="41"/>
      <c r="T851" s="4">
        <f>SUMIFS('Weekly Dump'!E:E,'Weekly Dump'!B:B,C851,'Weekly Dump'!A:A,AB851)</f>
        <v>0</v>
      </c>
      <c r="U851" s="3">
        <f t="shared" si="21"/>
        <v>0</v>
      </c>
      <c r="V851" s="42"/>
      <c r="X851" s="4">
        <f>SUMIFS('Weekly Dump'!P:P,'Weekly Dump'!B:B,C851,'Weekly Dump'!A:A,AB851)</f>
        <v>0</v>
      </c>
      <c r="Y851" s="4">
        <f t="shared" si="22"/>
        <v>0</v>
      </c>
      <c r="Z851" s="41"/>
      <c r="AA851" s="12" t="str">
        <f>iferror(IF(VLOOKUP(C851,'Weekly Dump'!B:B,1,0)=C851,"Yes","Missing"),"")</f>
        <v/>
      </c>
      <c r="AB851" s="66"/>
    </row>
    <row r="852">
      <c r="B852" s="63"/>
      <c r="C852" s="63"/>
      <c r="G852" s="3" t="str">
        <f t="shared" si="26"/>
        <v/>
      </c>
      <c r="I852" s="4">
        <f>SUMIFS('Weekly Dump'!D:D,'Weekly Dump'!B:B,C852)</f>
        <v>0</v>
      </c>
      <c r="J852" s="5">
        <f>SUMIFS('Weekly Dump'!AE:AE,'Weekly Dump'!B:B,C852)</f>
        <v>0</v>
      </c>
      <c r="K852" s="4">
        <f>SUMPRODUCT(
  (TEXT('Weekly Dump'!$A$2:$A1009,"mmm-yy")=TEXT($AB852,"mmm-yy"))*
  ('Weekly Dump'!$B$2:$B1009=$C852)*
  'Weekly Dump'!$D$2:$D1009)</f>
        <v>0</v>
      </c>
      <c r="L852" s="4">
        <f>SUMPRODUCT(
  (TEXT('Weekly Dump'!$A$2:$A1009,"mmm-yy")=TEXT($AB852,"mmm-yy"))*
  ('Weekly Dump'!$B$2:$B1009=$C852)*
  'Weekly Dump'!$E$2:$E1009
)</f>
        <v>0</v>
      </c>
      <c r="M852" s="4">
        <f>SUMPRODUCT(
  (TEXT('Weekly Dump'!$A$2:$A1009,"mmm-yy")=TEXT($AB852,"mmm-yy"))*
  ('Weekly Dump'!$B$2:$B1009=$C852)*
  'Weekly Dump'!$P$2:$P1009
)</f>
        <v>0</v>
      </c>
      <c r="N852" s="39"/>
      <c r="O852" s="40">
        <f>SUMIFS('Weekly Dump'!$D:$D,'Weekly Dump'!$B:$B,$C852,'Weekly Dump'!$A:$A,$AB852)</f>
        <v>0</v>
      </c>
      <c r="P852" s="40">
        <f>SUMIFS('Weekly Dump'!R:R,'Weekly Dump'!B:B,C852,'Weekly Dump'!A:A,AB852)</f>
        <v>0</v>
      </c>
      <c r="Q852" s="40">
        <f t="shared" si="20"/>
        <v>0</v>
      </c>
      <c r="R852" s="41"/>
      <c r="T852" s="4">
        <f>SUMIFS('Weekly Dump'!E:E,'Weekly Dump'!B:B,C852,'Weekly Dump'!A:A,AB852)</f>
        <v>0</v>
      </c>
      <c r="U852" s="3">
        <f t="shared" si="21"/>
        <v>0</v>
      </c>
      <c r="V852" s="42"/>
      <c r="X852" s="4">
        <f>SUMIFS('Weekly Dump'!P:P,'Weekly Dump'!B:B,C852,'Weekly Dump'!A:A,AB852)</f>
        <v>0</v>
      </c>
      <c r="Y852" s="4">
        <f t="shared" si="22"/>
        <v>0</v>
      </c>
      <c r="Z852" s="41"/>
      <c r="AA852" s="12" t="str">
        <f>iferror(IF(VLOOKUP(C852,'Weekly Dump'!B:B,1,0)=C852,"Yes","Missing"),"")</f>
        <v/>
      </c>
      <c r="AB852" s="66"/>
    </row>
    <row r="853">
      <c r="B853" s="63"/>
      <c r="C853" s="63"/>
      <c r="G853" s="3" t="str">
        <f t="shared" si="26"/>
        <v/>
      </c>
      <c r="I853" s="4">
        <f>SUMIFS('Weekly Dump'!D:D,'Weekly Dump'!B:B,C853)</f>
        <v>0</v>
      </c>
      <c r="J853" s="5">
        <f>SUMIFS('Weekly Dump'!AE:AE,'Weekly Dump'!B:B,C853)</f>
        <v>0</v>
      </c>
      <c r="K853" s="4">
        <f>SUMPRODUCT(
  (TEXT('Weekly Dump'!$A$2:$A1009,"mmm-yy")=TEXT($AB853,"mmm-yy"))*
  ('Weekly Dump'!$B$2:$B1009=$C853)*
  'Weekly Dump'!$D$2:$D1009)</f>
        <v>0</v>
      </c>
      <c r="L853" s="4">
        <f>SUMPRODUCT(
  (TEXT('Weekly Dump'!$A$2:$A1009,"mmm-yy")=TEXT($AB853,"mmm-yy"))*
  ('Weekly Dump'!$B$2:$B1009=$C853)*
  'Weekly Dump'!$E$2:$E1009
)</f>
        <v>0</v>
      </c>
      <c r="M853" s="4">
        <f>SUMPRODUCT(
  (TEXT('Weekly Dump'!$A$2:$A1009,"mmm-yy")=TEXT($AB853,"mmm-yy"))*
  ('Weekly Dump'!$B$2:$B1009=$C853)*
  'Weekly Dump'!$P$2:$P1009
)</f>
        <v>0</v>
      </c>
      <c r="N853" s="39"/>
      <c r="O853" s="40">
        <f>SUMIFS('Weekly Dump'!$D:$D,'Weekly Dump'!$B:$B,$C853,'Weekly Dump'!$A:$A,$AB853)</f>
        <v>0</v>
      </c>
      <c r="P853" s="40">
        <f>SUMIFS('Weekly Dump'!R:R,'Weekly Dump'!B:B,C853,'Weekly Dump'!A:A,AB853)</f>
        <v>0</v>
      </c>
      <c r="Q853" s="40">
        <f t="shared" si="20"/>
        <v>0</v>
      </c>
      <c r="R853" s="41"/>
      <c r="T853" s="4">
        <f>SUMIFS('Weekly Dump'!E:E,'Weekly Dump'!B:B,C853,'Weekly Dump'!A:A,AB853)</f>
        <v>0</v>
      </c>
      <c r="U853" s="3">
        <f t="shared" si="21"/>
        <v>0</v>
      </c>
      <c r="V853" s="42"/>
      <c r="X853" s="4">
        <f>SUMIFS('Weekly Dump'!P:P,'Weekly Dump'!B:B,C853,'Weekly Dump'!A:A,AB853)</f>
        <v>0</v>
      </c>
      <c r="Y853" s="4">
        <f t="shared" si="22"/>
        <v>0</v>
      </c>
      <c r="Z853" s="41"/>
      <c r="AA853" s="12" t="str">
        <f>iferror(IF(VLOOKUP(C853,'Weekly Dump'!B:B,1,0)=C853,"Yes","Missing"),"")</f>
        <v/>
      </c>
      <c r="AB853" s="66"/>
    </row>
    <row r="854">
      <c r="B854" s="63"/>
      <c r="C854" s="63"/>
      <c r="G854" s="3" t="str">
        <f t="shared" si="26"/>
        <v/>
      </c>
      <c r="I854" s="4">
        <f>SUMIFS('Weekly Dump'!D:D,'Weekly Dump'!B:B,C854)</f>
        <v>0</v>
      </c>
      <c r="J854" s="5">
        <f>SUMIFS('Weekly Dump'!AE:AE,'Weekly Dump'!B:B,C854)</f>
        <v>0</v>
      </c>
      <c r="K854" s="4">
        <f>SUMPRODUCT(
  (TEXT('Weekly Dump'!$A$2:$A1009,"mmm-yy")=TEXT($AB854,"mmm-yy"))*
  ('Weekly Dump'!$B$2:$B1009=$C854)*
  'Weekly Dump'!$D$2:$D1009)</f>
        <v>0</v>
      </c>
      <c r="L854" s="4">
        <f>SUMPRODUCT(
  (TEXT('Weekly Dump'!$A$2:$A1009,"mmm-yy")=TEXT($AB854,"mmm-yy"))*
  ('Weekly Dump'!$B$2:$B1009=$C854)*
  'Weekly Dump'!$E$2:$E1009
)</f>
        <v>0</v>
      </c>
      <c r="M854" s="4">
        <f>SUMPRODUCT(
  (TEXT('Weekly Dump'!$A$2:$A1009,"mmm-yy")=TEXT($AB854,"mmm-yy"))*
  ('Weekly Dump'!$B$2:$B1009=$C854)*
  'Weekly Dump'!$P$2:$P1009
)</f>
        <v>0</v>
      </c>
      <c r="N854" s="39"/>
      <c r="O854" s="40">
        <f>SUMIFS('Weekly Dump'!$D:$D,'Weekly Dump'!$B:$B,$C854,'Weekly Dump'!$A:$A,$AB854)</f>
        <v>0</v>
      </c>
      <c r="P854" s="40">
        <f>SUMIFS('Weekly Dump'!R:R,'Weekly Dump'!B:B,C854,'Weekly Dump'!A:A,AB854)</f>
        <v>0</v>
      </c>
      <c r="Q854" s="40">
        <f t="shared" si="20"/>
        <v>0</v>
      </c>
      <c r="R854" s="41"/>
      <c r="T854" s="4">
        <f>SUMIFS('Weekly Dump'!E:E,'Weekly Dump'!B:B,C854,'Weekly Dump'!A:A,AB854)</f>
        <v>0</v>
      </c>
      <c r="U854" s="3">
        <f t="shared" si="21"/>
        <v>0</v>
      </c>
      <c r="V854" s="42"/>
      <c r="X854" s="4">
        <f>SUMIFS('Weekly Dump'!P:P,'Weekly Dump'!B:B,C854,'Weekly Dump'!A:A,AB854)</f>
        <v>0</v>
      </c>
      <c r="Y854" s="4">
        <f t="shared" si="22"/>
        <v>0</v>
      </c>
      <c r="Z854" s="41"/>
      <c r="AA854" s="12" t="str">
        <f>iferror(IF(VLOOKUP(C854,'Weekly Dump'!B:B,1,0)=C854,"Yes","Missing"),"")</f>
        <v/>
      </c>
      <c r="AB854" s="66"/>
    </row>
    <row r="855">
      <c r="B855" s="63"/>
      <c r="C855" s="63"/>
      <c r="G855" s="3" t="str">
        <f t="shared" si="26"/>
        <v/>
      </c>
      <c r="I855" s="4">
        <f>SUMIFS('Weekly Dump'!D:D,'Weekly Dump'!B:B,C855)</f>
        <v>0</v>
      </c>
      <c r="J855" s="5">
        <f>SUMIFS('Weekly Dump'!AE:AE,'Weekly Dump'!B:B,C855)</f>
        <v>0</v>
      </c>
      <c r="K855" s="4">
        <f>SUMPRODUCT(
  (TEXT('Weekly Dump'!$A$2:$A1009,"mmm-yy")=TEXT($AB855,"mmm-yy"))*
  ('Weekly Dump'!$B$2:$B1009=$C855)*
  'Weekly Dump'!$D$2:$D1009)</f>
        <v>0</v>
      </c>
      <c r="L855" s="4">
        <f>SUMPRODUCT(
  (TEXT('Weekly Dump'!$A$2:$A1009,"mmm-yy")=TEXT($AB855,"mmm-yy"))*
  ('Weekly Dump'!$B$2:$B1009=$C855)*
  'Weekly Dump'!$E$2:$E1009
)</f>
        <v>0</v>
      </c>
      <c r="M855" s="4">
        <f>SUMPRODUCT(
  (TEXT('Weekly Dump'!$A$2:$A1009,"mmm-yy")=TEXT($AB855,"mmm-yy"))*
  ('Weekly Dump'!$B$2:$B1009=$C855)*
  'Weekly Dump'!$P$2:$P1009
)</f>
        <v>0</v>
      </c>
      <c r="N855" s="39"/>
      <c r="O855" s="40">
        <f>SUMIFS('Weekly Dump'!$D:$D,'Weekly Dump'!$B:$B,$C855,'Weekly Dump'!$A:$A,$AB855)</f>
        <v>0</v>
      </c>
      <c r="P855" s="40">
        <f>SUMIFS('Weekly Dump'!R:R,'Weekly Dump'!B:B,C855,'Weekly Dump'!A:A,AB855)</f>
        <v>0</v>
      </c>
      <c r="Q855" s="40">
        <f t="shared" si="20"/>
        <v>0</v>
      </c>
      <c r="R855" s="41"/>
      <c r="T855" s="4">
        <f>SUMIFS('Weekly Dump'!E:E,'Weekly Dump'!B:B,C855,'Weekly Dump'!A:A,AB855)</f>
        <v>0</v>
      </c>
      <c r="U855" s="3">
        <f t="shared" si="21"/>
        <v>0</v>
      </c>
      <c r="V855" s="42"/>
      <c r="X855" s="4">
        <f>SUMIFS('Weekly Dump'!P:P,'Weekly Dump'!B:B,C855,'Weekly Dump'!A:A,AB855)</f>
        <v>0</v>
      </c>
      <c r="Y855" s="4">
        <f t="shared" si="22"/>
        <v>0</v>
      </c>
      <c r="Z855" s="41"/>
      <c r="AA855" s="12" t="str">
        <f>iferror(IF(VLOOKUP(C855,'Weekly Dump'!B:B,1,0)=C855,"Yes","Missing"),"")</f>
        <v/>
      </c>
      <c r="AB855" s="66"/>
    </row>
    <row r="856">
      <c r="B856" s="63"/>
      <c r="C856" s="63"/>
      <c r="G856" s="3" t="str">
        <f t="shared" si="26"/>
        <v/>
      </c>
      <c r="I856" s="4">
        <f>SUMIFS('Weekly Dump'!D:D,'Weekly Dump'!B:B,C856)</f>
        <v>0</v>
      </c>
      <c r="J856" s="5">
        <f>SUMIFS('Weekly Dump'!AE:AE,'Weekly Dump'!B:B,C856)</f>
        <v>0</v>
      </c>
      <c r="K856" s="4">
        <f>SUMPRODUCT(
  (TEXT('Weekly Dump'!$A$2:$A1009,"mmm-yy")=TEXT($AB856,"mmm-yy"))*
  ('Weekly Dump'!$B$2:$B1009=$C856)*
  'Weekly Dump'!$D$2:$D1009)</f>
        <v>0</v>
      </c>
      <c r="L856" s="4">
        <f>SUMPRODUCT(
  (TEXT('Weekly Dump'!$A$2:$A1009,"mmm-yy")=TEXT($AB856,"mmm-yy"))*
  ('Weekly Dump'!$B$2:$B1009=$C856)*
  'Weekly Dump'!$E$2:$E1009
)</f>
        <v>0</v>
      </c>
      <c r="M856" s="4">
        <f>SUMPRODUCT(
  (TEXT('Weekly Dump'!$A$2:$A1009,"mmm-yy")=TEXT($AB856,"mmm-yy"))*
  ('Weekly Dump'!$B$2:$B1009=$C856)*
  'Weekly Dump'!$P$2:$P1009
)</f>
        <v>0</v>
      </c>
      <c r="N856" s="39"/>
      <c r="O856" s="40">
        <f>SUMIFS('Weekly Dump'!$D:$D,'Weekly Dump'!$B:$B,$C856,'Weekly Dump'!$A:$A,$AB856)</f>
        <v>0</v>
      </c>
      <c r="P856" s="40">
        <f>SUMIFS('Weekly Dump'!R:R,'Weekly Dump'!B:B,C856,'Weekly Dump'!A:A,AB856)</f>
        <v>0</v>
      </c>
      <c r="Q856" s="40">
        <f t="shared" si="20"/>
        <v>0</v>
      </c>
      <c r="R856" s="41"/>
      <c r="T856" s="4">
        <f>SUMIFS('Weekly Dump'!E:E,'Weekly Dump'!B:B,C856,'Weekly Dump'!A:A,AB856)</f>
        <v>0</v>
      </c>
      <c r="U856" s="3">
        <f t="shared" si="21"/>
        <v>0</v>
      </c>
      <c r="V856" s="42"/>
      <c r="X856" s="4">
        <f>SUMIFS('Weekly Dump'!P:P,'Weekly Dump'!B:B,C856,'Weekly Dump'!A:A,AB856)</f>
        <v>0</v>
      </c>
      <c r="Y856" s="4">
        <f t="shared" si="22"/>
        <v>0</v>
      </c>
      <c r="Z856" s="41"/>
      <c r="AA856" s="12" t="str">
        <f>iferror(IF(VLOOKUP(C856,'Weekly Dump'!B:B,1,0)=C856,"Yes","Missing"),"")</f>
        <v/>
      </c>
      <c r="AB856" s="66"/>
    </row>
    <row r="857">
      <c r="B857" s="63"/>
      <c r="C857" s="63"/>
      <c r="G857" s="3" t="str">
        <f t="shared" si="26"/>
        <v/>
      </c>
      <c r="I857" s="4">
        <f>SUMIFS('Weekly Dump'!D:D,'Weekly Dump'!B:B,C857)</f>
        <v>0</v>
      </c>
      <c r="J857" s="5">
        <f>SUMIFS('Weekly Dump'!AE:AE,'Weekly Dump'!B:B,C857)</f>
        <v>0</v>
      </c>
      <c r="K857" s="4">
        <f>SUMPRODUCT(
  (TEXT('Weekly Dump'!$A$2:$A1009,"mmm-yy")=TEXT($AB857,"mmm-yy"))*
  ('Weekly Dump'!$B$2:$B1009=$C857)*
  'Weekly Dump'!$D$2:$D1009)</f>
        <v>0</v>
      </c>
      <c r="L857" s="4">
        <f>SUMPRODUCT(
  (TEXT('Weekly Dump'!$A$2:$A1009,"mmm-yy")=TEXT($AB857,"mmm-yy"))*
  ('Weekly Dump'!$B$2:$B1009=$C857)*
  'Weekly Dump'!$E$2:$E1009
)</f>
        <v>0</v>
      </c>
      <c r="M857" s="4">
        <f>SUMPRODUCT(
  (TEXT('Weekly Dump'!$A$2:$A1009,"mmm-yy")=TEXT($AB857,"mmm-yy"))*
  ('Weekly Dump'!$B$2:$B1009=$C857)*
  'Weekly Dump'!$P$2:$P1009
)</f>
        <v>0</v>
      </c>
      <c r="N857" s="39"/>
      <c r="O857" s="40">
        <f>SUMIFS('Weekly Dump'!$D:$D,'Weekly Dump'!$B:$B,$C857,'Weekly Dump'!$A:$A,$AB857)</f>
        <v>0</v>
      </c>
      <c r="P857" s="40">
        <f>SUMIFS('Weekly Dump'!R:R,'Weekly Dump'!B:B,C857,'Weekly Dump'!A:A,AB857)</f>
        <v>0</v>
      </c>
      <c r="Q857" s="40">
        <f t="shared" si="20"/>
        <v>0</v>
      </c>
      <c r="R857" s="41"/>
      <c r="T857" s="4">
        <f>SUMIFS('Weekly Dump'!E:E,'Weekly Dump'!B:B,C857,'Weekly Dump'!A:A,AB857)</f>
        <v>0</v>
      </c>
      <c r="U857" s="3">
        <f t="shared" si="21"/>
        <v>0</v>
      </c>
      <c r="V857" s="42"/>
      <c r="X857" s="4">
        <f>SUMIFS('Weekly Dump'!P:P,'Weekly Dump'!B:B,C857,'Weekly Dump'!A:A,AB857)</f>
        <v>0</v>
      </c>
      <c r="Y857" s="4">
        <f t="shared" si="22"/>
        <v>0</v>
      </c>
      <c r="Z857" s="41"/>
      <c r="AA857" s="12" t="str">
        <f>iferror(IF(VLOOKUP(C857,'Weekly Dump'!B:B,1,0)=C857,"Yes","Missing"),"")</f>
        <v/>
      </c>
      <c r="AB857" s="66"/>
    </row>
    <row r="858">
      <c r="B858" s="63"/>
      <c r="C858" s="63"/>
      <c r="G858" s="3" t="str">
        <f t="shared" si="26"/>
        <v/>
      </c>
      <c r="I858" s="4">
        <f>SUMIFS('Weekly Dump'!D:D,'Weekly Dump'!B:B,C858)</f>
        <v>0</v>
      </c>
      <c r="J858" s="5">
        <f>SUMIFS('Weekly Dump'!AE:AE,'Weekly Dump'!B:B,C858)</f>
        <v>0</v>
      </c>
      <c r="K858" s="4">
        <f>SUMPRODUCT(
  (TEXT('Weekly Dump'!$A$2:$A1009,"mmm-yy")=TEXT($AB858,"mmm-yy"))*
  ('Weekly Dump'!$B$2:$B1009=$C858)*
  'Weekly Dump'!$D$2:$D1009)</f>
        <v>0</v>
      </c>
      <c r="L858" s="4">
        <f>SUMPRODUCT(
  (TEXT('Weekly Dump'!$A$2:$A1009,"mmm-yy")=TEXT($AB858,"mmm-yy"))*
  ('Weekly Dump'!$B$2:$B1009=$C858)*
  'Weekly Dump'!$E$2:$E1009
)</f>
        <v>0</v>
      </c>
      <c r="M858" s="4">
        <f>SUMPRODUCT(
  (TEXT('Weekly Dump'!$A$2:$A1009,"mmm-yy")=TEXT($AB858,"mmm-yy"))*
  ('Weekly Dump'!$B$2:$B1009=$C858)*
  'Weekly Dump'!$P$2:$P1009
)</f>
        <v>0</v>
      </c>
      <c r="N858" s="39"/>
      <c r="O858" s="40">
        <f>SUMIFS('Weekly Dump'!$D:$D,'Weekly Dump'!$B:$B,$C858,'Weekly Dump'!$A:$A,$AB858)</f>
        <v>0</v>
      </c>
      <c r="P858" s="40">
        <f>SUMIFS('Weekly Dump'!R:R,'Weekly Dump'!B:B,C858,'Weekly Dump'!A:A,AB858)</f>
        <v>0</v>
      </c>
      <c r="Q858" s="40">
        <f t="shared" si="20"/>
        <v>0</v>
      </c>
      <c r="R858" s="41"/>
      <c r="T858" s="4">
        <f>SUMIFS('Weekly Dump'!E:E,'Weekly Dump'!B:B,C858,'Weekly Dump'!A:A,AB858)</f>
        <v>0</v>
      </c>
      <c r="U858" s="3">
        <f t="shared" si="21"/>
        <v>0</v>
      </c>
      <c r="V858" s="42"/>
      <c r="X858" s="4">
        <f>SUMIFS('Weekly Dump'!P:P,'Weekly Dump'!B:B,C858,'Weekly Dump'!A:A,AB858)</f>
        <v>0</v>
      </c>
      <c r="Y858" s="4">
        <f t="shared" si="22"/>
        <v>0</v>
      </c>
      <c r="Z858" s="41"/>
      <c r="AA858" s="12" t="str">
        <f>iferror(IF(VLOOKUP(C858,'Weekly Dump'!B:B,1,0)=C858,"Yes","Missing"),"")</f>
        <v/>
      </c>
      <c r="AB858" s="66"/>
    </row>
    <row r="859">
      <c r="B859" s="63"/>
      <c r="C859" s="63"/>
      <c r="G859" s="3" t="str">
        <f t="shared" si="26"/>
        <v/>
      </c>
      <c r="I859" s="4">
        <f>SUMIFS('Weekly Dump'!D:D,'Weekly Dump'!B:B,C859)</f>
        <v>0</v>
      </c>
      <c r="J859" s="5">
        <f>SUMIFS('Weekly Dump'!AE:AE,'Weekly Dump'!B:B,C859)</f>
        <v>0</v>
      </c>
      <c r="K859" s="4">
        <f>SUMPRODUCT(
  (TEXT('Weekly Dump'!$A$2:$A1009,"mmm-yy")=TEXT($AB859,"mmm-yy"))*
  ('Weekly Dump'!$B$2:$B1009=$C859)*
  'Weekly Dump'!$D$2:$D1009)</f>
        <v>0</v>
      </c>
      <c r="L859" s="4">
        <f>SUMPRODUCT(
  (TEXT('Weekly Dump'!$A$2:$A1009,"mmm-yy")=TEXT($AB859,"mmm-yy"))*
  ('Weekly Dump'!$B$2:$B1009=$C859)*
  'Weekly Dump'!$E$2:$E1009
)</f>
        <v>0</v>
      </c>
      <c r="M859" s="4">
        <f>SUMPRODUCT(
  (TEXT('Weekly Dump'!$A$2:$A1009,"mmm-yy")=TEXT($AB859,"mmm-yy"))*
  ('Weekly Dump'!$B$2:$B1009=$C859)*
  'Weekly Dump'!$P$2:$P1009
)</f>
        <v>0</v>
      </c>
      <c r="N859" s="39"/>
      <c r="O859" s="40">
        <f>SUMIFS('Weekly Dump'!$D:$D,'Weekly Dump'!$B:$B,$C859,'Weekly Dump'!$A:$A,$AB859)</f>
        <v>0</v>
      </c>
      <c r="P859" s="40">
        <f>SUMIFS('Weekly Dump'!R:R,'Weekly Dump'!B:B,C859,'Weekly Dump'!A:A,AB859)</f>
        <v>0</v>
      </c>
      <c r="Q859" s="40">
        <f t="shared" si="20"/>
        <v>0</v>
      </c>
      <c r="R859" s="41"/>
      <c r="T859" s="4">
        <f>SUMIFS('Weekly Dump'!E:E,'Weekly Dump'!B:B,C859,'Weekly Dump'!A:A,AB859)</f>
        <v>0</v>
      </c>
      <c r="U859" s="3">
        <f t="shared" si="21"/>
        <v>0</v>
      </c>
      <c r="V859" s="42"/>
      <c r="X859" s="4">
        <f>SUMIFS('Weekly Dump'!P:P,'Weekly Dump'!B:B,C859,'Weekly Dump'!A:A,AB859)</f>
        <v>0</v>
      </c>
      <c r="Y859" s="4">
        <f t="shared" si="22"/>
        <v>0</v>
      </c>
      <c r="Z859" s="41"/>
      <c r="AA859" s="12" t="str">
        <f>iferror(IF(VLOOKUP(C859,'Weekly Dump'!B:B,1,0)=C859,"Yes","Missing"),"")</f>
        <v/>
      </c>
      <c r="AB859" s="66"/>
    </row>
    <row r="860">
      <c r="B860" s="63"/>
      <c r="C860" s="63"/>
      <c r="G860" s="3" t="str">
        <f t="shared" si="26"/>
        <v/>
      </c>
      <c r="I860" s="4">
        <f>SUMIFS('Weekly Dump'!D:D,'Weekly Dump'!B:B,C860)</f>
        <v>0</v>
      </c>
      <c r="J860" s="5">
        <f>SUMIFS('Weekly Dump'!AE:AE,'Weekly Dump'!B:B,C860)</f>
        <v>0</v>
      </c>
      <c r="K860" s="4">
        <f>SUMPRODUCT(
  (TEXT('Weekly Dump'!$A$2:$A1009,"mmm-yy")=TEXT($AB860,"mmm-yy"))*
  ('Weekly Dump'!$B$2:$B1009=$C860)*
  'Weekly Dump'!$D$2:$D1009)</f>
        <v>0</v>
      </c>
      <c r="L860" s="4">
        <f>SUMPRODUCT(
  (TEXT('Weekly Dump'!$A$2:$A1009,"mmm-yy")=TEXT($AB860,"mmm-yy"))*
  ('Weekly Dump'!$B$2:$B1009=$C860)*
  'Weekly Dump'!$E$2:$E1009
)</f>
        <v>0</v>
      </c>
      <c r="M860" s="4">
        <f>SUMPRODUCT(
  (TEXT('Weekly Dump'!$A$2:$A1009,"mmm-yy")=TEXT($AB860,"mmm-yy"))*
  ('Weekly Dump'!$B$2:$B1009=$C860)*
  'Weekly Dump'!$P$2:$P1009
)</f>
        <v>0</v>
      </c>
      <c r="N860" s="39"/>
      <c r="O860" s="40">
        <f>SUMIFS('Weekly Dump'!$D:$D,'Weekly Dump'!$B:$B,$C860,'Weekly Dump'!$A:$A,$AB860)</f>
        <v>0</v>
      </c>
      <c r="P860" s="40">
        <f>SUMIFS('Weekly Dump'!R:R,'Weekly Dump'!B:B,C860,'Weekly Dump'!A:A,AB860)</f>
        <v>0</v>
      </c>
      <c r="Q860" s="40">
        <f t="shared" si="20"/>
        <v>0</v>
      </c>
      <c r="R860" s="41"/>
      <c r="T860" s="4">
        <f>SUMIFS('Weekly Dump'!E:E,'Weekly Dump'!B:B,C860,'Weekly Dump'!A:A,AB860)</f>
        <v>0</v>
      </c>
      <c r="U860" s="3">
        <f t="shared" si="21"/>
        <v>0</v>
      </c>
      <c r="V860" s="42"/>
      <c r="X860" s="4">
        <f>SUMIFS('Weekly Dump'!P:P,'Weekly Dump'!B:B,C860,'Weekly Dump'!A:A,AB860)</f>
        <v>0</v>
      </c>
      <c r="Y860" s="4">
        <f t="shared" si="22"/>
        <v>0</v>
      </c>
      <c r="Z860" s="41"/>
      <c r="AA860" s="12" t="str">
        <f>iferror(IF(VLOOKUP(C860,'Weekly Dump'!B:B,1,0)=C860,"Yes","Missing"),"")</f>
        <v/>
      </c>
      <c r="AB860" s="66"/>
    </row>
    <row r="861">
      <c r="B861" s="63"/>
      <c r="C861" s="63"/>
      <c r="G861" s="3" t="str">
        <f t="shared" si="26"/>
        <v/>
      </c>
      <c r="I861" s="4">
        <f>SUMIFS('Weekly Dump'!D:D,'Weekly Dump'!B:B,C861)</f>
        <v>0</v>
      </c>
      <c r="J861" s="5">
        <f>SUMIFS('Weekly Dump'!AE:AE,'Weekly Dump'!B:B,C861)</f>
        <v>0</v>
      </c>
      <c r="K861" s="4">
        <f>SUMPRODUCT(
  (TEXT('Weekly Dump'!$A$2:$A1009,"mmm-yy")=TEXT($AB861,"mmm-yy"))*
  ('Weekly Dump'!$B$2:$B1009=$C861)*
  'Weekly Dump'!$D$2:$D1009)</f>
        <v>0</v>
      </c>
      <c r="L861" s="4">
        <f>SUMPRODUCT(
  (TEXT('Weekly Dump'!$A$2:$A1009,"mmm-yy")=TEXT($AB861,"mmm-yy"))*
  ('Weekly Dump'!$B$2:$B1009=$C861)*
  'Weekly Dump'!$E$2:$E1009
)</f>
        <v>0</v>
      </c>
      <c r="M861" s="4">
        <f>SUMPRODUCT(
  (TEXT('Weekly Dump'!$A$2:$A1009,"mmm-yy")=TEXT($AB861,"mmm-yy"))*
  ('Weekly Dump'!$B$2:$B1009=$C861)*
  'Weekly Dump'!$P$2:$P1009
)</f>
        <v>0</v>
      </c>
      <c r="N861" s="39"/>
      <c r="O861" s="40">
        <f>SUMIFS('Weekly Dump'!$D:$D,'Weekly Dump'!$B:$B,$C861,'Weekly Dump'!$A:$A,$AB861)</f>
        <v>0</v>
      </c>
      <c r="P861" s="40">
        <f>SUMIFS('Weekly Dump'!R:R,'Weekly Dump'!B:B,C861,'Weekly Dump'!A:A,AB861)</f>
        <v>0</v>
      </c>
      <c r="Q861" s="40">
        <f t="shared" si="20"/>
        <v>0</v>
      </c>
      <c r="R861" s="41"/>
      <c r="T861" s="4">
        <f>SUMIFS('Weekly Dump'!E:E,'Weekly Dump'!B:B,C861,'Weekly Dump'!A:A,AB861)</f>
        <v>0</v>
      </c>
      <c r="U861" s="3">
        <f t="shared" si="21"/>
        <v>0</v>
      </c>
      <c r="V861" s="42"/>
      <c r="X861" s="4">
        <f>SUMIFS('Weekly Dump'!P:P,'Weekly Dump'!B:B,C861,'Weekly Dump'!A:A,AB861)</f>
        <v>0</v>
      </c>
      <c r="Y861" s="4">
        <f t="shared" si="22"/>
        <v>0</v>
      </c>
      <c r="Z861" s="41"/>
      <c r="AA861" s="12" t="str">
        <f>iferror(IF(VLOOKUP(C861,'Weekly Dump'!B:B,1,0)=C861,"Yes","Missing"),"")</f>
        <v/>
      </c>
      <c r="AB861" s="66"/>
    </row>
    <row r="862">
      <c r="B862" s="63"/>
      <c r="C862" s="63"/>
      <c r="G862" s="3" t="str">
        <f t="shared" si="26"/>
        <v/>
      </c>
      <c r="I862" s="4">
        <f>SUMIFS('Weekly Dump'!D:D,'Weekly Dump'!B:B,C862)</f>
        <v>0</v>
      </c>
      <c r="J862" s="5">
        <f>SUMIFS('Weekly Dump'!AE:AE,'Weekly Dump'!B:B,C862)</f>
        <v>0</v>
      </c>
      <c r="K862" s="4">
        <f>SUMPRODUCT(
  (TEXT('Weekly Dump'!$A$2:$A1009,"mmm-yy")=TEXT($AB862,"mmm-yy"))*
  ('Weekly Dump'!$B$2:$B1009=$C862)*
  'Weekly Dump'!$D$2:$D1009)</f>
        <v>0</v>
      </c>
      <c r="L862" s="4">
        <f>SUMPRODUCT(
  (TEXT('Weekly Dump'!$A$2:$A1009,"mmm-yy")=TEXT($AB862,"mmm-yy"))*
  ('Weekly Dump'!$B$2:$B1009=$C862)*
  'Weekly Dump'!$E$2:$E1009
)</f>
        <v>0</v>
      </c>
      <c r="M862" s="4">
        <f>SUMPRODUCT(
  (TEXT('Weekly Dump'!$A$2:$A1009,"mmm-yy")=TEXT($AB862,"mmm-yy"))*
  ('Weekly Dump'!$B$2:$B1009=$C862)*
  'Weekly Dump'!$P$2:$P1009
)</f>
        <v>0</v>
      </c>
      <c r="N862" s="39"/>
      <c r="O862" s="40">
        <f>SUMIFS('Weekly Dump'!$D:$D,'Weekly Dump'!$B:$B,$C862,'Weekly Dump'!$A:$A,$AB862)</f>
        <v>0</v>
      </c>
      <c r="P862" s="40">
        <f>SUMIFS('Weekly Dump'!R:R,'Weekly Dump'!B:B,C862,'Weekly Dump'!A:A,AB862)</f>
        <v>0</v>
      </c>
      <c r="Q862" s="40">
        <f t="shared" si="20"/>
        <v>0</v>
      </c>
      <c r="R862" s="41"/>
      <c r="T862" s="4">
        <f>SUMIFS('Weekly Dump'!E:E,'Weekly Dump'!B:B,C862,'Weekly Dump'!A:A,AB862)</f>
        <v>0</v>
      </c>
      <c r="U862" s="3">
        <f t="shared" si="21"/>
        <v>0</v>
      </c>
      <c r="V862" s="42"/>
      <c r="X862" s="4">
        <f>SUMIFS('Weekly Dump'!P:P,'Weekly Dump'!B:B,C862,'Weekly Dump'!A:A,AB862)</f>
        <v>0</v>
      </c>
      <c r="Y862" s="4">
        <f t="shared" si="22"/>
        <v>0</v>
      </c>
      <c r="Z862" s="41"/>
      <c r="AA862" s="12" t="str">
        <f>iferror(IF(VLOOKUP(C862,'Weekly Dump'!B:B,1,0)=C862,"Yes","Missing"),"")</f>
        <v/>
      </c>
      <c r="AB862" s="66"/>
    </row>
    <row r="863">
      <c r="B863" s="63"/>
      <c r="C863" s="63"/>
      <c r="G863" s="3" t="str">
        <f t="shared" si="26"/>
        <v/>
      </c>
      <c r="I863" s="4">
        <f>SUMIFS('Weekly Dump'!D:D,'Weekly Dump'!B:B,C863)</f>
        <v>0</v>
      </c>
      <c r="J863" s="5">
        <f>SUMIFS('Weekly Dump'!AE:AE,'Weekly Dump'!B:B,C863)</f>
        <v>0</v>
      </c>
      <c r="K863" s="4">
        <f>SUMPRODUCT(
  (TEXT('Weekly Dump'!$A$2:$A1009,"mmm-yy")=TEXT($AB863,"mmm-yy"))*
  ('Weekly Dump'!$B$2:$B1009=$C863)*
  'Weekly Dump'!$D$2:$D1009)</f>
        <v>0</v>
      </c>
      <c r="L863" s="4">
        <f>SUMPRODUCT(
  (TEXT('Weekly Dump'!$A$2:$A1009,"mmm-yy")=TEXT($AB863,"mmm-yy"))*
  ('Weekly Dump'!$B$2:$B1009=$C863)*
  'Weekly Dump'!$E$2:$E1009
)</f>
        <v>0</v>
      </c>
      <c r="M863" s="4">
        <f>SUMPRODUCT(
  (TEXT('Weekly Dump'!$A$2:$A1009,"mmm-yy")=TEXT($AB863,"mmm-yy"))*
  ('Weekly Dump'!$B$2:$B1009=$C863)*
  'Weekly Dump'!$P$2:$P1009
)</f>
        <v>0</v>
      </c>
      <c r="N863" s="39"/>
      <c r="O863" s="40">
        <f>SUMIFS('Weekly Dump'!$D:$D,'Weekly Dump'!$B:$B,$C863,'Weekly Dump'!$A:$A,$AB863)</f>
        <v>0</v>
      </c>
      <c r="P863" s="40">
        <f>SUMIFS('Weekly Dump'!R:R,'Weekly Dump'!B:B,C863,'Weekly Dump'!A:A,AB863)</f>
        <v>0</v>
      </c>
      <c r="Q863" s="40">
        <f t="shared" si="20"/>
        <v>0</v>
      </c>
      <c r="R863" s="41"/>
      <c r="T863" s="4">
        <f>SUMIFS('Weekly Dump'!E:E,'Weekly Dump'!B:B,C863,'Weekly Dump'!A:A,AB863)</f>
        <v>0</v>
      </c>
      <c r="U863" s="3">
        <f t="shared" si="21"/>
        <v>0</v>
      </c>
      <c r="V863" s="42"/>
      <c r="X863" s="4">
        <f>SUMIFS('Weekly Dump'!P:P,'Weekly Dump'!B:B,C863,'Weekly Dump'!A:A,AB863)</f>
        <v>0</v>
      </c>
      <c r="Y863" s="4">
        <f t="shared" si="22"/>
        <v>0</v>
      </c>
      <c r="Z863" s="41"/>
      <c r="AA863" s="12" t="str">
        <f>iferror(IF(VLOOKUP(C863,'Weekly Dump'!B:B,1,0)=C863,"Yes","Missing"),"")</f>
        <v/>
      </c>
      <c r="AB863" s="66"/>
    </row>
    <row r="864">
      <c r="B864" s="63"/>
      <c r="C864" s="63"/>
      <c r="G864" s="3" t="str">
        <f t="shared" si="26"/>
        <v/>
      </c>
      <c r="I864" s="4">
        <f>SUMIFS('Weekly Dump'!D:D,'Weekly Dump'!B:B,C864)</f>
        <v>0</v>
      </c>
      <c r="J864" s="5">
        <f>SUMIFS('Weekly Dump'!AE:AE,'Weekly Dump'!B:B,C864)</f>
        <v>0</v>
      </c>
      <c r="K864" s="4">
        <f>SUMPRODUCT(
  (TEXT('Weekly Dump'!$A$2:$A1009,"mmm-yy")=TEXT($AB864,"mmm-yy"))*
  ('Weekly Dump'!$B$2:$B1009=$C864)*
  'Weekly Dump'!$D$2:$D1009)</f>
        <v>0</v>
      </c>
      <c r="L864" s="4">
        <f>SUMPRODUCT(
  (TEXT('Weekly Dump'!$A$2:$A1009,"mmm-yy")=TEXT($AB864,"mmm-yy"))*
  ('Weekly Dump'!$B$2:$B1009=$C864)*
  'Weekly Dump'!$E$2:$E1009
)</f>
        <v>0</v>
      </c>
      <c r="M864" s="4">
        <f>SUMPRODUCT(
  (TEXT('Weekly Dump'!$A$2:$A1009,"mmm-yy")=TEXT($AB864,"mmm-yy"))*
  ('Weekly Dump'!$B$2:$B1009=$C864)*
  'Weekly Dump'!$P$2:$P1009
)</f>
        <v>0</v>
      </c>
      <c r="N864" s="39"/>
      <c r="O864" s="40">
        <f>SUMIFS('Weekly Dump'!$D:$D,'Weekly Dump'!$B:$B,$C864,'Weekly Dump'!$A:$A,$AB864)</f>
        <v>0</v>
      </c>
      <c r="P864" s="40">
        <f>SUMIFS('Weekly Dump'!R:R,'Weekly Dump'!B:B,C864,'Weekly Dump'!A:A,AB864)</f>
        <v>0</v>
      </c>
      <c r="Q864" s="40">
        <f t="shared" si="20"/>
        <v>0</v>
      </c>
      <c r="R864" s="41"/>
      <c r="T864" s="4">
        <f>SUMIFS('Weekly Dump'!E:E,'Weekly Dump'!B:B,C864,'Weekly Dump'!A:A,AB864)</f>
        <v>0</v>
      </c>
      <c r="U864" s="3">
        <f t="shared" si="21"/>
        <v>0</v>
      </c>
      <c r="V864" s="42"/>
      <c r="X864" s="4">
        <f>SUMIFS('Weekly Dump'!P:P,'Weekly Dump'!B:B,C864,'Weekly Dump'!A:A,AB864)</f>
        <v>0</v>
      </c>
      <c r="Y864" s="4">
        <f t="shared" si="22"/>
        <v>0</v>
      </c>
      <c r="Z864" s="41"/>
      <c r="AA864" s="12" t="str">
        <f>iferror(IF(VLOOKUP(C864,'Weekly Dump'!B:B,1,0)=C864,"Yes","Missing"),"")</f>
        <v/>
      </c>
      <c r="AB864" s="66"/>
    </row>
    <row r="865">
      <c r="B865" s="63"/>
      <c r="C865" s="63"/>
      <c r="G865" s="3" t="str">
        <f t="shared" si="26"/>
        <v/>
      </c>
      <c r="I865" s="4">
        <f>SUMIFS('Weekly Dump'!D:D,'Weekly Dump'!B:B,C865)</f>
        <v>0</v>
      </c>
      <c r="J865" s="5">
        <f>SUMIFS('Weekly Dump'!AE:AE,'Weekly Dump'!B:B,C865)</f>
        <v>0</v>
      </c>
      <c r="K865" s="4">
        <f>SUMPRODUCT(
  (TEXT('Weekly Dump'!$A$2:$A1009,"mmm-yy")=TEXT($AB865,"mmm-yy"))*
  ('Weekly Dump'!$B$2:$B1009=$C865)*
  'Weekly Dump'!$D$2:$D1009)</f>
        <v>0</v>
      </c>
      <c r="L865" s="4">
        <f>SUMPRODUCT(
  (TEXT('Weekly Dump'!$A$2:$A1009,"mmm-yy")=TEXT($AB865,"mmm-yy"))*
  ('Weekly Dump'!$B$2:$B1009=$C865)*
  'Weekly Dump'!$E$2:$E1009
)</f>
        <v>0</v>
      </c>
      <c r="M865" s="4">
        <f>SUMPRODUCT(
  (TEXT('Weekly Dump'!$A$2:$A1009,"mmm-yy")=TEXT($AB865,"mmm-yy"))*
  ('Weekly Dump'!$B$2:$B1009=$C865)*
  'Weekly Dump'!$P$2:$P1009
)</f>
        <v>0</v>
      </c>
      <c r="N865" s="39"/>
      <c r="O865" s="40">
        <f>SUMIFS('Weekly Dump'!$D:$D,'Weekly Dump'!$B:$B,$C865,'Weekly Dump'!$A:$A,$AB865)</f>
        <v>0</v>
      </c>
      <c r="P865" s="40">
        <f>SUMIFS('Weekly Dump'!R:R,'Weekly Dump'!B:B,C865,'Weekly Dump'!A:A,AB865)</f>
        <v>0</v>
      </c>
      <c r="Q865" s="40">
        <f t="shared" si="20"/>
        <v>0</v>
      </c>
      <c r="R865" s="41"/>
      <c r="T865" s="4">
        <f>SUMIFS('Weekly Dump'!E:E,'Weekly Dump'!B:B,C865,'Weekly Dump'!A:A,AB865)</f>
        <v>0</v>
      </c>
      <c r="U865" s="3">
        <f t="shared" si="21"/>
        <v>0</v>
      </c>
      <c r="V865" s="42"/>
      <c r="X865" s="4">
        <f>SUMIFS('Weekly Dump'!P:P,'Weekly Dump'!B:B,C865,'Weekly Dump'!A:A,AB865)</f>
        <v>0</v>
      </c>
      <c r="Y865" s="4">
        <f t="shared" si="22"/>
        <v>0</v>
      </c>
      <c r="Z865" s="41"/>
      <c r="AA865" s="12" t="str">
        <f>iferror(IF(VLOOKUP(C865,'Weekly Dump'!B:B,1,0)=C865,"Yes","Missing"),"")</f>
        <v/>
      </c>
      <c r="AB865" s="66"/>
    </row>
    <row r="866">
      <c r="B866" s="63"/>
      <c r="C866" s="63"/>
      <c r="G866" s="3" t="str">
        <f t="shared" si="26"/>
        <v/>
      </c>
      <c r="I866" s="4">
        <f>SUMIFS('Weekly Dump'!D:D,'Weekly Dump'!B:B,C866)</f>
        <v>0</v>
      </c>
      <c r="J866" s="5">
        <f>SUMIFS('Weekly Dump'!AE:AE,'Weekly Dump'!B:B,C866)</f>
        <v>0</v>
      </c>
      <c r="K866" s="4">
        <f>SUMPRODUCT(
  (TEXT('Weekly Dump'!$A$2:$A1009,"mmm-yy")=TEXT($AB866,"mmm-yy"))*
  ('Weekly Dump'!$B$2:$B1009=$C866)*
  'Weekly Dump'!$D$2:$D1009)</f>
        <v>0</v>
      </c>
      <c r="L866" s="4">
        <f>SUMPRODUCT(
  (TEXT('Weekly Dump'!$A$2:$A1009,"mmm-yy")=TEXT($AB866,"mmm-yy"))*
  ('Weekly Dump'!$B$2:$B1009=$C866)*
  'Weekly Dump'!$E$2:$E1009
)</f>
        <v>0</v>
      </c>
      <c r="M866" s="4">
        <f>SUMPRODUCT(
  (TEXT('Weekly Dump'!$A$2:$A1009,"mmm-yy")=TEXT($AB866,"mmm-yy"))*
  ('Weekly Dump'!$B$2:$B1009=$C866)*
  'Weekly Dump'!$P$2:$P1009
)</f>
        <v>0</v>
      </c>
      <c r="N866" s="39"/>
      <c r="O866" s="40">
        <f>SUMIFS('Weekly Dump'!$D:$D,'Weekly Dump'!$B:$B,$C866,'Weekly Dump'!$A:$A,$AB866)</f>
        <v>0</v>
      </c>
      <c r="P866" s="40">
        <f>SUMIFS('Weekly Dump'!R:R,'Weekly Dump'!B:B,C866,'Weekly Dump'!A:A,AB866)</f>
        <v>0</v>
      </c>
      <c r="Q866" s="40">
        <f t="shared" si="20"/>
        <v>0</v>
      </c>
      <c r="R866" s="41"/>
      <c r="T866" s="4">
        <f>SUMIFS('Weekly Dump'!E:E,'Weekly Dump'!B:B,C866,'Weekly Dump'!A:A,AB866)</f>
        <v>0</v>
      </c>
      <c r="U866" s="3">
        <f t="shared" si="21"/>
        <v>0</v>
      </c>
      <c r="V866" s="42"/>
      <c r="X866" s="4">
        <f>SUMIFS('Weekly Dump'!P:P,'Weekly Dump'!B:B,C866,'Weekly Dump'!A:A,AB866)</f>
        <v>0</v>
      </c>
      <c r="Y866" s="4">
        <f t="shared" si="22"/>
        <v>0</v>
      </c>
      <c r="Z866" s="41"/>
      <c r="AA866" s="12" t="str">
        <f>iferror(IF(VLOOKUP(C866,'Weekly Dump'!B:B,1,0)=C866,"Yes","Missing"),"")</f>
        <v/>
      </c>
      <c r="AB866" s="66"/>
    </row>
    <row r="867">
      <c r="B867" s="63"/>
      <c r="C867" s="63"/>
      <c r="G867" s="3" t="str">
        <f t="shared" si="26"/>
        <v/>
      </c>
      <c r="I867" s="4">
        <f>SUMIFS('Weekly Dump'!D:D,'Weekly Dump'!B:B,C867)</f>
        <v>0</v>
      </c>
      <c r="J867" s="5">
        <f>SUMIFS('Weekly Dump'!AE:AE,'Weekly Dump'!B:B,C867)</f>
        <v>0</v>
      </c>
      <c r="K867" s="4">
        <f>SUMPRODUCT(
  (TEXT('Weekly Dump'!$A$2:$A1009,"mmm-yy")=TEXT($AB867,"mmm-yy"))*
  ('Weekly Dump'!$B$2:$B1009=$C867)*
  'Weekly Dump'!$D$2:$D1009)</f>
        <v>0</v>
      </c>
      <c r="L867" s="4">
        <f>SUMPRODUCT(
  (TEXT('Weekly Dump'!$A$2:$A1009,"mmm-yy")=TEXT($AB867,"mmm-yy"))*
  ('Weekly Dump'!$B$2:$B1009=$C867)*
  'Weekly Dump'!$E$2:$E1009
)</f>
        <v>0</v>
      </c>
      <c r="M867" s="4">
        <f>SUMPRODUCT(
  (TEXT('Weekly Dump'!$A$2:$A1009,"mmm-yy")=TEXT($AB867,"mmm-yy"))*
  ('Weekly Dump'!$B$2:$B1009=$C867)*
  'Weekly Dump'!$P$2:$P1009
)</f>
        <v>0</v>
      </c>
      <c r="N867" s="39"/>
      <c r="O867" s="40">
        <f>SUMIFS('Weekly Dump'!$D:$D,'Weekly Dump'!$B:$B,$C867,'Weekly Dump'!$A:$A,$AB867)</f>
        <v>0</v>
      </c>
      <c r="P867" s="40">
        <f>SUMIFS('Weekly Dump'!R:R,'Weekly Dump'!B:B,C867,'Weekly Dump'!A:A,AB867)</f>
        <v>0</v>
      </c>
      <c r="Q867" s="40">
        <f t="shared" si="20"/>
        <v>0</v>
      </c>
      <c r="R867" s="41"/>
      <c r="T867" s="4">
        <f>SUMIFS('Weekly Dump'!E:E,'Weekly Dump'!B:B,C867,'Weekly Dump'!A:A,AB867)</f>
        <v>0</v>
      </c>
      <c r="U867" s="3">
        <f t="shared" si="21"/>
        <v>0</v>
      </c>
      <c r="V867" s="42"/>
      <c r="X867" s="4">
        <f>SUMIFS('Weekly Dump'!P:P,'Weekly Dump'!B:B,C867,'Weekly Dump'!A:A,AB867)</f>
        <v>0</v>
      </c>
      <c r="Y867" s="4">
        <f t="shared" si="22"/>
        <v>0</v>
      </c>
      <c r="Z867" s="41"/>
      <c r="AA867" s="12" t="str">
        <f>iferror(IF(VLOOKUP(C867,'Weekly Dump'!B:B,1,0)=C867,"Yes","Missing"),"")</f>
        <v/>
      </c>
      <c r="AB867" s="66"/>
    </row>
    <row r="868">
      <c r="B868" s="63"/>
      <c r="C868" s="63"/>
      <c r="G868" s="3" t="str">
        <f t="shared" si="26"/>
        <v/>
      </c>
      <c r="I868" s="4">
        <f>SUMIFS('Weekly Dump'!D:D,'Weekly Dump'!B:B,C868)</f>
        <v>0</v>
      </c>
      <c r="J868" s="5">
        <f>SUMIFS('Weekly Dump'!AE:AE,'Weekly Dump'!B:B,C868)</f>
        <v>0</v>
      </c>
      <c r="K868" s="4">
        <f>SUMPRODUCT(
  (TEXT('Weekly Dump'!$A$2:$A1009,"mmm-yy")=TEXT($AB868,"mmm-yy"))*
  ('Weekly Dump'!$B$2:$B1009=$C868)*
  'Weekly Dump'!$D$2:$D1009)</f>
        <v>0</v>
      </c>
      <c r="L868" s="4">
        <f>SUMPRODUCT(
  (TEXT('Weekly Dump'!$A$2:$A1009,"mmm-yy")=TEXT($AB868,"mmm-yy"))*
  ('Weekly Dump'!$B$2:$B1009=$C868)*
  'Weekly Dump'!$E$2:$E1009
)</f>
        <v>0</v>
      </c>
      <c r="M868" s="4">
        <f>SUMPRODUCT(
  (TEXT('Weekly Dump'!$A$2:$A1009,"mmm-yy")=TEXT($AB868,"mmm-yy"))*
  ('Weekly Dump'!$B$2:$B1009=$C868)*
  'Weekly Dump'!$P$2:$P1009
)</f>
        <v>0</v>
      </c>
      <c r="N868" s="39"/>
      <c r="O868" s="40">
        <f>SUMIFS('Weekly Dump'!$D:$D,'Weekly Dump'!$B:$B,$C868,'Weekly Dump'!$A:$A,$AB868)</f>
        <v>0</v>
      </c>
      <c r="P868" s="40">
        <f>SUMIFS('Weekly Dump'!R:R,'Weekly Dump'!B:B,C868,'Weekly Dump'!A:A,AB868)</f>
        <v>0</v>
      </c>
      <c r="Q868" s="40">
        <f t="shared" si="20"/>
        <v>0</v>
      </c>
      <c r="R868" s="41"/>
      <c r="T868" s="4">
        <f>SUMIFS('Weekly Dump'!E:E,'Weekly Dump'!B:B,C868,'Weekly Dump'!A:A,AB868)</f>
        <v>0</v>
      </c>
      <c r="U868" s="3">
        <f t="shared" si="21"/>
        <v>0</v>
      </c>
      <c r="V868" s="42"/>
      <c r="X868" s="4">
        <f>SUMIFS('Weekly Dump'!P:P,'Weekly Dump'!B:B,C868,'Weekly Dump'!A:A,AB868)</f>
        <v>0</v>
      </c>
      <c r="Y868" s="4">
        <f t="shared" si="22"/>
        <v>0</v>
      </c>
      <c r="Z868" s="41"/>
      <c r="AA868" s="12" t="str">
        <f>iferror(IF(VLOOKUP(C868,'Weekly Dump'!B:B,1,0)=C868,"Yes","Missing"),"")</f>
        <v/>
      </c>
      <c r="AB868" s="66"/>
    </row>
    <row r="869">
      <c r="B869" s="63"/>
      <c r="C869" s="63"/>
      <c r="G869" s="3" t="str">
        <f t="shared" si="26"/>
        <v/>
      </c>
      <c r="I869" s="4">
        <f>SUMIFS('Weekly Dump'!D:D,'Weekly Dump'!B:B,C869)</f>
        <v>0</v>
      </c>
      <c r="J869" s="5">
        <f>SUMIFS('Weekly Dump'!AE:AE,'Weekly Dump'!B:B,C869)</f>
        <v>0</v>
      </c>
      <c r="K869" s="4">
        <f>SUMPRODUCT(
  (TEXT('Weekly Dump'!$A$2:$A1009,"mmm-yy")=TEXT($AB869,"mmm-yy"))*
  ('Weekly Dump'!$B$2:$B1009=$C869)*
  'Weekly Dump'!$D$2:$D1009)</f>
        <v>0</v>
      </c>
      <c r="L869" s="4">
        <f>SUMPRODUCT(
  (TEXT('Weekly Dump'!$A$2:$A1009,"mmm-yy")=TEXT($AB869,"mmm-yy"))*
  ('Weekly Dump'!$B$2:$B1009=$C869)*
  'Weekly Dump'!$E$2:$E1009
)</f>
        <v>0</v>
      </c>
      <c r="M869" s="4">
        <f>SUMPRODUCT(
  (TEXT('Weekly Dump'!$A$2:$A1009,"mmm-yy")=TEXT($AB869,"mmm-yy"))*
  ('Weekly Dump'!$B$2:$B1009=$C869)*
  'Weekly Dump'!$P$2:$P1009
)</f>
        <v>0</v>
      </c>
      <c r="N869" s="39"/>
      <c r="O869" s="40">
        <f>SUMIFS('Weekly Dump'!$D:$D,'Weekly Dump'!$B:$B,$C869,'Weekly Dump'!$A:$A,$AB869)</f>
        <v>0</v>
      </c>
      <c r="P869" s="40">
        <f>SUMIFS('Weekly Dump'!R:R,'Weekly Dump'!B:B,C869,'Weekly Dump'!A:A,AB869)</f>
        <v>0</v>
      </c>
      <c r="Q869" s="40">
        <f t="shared" si="20"/>
        <v>0</v>
      </c>
      <c r="R869" s="41"/>
      <c r="T869" s="4">
        <f>SUMIFS('Weekly Dump'!E:E,'Weekly Dump'!B:B,C869,'Weekly Dump'!A:A,AB869)</f>
        <v>0</v>
      </c>
      <c r="U869" s="3">
        <f t="shared" si="21"/>
        <v>0</v>
      </c>
      <c r="V869" s="42"/>
      <c r="X869" s="4">
        <f>SUMIFS('Weekly Dump'!P:P,'Weekly Dump'!B:B,C869,'Weekly Dump'!A:A,AB869)</f>
        <v>0</v>
      </c>
      <c r="Y869" s="4">
        <f t="shared" si="22"/>
        <v>0</v>
      </c>
      <c r="Z869" s="41"/>
      <c r="AA869" s="12" t="str">
        <f>iferror(IF(VLOOKUP(C869,'Weekly Dump'!B:B,1,0)=C869,"Yes","Missing"),"")</f>
        <v/>
      </c>
      <c r="AB869" s="66"/>
    </row>
    <row r="870">
      <c r="B870" s="63"/>
      <c r="C870" s="63"/>
      <c r="G870" s="3" t="str">
        <f t="shared" si="26"/>
        <v/>
      </c>
      <c r="I870" s="4">
        <f>SUMIFS('Weekly Dump'!D:D,'Weekly Dump'!B:B,C870)</f>
        <v>0</v>
      </c>
      <c r="J870" s="5">
        <f>SUMIFS('Weekly Dump'!AE:AE,'Weekly Dump'!B:B,C870)</f>
        <v>0</v>
      </c>
      <c r="K870" s="4">
        <f>SUMPRODUCT(
  (TEXT('Weekly Dump'!$A$2:$A1009,"mmm-yy")=TEXT($AB870,"mmm-yy"))*
  ('Weekly Dump'!$B$2:$B1009=$C870)*
  'Weekly Dump'!$D$2:$D1009)</f>
        <v>0</v>
      </c>
      <c r="L870" s="4">
        <f>SUMPRODUCT(
  (TEXT('Weekly Dump'!$A$2:$A1009,"mmm-yy")=TEXT($AB870,"mmm-yy"))*
  ('Weekly Dump'!$B$2:$B1009=$C870)*
  'Weekly Dump'!$E$2:$E1009
)</f>
        <v>0</v>
      </c>
      <c r="M870" s="4">
        <f>SUMPRODUCT(
  (TEXT('Weekly Dump'!$A$2:$A1009,"mmm-yy")=TEXT($AB870,"mmm-yy"))*
  ('Weekly Dump'!$B$2:$B1009=$C870)*
  'Weekly Dump'!$P$2:$P1009
)</f>
        <v>0</v>
      </c>
      <c r="N870" s="39"/>
      <c r="O870" s="40">
        <f>SUMIFS('Weekly Dump'!$D:$D,'Weekly Dump'!$B:$B,$C870,'Weekly Dump'!$A:$A,$AB870)</f>
        <v>0</v>
      </c>
      <c r="P870" s="40">
        <f>SUMIFS('Weekly Dump'!R:R,'Weekly Dump'!B:B,C870,'Weekly Dump'!A:A,AB870)</f>
        <v>0</v>
      </c>
      <c r="Q870" s="40">
        <f t="shared" si="20"/>
        <v>0</v>
      </c>
      <c r="R870" s="41"/>
      <c r="T870" s="4">
        <f>SUMIFS('Weekly Dump'!E:E,'Weekly Dump'!B:B,C870,'Weekly Dump'!A:A,AB870)</f>
        <v>0</v>
      </c>
      <c r="U870" s="3">
        <f t="shared" si="21"/>
        <v>0</v>
      </c>
      <c r="V870" s="42"/>
      <c r="X870" s="4">
        <f>SUMIFS('Weekly Dump'!P:P,'Weekly Dump'!B:B,C870,'Weekly Dump'!A:A,AB870)</f>
        <v>0</v>
      </c>
      <c r="Y870" s="4">
        <f t="shared" si="22"/>
        <v>0</v>
      </c>
      <c r="Z870" s="41"/>
      <c r="AA870" s="12" t="str">
        <f>iferror(IF(VLOOKUP(C870,'Weekly Dump'!B:B,1,0)=C870,"Yes","Missing"),"")</f>
        <v/>
      </c>
      <c r="AB870" s="66"/>
    </row>
    <row r="871">
      <c r="B871" s="63"/>
      <c r="C871" s="63"/>
      <c r="G871" s="3" t="str">
        <f t="shared" si="26"/>
        <v/>
      </c>
      <c r="I871" s="4">
        <f>SUMIFS('Weekly Dump'!D:D,'Weekly Dump'!B:B,C871)</f>
        <v>0</v>
      </c>
      <c r="J871" s="5">
        <f>SUMIFS('Weekly Dump'!AE:AE,'Weekly Dump'!B:B,C871)</f>
        <v>0</v>
      </c>
      <c r="K871" s="4">
        <f>SUMPRODUCT(
  (TEXT('Weekly Dump'!$A$2:$A1009,"mmm-yy")=TEXT($AB871,"mmm-yy"))*
  ('Weekly Dump'!$B$2:$B1009=$C871)*
  'Weekly Dump'!$D$2:$D1009)</f>
        <v>0</v>
      </c>
      <c r="L871" s="4">
        <f>SUMPRODUCT(
  (TEXT('Weekly Dump'!$A$2:$A1009,"mmm-yy")=TEXT($AB871,"mmm-yy"))*
  ('Weekly Dump'!$B$2:$B1009=$C871)*
  'Weekly Dump'!$E$2:$E1009
)</f>
        <v>0</v>
      </c>
      <c r="M871" s="4">
        <f>SUMPRODUCT(
  (TEXT('Weekly Dump'!$A$2:$A1009,"mmm-yy")=TEXT($AB871,"mmm-yy"))*
  ('Weekly Dump'!$B$2:$B1009=$C871)*
  'Weekly Dump'!$P$2:$P1009
)</f>
        <v>0</v>
      </c>
      <c r="N871" s="39"/>
      <c r="O871" s="40">
        <f>SUMIFS('Weekly Dump'!$D:$D,'Weekly Dump'!$B:$B,$C871,'Weekly Dump'!$A:$A,$AB871)</f>
        <v>0</v>
      </c>
      <c r="P871" s="40">
        <f>SUMIFS('Weekly Dump'!R:R,'Weekly Dump'!B:B,C871,'Weekly Dump'!A:A,AB871)</f>
        <v>0</v>
      </c>
      <c r="Q871" s="40">
        <f t="shared" si="20"/>
        <v>0</v>
      </c>
      <c r="R871" s="41"/>
      <c r="T871" s="4">
        <f>SUMIFS('Weekly Dump'!E:E,'Weekly Dump'!B:B,C871,'Weekly Dump'!A:A,AB871)</f>
        <v>0</v>
      </c>
      <c r="U871" s="3">
        <f t="shared" si="21"/>
        <v>0</v>
      </c>
      <c r="V871" s="42"/>
      <c r="X871" s="4">
        <f>SUMIFS('Weekly Dump'!P:P,'Weekly Dump'!B:B,C871,'Weekly Dump'!A:A,AB871)</f>
        <v>0</v>
      </c>
      <c r="Y871" s="4">
        <f t="shared" si="22"/>
        <v>0</v>
      </c>
      <c r="Z871" s="41"/>
      <c r="AA871" s="12" t="str">
        <f>iferror(IF(VLOOKUP(C871,'Weekly Dump'!B:B,1,0)=C871,"Yes","Missing"),"")</f>
        <v/>
      </c>
      <c r="AB871" s="66"/>
    </row>
    <row r="872">
      <c r="B872" s="63"/>
      <c r="C872" s="63"/>
      <c r="G872" s="3" t="str">
        <f t="shared" si="26"/>
        <v/>
      </c>
      <c r="I872" s="4">
        <f>SUMIFS('Weekly Dump'!D:D,'Weekly Dump'!B:B,C872)</f>
        <v>0</v>
      </c>
      <c r="J872" s="5">
        <f>SUMIFS('Weekly Dump'!AE:AE,'Weekly Dump'!B:B,C872)</f>
        <v>0</v>
      </c>
      <c r="K872" s="4">
        <f>SUMPRODUCT(
  (TEXT('Weekly Dump'!$A$2:$A1009,"mmm-yy")=TEXT($AB872,"mmm-yy"))*
  ('Weekly Dump'!$B$2:$B1009=$C872)*
  'Weekly Dump'!$D$2:$D1009)</f>
        <v>0</v>
      </c>
      <c r="L872" s="4">
        <f>SUMPRODUCT(
  (TEXT('Weekly Dump'!$A$2:$A1009,"mmm-yy")=TEXT($AB872,"mmm-yy"))*
  ('Weekly Dump'!$B$2:$B1009=$C872)*
  'Weekly Dump'!$E$2:$E1009
)</f>
        <v>0</v>
      </c>
      <c r="M872" s="4">
        <f>SUMPRODUCT(
  (TEXT('Weekly Dump'!$A$2:$A1009,"mmm-yy")=TEXT($AB872,"mmm-yy"))*
  ('Weekly Dump'!$B$2:$B1009=$C872)*
  'Weekly Dump'!$P$2:$P1009
)</f>
        <v>0</v>
      </c>
      <c r="N872" s="39"/>
      <c r="O872" s="40">
        <f>SUMIFS('Weekly Dump'!$D:$D,'Weekly Dump'!$B:$B,$C872,'Weekly Dump'!$A:$A,$AB872)</f>
        <v>0</v>
      </c>
      <c r="P872" s="40">
        <f>SUMIFS('Weekly Dump'!R:R,'Weekly Dump'!B:B,C872,'Weekly Dump'!A:A,AB872)</f>
        <v>0</v>
      </c>
      <c r="Q872" s="40">
        <f t="shared" si="20"/>
        <v>0</v>
      </c>
      <c r="R872" s="41"/>
      <c r="T872" s="4">
        <f>SUMIFS('Weekly Dump'!E:E,'Weekly Dump'!B:B,C872,'Weekly Dump'!A:A,AB872)</f>
        <v>0</v>
      </c>
      <c r="U872" s="3">
        <f t="shared" si="21"/>
        <v>0</v>
      </c>
      <c r="V872" s="42"/>
      <c r="X872" s="4">
        <f>SUMIFS('Weekly Dump'!P:P,'Weekly Dump'!B:B,C872,'Weekly Dump'!A:A,AB872)</f>
        <v>0</v>
      </c>
      <c r="Y872" s="4">
        <f t="shared" si="22"/>
        <v>0</v>
      </c>
      <c r="Z872" s="41"/>
      <c r="AA872" s="12" t="str">
        <f>iferror(IF(VLOOKUP(C872,'Weekly Dump'!B:B,1,0)=C872,"Yes","Missing"),"")</f>
        <v/>
      </c>
      <c r="AB872" s="66"/>
    </row>
    <row r="873">
      <c r="B873" s="63"/>
      <c r="C873" s="63"/>
      <c r="G873" s="3" t="str">
        <f t="shared" si="26"/>
        <v/>
      </c>
      <c r="I873" s="4">
        <f>SUMIFS('Weekly Dump'!D:D,'Weekly Dump'!B:B,C873)</f>
        <v>0</v>
      </c>
      <c r="J873" s="5">
        <f>SUMIFS('Weekly Dump'!AE:AE,'Weekly Dump'!B:B,C873)</f>
        <v>0</v>
      </c>
      <c r="K873" s="4">
        <f>SUMPRODUCT(
  (TEXT('Weekly Dump'!$A$2:$A1009,"mmm-yy")=TEXT($AB873,"mmm-yy"))*
  ('Weekly Dump'!$B$2:$B1009=$C873)*
  'Weekly Dump'!$D$2:$D1009)</f>
        <v>0</v>
      </c>
      <c r="L873" s="4">
        <f>SUMPRODUCT(
  (TEXT('Weekly Dump'!$A$2:$A1009,"mmm-yy")=TEXT($AB873,"mmm-yy"))*
  ('Weekly Dump'!$B$2:$B1009=$C873)*
  'Weekly Dump'!$E$2:$E1009
)</f>
        <v>0</v>
      </c>
      <c r="M873" s="4">
        <f>SUMPRODUCT(
  (TEXT('Weekly Dump'!$A$2:$A1009,"mmm-yy")=TEXT($AB873,"mmm-yy"))*
  ('Weekly Dump'!$B$2:$B1009=$C873)*
  'Weekly Dump'!$P$2:$P1009
)</f>
        <v>0</v>
      </c>
      <c r="N873" s="39"/>
      <c r="O873" s="40">
        <f>SUMIFS('Weekly Dump'!$D:$D,'Weekly Dump'!$B:$B,$C873,'Weekly Dump'!$A:$A,$AB873)</f>
        <v>0</v>
      </c>
      <c r="P873" s="40">
        <f>SUMIFS('Weekly Dump'!R:R,'Weekly Dump'!B:B,C873,'Weekly Dump'!A:A,AB873)</f>
        <v>0</v>
      </c>
      <c r="Q873" s="40">
        <f t="shared" si="20"/>
        <v>0</v>
      </c>
      <c r="R873" s="41"/>
      <c r="T873" s="4">
        <f>SUMIFS('Weekly Dump'!E:E,'Weekly Dump'!B:B,C873,'Weekly Dump'!A:A,AB873)</f>
        <v>0</v>
      </c>
      <c r="U873" s="3">
        <f t="shared" si="21"/>
        <v>0</v>
      </c>
      <c r="V873" s="42"/>
      <c r="X873" s="4">
        <f>SUMIFS('Weekly Dump'!P:P,'Weekly Dump'!B:B,C873,'Weekly Dump'!A:A,AB873)</f>
        <v>0</v>
      </c>
      <c r="Y873" s="4">
        <f t="shared" si="22"/>
        <v>0</v>
      </c>
      <c r="Z873" s="41"/>
      <c r="AA873" s="12" t="str">
        <f>iferror(IF(VLOOKUP(C873,'Weekly Dump'!B:B,1,0)=C873,"Yes","Missing"),"")</f>
        <v/>
      </c>
      <c r="AB873" s="66"/>
    </row>
    <row r="874">
      <c r="B874" s="63"/>
      <c r="C874" s="63"/>
      <c r="G874" s="3" t="str">
        <f t="shared" si="26"/>
        <v/>
      </c>
      <c r="I874" s="4">
        <f>SUMIFS('Weekly Dump'!D:D,'Weekly Dump'!B:B,C874)</f>
        <v>0</v>
      </c>
      <c r="J874" s="5">
        <f>SUMIFS('Weekly Dump'!AE:AE,'Weekly Dump'!B:B,C874)</f>
        <v>0</v>
      </c>
      <c r="K874" s="4">
        <f>SUMPRODUCT(
  (TEXT('Weekly Dump'!$A$2:$A1009,"mmm-yy")=TEXT($AB874,"mmm-yy"))*
  ('Weekly Dump'!$B$2:$B1009=$C874)*
  'Weekly Dump'!$D$2:$D1009)</f>
        <v>0</v>
      </c>
      <c r="L874" s="4">
        <f>SUMPRODUCT(
  (TEXT('Weekly Dump'!$A$2:$A1009,"mmm-yy")=TEXT($AB874,"mmm-yy"))*
  ('Weekly Dump'!$B$2:$B1009=$C874)*
  'Weekly Dump'!$E$2:$E1009
)</f>
        <v>0</v>
      </c>
      <c r="M874" s="4">
        <f>SUMPRODUCT(
  (TEXT('Weekly Dump'!$A$2:$A1009,"mmm-yy")=TEXT($AB874,"mmm-yy"))*
  ('Weekly Dump'!$B$2:$B1009=$C874)*
  'Weekly Dump'!$P$2:$P1009
)</f>
        <v>0</v>
      </c>
      <c r="N874" s="39"/>
      <c r="O874" s="40">
        <f>SUMIFS('Weekly Dump'!$D:$D,'Weekly Dump'!$B:$B,$C874,'Weekly Dump'!$A:$A,$AB874)</f>
        <v>0</v>
      </c>
      <c r="P874" s="40">
        <f>SUMIFS('Weekly Dump'!R:R,'Weekly Dump'!B:B,C874,'Weekly Dump'!A:A,AB874)</f>
        <v>0</v>
      </c>
      <c r="Q874" s="40">
        <f t="shared" si="20"/>
        <v>0</v>
      </c>
      <c r="R874" s="41"/>
      <c r="T874" s="4">
        <f>SUMIFS('Weekly Dump'!E:E,'Weekly Dump'!B:B,C874,'Weekly Dump'!A:A,AB874)</f>
        <v>0</v>
      </c>
      <c r="U874" s="3">
        <f t="shared" si="21"/>
        <v>0</v>
      </c>
      <c r="V874" s="42"/>
      <c r="X874" s="4">
        <f>SUMIFS('Weekly Dump'!P:P,'Weekly Dump'!B:B,C874,'Weekly Dump'!A:A,AB874)</f>
        <v>0</v>
      </c>
      <c r="Y874" s="4">
        <f t="shared" si="22"/>
        <v>0</v>
      </c>
      <c r="Z874" s="41"/>
      <c r="AA874" s="12" t="str">
        <f>iferror(IF(VLOOKUP(C874,'Weekly Dump'!B:B,1,0)=C874,"Yes","Missing"),"")</f>
        <v/>
      </c>
      <c r="AB874" s="66"/>
    </row>
    <row r="875">
      <c r="B875" s="63"/>
      <c r="C875" s="63"/>
      <c r="G875" s="3" t="str">
        <f t="shared" si="26"/>
        <v/>
      </c>
      <c r="I875" s="4">
        <f>SUMIFS('Weekly Dump'!D:D,'Weekly Dump'!B:B,C875)</f>
        <v>0</v>
      </c>
      <c r="J875" s="5">
        <f>SUMIFS('Weekly Dump'!AE:AE,'Weekly Dump'!B:B,C875)</f>
        <v>0</v>
      </c>
      <c r="K875" s="4">
        <f>SUMPRODUCT(
  (TEXT('Weekly Dump'!$A$2:$A1009,"mmm-yy")=TEXT($AB875,"mmm-yy"))*
  ('Weekly Dump'!$B$2:$B1009=$C875)*
  'Weekly Dump'!$D$2:$D1009)</f>
        <v>0</v>
      </c>
      <c r="L875" s="4">
        <f>SUMPRODUCT(
  (TEXT('Weekly Dump'!$A$2:$A1009,"mmm-yy")=TEXT($AB875,"mmm-yy"))*
  ('Weekly Dump'!$B$2:$B1009=$C875)*
  'Weekly Dump'!$E$2:$E1009
)</f>
        <v>0</v>
      </c>
      <c r="M875" s="4">
        <f>SUMPRODUCT(
  (TEXT('Weekly Dump'!$A$2:$A1009,"mmm-yy")=TEXT($AB875,"mmm-yy"))*
  ('Weekly Dump'!$B$2:$B1009=$C875)*
  'Weekly Dump'!$P$2:$P1009
)</f>
        <v>0</v>
      </c>
      <c r="N875" s="39"/>
      <c r="O875" s="40">
        <f>SUMIFS('Weekly Dump'!$D:$D,'Weekly Dump'!$B:$B,$C875,'Weekly Dump'!$A:$A,$AB875)</f>
        <v>0</v>
      </c>
      <c r="P875" s="40">
        <f>SUMIFS('Weekly Dump'!R:R,'Weekly Dump'!B:B,C875,'Weekly Dump'!A:A,AB875)</f>
        <v>0</v>
      </c>
      <c r="Q875" s="40">
        <f t="shared" si="20"/>
        <v>0</v>
      </c>
      <c r="R875" s="41"/>
      <c r="T875" s="4">
        <f>SUMIFS('Weekly Dump'!E:E,'Weekly Dump'!B:B,C875,'Weekly Dump'!A:A,AB875)</f>
        <v>0</v>
      </c>
      <c r="U875" s="3">
        <f t="shared" si="21"/>
        <v>0</v>
      </c>
      <c r="V875" s="42"/>
      <c r="X875" s="4">
        <f>SUMIFS('Weekly Dump'!P:P,'Weekly Dump'!B:B,C875,'Weekly Dump'!A:A,AB875)</f>
        <v>0</v>
      </c>
      <c r="Y875" s="4">
        <f t="shared" si="22"/>
        <v>0</v>
      </c>
      <c r="Z875" s="41"/>
      <c r="AA875" s="12" t="str">
        <f>iferror(IF(VLOOKUP(C875,'Weekly Dump'!B:B,1,0)=C875,"Yes","Missing"),"")</f>
        <v/>
      </c>
      <c r="AB875" s="66"/>
    </row>
    <row r="876">
      <c r="B876" s="63"/>
      <c r="C876" s="63"/>
      <c r="G876" s="3" t="str">
        <f t="shared" si="26"/>
        <v/>
      </c>
      <c r="I876" s="4">
        <f>SUMIFS('Weekly Dump'!D:D,'Weekly Dump'!B:B,C876)</f>
        <v>0</v>
      </c>
      <c r="J876" s="5">
        <f>SUMIFS('Weekly Dump'!AE:AE,'Weekly Dump'!B:B,C876)</f>
        <v>0</v>
      </c>
      <c r="K876" s="4">
        <f>SUMPRODUCT(
  (TEXT('Weekly Dump'!$A$2:$A1009,"mmm-yy")=TEXT($AB876,"mmm-yy"))*
  ('Weekly Dump'!$B$2:$B1009=$C876)*
  'Weekly Dump'!$D$2:$D1009)</f>
        <v>0</v>
      </c>
      <c r="L876" s="4">
        <f>SUMPRODUCT(
  (TEXT('Weekly Dump'!$A$2:$A1009,"mmm-yy")=TEXT($AB876,"mmm-yy"))*
  ('Weekly Dump'!$B$2:$B1009=$C876)*
  'Weekly Dump'!$E$2:$E1009
)</f>
        <v>0</v>
      </c>
      <c r="M876" s="4">
        <f>SUMPRODUCT(
  (TEXT('Weekly Dump'!$A$2:$A1009,"mmm-yy")=TEXT($AB876,"mmm-yy"))*
  ('Weekly Dump'!$B$2:$B1009=$C876)*
  'Weekly Dump'!$P$2:$P1009
)</f>
        <v>0</v>
      </c>
      <c r="N876" s="39"/>
      <c r="O876" s="40">
        <f>SUMIFS('Weekly Dump'!$D:$D,'Weekly Dump'!$B:$B,$C876,'Weekly Dump'!$A:$A,$AB876)</f>
        <v>0</v>
      </c>
      <c r="P876" s="40">
        <f>SUMIFS('Weekly Dump'!R:R,'Weekly Dump'!B:B,C876,'Weekly Dump'!A:A,AB876)</f>
        <v>0</v>
      </c>
      <c r="Q876" s="40">
        <f t="shared" si="20"/>
        <v>0</v>
      </c>
      <c r="R876" s="41"/>
      <c r="T876" s="4">
        <f>SUMIFS('Weekly Dump'!E:E,'Weekly Dump'!B:B,C876,'Weekly Dump'!A:A,AB876)</f>
        <v>0</v>
      </c>
      <c r="U876" s="3">
        <f t="shared" si="21"/>
        <v>0</v>
      </c>
      <c r="V876" s="42"/>
      <c r="X876" s="4">
        <f>SUMIFS('Weekly Dump'!P:P,'Weekly Dump'!B:B,C876,'Weekly Dump'!A:A,AB876)</f>
        <v>0</v>
      </c>
      <c r="Y876" s="4">
        <f t="shared" si="22"/>
        <v>0</v>
      </c>
      <c r="Z876" s="41"/>
      <c r="AA876" s="12" t="str">
        <f>iferror(IF(VLOOKUP(C876,'Weekly Dump'!B:B,1,0)=C876,"Yes","Missing"),"")</f>
        <v/>
      </c>
      <c r="AB876" s="66"/>
    </row>
    <row r="877">
      <c r="B877" s="63"/>
      <c r="C877" s="63"/>
      <c r="G877" s="3" t="str">
        <f t="shared" si="26"/>
        <v/>
      </c>
      <c r="I877" s="4">
        <f>SUMIFS('Weekly Dump'!D:D,'Weekly Dump'!B:B,C877)</f>
        <v>0</v>
      </c>
      <c r="J877" s="5">
        <f>SUMIFS('Weekly Dump'!AE:AE,'Weekly Dump'!B:B,C877)</f>
        <v>0</v>
      </c>
      <c r="K877" s="4">
        <f>SUMPRODUCT(
  (TEXT('Weekly Dump'!$A$2:$A1009,"mmm-yy")=TEXT($AB877,"mmm-yy"))*
  ('Weekly Dump'!$B$2:$B1009=$C877)*
  'Weekly Dump'!$D$2:$D1009)</f>
        <v>0</v>
      </c>
      <c r="L877" s="4">
        <f>SUMPRODUCT(
  (TEXT('Weekly Dump'!$A$2:$A1009,"mmm-yy")=TEXT($AB877,"mmm-yy"))*
  ('Weekly Dump'!$B$2:$B1009=$C877)*
  'Weekly Dump'!$E$2:$E1009
)</f>
        <v>0</v>
      </c>
      <c r="M877" s="4">
        <f>SUMPRODUCT(
  (TEXT('Weekly Dump'!$A$2:$A1009,"mmm-yy")=TEXT($AB877,"mmm-yy"))*
  ('Weekly Dump'!$B$2:$B1009=$C877)*
  'Weekly Dump'!$P$2:$P1009
)</f>
        <v>0</v>
      </c>
      <c r="N877" s="39"/>
      <c r="O877" s="40">
        <f>SUMIFS('Weekly Dump'!$D:$D,'Weekly Dump'!$B:$B,$C877,'Weekly Dump'!$A:$A,$AB877)</f>
        <v>0</v>
      </c>
      <c r="P877" s="40">
        <f>SUMIFS('Weekly Dump'!R:R,'Weekly Dump'!B:B,C877,'Weekly Dump'!A:A,AB877)</f>
        <v>0</v>
      </c>
      <c r="Q877" s="40">
        <f t="shared" si="20"/>
        <v>0</v>
      </c>
      <c r="R877" s="41"/>
      <c r="T877" s="4">
        <f>SUMIFS('Weekly Dump'!E:E,'Weekly Dump'!B:B,C877,'Weekly Dump'!A:A,AB877)</f>
        <v>0</v>
      </c>
      <c r="U877" s="3">
        <f t="shared" si="21"/>
        <v>0</v>
      </c>
      <c r="V877" s="42"/>
      <c r="X877" s="4">
        <f>SUMIFS('Weekly Dump'!P:P,'Weekly Dump'!B:B,C877,'Weekly Dump'!A:A,AB877)</f>
        <v>0</v>
      </c>
      <c r="Y877" s="4">
        <f t="shared" si="22"/>
        <v>0</v>
      </c>
      <c r="Z877" s="41"/>
      <c r="AA877" s="12" t="str">
        <f>iferror(IF(VLOOKUP(C877,'Weekly Dump'!B:B,1,0)=C877,"Yes","Missing"),"")</f>
        <v/>
      </c>
      <c r="AB877" s="66"/>
    </row>
    <row r="878">
      <c r="B878" s="63"/>
      <c r="C878" s="63"/>
      <c r="G878" s="3" t="str">
        <f t="shared" si="26"/>
        <v/>
      </c>
      <c r="I878" s="4">
        <f>SUMIFS('Weekly Dump'!D:D,'Weekly Dump'!B:B,C878)</f>
        <v>0</v>
      </c>
      <c r="J878" s="5">
        <f>SUMIFS('Weekly Dump'!AE:AE,'Weekly Dump'!B:B,C878)</f>
        <v>0</v>
      </c>
      <c r="K878" s="4">
        <f>SUMPRODUCT(
  (TEXT('Weekly Dump'!$A$2:$A1009,"mmm-yy")=TEXT($AB878,"mmm-yy"))*
  ('Weekly Dump'!$B$2:$B1009=$C878)*
  'Weekly Dump'!$D$2:$D1009)</f>
        <v>0</v>
      </c>
      <c r="L878" s="4">
        <f>SUMPRODUCT(
  (TEXT('Weekly Dump'!$A$2:$A1009,"mmm-yy")=TEXT($AB878,"mmm-yy"))*
  ('Weekly Dump'!$B$2:$B1009=$C878)*
  'Weekly Dump'!$E$2:$E1009
)</f>
        <v>0</v>
      </c>
      <c r="M878" s="4">
        <f>SUMPRODUCT(
  (TEXT('Weekly Dump'!$A$2:$A1009,"mmm-yy")=TEXT($AB878,"mmm-yy"))*
  ('Weekly Dump'!$B$2:$B1009=$C878)*
  'Weekly Dump'!$P$2:$P1009
)</f>
        <v>0</v>
      </c>
      <c r="N878" s="39"/>
      <c r="O878" s="40">
        <f>SUMIFS('Weekly Dump'!$D:$D,'Weekly Dump'!$B:$B,$C878,'Weekly Dump'!$A:$A,$AB878)</f>
        <v>0</v>
      </c>
      <c r="P878" s="40">
        <f>SUMIFS('Weekly Dump'!R:R,'Weekly Dump'!B:B,C878,'Weekly Dump'!A:A,AB878)</f>
        <v>0</v>
      </c>
      <c r="Q878" s="40">
        <f t="shared" si="20"/>
        <v>0</v>
      </c>
      <c r="R878" s="41"/>
      <c r="T878" s="4">
        <f>SUMIFS('Weekly Dump'!E:E,'Weekly Dump'!B:B,C878,'Weekly Dump'!A:A,AB878)</f>
        <v>0</v>
      </c>
      <c r="U878" s="3">
        <f t="shared" si="21"/>
        <v>0</v>
      </c>
      <c r="V878" s="42"/>
      <c r="X878" s="4">
        <f>SUMIFS('Weekly Dump'!P:P,'Weekly Dump'!B:B,C878,'Weekly Dump'!A:A,AB878)</f>
        <v>0</v>
      </c>
      <c r="Y878" s="4">
        <f t="shared" si="22"/>
        <v>0</v>
      </c>
      <c r="Z878" s="41"/>
      <c r="AA878" s="12" t="str">
        <f>iferror(IF(VLOOKUP(C878,'Weekly Dump'!B:B,1,0)=C878,"Yes","Missing"),"")</f>
        <v/>
      </c>
      <c r="AB878" s="66"/>
    </row>
    <row r="879">
      <c r="B879" s="63"/>
      <c r="C879" s="63"/>
      <c r="G879" s="3" t="str">
        <f t="shared" si="26"/>
        <v/>
      </c>
      <c r="I879" s="4">
        <f>SUMIFS('Weekly Dump'!D:D,'Weekly Dump'!B:B,C879)</f>
        <v>0</v>
      </c>
      <c r="J879" s="5">
        <f>SUMIFS('Weekly Dump'!AE:AE,'Weekly Dump'!B:B,C879)</f>
        <v>0</v>
      </c>
      <c r="K879" s="4">
        <f>SUMPRODUCT(
  (TEXT('Weekly Dump'!$A$2:$A1009,"mmm-yy")=TEXT($AB879,"mmm-yy"))*
  ('Weekly Dump'!$B$2:$B1009=$C879)*
  'Weekly Dump'!$D$2:$D1009)</f>
        <v>0</v>
      </c>
      <c r="L879" s="4">
        <f>SUMPRODUCT(
  (TEXT('Weekly Dump'!$A$2:$A1009,"mmm-yy")=TEXT($AB879,"mmm-yy"))*
  ('Weekly Dump'!$B$2:$B1009=$C879)*
  'Weekly Dump'!$E$2:$E1009
)</f>
        <v>0</v>
      </c>
      <c r="M879" s="4">
        <f>SUMPRODUCT(
  (TEXT('Weekly Dump'!$A$2:$A1009,"mmm-yy")=TEXT($AB879,"mmm-yy"))*
  ('Weekly Dump'!$B$2:$B1009=$C879)*
  'Weekly Dump'!$P$2:$P1009
)</f>
        <v>0</v>
      </c>
      <c r="N879" s="39"/>
      <c r="O879" s="40">
        <f>SUMIFS('Weekly Dump'!$D:$D,'Weekly Dump'!$B:$B,$C879,'Weekly Dump'!$A:$A,$AB879)</f>
        <v>0</v>
      </c>
      <c r="P879" s="40">
        <f>SUMIFS('Weekly Dump'!R:R,'Weekly Dump'!B:B,C879,'Weekly Dump'!A:A,AB879)</f>
        <v>0</v>
      </c>
      <c r="Q879" s="40">
        <f t="shared" si="20"/>
        <v>0</v>
      </c>
      <c r="R879" s="41"/>
      <c r="T879" s="4">
        <f>SUMIFS('Weekly Dump'!E:E,'Weekly Dump'!B:B,C879,'Weekly Dump'!A:A,AB879)</f>
        <v>0</v>
      </c>
      <c r="U879" s="3">
        <f t="shared" si="21"/>
        <v>0</v>
      </c>
      <c r="V879" s="42"/>
      <c r="X879" s="4">
        <f>SUMIFS('Weekly Dump'!P:P,'Weekly Dump'!B:B,C879,'Weekly Dump'!A:A,AB879)</f>
        <v>0</v>
      </c>
      <c r="Y879" s="4">
        <f t="shared" si="22"/>
        <v>0</v>
      </c>
      <c r="Z879" s="41"/>
      <c r="AA879" s="12" t="str">
        <f>iferror(IF(VLOOKUP(C879,'Weekly Dump'!B:B,1,0)=C879,"Yes","Missing"),"")</f>
        <v/>
      </c>
      <c r="AB879" s="66"/>
    </row>
    <row r="880">
      <c r="B880" s="63"/>
      <c r="C880" s="63"/>
      <c r="G880" s="3" t="str">
        <f t="shared" si="26"/>
        <v/>
      </c>
      <c r="I880" s="4">
        <f>SUMIFS('Weekly Dump'!D:D,'Weekly Dump'!B:B,C880)</f>
        <v>0</v>
      </c>
      <c r="J880" s="5">
        <f>SUMIFS('Weekly Dump'!AE:AE,'Weekly Dump'!B:B,C880)</f>
        <v>0</v>
      </c>
      <c r="K880" s="4">
        <f>SUMPRODUCT(
  (TEXT('Weekly Dump'!$A$2:$A1009,"mmm-yy")=TEXT($AB880,"mmm-yy"))*
  ('Weekly Dump'!$B$2:$B1009=$C880)*
  'Weekly Dump'!$D$2:$D1009)</f>
        <v>0</v>
      </c>
      <c r="L880" s="4">
        <f>SUMPRODUCT(
  (TEXT('Weekly Dump'!$A$2:$A1009,"mmm-yy")=TEXT($AB880,"mmm-yy"))*
  ('Weekly Dump'!$B$2:$B1009=$C880)*
  'Weekly Dump'!$E$2:$E1009
)</f>
        <v>0</v>
      </c>
      <c r="M880" s="4">
        <f>SUMPRODUCT(
  (TEXT('Weekly Dump'!$A$2:$A1009,"mmm-yy")=TEXT($AB880,"mmm-yy"))*
  ('Weekly Dump'!$B$2:$B1009=$C880)*
  'Weekly Dump'!$P$2:$P1009
)</f>
        <v>0</v>
      </c>
      <c r="N880" s="39"/>
      <c r="O880" s="40">
        <f>SUMIFS('Weekly Dump'!$D:$D,'Weekly Dump'!$B:$B,$C880,'Weekly Dump'!$A:$A,$AB880)</f>
        <v>0</v>
      </c>
      <c r="P880" s="40">
        <f>SUMIFS('Weekly Dump'!R:R,'Weekly Dump'!B:B,C880,'Weekly Dump'!A:A,AB880)</f>
        <v>0</v>
      </c>
      <c r="Q880" s="40">
        <f t="shared" si="20"/>
        <v>0</v>
      </c>
      <c r="R880" s="41"/>
      <c r="T880" s="4">
        <f>SUMIFS('Weekly Dump'!E:E,'Weekly Dump'!B:B,C880,'Weekly Dump'!A:A,AB880)</f>
        <v>0</v>
      </c>
      <c r="U880" s="3">
        <f t="shared" si="21"/>
        <v>0</v>
      </c>
      <c r="V880" s="42"/>
      <c r="X880" s="4">
        <f>SUMIFS('Weekly Dump'!P:P,'Weekly Dump'!B:B,C880,'Weekly Dump'!A:A,AB880)</f>
        <v>0</v>
      </c>
      <c r="Y880" s="4">
        <f t="shared" si="22"/>
        <v>0</v>
      </c>
      <c r="Z880" s="41"/>
      <c r="AA880" s="12" t="str">
        <f>iferror(IF(VLOOKUP(C880,'Weekly Dump'!B:B,1,0)=C880,"Yes","Missing"),"")</f>
        <v/>
      </c>
      <c r="AB880" s="66"/>
    </row>
    <row r="881">
      <c r="B881" s="63"/>
      <c r="C881" s="63"/>
      <c r="G881" s="3" t="str">
        <f t="shared" si="26"/>
        <v/>
      </c>
      <c r="I881" s="4">
        <f>SUMIFS('Weekly Dump'!D:D,'Weekly Dump'!B:B,C881)</f>
        <v>0</v>
      </c>
      <c r="J881" s="5">
        <f>SUMIFS('Weekly Dump'!AE:AE,'Weekly Dump'!B:B,C881)</f>
        <v>0</v>
      </c>
      <c r="K881" s="4">
        <f>SUMPRODUCT(
  (TEXT('Weekly Dump'!$A$2:$A1009,"mmm-yy")=TEXT($AB881,"mmm-yy"))*
  ('Weekly Dump'!$B$2:$B1009=$C881)*
  'Weekly Dump'!$D$2:$D1009)</f>
        <v>0</v>
      </c>
      <c r="L881" s="4">
        <f>SUMPRODUCT(
  (TEXT('Weekly Dump'!$A$2:$A1009,"mmm-yy")=TEXT($AB881,"mmm-yy"))*
  ('Weekly Dump'!$B$2:$B1009=$C881)*
  'Weekly Dump'!$E$2:$E1009
)</f>
        <v>0</v>
      </c>
      <c r="M881" s="4">
        <f>SUMPRODUCT(
  (TEXT('Weekly Dump'!$A$2:$A1009,"mmm-yy")=TEXT($AB881,"mmm-yy"))*
  ('Weekly Dump'!$B$2:$B1009=$C881)*
  'Weekly Dump'!$P$2:$P1009
)</f>
        <v>0</v>
      </c>
      <c r="N881" s="39"/>
      <c r="O881" s="40">
        <f>SUMIFS('Weekly Dump'!$D:$D,'Weekly Dump'!$B:$B,$C881,'Weekly Dump'!$A:$A,$AB881)</f>
        <v>0</v>
      </c>
      <c r="P881" s="40">
        <f>SUMIFS('Weekly Dump'!R:R,'Weekly Dump'!B:B,C881,'Weekly Dump'!A:A,AB881)</f>
        <v>0</v>
      </c>
      <c r="Q881" s="40">
        <f t="shared" si="20"/>
        <v>0</v>
      </c>
      <c r="R881" s="41"/>
      <c r="T881" s="4">
        <f>SUMIFS('Weekly Dump'!E:E,'Weekly Dump'!B:B,C881,'Weekly Dump'!A:A,AB881)</f>
        <v>0</v>
      </c>
      <c r="U881" s="3">
        <f t="shared" si="21"/>
        <v>0</v>
      </c>
      <c r="V881" s="42"/>
      <c r="X881" s="4">
        <f>SUMIFS('Weekly Dump'!P:P,'Weekly Dump'!B:B,C881,'Weekly Dump'!A:A,AB881)</f>
        <v>0</v>
      </c>
      <c r="Y881" s="4">
        <f t="shared" si="22"/>
        <v>0</v>
      </c>
      <c r="Z881" s="41"/>
      <c r="AA881" s="12" t="str">
        <f>iferror(IF(VLOOKUP(C881,'Weekly Dump'!B:B,1,0)=C881,"Yes","Missing"),"")</f>
        <v/>
      </c>
      <c r="AB881" s="66"/>
    </row>
    <row r="882">
      <c r="B882" s="63"/>
      <c r="C882" s="63"/>
      <c r="G882" s="3" t="str">
        <f t="shared" si="26"/>
        <v/>
      </c>
      <c r="I882" s="4">
        <f>SUMIFS('Weekly Dump'!D:D,'Weekly Dump'!B:B,C882)</f>
        <v>0</v>
      </c>
      <c r="J882" s="5">
        <f>SUMIFS('Weekly Dump'!AE:AE,'Weekly Dump'!B:B,C882)</f>
        <v>0</v>
      </c>
      <c r="K882" s="4">
        <f>SUMPRODUCT(
  (TEXT('Weekly Dump'!$A$2:$A1009,"mmm-yy")=TEXT($AB882,"mmm-yy"))*
  ('Weekly Dump'!$B$2:$B1009=$C882)*
  'Weekly Dump'!$D$2:$D1009)</f>
        <v>0</v>
      </c>
      <c r="L882" s="4">
        <f>SUMPRODUCT(
  (TEXT('Weekly Dump'!$A$2:$A1009,"mmm-yy")=TEXT($AB882,"mmm-yy"))*
  ('Weekly Dump'!$B$2:$B1009=$C882)*
  'Weekly Dump'!$E$2:$E1009
)</f>
        <v>0</v>
      </c>
      <c r="M882" s="4">
        <f>SUMPRODUCT(
  (TEXT('Weekly Dump'!$A$2:$A1009,"mmm-yy")=TEXT($AB882,"mmm-yy"))*
  ('Weekly Dump'!$B$2:$B1009=$C882)*
  'Weekly Dump'!$P$2:$P1009
)</f>
        <v>0</v>
      </c>
      <c r="N882" s="39"/>
      <c r="O882" s="40">
        <f>SUMIFS('Weekly Dump'!$D:$D,'Weekly Dump'!$B:$B,$C882,'Weekly Dump'!$A:$A,$AB882)</f>
        <v>0</v>
      </c>
      <c r="P882" s="40">
        <f>SUMIFS('Weekly Dump'!R:R,'Weekly Dump'!B:B,C882,'Weekly Dump'!A:A,AB882)</f>
        <v>0</v>
      </c>
      <c r="Q882" s="40">
        <f t="shared" si="20"/>
        <v>0</v>
      </c>
      <c r="R882" s="41"/>
      <c r="T882" s="4">
        <f>SUMIFS('Weekly Dump'!E:E,'Weekly Dump'!B:B,C882,'Weekly Dump'!A:A,AB882)</f>
        <v>0</v>
      </c>
      <c r="U882" s="3">
        <f t="shared" si="21"/>
        <v>0</v>
      </c>
      <c r="V882" s="42"/>
      <c r="X882" s="4">
        <f>SUMIFS('Weekly Dump'!P:P,'Weekly Dump'!B:B,C882,'Weekly Dump'!A:A,AB882)</f>
        <v>0</v>
      </c>
      <c r="Y882" s="4">
        <f t="shared" si="22"/>
        <v>0</v>
      </c>
      <c r="Z882" s="41"/>
      <c r="AA882" s="12" t="str">
        <f>iferror(IF(VLOOKUP(C882,'Weekly Dump'!B:B,1,0)=C882,"Yes","Missing"),"")</f>
        <v/>
      </c>
      <c r="AB882" s="66"/>
    </row>
    <row r="883">
      <c r="B883" s="63"/>
      <c r="C883" s="63"/>
      <c r="G883" s="3" t="str">
        <f t="shared" si="26"/>
        <v/>
      </c>
      <c r="I883" s="4">
        <f>SUMIFS('Weekly Dump'!D:D,'Weekly Dump'!B:B,C883)</f>
        <v>0</v>
      </c>
      <c r="J883" s="5">
        <f>SUMIFS('Weekly Dump'!AE:AE,'Weekly Dump'!B:B,C883)</f>
        <v>0</v>
      </c>
      <c r="K883" s="4">
        <f>SUMPRODUCT(
  (TEXT('Weekly Dump'!$A$2:$A1009,"mmm-yy")=TEXT($AB883,"mmm-yy"))*
  ('Weekly Dump'!$B$2:$B1009=$C883)*
  'Weekly Dump'!$D$2:$D1009)</f>
        <v>0</v>
      </c>
      <c r="L883" s="4">
        <f>SUMPRODUCT(
  (TEXT('Weekly Dump'!$A$2:$A1009,"mmm-yy")=TEXT($AB883,"mmm-yy"))*
  ('Weekly Dump'!$B$2:$B1009=$C883)*
  'Weekly Dump'!$E$2:$E1009
)</f>
        <v>0</v>
      </c>
      <c r="M883" s="4">
        <f>SUMPRODUCT(
  (TEXT('Weekly Dump'!$A$2:$A1009,"mmm-yy")=TEXT($AB883,"mmm-yy"))*
  ('Weekly Dump'!$B$2:$B1009=$C883)*
  'Weekly Dump'!$P$2:$P1009
)</f>
        <v>0</v>
      </c>
      <c r="N883" s="39"/>
      <c r="O883" s="40">
        <f>SUMIFS('Weekly Dump'!$D:$D,'Weekly Dump'!$B:$B,$C883,'Weekly Dump'!$A:$A,$AB883)</f>
        <v>0</v>
      </c>
      <c r="P883" s="40">
        <f>SUMIFS('Weekly Dump'!R:R,'Weekly Dump'!B:B,C883,'Weekly Dump'!A:A,AB883)</f>
        <v>0</v>
      </c>
      <c r="Q883" s="40">
        <f t="shared" si="20"/>
        <v>0</v>
      </c>
      <c r="R883" s="41"/>
      <c r="T883" s="4">
        <f>SUMIFS('Weekly Dump'!E:E,'Weekly Dump'!B:B,C883,'Weekly Dump'!A:A,AB883)</f>
        <v>0</v>
      </c>
      <c r="U883" s="3">
        <f t="shared" si="21"/>
        <v>0</v>
      </c>
      <c r="V883" s="42"/>
      <c r="X883" s="4">
        <f>SUMIFS('Weekly Dump'!P:P,'Weekly Dump'!B:B,C883,'Weekly Dump'!A:A,AB883)</f>
        <v>0</v>
      </c>
      <c r="Y883" s="4">
        <f t="shared" si="22"/>
        <v>0</v>
      </c>
      <c r="Z883" s="41"/>
      <c r="AA883" s="12" t="str">
        <f>iferror(IF(VLOOKUP(C883,'Weekly Dump'!B:B,1,0)=C883,"Yes","Missing"),"")</f>
        <v/>
      </c>
      <c r="AB883" s="66"/>
    </row>
    <row r="884">
      <c r="B884" s="63"/>
      <c r="C884" s="63"/>
      <c r="G884" s="3" t="str">
        <f t="shared" si="26"/>
        <v/>
      </c>
      <c r="I884" s="4">
        <f>SUMIFS('Weekly Dump'!D:D,'Weekly Dump'!B:B,C884)</f>
        <v>0</v>
      </c>
      <c r="J884" s="5">
        <f>SUMIFS('Weekly Dump'!AE:AE,'Weekly Dump'!B:B,C884)</f>
        <v>0</v>
      </c>
      <c r="K884" s="4">
        <f>SUMPRODUCT(
  (TEXT('Weekly Dump'!$A$2:$A1009,"mmm-yy")=TEXT($AB884,"mmm-yy"))*
  ('Weekly Dump'!$B$2:$B1009=$C884)*
  'Weekly Dump'!$D$2:$D1009)</f>
        <v>0</v>
      </c>
      <c r="L884" s="4">
        <f>SUMPRODUCT(
  (TEXT('Weekly Dump'!$A$2:$A1009,"mmm-yy")=TEXT($AB884,"mmm-yy"))*
  ('Weekly Dump'!$B$2:$B1009=$C884)*
  'Weekly Dump'!$E$2:$E1009
)</f>
        <v>0</v>
      </c>
      <c r="M884" s="4">
        <f>SUMPRODUCT(
  (TEXT('Weekly Dump'!$A$2:$A1009,"mmm-yy")=TEXT($AB884,"mmm-yy"))*
  ('Weekly Dump'!$B$2:$B1009=$C884)*
  'Weekly Dump'!$P$2:$P1009
)</f>
        <v>0</v>
      </c>
      <c r="N884" s="39"/>
      <c r="O884" s="40">
        <f>SUMIFS('Weekly Dump'!$D:$D,'Weekly Dump'!$B:$B,$C884,'Weekly Dump'!$A:$A,$AB884)</f>
        <v>0</v>
      </c>
      <c r="P884" s="40">
        <f>SUMIFS('Weekly Dump'!R:R,'Weekly Dump'!B:B,C884,'Weekly Dump'!A:A,AB884)</f>
        <v>0</v>
      </c>
      <c r="Q884" s="40">
        <f t="shared" si="20"/>
        <v>0</v>
      </c>
      <c r="R884" s="41"/>
      <c r="T884" s="4">
        <f>SUMIFS('Weekly Dump'!E:E,'Weekly Dump'!B:B,C884,'Weekly Dump'!A:A,AB884)</f>
        <v>0</v>
      </c>
      <c r="U884" s="3">
        <f t="shared" si="21"/>
        <v>0</v>
      </c>
      <c r="V884" s="42"/>
      <c r="X884" s="4">
        <f>SUMIFS('Weekly Dump'!P:P,'Weekly Dump'!B:B,C884,'Weekly Dump'!A:A,AB884)</f>
        <v>0</v>
      </c>
      <c r="Y884" s="4">
        <f t="shared" si="22"/>
        <v>0</v>
      </c>
      <c r="Z884" s="41"/>
      <c r="AA884" s="12" t="str">
        <f>iferror(IF(VLOOKUP(C884,'Weekly Dump'!B:B,1,0)=C884,"Yes","Missing"),"")</f>
        <v/>
      </c>
      <c r="AB884" s="66"/>
    </row>
    <row r="885">
      <c r="B885" s="63"/>
      <c r="C885" s="63"/>
      <c r="G885" s="3" t="str">
        <f t="shared" si="26"/>
        <v/>
      </c>
      <c r="I885" s="4">
        <f>SUMIFS('Weekly Dump'!D:D,'Weekly Dump'!B:B,C885)</f>
        <v>0</v>
      </c>
      <c r="J885" s="5">
        <f>SUMIFS('Weekly Dump'!AE:AE,'Weekly Dump'!B:B,C885)</f>
        <v>0</v>
      </c>
      <c r="K885" s="4">
        <f>SUMPRODUCT(
  (TEXT('Weekly Dump'!$A$2:$A1009,"mmm-yy")=TEXT($AB885,"mmm-yy"))*
  ('Weekly Dump'!$B$2:$B1009=$C885)*
  'Weekly Dump'!$D$2:$D1009)</f>
        <v>0</v>
      </c>
      <c r="L885" s="4">
        <f>SUMPRODUCT(
  (TEXT('Weekly Dump'!$A$2:$A1009,"mmm-yy")=TEXT($AB885,"mmm-yy"))*
  ('Weekly Dump'!$B$2:$B1009=$C885)*
  'Weekly Dump'!$E$2:$E1009
)</f>
        <v>0</v>
      </c>
      <c r="M885" s="4">
        <f>SUMPRODUCT(
  (TEXT('Weekly Dump'!$A$2:$A1009,"mmm-yy")=TEXT($AB885,"mmm-yy"))*
  ('Weekly Dump'!$B$2:$B1009=$C885)*
  'Weekly Dump'!$P$2:$P1009
)</f>
        <v>0</v>
      </c>
      <c r="N885" s="39"/>
      <c r="O885" s="40">
        <f>SUMIFS('Weekly Dump'!$D:$D,'Weekly Dump'!$B:$B,$C885,'Weekly Dump'!$A:$A,$AB885)</f>
        <v>0</v>
      </c>
      <c r="P885" s="40">
        <f>SUMIFS('Weekly Dump'!R:R,'Weekly Dump'!B:B,C885,'Weekly Dump'!A:A,AB885)</f>
        <v>0</v>
      </c>
      <c r="Q885" s="40">
        <f t="shared" si="20"/>
        <v>0</v>
      </c>
      <c r="R885" s="41"/>
      <c r="T885" s="4">
        <f>SUMIFS('Weekly Dump'!E:E,'Weekly Dump'!B:B,C885,'Weekly Dump'!A:A,AB885)</f>
        <v>0</v>
      </c>
      <c r="U885" s="3">
        <f t="shared" si="21"/>
        <v>0</v>
      </c>
      <c r="V885" s="42"/>
      <c r="X885" s="4">
        <f>SUMIFS('Weekly Dump'!P:P,'Weekly Dump'!B:B,C885,'Weekly Dump'!A:A,AB885)</f>
        <v>0</v>
      </c>
      <c r="Y885" s="4">
        <f t="shared" si="22"/>
        <v>0</v>
      </c>
      <c r="Z885" s="41"/>
      <c r="AA885" s="12" t="str">
        <f>iferror(IF(VLOOKUP(C885,'Weekly Dump'!B:B,1,0)=C885,"Yes","Missing"),"")</f>
        <v/>
      </c>
      <c r="AB885" s="66"/>
    </row>
    <row r="886">
      <c r="B886" s="63"/>
      <c r="C886" s="63"/>
      <c r="G886" s="3" t="str">
        <f t="shared" si="26"/>
        <v/>
      </c>
      <c r="I886" s="4">
        <f>SUMIFS('Weekly Dump'!D:D,'Weekly Dump'!B:B,C886)</f>
        <v>0</v>
      </c>
      <c r="J886" s="5">
        <f>SUMIFS('Weekly Dump'!AE:AE,'Weekly Dump'!B:B,C886)</f>
        <v>0</v>
      </c>
      <c r="K886" s="4">
        <f>SUMPRODUCT(
  (TEXT('Weekly Dump'!$A$2:$A1009,"mmm-yy")=TEXT($AB886,"mmm-yy"))*
  ('Weekly Dump'!$B$2:$B1009=$C886)*
  'Weekly Dump'!$D$2:$D1009)</f>
        <v>0</v>
      </c>
      <c r="L886" s="4">
        <f>SUMPRODUCT(
  (TEXT('Weekly Dump'!$A$2:$A1009,"mmm-yy")=TEXT($AB886,"mmm-yy"))*
  ('Weekly Dump'!$B$2:$B1009=$C886)*
  'Weekly Dump'!$E$2:$E1009
)</f>
        <v>0</v>
      </c>
      <c r="M886" s="4">
        <f>SUMPRODUCT(
  (TEXT('Weekly Dump'!$A$2:$A1009,"mmm-yy")=TEXT($AB886,"mmm-yy"))*
  ('Weekly Dump'!$B$2:$B1009=$C886)*
  'Weekly Dump'!$P$2:$P1009
)</f>
        <v>0</v>
      </c>
      <c r="N886" s="39"/>
      <c r="O886" s="40">
        <f>SUMIFS('Weekly Dump'!$D:$D,'Weekly Dump'!$B:$B,$C886,'Weekly Dump'!$A:$A,$AB886)</f>
        <v>0</v>
      </c>
      <c r="P886" s="40">
        <f>SUMIFS('Weekly Dump'!R:R,'Weekly Dump'!B:B,C886,'Weekly Dump'!A:A,AB886)</f>
        <v>0</v>
      </c>
      <c r="Q886" s="40">
        <f t="shared" si="20"/>
        <v>0</v>
      </c>
      <c r="R886" s="41"/>
      <c r="T886" s="4">
        <f>SUMIFS('Weekly Dump'!E:E,'Weekly Dump'!B:B,C886,'Weekly Dump'!A:A,AB886)</f>
        <v>0</v>
      </c>
      <c r="U886" s="3">
        <f t="shared" si="21"/>
        <v>0</v>
      </c>
      <c r="V886" s="42"/>
      <c r="X886" s="4">
        <f>SUMIFS('Weekly Dump'!P:P,'Weekly Dump'!B:B,C886,'Weekly Dump'!A:A,AB886)</f>
        <v>0</v>
      </c>
      <c r="Y886" s="4">
        <f t="shared" si="22"/>
        <v>0</v>
      </c>
      <c r="Z886" s="41"/>
      <c r="AA886" s="12" t="str">
        <f>iferror(IF(VLOOKUP(C886,'Weekly Dump'!B:B,1,0)=C886,"Yes","Missing"),"")</f>
        <v/>
      </c>
      <c r="AB886" s="66"/>
    </row>
    <row r="887">
      <c r="B887" s="63"/>
      <c r="C887" s="63"/>
      <c r="G887" s="3" t="str">
        <f t="shared" si="26"/>
        <v/>
      </c>
      <c r="I887" s="4">
        <f>SUMIFS('Weekly Dump'!D:D,'Weekly Dump'!B:B,C887)</f>
        <v>0</v>
      </c>
      <c r="J887" s="5">
        <f>SUMIFS('Weekly Dump'!AE:AE,'Weekly Dump'!B:B,C887)</f>
        <v>0</v>
      </c>
      <c r="K887" s="4">
        <f>SUMPRODUCT(
  (TEXT('Weekly Dump'!$A$2:$A1009,"mmm-yy")=TEXT($AB887,"mmm-yy"))*
  ('Weekly Dump'!$B$2:$B1009=$C887)*
  'Weekly Dump'!$D$2:$D1009)</f>
        <v>0</v>
      </c>
      <c r="L887" s="4">
        <f>SUMPRODUCT(
  (TEXT('Weekly Dump'!$A$2:$A1009,"mmm-yy")=TEXT($AB887,"mmm-yy"))*
  ('Weekly Dump'!$B$2:$B1009=$C887)*
  'Weekly Dump'!$E$2:$E1009
)</f>
        <v>0</v>
      </c>
      <c r="M887" s="4">
        <f>SUMPRODUCT(
  (TEXT('Weekly Dump'!$A$2:$A1009,"mmm-yy")=TEXT($AB887,"mmm-yy"))*
  ('Weekly Dump'!$B$2:$B1009=$C887)*
  'Weekly Dump'!$P$2:$P1009
)</f>
        <v>0</v>
      </c>
      <c r="N887" s="39"/>
      <c r="O887" s="40">
        <f>SUMIFS('Weekly Dump'!$D:$D,'Weekly Dump'!$B:$B,$C887,'Weekly Dump'!$A:$A,$AB887)</f>
        <v>0</v>
      </c>
      <c r="P887" s="40">
        <f>SUMIFS('Weekly Dump'!R:R,'Weekly Dump'!B:B,C887,'Weekly Dump'!A:A,AB887)</f>
        <v>0</v>
      </c>
      <c r="Q887" s="40">
        <f t="shared" si="20"/>
        <v>0</v>
      </c>
      <c r="R887" s="41"/>
      <c r="T887" s="4">
        <f>SUMIFS('Weekly Dump'!E:E,'Weekly Dump'!B:B,C887,'Weekly Dump'!A:A,AB887)</f>
        <v>0</v>
      </c>
      <c r="U887" s="3">
        <f t="shared" si="21"/>
        <v>0</v>
      </c>
      <c r="V887" s="42"/>
      <c r="X887" s="4">
        <f>SUMIFS('Weekly Dump'!P:P,'Weekly Dump'!B:B,C887,'Weekly Dump'!A:A,AB887)</f>
        <v>0</v>
      </c>
      <c r="Y887" s="4">
        <f t="shared" si="22"/>
        <v>0</v>
      </c>
      <c r="Z887" s="41"/>
      <c r="AA887" s="12" t="str">
        <f>iferror(IF(VLOOKUP(C887,'Weekly Dump'!B:B,1,0)=C887,"Yes","Missing"),"")</f>
        <v/>
      </c>
      <c r="AB887" s="66"/>
    </row>
    <row r="888">
      <c r="B888" s="63"/>
      <c r="C888" s="63"/>
      <c r="G888" s="3" t="str">
        <f t="shared" si="26"/>
        <v/>
      </c>
      <c r="I888" s="4">
        <f>SUMIFS('Weekly Dump'!D:D,'Weekly Dump'!B:B,C888)</f>
        <v>0</v>
      </c>
      <c r="J888" s="5">
        <f>SUMIFS('Weekly Dump'!AE:AE,'Weekly Dump'!B:B,C888)</f>
        <v>0</v>
      </c>
      <c r="K888" s="4">
        <f>SUMPRODUCT(
  (TEXT('Weekly Dump'!$A$2:$A1009,"mmm-yy")=TEXT($AB888,"mmm-yy"))*
  ('Weekly Dump'!$B$2:$B1009=$C888)*
  'Weekly Dump'!$D$2:$D1009)</f>
        <v>0</v>
      </c>
      <c r="L888" s="4">
        <f>SUMPRODUCT(
  (TEXT('Weekly Dump'!$A$2:$A1009,"mmm-yy")=TEXT($AB888,"mmm-yy"))*
  ('Weekly Dump'!$B$2:$B1009=$C888)*
  'Weekly Dump'!$E$2:$E1009
)</f>
        <v>0</v>
      </c>
      <c r="M888" s="4">
        <f>SUMPRODUCT(
  (TEXT('Weekly Dump'!$A$2:$A1009,"mmm-yy")=TEXT($AB888,"mmm-yy"))*
  ('Weekly Dump'!$B$2:$B1009=$C888)*
  'Weekly Dump'!$P$2:$P1009
)</f>
        <v>0</v>
      </c>
      <c r="N888" s="39"/>
      <c r="O888" s="40">
        <f>SUMIFS('Weekly Dump'!$D:$D,'Weekly Dump'!$B:$B,$C888,'Weekly Dump'!$A:$A,$AB888)</f>
        <v>0</v>
      </c>
      <c r="P888" s="40">
        <f>SUMIFS('Weekly Dump'!R:R,'Weekly Dump'!B:B,C888,'Weekly Dump'!A:A,AB888)</f>
        <v>0</v>
      </c>
      <c r="Q888" s="40">
        <f t="shared" si="20"/>
        <v>0</v>
      </c>
      <c r="R888" s="41"/>
      <c r="T888" s="4">
        <f>SUMIFS('Weekly Dump'!E:E,'Weekly Dump'!B:B,C888,'Weekly Dump'!A:A,AB888)</f>
        <v>0</v>
      </c>
      <c r="U888" s="3">
        <f t="shared" si="21"/>
        <v>0</v>
      </c>
      <c r="V888" s="42"/>
      <c r="X888" s="4">
        <f>SUMIFS('Weekly Dump'!P:P,'Weekly Dump'!B:B,C888,'Weekly Dump'!A:A,AB888)</f>
        <v>0</v>
      </c>
      <c r="Y888" s="4">
        <f t="shared" si="22"/>
        <v>0</v>
      </c>
      <c r="Z888" s="41"/>
      <c r="AA888" s="12" t="str">
        <f>iferror(IF(VLOOKUP(C888,'Weekly Dump'!B:B,1,0)=C888,"Yes","Missing"),"")</f>
        <v/>
      </c>
      <c r="AB888" s="66"/>
    </row>
    <row r="889">
      <c r="B889" s="63"/>
      <c r="C889" s="63"/>
      <c r="G889" s="3" t="str">
        <f t="shared" si="26"/>
        <v/>
      </c>
      <c r="I889" s="4">
        <f>SUMIFS('Weekly Dump'!D:D,'Weekly Dump'!B:B,C889)</f>
        <v>0</v>
      </c>
      <c r="J889" s="5">
        <f>SUMIFS('Weekly Dump'!AE:AE,'Weekly Dump'!B:B,C889)</f>
        <v>0</v>
      </c>
      <c r="K889" s="4">
        <f>SUMPRODUCT(
  (TEXT('Weekly Dump'!$A$2:$A1009,"mmm-yy")=TEXT($AB889,"mmm-yy"))*
  ('Weekly Dump'!$B$2:$B1009=$C889)*
  'Weekly Dump'!$D$2:$D1009)</f>
        <v>0</v>
      </c>
      <c r="L889" s="4">
        <f>SUMPRODUCT(
  (TEXT('Weekly Dump'!$A$2:$A1009,"mmm-yy")=TEXT($AB889,"mmm-yy"))*
  ('Weekly Dump'!$B$2:$B1009=$C889)*
  'Weekly Dump'!$E$2:$E1009
)</f>
        <v>0</v>
      </c>
      <c r="M889" s="4">
        <f>SUMPRODUCT(
  (TEXT('Weekly Dump'!$A$2:$A1009,"mmm-yy")=TEXT($AB889,"mmm-yy"))*
  ('Weekly Dump'!$B$2:$B1009=$C889)*
  'Weekly Dump'!$P$2:$P1009
)</f>
        <v>0</v>
      </c>
      <c r="N889" s="39"/>
      <c r="O889" s="40">
        <f>SUMIFS('Weekly Dump'!$D:$D,'Weekly Dump'!$B:$B,$C889,'Weekly Dump'!$A:$A,$AB889)</f>
        <v>0</v>
      </c>
      <c r="P889" s="40">
        <f>SUMIFS('Weekly Dump'!R:R,'Weekly Dump'!B:B,C889,'Weekly Dump'!A:A,AB889)</f>
        <v>0</v>
      </c>
      <c r="Q889" s="40">
        <f t="shared" si="20"/>
        <v>0</v>
      </c>
      <c r="R889" s="41"/>
      <c r="T889" s="4">
        <f>SUMIFS('Weekly Dump'!E:E,'Weekly Dump'!B:B,C889,'Weekly Dump'!A:A,AB889)</f>
        <v>0</v>
      </c>
      <c r="U889" s="3">
        <f t="shared" si="21"/>
        <v>0</v>
      </c>
      <c r="V889" s="42"/>
      <c r="X889" s="4">
        <f>SUMIFS('Weekly Dump'!P:P,'Weekly Dump'!B:B,C889,'Weekly Dump'!A:A,AB889)</f>
        <v>0</v>
      </c>
      <c r="Y889" s="4">
        <f t="shared" si="22"/>
        <v>0</v>
      </c>
      <c r="Z889" s="41"/>
      <c r="AA889" s="12" t="str">
        <f>iferror(IF(VLOOKUP(C889,'Weekly Dump'!B:B,1,0)=C889,"Yes","Missing"),"")</f>
        <v/>
      </c>
      <c r="AB889" s="66"/>
    </row>
    <row r="890">
      <c r="B890" s="63"/>
      <c r="C890" s="63"/>
      <c r="G890" s="3" t="str">
        <f t="shared" si="26"/>
        <v/>
      </c>
      <c r="I890" s="4">
        <f>SUMIFS('Weekly Dump'!D:D,'Weekly Dump'!B:B,C890)</f>
        <v>0</v>
      </c>
      <c r="J890" s="5">
        <f>SUMIFS('Weekly Dump'!AE:AE,'Weekly Dump'!B:B,C890)</f>
        <v>0</v>
      </c>
      <c r="K890" s="4">
        <f>SUMPRODUCT(
  (TEXT('Weekly Dump'!$A$2:$A1009,"mmm-yy")=TEXT($AB890,"mmm-yy"))*
  ('Weekly Dump'!$B$2:$B1009=$C890)*
  'Weekly Dump'!$D$2:$D1009)</f>
        <v>0</v>
      </c>
      <c r="L890" s="4">
        <f>SUMPRODUCT(
  (TEXT('Weekly Dump'!$A$2:$A1009,"mmm-yy")=TEXT($AB890,"mmm-yy"))*
  ('Weekly Dump'!$B$2:$B1009=$C890)*
  'Weekly Dump'!$E$2:$E1009
)</f>
        <v>0</v>
      </c>
      <c r="M890" s="4">
        <f>SUMPRODUCT(
  (TEXT('Weekly Dump'!$A$2:$A1009,"mmm-yy")=TEXT($AB890,"mmm-yy"))*
  ('Weekly Dump'!$B$2:$B1009=$C890)*
  'Weekly Dump'!$P$2:$P1009
)</f>
        <v>0</v>
      </c>
      <c r="N890" s="39"/>
      <c r="O890" s="40">
        <f>SUMIFS('Weekly Dump'!$D:$D,'Weekly Dump'!$B:$B,$C890,'Weekly Dump'!$A:$A,$AB890)</f>
        <v>0</v>
      </c>
      <c r="P890" s="40">
        <f>SUMIFS('Weekly Dump'!R:R,'Weekly Dump'!B:B,C890,'Weekly Dump'!A:A,AB890)</f>
        <v>0</v>
      </c>
      <c r="Q890" s="40">
        <f t="shared" si="20"/>
        <v>0</v>
      </c>
      <c r="R890" s="41"/>
      <c r="T890" s="4">
        <f>SUMIFS('Weekly Dump'!E:E,'Weekly Dump'!B:B,C890,'Weekly Dump'!A:A,AB890)</f>
        <v>0</v>
      </c>
      <c r="U890" s="3">
        <f t="shared" si="21"/>
        <v>0</v>
      </c>
      <c r="V890" s="42"/>
      <c r="X890" s="4">
        <f>SUMIFS('Weekly Dump'!P:P,'Weekly Dump'!B:B,C890,'Weekly Dump'!A:A,AB890)</f>
        <v>0</v>
      </c>
      <c r="Y890" s="4">
        <f t="shared" si="22"/>
        <v>0</v>
      </c>
      <c r="Z890" s="41"/>
      <c r="AA890" s="12" t="str">
        <f>iferror(IF(VLOOKUP(C890,'Weekly Dump'!B:B,1,0)=C890,"Yes","Missing"),"")</f>
        <v/>
      </c>
      <c r="AB890" s="66"/>
    </row>
    <row r="891">
      <c r="B891" s="63"/>
      <c r="C891" s="63"/>
      <c r="G891" s="3" t="str">
        <f t="shared" si="26"/>
        <v/>
      </c>
      <c r="I891" s="4">
        <f>SUMIFS('Weekly Dump'!D:D,'Weekly Dump'!B:B,C891)</f>
        <v>0</v>
      </c>
      <c r="J891" s="5">
        <f>SUMIFS('Weekly Dump'!AE:AE,'Weekly Dump'!B:B,C891)</f>
        <v>0</v>
      </c>
      <c r="K891" s="4">
        <f>SUMPRODUCT(
  (TEXT('Weekly Dump'!$A$2:$A1009,"mmm-yy")=TEXT($AB891,"mmm-yy"))*
  ('Weekly Dump'!$B$2:$B1009=$C891)*
  'Weekly Dump'!$D$2:$D1009)</f>
        <v>0</v>
      </c>
      <c r="L891" s="4">
        <f>SUMPRODUCT(
  (TEXT('Weekly Dump'!$A$2:$A1009,"mmm-yy")=TEXT($AB891,"mmm-yy"))*
  ('Weekly Dump'!$B$2:$B1009=$C891)*
  'Weekly Dump'!$E$2:$E1009
)</f>
        <v>0</v>
      </c>
      <c r="M891" s="4">
        <f>SUMPRODUCT(
  (TEXT('Weekly Dump'!$A$2:$A1009,"mmm-yy")=TEXT($AB891,"mmm-yy"))*
  ('Weekly Dump'!$B$2:$B1009=$C891)*
  'Weekly Dump'!$P$2:$P1009
)</f>
        <v>0</v>
      </c>
      <c r="N891" s="39"/>
      <c r="O891" s="40">
        <f>SUMIFS('Weekly Dump'!$D:$D,'Weekly Dump'!$B:$B,$C891,'Weekly Dump'!$A:$A,$AB891)</f>
        <v>0</v>
      </c>
      <c r="P891" s="40">
        <f>SUMIFS('Weekly Dump'!R:R,'Weekly Dump'!B:B,C891,'Weekly Dump'!A:A,AB891)</f>
        <v>0</v>
      </c>
      <c r="Q891" s="40">
        <f t="shared" si="20"/>
        <v>0</v>
      </c>
      <c r="R891" s="41"/>
      <c r="T891" s="4">
        <f>SUMIFS('Weekly Dump'!E:E,'Weekly Dump'!B:B,C891,'Weekly Dump'!A:A,AB891)</f>
        <v>0</v>
      </c>
      <c r="U891" s="3">
        <f t="shared" si="21"/>
        <v>0</v>
      </c>
      <c r="V891" s="42"/>
      <c r="X891" s="4">
        <f>SUMIFS('Weekly Dump'!P:P,'Weekly Dump'!B:B,C891,'Weekly Dump'!A:A,AB891)</f>
        <v>0</v>
      </c>
      <c r="Y891" s="4">
        <f t="shared" si="22"/>
        <v>0</v>
      </c>
      <c r="Z891" s="41"/>
      <c r="AA891" s="12" t="str">
        <f>iferror(IF(VLOOKUP(C891,'Weekly Dump'!B:B,1,0)=C891,"Yes","Missing"),"")</f>
        <v/>
      </c>
      <c r="AB891" s="66"/>
    </row>
    <row r="892">
      <c r="B892" s="63"/>
      <c r="C892" s="63"/>
      <c r="G892" s="3" t="str">
        <f t="shared" si="26"/>
        <v/>
      </c>
      <c r="I892" s="4">
        <f>SUMIFS('Weekly Dump'!D:D,'Weekly Dump'!B:B,C892)</f>
        <v>0</v>
      </c>
      <c r="J892" s="5">
        <f>SUMIFS('Weekly Dump'!AE:AE,'Weekly Dump'!B:B,C892)</f>
        <v>0</v>
      </c>
      <c r="K892" s="4">
        <f>SUMPRODUCT(
  (TEXT('Weekly Dump'!$A$2:$A1009,"mmm-yy")=TEXT($AB892,"mmm-yy"))*
  ('Weekly Dump'!$B$2:$B1009=$C892)*
  'Weekly Dump'!$D$2:$D1009)</f>
        <v>0</v>
      </c>
      <c r="L892" s="4">
        <f>SUMPRODUCT(
  (TEXT('Weekly Dump'!$A$2:$A1009,"mmm-yy")=TEXT($AB892,"mmm-yy"))*
  ('Weekly Dump'!$B$2:$B1009=$C892)*
  'Weekly Dump'!$E$2:$E1009
)</f>
        <v>0</v>
      </c>
      <c r="M892" s="4">
        <f>SUMPRODUCT(
  (TEXT('Weekly Dump'!$A$2:$A1009,"mmm-yy")=TEXT($AB892,"mmm-yy"))*
  ('Weekly Dump'!$B$2:$B1009=$C892)*
  'Weekly Dump'!$P$2:$P1009
)</f>
        <v>0</v>
      </c>
      <c r="N892" s="39"/>
      <c r="O892" s="40">
        <f>SUMIFS('Weekly Dump'!$D:$D,'Weekly Dump'!$B:$B,$C892,'Weekly Dump'!$A:$A,$AB892)</f>
        <v>0</v>
      </c>
      <c r="P892" s="40">
        <f>SUMIFS('Weekly Dump'!R:R,'Weekly Dump'!B:B,C892,'Weekly Dump'!A:A,AB892)</f>
        <v>0</v>
      </c>
      <c r="Q892" s="40">
        <f t="shared" si="20"/>
        <v>0</v>
      </c>
      <c r="R892" s="41"/>
      <c r="T892" s="4">
        <f>SUMIFS('Weekly Dump'!E:E,'Weekly Dump'!B:B,C892,'Weekly Dump'!A:A,AB892)</f>
        <v>0</v>
      </c>
      <c r="U892" s="3">
        <f t="shared" si="21"/>
        <v>0</v>
      </c>
      <c r="V892" s="42"/>
      <c r="X892" s="4">
        <f>SUMIFS('Weekly Dump'!P:P,'Weekly Dump'!B:B,C892,'Weekly Dump'!A:A,AB892)</f>
        <v>0</v>
      </c>
      <c r="Y892" s="4">
        <f t="shared" si="22"/>
        <v>0</v>
      </c>
      <c r="Z892" s="41"/>
      <c r="AA892" s="12" t="str">
        <f>iferror(IF(VLOOKUP(C892,'Weekly Dump'!B:B,1,0)=C892,"Yes","Missing"),"")</f>
        <v/>
      </c>
      <c r="AB892" s="66"/>
    </row>
    <row r="893">
      <c r="B893" s="63"/>
      <c r="C893" s="63"/>
      <c r="G893" s="3" t="str">
        <f t="shared" si="26"/>
        <v/>
      </c>
      <c r="I893" s="4">
        <f>SUMIFS('Weekly Dump'!D:D,'Weekly Dump'!B:B,C893)</f>
        <v>0</v>
      </c>
      <c r="J893" s="5">
        <f>SUMIFS('Weekly Dump'!AE:AE,'Weekly Dump'!B:B,C893)</f>
        <v>0</v>
      </c>
      <c r="K893" s="4">
        <f>SUMPRODUCT(
  (TEXT('Weekly Dump'!$A$2:$A1009,"mmm-yy")=TEXT($AB893,"mmm-yy"))*
  ('Weekly Dump'!$B$2:$B1009=$C893)*
  'Weekly Dump'!$D$2:$D1009)</f>
        <v>0</v>
      </c>
      <c r="L893" s="4">
        <f>SUMPRODUCT(
  (TEXT('Weekly Dump'!$A$2:$A1009,"mmm-yy")=TEXT($AB893,"mmm-yy"))*
  ('Weekly Dump'!$B$2:$B1009=$C893)*
  'Weekly Dump'!$E$2:$E1009
)</f>
        <v>0</v>
      </c>
      <c r="M893" s="4">
        <f>SUMPRODUCT(
  (TEXT('Weekly Dump'!$A$2:$A1009,"mmm-yy")=TEXT($AB893,"mmm-yy"))*
  ('Weekly Dump'!$B$2:$B1009=$C893)*
  'Weekly Dump'!$P$2:$P1009
)</f>
        <v>0</v>
      </c>
      <c r="N893" s="39"/>
      <c r="O893" s="40">
        <f>SUMIFS('Weekly Dump'!$D:$D,'Weekly Dump'!$B:$B,$C893,'Weekly Dump'!$A:$A,$AB893)</f>
        <v>0</v>
      </c>
      <c r="P893" s="40">
        <f>SUMIFS('Weekly Dump'!R:R,'Weekly Dump'!B:B,C893,'Weekly Dump'!A:A,AB893)</f>
        <v>0</v>
      </c>
      <c r="Q893" s="40">
        <f t="shared" si="20"/>
        <v>0</v>
      </c>
      <c r="R893" s="41"/>
      <c r="T893" s="4">
        <f>SUMIFS('Weekly Dump'!E:E,'Weekly Dump'!B:B,C893,'Weekly Dump'!A:A,AB893)</f>
        <v>0</v>
      </c>
      <c r="U893" s="3">
        <f t="shared" si="21"/>
        <v>0</v>
      </c>
      <c r="V893" s="42"/>
      <c r="X893" s="4">
        <f>SUMIFS('Weekly Dump'!P:P,'Weekly Dump'!B:B,C893,'Weekly Dump'!A:A,AB893)</f>
        <v>0</v>
      </c>
      <c r="Y893" s="4">
        <f t="shared" si="22"/>
        <v>0</v>
      </c>
      <c r="Z893" s="41"/>
      <c r="AA893" s="12" t="str">
        <f>iferror(IF(VLOOKUP(C893,'Weekly Dump'!B:B,1,0)=C893,"Yes","Missing"),"")</f>
        <v/>
      </c>
      <c r="AB893" s="66"/>
    </row>
    <row r="894">
      <c r="B894" s="63"/>
      <c r="C894" s="63"/>
      <c r="G894" s="3" t="str">
        <f t="shared" si="26"/>
        <v/>
      </c>
      <c r="I894" s="4">
        <f>SUMIFS('Weekly Dump'!D:D,'Weekly Dump'!B:B,C894)</f>
        <v>0</v>
      </c>
      <c r="J894" s="5">
        <f>SUMIFS('Weekly Dump'!AE:AE,'Weekly Dump'!B:B,C894)</f>
        <v>0</v>
      </c>
      <c r="K894" s="4">
        <f>SUMPRODUCT(
  (TEXT('Weekly Dump'!$A$2:$A1009,"mmm-yy")=TEXT($AB894,"mmm-yy"))*
  ('Weekly Dump'!$B$2:$B1009=$C894)*
  'Weekly Dump'!$D$2:$D1009)</f>
        <v>0</v>
      </c>
      <c r="L894" s="4">
        <f>SUMPRODUCT(
  (TEXT('Weekly Dump'!$A$2:$A1009,"mmm-yy")=TEXT($AB894,"mmm-yy"))*
  ('Weekly Dump'!$B$2:$B1009=$C894)*
  'Weekly Dump'!$E$2:$E1009
)</f>
        <v>0</v>
      </c>
      <c r="M894" s="4">
        <f>SUMPRODUCT(
  (TEXT('Weekly Dump'!$A$2:$A1009,"mmm-yy")=TEXT($AB894,"mmm-yy"))*
  ('Weekly Dump'!$B$2:$B1009=$C894)*
  'Weekly Dump'!$P$2:$P1009
)</f>
        <v>0</v>
      </c>
      <c r="N894" s="39"/>
      <c r="O894" s="40">
        <f>SUMIFS('Weekly Dump'!$D:$D,'Weekly Dump'!$B:$B,$C894,'Weekly Dump'!$A:$A,$AB894)</f>
        <v>0</v>
      </c>
      <c r="P894" s="40">
        <f>SUMIFS('Weekly Dump'!R:R,'Weekly Dump'!B:B,C894,'Weekly Dump'!A:A,AB894)</f>
        <v>0</v>
      </c>
      <c r="Q894" s="40">
        <f t="shared" si="20"/>
        <v>0</v>
      </c>
      <c r="R894" s="41"/>
      <c r="T894" s="4">
        <f>SUMIFS('Weekly Dump'!E:E,'Weekly Dump'!B:B,C894,'Weekly Dump'!A:A,AB894)</f>
        <v>0</v>
      </c>
      <c r="U894" s="3">
        <f t="shared" si="21"/>
        <v>0</v>
      </c>
      <c r="V894" s="42"/>
      <c r="X894" s="4">
        <f>SUMIFS('Weekly Dump'!P:P,'Weekly Dump'!B:B,C894,'Weekly Dump'!A:A,AB894)</f>
        <v>0</v>
      </c>
      <c r="Y894" s="4">
        <f t="shared" si="22"/>
        <v>0</v>
      </c>
      <c r="Z894" s="41"/>
      <c r="AA894" s="12" t="str">
        <f>iferror(IF(VLOOKUP(C894,'Weekly Dump'!B:B,1,0)=C894,"Yes","Missing"),"")</f>
        <v/>
      </c>
      <c r="AB894" s="66"/>
    </row>
    <row r="895">
      <c r="B895" s="63"/>
      <c r="C895" s="63"/>
      <c r="G895" s="3" t="str">
        <f t="shared" si="26"/>
        <v/>
      </c>
      <c r="I895" s="4">
        <f>SUMIFS('Weekly Dump'!D:D,'Weekly Dump'!B:B,C895)</f>
        <v>0</v>
      </c>
      <c r="J895" s="5">
        <f>SUMIFS('Weekly Dump'!AE:AE,'Weekly Dump'!B:B,C895)</f>
        <v>0</v>
      </c>
      <c r="K895" s="4">
        <f>SUMPRODUCT(
  (TEXT('Weekly Dump'!$A$2:$A1009,"mmm-yy")=TEXT($AB895,"mmm-yy"))*
  ('Weekly Dump'!$B$2:$B1009=$C895)*
  'Weekly Dump'!$D$2:$D1009)</f>
        <v>0</v>
      </c>
      <c r="L895" s="4">
        <f>SUMPRODUCT(
  (TEXT('Weekly Dump'!$A$2:$A1009,"mmm-yy")=TEXT($AB895,"mmm-yy"))*
  ('Weekly Dump'!$B$2:$B1009=$C895)*
  'Weekly Dump'!$E$2:$E1009
)</f>
        <v>0</v>
      </c>
      <c r="M895" s="4">
        <f>SUMPRODUCT(
  (TEXT('Weekly Dump'!$A$2:$A1009,"mmm-yy")=TEXT($AB895,"mmm-yy"))*
  ('Weekly Dump'!$B$2:$B1009=$C895)*
  'Weekly Dump'!$P$2:$P1009
)</f>
        <v>0</v>
      </c>
      <c r="N895" s="39"/>
      <c r="O895" s="40">
        <f>SUMIFS('Weekly Dump'!$D:$D,'Weekly Dump'!$B:$B,$C895,'Weekly Dump'!$A:$A,$AB895)</f>
        <v>0</v>
      </c>
      <c r="P895" s="40">
        <f>SUMIFS('Weekly Dump'!R:R,'Weekly Dump'!B:B,C895,'Weekly Dump'!A:A,AB895)</f>
        <v>0</v>
      </c>
      <c r="Q895" s="40">
        <f t="shared" si="20"/>
        <v>0</v>
      </c>
      <c r="R895" s="41"/>
      <c r="T895" s="4">
        <f>SUMIFS('Weekly Dump'!E:E,'Weekly Dump'!B:B,C895,'Weekly Dump'!A:A,AB895)</f>
        <v>0</v>
      </c>
      <c r="U895" s="3">
        <f t="shared" si="21"/>
        <v>0</v>
      </c>
      <c r="V895" s="42"/>
      <c r="X895" s="4">
        <f>SUMIFS('Weekly Dump'!P:P,'Weekly Dump'!B:B,C895,'Weekly Dump'!A:A,AB895)</f>
        <v>0</v>
      </c>
      <c r="Y895" s="4">
        <f t="shared" si="22"/>
        <v>0</v>
      </c>
      <c r="Z895" s="41"/>
      <c r="AA895" s="12" t="str">
        <f>iferror(IF(VLOOKUP(C895,'Weekly Dump'!B:B,1,0)=C895,"Yes","Missing"),"")</f>
        <v/>
      </c>
      <c r="AB895" s="66"/>
    </row>
    <row r="896">
      <c r="B896" s="63"/>
      <c r="C896" s="63"/>
      <c r="G896" s="3" t="str">
        <f t="shared" si="26"/>
        <v/>
      </c>
      <c r="I896" s="4">
        <f>SUMIFS('Weekly Dump'!D:D,'Weekly Dump'!B:B,C896)</f>
        <v>0</v>
      </c>
      <c r="J896" s="5">
        <f>SUMIFS('Weekly Dump'!AE:AE,'Weekly Dump'!B:B,C896)</f>
        <v>0</v>
      </c>
      <c r="K896" s="4">
        <f>SUMPRODUCT(
  (TEXT('Weekly Dump'!$A$2:$A1009,"mmm-yy")=TEXT($AB896,"mmm-yy"))*
  ('Weekly Dump'!$B$2:$B1009=$C896)*
  'Weekly Dump'!$D$2:$D1009)</f>
        <v>0</v>
      </c>
      <c r="L896" s="4">
        <f>SUMPRODUCT(
  (TEXT('Weekly Dump'!$A$2:$A1009,"mmm-yy")=TEXT($AB896,"mmm-yy"))*
  ('Weekly Dump'!$B$2:$B1009=$C896)*
  'Weekly Dump'!$E$2:$E1009
)</f>
        <v>0</v>
      </c>
      <c r="M896" s="4">
        <f>SUMPRODUCT(
  (TEXT('Weekly Dump'!$A$2:$A1009,"mmm-yy")=TEXT($AB896,"mmm-yy"))*
  ('Weekly Dump'!$B$2:$B1009=$C896)*
  'Weekly Dump'!$P$2:$P1009
)</f>
        <v>0</v>
      </c>
      <c r="N896" s="39"/>
      <c r="O896" s="40">
        <f>SUMIFS('Weekly Dump'!$D:$D,'Weekly Dump'!$B:$B,$C896,'Weekly Dump'!$A:$A,$AB896)</f>
        <v>0</v>
      </c>
      <c r="P896" s="40">
        <f>SUMIFS('Weekly Dump'!R:R,'Weekly Dump'!B:B,C896,'Weekly Dump'!A:A,AB896)</f>
        <v>0</v>
      </c>
      <c r="Q896" s="40">
        <f t="shared" si="20"/>
        <v>0</v>
      </c>
      <c r="R896" s="41"/>
      <c r="T896" s="4">
        <f>SUMIFS('Weekly Dump'!E:E,'Weekly Dump'!B:B,C896,'Weekly Dump'!A:A,AB896)</f>
        <v>0</v>
      </c>
      <c r="U896" s="3">
        <f t="shared" si="21"/>
        <v>0</v>
      </c>
      <c r="V896" s="42"/>
      <c r="X896" s="4">
        <f>SUMIFS('Weekly Dump'!P:P,'Weekly Dump'!B:B,C896,'Weekly Dump'!A:A,AB896)</f>
        <v>0</v>
      </c>
      <c r="Y896" s="4">
        <f t="shared" si="22"/>
        <v>0</v>
      </c>
      <c r="Z896" s="41"/>
      <c r="AA896" s="12" t="str">
        <f>iferror(IF(VLOOKUP(C896,'Weekly Dump'!B:B,1,0)=C896,"Yes","Missing"),"")</f>
        <v/>
      </c>
      <c r="AB896" s="66"/>
    </row>
    <row r="897">
      <c r="B897" s="63"/>
      <c r="C897" s="63"/>
      <c r="G897" s="3" t="str">
        <f t="shared" si="26"/>
        <v/>
      </c>
      <c r="I897" s="4">
        <f>SUMIFS('Weekly Dump'!D:D,'Weekly Dump'!B:B,C897)</f>
        <v>0</v>
      </c>
      <c r="J897" s="5">
        <f>SUMIFS('Weekly Dump'!AE:AE,'Weekly Dump'!B:B,C897)</f>
        <v>0</v>
      </c>
      <c r="K897" s="4">
        <f>SUMPRODUCT(
  (TEXT('Weekly Dump'!$A$2:$A1009,"mmm-yy")=TEXT($AB897,"mmm-yy"))*
  ('Weekly Dump'!$B$2:$B1009=$C897)*
  'Weekly Dump'!$D$2:$D1009)</f>
        <v>0</v>
      </c>
      <c r="L897" s="4">
        <f>SUMPRODUCT(
  (TEXT('Weekly Dump'!$A$2:$A1009,"mmm-yy")=TEXT($AB897,"mmm-yy"))*
  ('Weekly Dump'!$B$2:$B1009=$C897)*
  'Weekly Dump'!$E$2:$E1009
)</f>
        <v>0</v>
      </c>
      <c r="M897" s="4">
        <f>SUMPRODUCT(
  (TEXT('Weekly Dump'!$A$2:$A1009,"mmm-yy")=TEXT($AB897,"mmm-yy"))*
  ('Weekly Dump'!$B$2:$B1009=$C897)*
  'Weekly Dump'!$P$2:$P1009
)</f>
        <v>0</v>
      </c>
      <c r="N897" s="39"/>
      <c r="O897" s="40">
        <f>SUMIFS('Weekly Dump'!$D:$D,'Weekly Dump'!$B:$B,$C897,'Weekly Dump'!$A:$A,$AB897)</f>
        <v>0</v>
      </c>
      <c r="P897" s="40">
        <f>SUMIFS('Weekly Dump'!R:R,'Weekly Dump'!B:B,C897,'Weekly Dump'!A:A,AB897)</f>
        <v>0</v>
      </c>
      <c r="Q897" s="40">
        <f t="shared" si="20"/>
        <v>0</v>
      </c>
      <c r="R897" s="41"/>
      <c r="T897" s="4">
        <f>SUMIFS('Weekly Dump'!E:E,'Weekly Dump'!B:B,C897,'Weekly Dump'!A:A,AB897)</f>
        <v>0</v>
      </c>
      <c r="U897" s="3">
        <f t="shared" si="21"/>
        <v>0</v>
      </c>
      <c r="V897" s="42"/>
      <c r="X897" s="4">
        <f>SUMIFS('Weekly Dump'!P:P,'Weekly Dump'!B:B,C897,'Weekly Dump'!A:A,AB897)</f>
        <v>0</v>
      </c>
      <c r="Y897" s="4">
        <f t="shared" si="22"/>
        <v>0</v>
      </c>
      <c r="Z897" s="41"/>
      <c r="AA897" s="12" t="str">
        <f>iferror(IF(VLOOKUP(C897,'Weekly Dump'!B:B,1,0)=C897,"Yes","Missing"),"")</f>
        <v/>
      </c>
      <c r="AB897" s="66"/>
    </row>
    <row r="898">
      <c r="B898" s="63"/>
      <c r="C898" s="63"/>
      <c r="G898" s="3" t="str">
        <f t="shared" si="26"/>
        <v/>
      </c>
      <c r="I898" s="4">
        <f>SUMIFS('Weekly Dump'!D:D,'Weekly Dump'!B:B,C898)</f>
        <v>0</v>
      </c>
      <c r="J898" s="5">
        <f>SUMIFS('Weekly Dump'!AE:AE,'Weekly Dump'!B:B,C898)</f>
        <v>0</v>
      </c>
      <c r="K898" s="4">
        <f>SUMPRODUCT(
  (TEXT('Weekly Dump'!$A$2:$A1009,"mmm-yy")=TEXT($AB898,"mmm-yy"))*
  ('Weekly Dump'!$B$2:$B1009=$C898)*
  'Weekly Dump'!$D$2:$D1009)</f>
        <v>0</v>
      </c>
      <c r="L898" s="4">
        <f>SUMPRODUCT(
  (TEXT('Weekly Dump'!$A$2:$A1009,"mmm-yy")=TEXT($AB898,"mmm-yy"))*
  ('Weekly Dump'!$B$2:$B1009=$C898)*
  'Weekly Dump'!$E$2:$E1009
)</f>
        <v>0</v>
      </c>
      <c r="M898" s="4">
        <f>SUMPRODUCT(
  (TEXT('Weekly Dump'!$A$2:$A1009,"mmm-yy")=TEXT($AB898,"mmm-yy"))*
  ('Weekly Dump'!$B$2:$B1009=$C898)*
  'Weekly Dump'!$P$2:$P1009
)</f>
        <v>0</v>
      </c>
      <c r="N898" s="39"/>
      <c r="O898" s="40">
        <f>SUMIFS('Weekly Dump'!$D:$D,'Weekly Dump'!$B:$B,$C898,'Weekly Dump'!$A:$A,$AB898)</f>
        <v>0</v>
      </c>
      <c r="P898" s="40">
        <f>SUMIFS('Weekly Dump'!R:R,'Weekly Dump'!B:B,C898,'Weekly Dump'!A:A,AB898)</f>
        <v>0</v>
      </c>
      <c r="Q898" s="40">
        <f t="shared" si="20"/>
        <v>0</v>
      </c>
      <c r="R898" s="41"/>
      <c r="T898" s="4">
        <f>SUMIFS('Weekly Dump'!E:E,'Weekly Dump'!B:B,C898,'Weekly Dump'!A:A,AB898)</f>
        <v>0</v>
      </c>
      <c r="U898" s="3">
        <f t="shared" si="21"/>
        <v>0</v>
      </c>
      <c r="V898" s="42"/>
      <c r="X898" s="4">
        <f>SUMIFS('Weekly Dump'!P:P,'Weekly Dump'!B:B,C898,'Weekly Dump'!A:A,AB898)</f>
        <v>0</v>
      </c>
      <c r="Y898" s="4">
        <f t="shared" si="22"/>
        <v>0</v>
      </c>
      <c r="Z898" s="41"/>
      <c r="AA898" s="12" t="str">
        <f>iferror(IF(VLOOKUP(C898,'Weekly Dump'!B:B,1,0)=C898,"Yes","Missing"),"")</f>
        <v/>
      </c>
      <c r="AB898" s="66"/>
    </row>
    <row r="899">
      <c r="B899" s="63"/>
      <c r="C899" s="63"/>
      <c r="G899" s="3" t="str">
        <f t="shared" si="26"/>
        <v/>
      </c>
      <c r="I899" s="4">
        <f>SUMIFS('Weekly Dump'!D:D,'Weekly Dump'!B:B,C899)</f>
        <v>0</v>
      </c>
      <c r="J899" s="5">
        <f>SUMIFS('Weekly Dump'!AE:AE,'Weekly Dump'!B:B,C899)</f>
        <v>0</v>
      </c>
      <c r="K899" s="4">
        <f>SUMPRODUCT(
  (TEXT('Weekly Dump'!$A$2:$A1009,"mmm-yy")=TEXT($AB899,"mmm-yy"))*
  ('Weekly Dump'!$B$2:$B1009=$C899)*
  'Weekly Dump'!$D$2:$D1009)</f>
        <v>0</v>
      </c>
      <c r="L899" s="4">
        <f>SUMPRODUCT(
  (TEXT('Weekly Dump'!$A$2:$A1009,"mmm-yy")=TEXT($AB899,"mmm-yy"))*
  ('Weekly Dump'!$B$2:$B1009=$C899)*
  'Weekly Dump'!$E$2:$E1009
)</f>
        <v>0</v>
      </c>
      <c r="M899" s="4">
        <f>SUMPRODUCT(
  (TEXT('Weekly Dump'!$A$2:$A1009,"mmm-yy")=TEXT($AB899,"mmm-yy"))*
  ('Weekly Dump'!$B$2:$B1009=$C899)*
  'Weekly Dump'!$P$2:$P1009
)</f>
        <v>0</v>
      </c>
      <c r="N899" s="39"/>
      <c r="O899" s="40">
        <f>SUMIFS('Weekly Dump'!$D:$D,'Weekly Dump'!$B:$B,$C899,'Weekly Dump'!$A:$A,$AB899)</f>
        <v>0</v>
      </c>
      <c r="P899" s="40">
        <f>SUMIFS('Weekly Dump'!R:R,'Weekly Dump'!B:B,C899,'Weekly Dump'!A:A,AB899)</f>
        <v>0</v>
      </c>
      <c r="Q899" s="40">
        <f t="shared" si="20"/>
        <v>0</v>
      </c>
      <c r="R899" s="41"/>
      <c r="T899" s="4">
        <f>SUMIFS('Weekly Dump'!E:E,'Weekly Dump'!B:B,C899,'Weekly Dump'!A:A,AB899)</f>
        <v>0</v>
      </c>
      <c r="U899" s="3">
        <f t="shared" si="21"/>
        <v>0</v>
      </c>
      <c r="V899" s="42"/>
      <c r="X899" s="4">
        <f>SUMIFS('Weekly Dump'!P:P,'Weekly Dump'!B:B,C899,'Weekly Dump'!A:A,AB899)</f>
        <v>0</v>
      </c>
      <c r="Y899" s="4">
        <f t="shared" si="22"/>
        <v>0</v>
      </c>
      <c r="Z899" s="41"/>
      <c r="AA899" s="12" t="str">
        <f>iferror(IF(VLOOKUP(C899,'Weekly Dump'!B:B,1,0)=C899,"Yes","Missing"),"")</f>
        <v/>
      </c>
      <c r="AB899" s="66"/>
    </row>
    <row r="900">
      <c r="B900" s="63"/>
      <c r="C900" s="63"/>
      <c r="G900" s="3" t="str">
        <f t="shared" si="26"/>
        <v/>
      </c>
      <c r="I900" s="4">
        <f>SUMIFS('Weekly Dump'!D:D,'Weekly Dump'!B:B,C900)</f>
        <v>0</v>
      </c>
      <c r="J900" s="5">
        <f>SUMIFS('Weekly Dump'!AE:AE,'Weekly Dump'!B:B,C900)</f>
        <v>0</v>
      </c>
      <c r="K900" s="4">
        <f>SUMPRODUCT(
  (TEXT('Weekly Dump'!$A$2:$A1009,"mmm-yy")=TEXT($AB900,"mmm-yy"))*
  ('Weekly Dump'!$B$2:$B1009=$C900)*
  'Weekly Dump'!$D$2:$D1009)</f>
        <v>0</v>
      </c>
      <c r="L900" s="4">
        <f>SUMPRODUCT(
  (TEXT('Weekly Dump'!$A$2:$A1009,"mmm-yy")=TEXT($AB900,"mmm-yy"))*
  ('Weekly Dump'!$B$2:$B1009=$C900)*
  'Weekly Dump'!$E$2:$E1009
)</f>
        <v>0</v>
      </c>
      <c r="M900" s="4">
        <f>SUMPRODUCT(
  (TEXT('Weekly Dump'!$A$2:$A1009,"mmm-yy")=TEXT($AB900,"mmm-yy"))*
  ('Weekly Dump'!$B$2:$B1009=$C900)*
  'Weekly Dump'!$P$2:$P1009
)</f>
        <v>0</v>
      </c>
      <c r="N900" s="39"/>
      <c r="O900" s="40">
        <f>SUMIFS('Weekly Dump'!$D:$D,'Weekly Dump'!$B:$B,$C900,'Weekly Dump'!$A:$A,$AB900)</f>
        <v>0</v>
      </c>
      <c r="P900" s="40">
        <f>SUMIFS('Weekly Dump'!R:R,'Weekly Dump'!B:B,C900,'Weekly Dump'!A:A,AB900)</f>
        <v>0</v>
      </c>
      <c r="Q900" s="40">
        <f t="shared" si="20"/>
        <v>0</v>
      </c>
      <c r="R900" s="41"/>
      <c r="T900" s="4">
        <f>SUMIFS('Weekly Dump'!E:E,'Weekly Dump'!B:B,C900,'Weekly Dump'!A:A,AB900)</f>
        <v>0</v>
      </c>
      <c r="U900" s="3">
        <f t="shared" si="21"/>
        <v>0</v>
      </c>
      <c r="V900" s="42"/>
      <c r="X900" s="4">
        <f>SUMIFS('Weekly Dump'!P:P,'Weekly Dump'!B:B,C900,'Weekly Dump'!A:A,AB900)</f>
        <v>0</v>
      </c>
      <c r="Y900" s="4">
        <f t="shared" si="22"/>
        <v>0</v>
      </c>
      <c r="Z900" s="41"/>
      <c r="AA900" s="12" t="str">
        <f>iferror(IF(VLOOKUP(C900,'Weekly Dump'!B:B,1,0)=C900,"Yes","Missing"),"")</f>
        <v/>
      </c>
      <c r="AB900" s="66"/>
    </row>
    <row r="901">
      <c r="B901" s="63"/>
      <c r="C901" s="63"/>
      <c r="G901" s="3" t="str">
        <f t="shared" si="26"/>
        <v/>
      </c>
      <c r="I901" s="4">
        <f>SUMIFS('Weekly Dump'!D:D,'Weekly Dump'!B:B,C901)</f>
        <v>0</v>
      </c>
      <c r="J901" s="5">
        <f>SUMIFS('Weekly Dump'!AE:AE,'Weekly Dump'!B:B,C901)</f>
        <v>0</v>
      </c>
      <c r="K901" s="4">
        <f>SUMPRODUCT(
  (TEXT('Weekly Dump'!$A$2:$A1009,"mmm-yy")=TEXT($AB901,"mmm-yy"))*
  ('Weekly Dump'!$B$2:$B1009=$C901)*
  'Weekly Dump'!$D$2:$D1009)</f>
        <v>0</v>
      </c>
      <c r="L901" s="4">
        <f>SUMPRODUCT(
  (TEXT('Weekly Dump'!$A$2:$A1009,"mmm-yy")=TEXT($AB901,"mmm-yy"))*
  ('Weekly Dump'!$B$2:$B1009=$C901)*
  'Weekly Dump'!$E$2:$E1009
)</f>
        <v>0</v>
      </c>
      <c r="M901" s="4">
        <f>SUMPRODUCT(
  (TEXT('Weekly Dump'!$A$2:$A1009,"mmm-yy")=TEXT($AB901,"mmm-yy"))*
  ('Weekly Dump'!$B$2:$B1009=$C901)*
  'Weekly Dump'!$P$2:$P1009
)</f>
        <v>0</v>
      </c>
      <c r="N901" s="39"/>
      <c r="O901" s="40">
        <f>SUMIFS('Weekly Dump'!$D:$D,'Weekly Dump'!$B:$B,$C901,'Weekly Dump'!$A:$A,$AB901)</f>
        <v>0</v>
      </c>
      <c r="P901" s="40">
        <f>SUMIFS('Weekly Dump'!R:R,'Weekly Dump'!B:B,C901,'Weekly Dump'!A:A,AB901)</f>
        <v>0</v>
      </c>
      <c r="Q901" s="40">
        <f t="shared" si="20"/>
        <v>0</v>
      </c>
      <c r="R901" s="41"/>
      <c r="T901" s="4">
        <f>SUMIFS('Weekly Dump'!E:E,'Weekly Dump'!B:B,C901,'Weekly Dump'!A:A,AB901)</f>
        <v>0</v>
      </c>
      <c r="U901" s="3">
        <f t="shared" si="21"/>
        <v>0</v>
      </c>
      <c r="V901" s="42"/>
      <c r="X901" s="4">
        <f>SUMIFS('Weekly Dump'!P:P,'Weekly Dump'!B:B,C901,'Weekly Dump'!A:A,AB901)</f>
        <v>0</v>
      </c>
      <c r="Y901" s="4">
        <f t="shared" si="22"/>
        <v>0</v>
      </c>
      <c r="Z901" s="41"/>
      <c r="AA901" s="12" t="str">
        <f>iferror(IF(VLOOKUP(C901,'Weekly Dump'!B:B,1,0)=C901,"Yes","Missing"),"")</f>
        <v/>
      </c>
      <c r="AB901" s="66"/>
    </row>
    <row r="902">
      <c r="B902" s="63"/>
      <c r="C902" s="63"/>
      <c r="G902" s="3" t="str">
        <f t="shared" si="26"/>
        <v/>
      </c>
      <c r="I902" s="4">
        <f>SUMIFS('Weekly Dump'!D:D,'Weekly Dump'!B:B,C902)</f>
        <v>0</v>
      </c>
      <c r="J902" s="5">
        <f>SUMIFS('Weekly Dump'!AE:AE,'Weekly Dump'!B:B,C902)</f>
        <v>0</v>
      </c>
      <c r="K902" s="4">
        <f>SUMPRODUCT(
  (TEXT('Weekly Dump'!$A$2:$A1009,"mmm-yy")=TEXT($AB902,"mmm-yy"))*
  ('Weekly Dump'!$B$2:$B1009=$C902)*
  'Weekly Dump'!$D$2:$D1009)</f>
        <v>0</v>
      </c>
      <c r="L902" s="4">
        <f>SUMPRODUCT(
  (TEXT('Weekly Dump'!$A$2:$A1009,"mmm-yy")=TEXT($AB902,"mmm-yy"))*
  ('Weekly Dump'!$B$2:$B1009=$C902)*
  'Weekly Dump'!$E$2:$E1009
)</f>
        <v>0</v>
      </c>
      <c r="M902" s="4">
        <f>SUMPRODUCT(
  (TEXT('Weekly Dump'!$A$2:$A1009,"mmm-yy")=TEXT($AB902,"mmm-yy"))*
  ('Weekly Dump'!$B$2:$B1009=$C902)*
  'Weekly Dump'!$P$2:$P1009
)</f>
        <v>0</v>
      </c>
      <c r="N902" s="39"/>
      <c r="O902" s="40">
        <f>SUMIFS('Weekly Dump'!$D:$D,'Weekly Dump'!$B:$B,$C902,'Weekly Dump'!$A:$A,$AB902)</f>
        <v>0</v>
      </c>
      <c r="P902" s="40">
        <f>SUMIFS('Weekly Dump'!R:R,'Weekly Dump'!B:B,C902,'Weekly Dump'!A:A,AB902)</f>
        <v>0</v>
      </c>
      <c r="Q902" s="40">
        <f t="shared" si="20"/>
        <v>0</v>
      </c>
      <c r="R902" s="41"/>
      <c r="T902" s="4">
        <f>SUMIFS('Weekly Dump'!E:E,'Weekly Dump'!B:B,C902,'Weekly Dump'!A:A,AB902)</f>
        <v>0</v>
      </c>
      <c r="U902" s="3">
        <f t="shared" si="21"/>
        <v>0</v>
      </c>
      <c r="V902" s="42"/>
      <c r="X902" s="4">
        <f>SUMIFS('Weekly Dump'!P:P,'Weekly Dump'!B:B,C902,'Weekly Dump'!A:A,AB902)</f>
        <v>0</v>
      </c>
      <c r="Y902" s="4">
        <f t="shared" si="22"/>
        <v>0</v>
      </c>
      <c r="Z902" s="41"/>
      <c r="AA902" s="12" t="str">
        <f>iferror(IF(VLOOKUP(C902,'Weekly Dump'!B:B,1,0)=C902,"Yes","Missing"),"")</f>
        <v/>
      </c>
      <c r="AB902" s="66"/>
    </row>
    <row r="903">
      <c r="B903" s="63"/>
      <c r="C903" s="63"/>
      <c r="G903" s="3" t="str">
        <f t="shared" si="26"/>
        <v/>
      </c>
      <c r="I903" s="4">
        <f>SUMIFS('Weekly Dump'!D:D,'Weekly Dump'!B:B,C903)</f>
        <v>0</v>
      </c>
      <c r="J903" s="5">
        <f>SUMIFS('Weekly Dump'!AE:AE,'Weekly Dump'!B:B,C903)</f>
        <v>0</v>
      </c>
      <c r="K903" s="4">
        <f>SUMPRODUCT(
  (TEXT('Weekly Dump'!$A$2:$A1009,"mmm-yy")=TEXT($AB903,"mmm-yy"))*
  ('Weekly Dump'!$B$2:$B1009=$C903)*
  'Weekly Dump'!$D$2:$D1009)</f>
        <v>0</v>
      </c>
      <c r="L903" s="4">
        <f>SUMPRODUCT(
  (TEXT('Weekly Dump'!$A$2:$A1009,"mmm-yy")=TEXT($AB903,"mmm-yy"))*
  ('Weekly Dump'!$B$2:$B1009=$C903)*
  'Weekly Dump'!$E$2:$E1009
)</f>
        <v>0</v>
      </c>
      <c r="M903" s="4">
        <f>SUMPRODUCT(
  (TEXT('Weekly Dump'!$A$2:$A1009,"mmm-yy")=TEXT($AB903,"mmm-yy"))*
  ('Weekly Dump'!$B$2:$B1009=$C903)*
  'Weekly Dump'!$P$2:$P1009
)</f>
        <v>0</v>
      </c>
      <c r="N903" s="39"/>
      <c r="O903" s="40">
        <f>SUMIFS('Weekly Dump'!$D:$D,'Weekly Dump'!$B:$B,$C903,'Weekly Dump'!$A:$A,$AB903)</f>
        <v>0</v>
      </c>
      <c r="P903" s="40">
        <f>SUMIFS('Weekly Dump'!R:R,'Weekly Dump'!B:B,C903,'Weekly Dump'!A:A,AB903)</f>
        <v>0</v>
      </c>
      <c r="Q903" s="40">
        <f t="shared" si="20"/>
        <v>0</v>
      </c>
      <c r="R903" s="41"/>
      <c r="T903" s="4">
        <f>SUMIFS('Weekly Dump'!E:E,'Weekly Dump'!B:B,C903,'Weekly Dump'!A:A,AB903)</f>
        <v>0</v>
      </c>
      <c r="U903" s="3">
        <f t="shared" si="21"/>
        <v>0</v>
      </c>
      <c r="V903" s="42"/>
      <c r="X903" s="4">
        <f>SUMIFS('Weekly Dump'!P:P,'Weekly Dump'!B:B,C903,'Weekly Dump'!A:A,AB903)</f>
        <v>0</v>
      </c>
      <c r="Y903" s="4">
        <f t="shared" si="22"/>
        <v>0</v>
      </c>
      <c r="Z903" s="41"/>
      <c r="AA903" s="12" t="str">
        <f>iferror(IF(VLOOKUP(C903,'Weekly Dump'!B:B,1,0)=C903,"Yes","Missing"),"")</f>
        <v/>
      </c>
      <c r="AB903" s="66"/>
    </row>
    <row r="904">
      <c r="B904" s="63"/>
      <c r="C904" s="63"/>
      <c r="G904" s="3" t="str">
        <f t="shared" si="26"/>
        <v/>
      </c>
      <c r="I904" s="4">
        <f>SUMIFS('Weekly Dump'!D:D,'Weekly Dump'!B:B,C904)</f>
        <v>0</v>
      </c>
      <c r="J904" s="5">
        <f>SUMIFS('Weekly Dump'!AE:AE,'Weekly Dump'!B:B,C904)</f>
        <v>0</v>
      </c>
      <c r="K904" s="4">
        <f>SUMPRODUCT(
  (TEXT('Weekly Dump'!$A$2:$A1009,"mmm-yy")=TEXT($AB904,"mmm-yy"))*
  ('Weekly Dump'!$B$2:$B1009=$C904)*
  'Weekly Dump'!$D$2:$D1009)</f>
        <v>0</v>
      </c>
      <c r="L904" s="4">
        <f>SUMPRODUCT(
  (TEXT('Weekly Dump'!$A$2:$A1009,"mmm-yy")=TEXT($AB904,"mmm-yy"))*
  ('Weekly Dump'!$B$2:$B1009=$C904)*
  'Weekly Dump'!$E$2:$E1009
)</f>
        <v>0</v>
      </c>
      <c r="M904" s="4">
        <f>SUMPRODUCT(
  (TEXT('Weekly Dump'!$A$2:$A1009,"mmm-yy")=TEXT($AB904,"mmm-yy"))*
  ('Weekly Dump'!$B$2:$B1009=$C904)*
  'Weekly Dump'!$P$2:$P1009
)</f>
        <v>0</v>
      </c>
      <c r="N904" s="39"/>
      <c r="O904" s="40">
        <f>SUMIFS('Weekly Dump'!$D:$D,'Weekly Dump'!$B:$B,$C904,'Weekly Dump'!$A:$A,$AB904)</f>
        <v>0</v>
      </c>
      <c r="P904" s="40">
        <f>SUMIFS('Weekly Dump'!R:R,'Weekly Dump'!B:B,C904,'Weekly Dump'!A:A,AB904)</f>
        <v>0</v>
      </c>
      <c r="Q904" s="40">
        <f t="shared" si="20"/>
        <v>0</v>
      </c>
      <c r="R904" s="41"/>
      <c r="T904" s="4">
        <f>SUMIFS('Weekly Dump'!E:E,'Weekly Dump'!B:B,C904,'Weekly Dump'!A:A,AB904)</f>
        <v>0</v>
      </c>
      <c r="U904" s="3">
        <f t="shared" si="21"/>
        <v>0</v>
      </c>
      <c r="V904" s="42"/>
      <c r="X904" s="4">
        <f>SUMIFS('Weekly Dump'!P:P,'Weekly Dump'!B:B,C904,'Weekly Dump'!A:A,AB904)</f>
        <v>0</v>
      </c>
      <c r="Y904" s="4">
        <f t="shared" si="22"/>
        <v>0</v>
      </c>
      <c r="Z904" s="41"/>
      <c r="AA904" s="12" t="str">
        <f>iferror(IF(VLOOKUP(C904,'Weekly Dump'!B:B,1,0)=C904,"Yes","Missing"),"")</f>
        <v/>
      </c>
      <c r="AB904" s="66"/>
    </row>
    <row r="905">
      <c r="B905" s="63"/>
      <c r="C905" s="63"/>
      <c r="G905" s="3" t="str">
        <f t="shared" si="26"/>
        <v/>
      </c>
      <c r="I905" s="4">
        <f>SUMIFS('Weekly Dump'!D:D,'Weekly Dump'!B:B,C905)</f>
        <v>0</v>
      </c>
      <c r="J905" s="5">
        <f>SUMIFS('Weekly Dump'!AE:AE,'Weekly Dump'!B:B,C905)</f>
        <v>0</v>
      </c>
      <c r="K905" s="4">
        <f>SUMPRODUCT(
  (TEXT('Weekly Dump'!$A$2:$A1009,"mmm-yy")=TEXT($AB905,"mmm-yy"))*
  ('Weekly Dump'!$B$2:$B1009=$C905)*
  'Weekly Dump'!$D$2:$D1009)</f>
        <v>0</v>
      </c>
      <c r="L905" s="4">
        <f>SUMPRODUCT(
  (TEXT('Weekly Dump'!$A$2:$A1009,"mmm-yy")=TEXT($AB905,"mmm-yy"))*
  ('Weekly Dump'!$B$2:$B1009=$C905)*
  'Weekly Dump'!$E$2:$E1009
)</f>
        <v>0</v>
      </c>
      <c r="M905" s="4">
        <f>SUMPRODUCT(
  (TEXT('Weekly Dump'!$A$2:$A1009,"mmm-yy")=TEXT($AB905,"mmm-yy"))*
  ('Weekly Dump'!$B$2:$B1009=$C905)*
  'Weekly Dump'!$P$2:$P1009
)</f>
        <v>0</v>
      </c>
      <c r="N905" s="39"/>
      <c r="O905" s="40">
        <f>SUMIFS('Weekly Dump'!$D:$D,'Weekly Dump'!$B:$B,$C905,'Weekly Dump'!$A:$A,$AB905)</f>
        <v>0</v>
      </c>
      <c r="P905" s="40">
        <f>SUMIFS('Weekly Dump'!R:R,'Weekly Dump'!B:B,C905,'Weekly Dump'!A:A,AB905)</f>
        <v>0</v>
      </c>
      <c r="Q905" s="40">
        <f t="shared" si="20"/>
        <v>0</v>
      </c>
      <c r="R905" s="41"/>
      <c r="T905" s="4">
        <f>SUMIFS('Weekly Dump'!E:E,'Weekly Dump'!B:B,C905,'Weekly Dump'!A:A,AB905)</f>
        <v>0</v>
      </c>
      <c r="U905" s="3">
        <f t="shared" si="21"/>
        <v>0</v>
      </c>
      <c r="V905" s="42"/>
      <c r="X905" s="4">
        <f>SUMIFS('Weekly Dump'!P:P,'Weekly Dump'!B:B,C905,'Weekly Dump'!A:A,AB905)</f>
        <v>0</v>
      </c>
      <c r="Y905" s="4">
        <f t="shared" si="22"/>
        <v>0</v>
      </c>
      <c r="Z905" s="41"/>
      <c r="AA905" s="12" t="str">
        <f>iferror(IF(VLOOKUP(C905,'Weekly Dump'!B:B,1,0)=C905,"Yes","Missing"),"")</f>
        <v/>
      </c>
      <c r="AB905" s="66"/>
    </row>
    <row r="906">
      <c r="B906" s="63"/>
      <c r="C906" s="63"/>
      <c r="G906" s="3" t="str">
        <f t="shared" si="26"/>
        <v/>
      </c>
      <c r="I906" s="4">
        <f>SUMIFS('Weekly Dump'!D:D,'Weekly Dump'!B:B,C906)</f>
        <v>0</v>
      </c>
      <c r="J906" s="5">
        <f>SUMIFS('Weekly Dump'!AE:AE,'Weekly Dump'!B:B,C906)</f>
        <v>0</v>
      </c>
      <c r="K906" s="4">
        <f>SUMPRODUCT(
  (TEXT('Weekly Dump'!$A$2:$A1009,"mmm-yy")=TEXT($AB906,"mmm-yy"))*
  ('Weekly Dump'!$B$2:$B1009=$C906)*
  'Weekly Dump'!$D$2:$D1009)</f>
        <v>0</v>
      </c>
      <c r="L906" s="4">
        <f>SUMPRODUCT(
  (TEXT('Weekly Dump'!$A$2:$A1009,"mmm-yy")=TEXT($AB906,"mmm-yy"))*
  ('Weekly Dump'!$B$2:$B1009=$C906)*
  'Weekly Dump'!$E$2:$E1009
)</f>
        <v>0</v>
      </c>
      <c r="M906" s="4">
        <f>SUMPRODUCT(
  (TEXT('Weekly Dump'!$A$2:$A1009,"mmm-yy")=TEXT($AB906,"mmm-yy"))*
  ('Weekly Dump'!$B$2:$B1009=$C906)*
  'Weekly Dump'!$P$2:$P1009
)</f>
        <v>0</v>
      </c>
      <c r="N906" s="39"/>
      <c r="O906" s="40">
        <f>SUMIFS('Weekly Dump'!$D:$D,'Weekly Dump'!$B:$B,$C906,'Weekly Dump'!$A:$A,$AB906)</f>
        <v>0</v>
      </c>
      <c r="P906" s="40">
        <f>SUMIFS('Weekly Dump'!R:R,'Weekly Dump'!B:B,C906,'Weekly Dump'!A:A,AB906)</f>
        <v>0</v>
      </c>
      <c r="Q906" s="40">
        <f t="shared" si="20"/>
        <v>0</v>
      </c>
      <c r="R906" s="41"/>
      <c r="T906" s="4">
        <f>SUMIFS('Weekly Dump'!E:E,'Weekly Dump'!B:B,C906,'Weekly Dump'!A:A,AB906)</f>
        <v>0</v>
      </c>
      <c r="U906" s="3">
        <f t="shared" si="21"/>
        <v>0</v>
      </c>
      <c r="V906" s="42"/>
      <c r="X906" s="4">
        <f>SUMIFS('Weekly Dump'!P:P,'Weekly Dump'!B:B,C906,'Weekly Dump'!A:A,AB906)</f>
        <v>0</v>
      </c>
      <c r="Y906" s="4">
        <f t="shared" si="22"/>
        <v>0</v>
      </c>
      <c r="Z906" s="41"/>
      <c r="AA906" s="12" t="str">
        <f>iferror(IF(VLOOKUP(C906,'Weekly Dump'!B:B,1,0)=C906,"Yes","Missing"),"")</f>
        <v/>
      </c>
      <c r="AB906" s="66"/>
    </row>
    <row r="907">
      <c r="B907" s="63"/>
      <c r="C907" s="63"/>
      <c r="G907" s="3" t="str">
        <f t="shared" si="26"/>
        <v/>
      </c>
      <c r="I907" s="4">
        <f>SUMIFS('Weekly Dump'!D:D,'Weekly Dump'!B:B,C907)</f>
        <v>0</v>
      </c>
      <c r="J907" s="5">
        <f>SUMIFS('Weekly Dump'!AE:AE,'Weekly Dump'!B:B,C907)</f>
        <v>0</v>
      </c>
      <c r="K907" s="4">
        <f>SUMPRODUCT(
  (TEXT('Weekly Dump'!$A$2:$A1009,"mmm-yy")=TEXT($AB907,"mmm-yy"))*
  ('Weekly Dump'!$B$2:$B1009=$C907)*
  'Weekly Dump'!$D$2:$D1009)</f>
        <v>0</v>
      </c>
      <c r="L907" s="4">
        <f>SUMPRODUCT(
  (TEXT('Weekly Dump'!$A$2:$A1009,"mmm-yy")=TEXT($AB907,"mmm-yy"))*
  ('Weekly Dump'!$B$2:$B1009=$C907)*
  'Weekly Dump'!$E$2:$E1009
)</f>
        <v>0</v>
      </c>
      <c r="M907" s="4">
        <f>SUMPRODUCT(
  (TEXT('Weekly Dump'!$A$2:$A1009,"mmm-yy")=TEXT($AB907,"mmm-yy"))*
  ('Weekly Dump'!$B$2:$B1009=$C907)*
  'Weekly Dump'!$P$2:$P1009
)</f>
        <v>0</v>
      </c>
      <c r="N907" s="39"/>
      <c r="O907" s="40">
        <f>SUMIFS('Weekly Dump'!$D:$D,'Weekly Dump'!$B:$B,$C907,'Weekly Dump'!$A:$A,$AB907)</f>
        <v>0</v>
      </c>
      <c r="P907" s="40">
        <f>SUMIFS('Weekly Dump'!R:R,'Weekly Dump'!B:B,C907,'Weekly Dump'!A:A,AB907)</f>
        <v>0</v>
      </c>
      <c r="Q907" s="40">
        <f t="shared" si="20"/>
        <v>0</v>
      </c>
      <c r="R907" s="41"/>
      <c r="T907" s="4">
        <f>SUMIFS('Weekly Dump'!E:E,'Weekly Dump'!B:B,C907,'Weekly Dump'!A:A,AB907)</f>
        <v>0</v>
      </c>
      <c r="U907" s="3">
        <f t="shared" si="21"/>
        <v>0</v>
      </c>
      <c r="V907" s="42"/>
      <c r="X907" s="4">
        <f>SUMIFS('Weekly Dump'!P:P,'Weekly Dump'!B:B,C907,'Weekly Dump'!A:A,AB907)</f>
        <v>0</v>
      </c>
      <c r="Y907" s="4">
        <f t="shared" si="22"/>
        <v>0</v>
      </c>
      <c r="Z907" s="41"/>
      <c r="AA907" s="12" t="str">
        <f>iferror(IF(VLOOKUP(C907,'Weekly Dump'!B:B,1,0)=C907,"Yes","Missing"),"")</f>
        <v/>
      </c>
      <c r="AB907" s="66"/>
    </row>
    <row r="908">
      <c r="B908" s="63"/>
      <c r="C908" s="63"/>
      <c r="G908" s="3" t="str">
        <f t="shared" si="26"/>
        <v/>
      </c>
      <c r="I908" s="4">
        <f>SUMIFS('Weekly Dump'!D:D,'Weekly Dump'!B:B,C908)</f>
        <v>0</v>
      </c>
      <c r="J908" s="5">
        <f>SUMIFS('Weekly Dump'!AE:AE,'Weekly Dump'!B:B,C908)</f>
        <v>0</v>
      </c>
      <c r="K908" s="4">
        <f>SUMPRODUCT(
  (TEXT('Weekly Dump'!$A$2:$A1009,"mmm-yy")=TEXT($AB908,"mmm-yy"))*
  ('Weekly Dump'!$B$2:$B1009=$C908)*
  'Weekly Dump'!$D$2:$D1009)</f>
        <v>0</v>
      </c>
      <c r="L908" s="4">
        <f>SUMPRODUCT(
  (TEXT('Weekly Dump'!$A$2:$A1009,"mmm-yy")=TEXT($AB908,"mmm-yy"))*
  ('Weekly Dump'!$B$2:$B1009=$C908)*
  'Weekly Dump'!$E$2:$E1009
)</f>
        <v>0</v>
      </c>
      <c r="M908" s="4">
        <f>SUMPRODUCT(
  (TEXT('Weekly Dump'!$A$2:$A1009,"mmm-yy")=TEXT($AB908,"mmm-yy"))*
  ('Weekly Dump'!$B$2:$B1009=$C908)*
  'Weekly Dump'!$P$2:$P1009
)</f>
        <v>0</v>
      </c>
      <c r="N908" s="39"/>
      <c r="O908" s="40">
        <f>SUMIFS('Weekly Dump'!$D:$D,'Weekly Dump'!$B:$B,$C908,'Weekly Dump'!$A:$A,$AB908)</f>
        <v>0</v>
      </c>
      <c r="P908" s="40">
        <f>SUMIFS('Weekly Dump'!R:R,'Weekly Dump'!B:B,C908,'Weekly Dump'!A:A,AB908)</f>
        <v>0</v>
      </c>
      <c r="Q908" s="40">
        <f t="shared" si="20"/>
        <v>0</v>
      </c>
      <c r="R908" s="41"/>
      <c r="T908" s="4">
        <f>SUMIFS('Weekly Dump'!E:E,'Weekly Dump'!B:B,C908,'Weekly Dump'!A:A,AB908)</f>
        <v>0</v>
      </c>
      <c r="U908" s="3">
        <f t="shared" si="21"/>
        <v>0</v>
      </c>
      <c r="V908" s="42"/>
      <c r="X908" s="4">
        <f>SUMIFS('Weekly Dump'!P:P,'Weekly Dump'!B:B,C908,'Weekly Dump'!A:A,AB908)</f>
        <v>0</v>
      </c>
      <c r="Y908" s="4">
        <f t="shared" si="22"/>
        <v>0</v>
      </c>
      <c r="Z908" s="41"/>
      <c r="AA908" s="12" t="str">
        <f>iferror(IF(VLOOKUP(C908,'Weekly Dump'!B:B,1,0)=C908,"Yes","Missing"),"")</f>
        <v/>
      </c>
      <c r="AB908" s="66"/>
    </row>
    <row r="909">
      <c r="B909" s="63"/>
      <c r="C909" s="63"/>
      <c r="G909" s="3" t="str">
        <f t="shared" si="26"/>
        <v/>
      </c>
      <c r="I909" s="4">
        <f>SUMIFS('Weekly Dump'!D:D,'Weekly Dump'!B:B,C909)</f>
        <v>0</v>
      </c>
      <c r="J909" s="5">
        <f>SUMIFS('Weekly Dump'!AE:AE,'Weekly Dump'!B:B,C909)</f>
        <v>0</v>
      </c>
      <c r="K909" s="4">
        <f>SUMPRODUCT(
  (TEXT('Weekly Dump'!$A$2:$A1009,"mmm-yy")=TEXT($AB909,"mmm-yy"))*
  ('Weekly Dump'!$B$2:$B1009=$C909)*
  'Weekly Dump'!$D$2:$D1009)</f>
        <v>0</v>
      </c>
      <c r="L909" s="4">
        <f>SUMPRODUCT(
  (TEXT('Weekly Dump'!$A$2:$A1009,"mmm-yy")=TEXT($AB909,"mmm-yy"))*
  ('Weekly Dump'!$B$2:$B1009=$C909)*
  'Weekly Dump'!$E$2:$E1009
)</f>
        <v>0</v>
      </c>
      <c r="M909" s="4">
        <f>SUMPRODUCT(
  (TEXT('Weekly Dump'!$A$2:$A1009,"mmm-yy")=TEXT($AB909,"mmm-yy"))*
  ('Weekly Dump'!$B$2:$B1009=$C909)*
  'Weekly Dump'!$P$2:$P1009
)</f>
        <v>0</v>
      </c>
      <c r="N909" s="39"/>
      <c r="O909" s="40">
        <f>SUMIFS('Weekly Dump'!$D:$D,'Weekly Dump'!$B:$B,$C909,'Weekly Dump'!$A:$A,$AB909)</f>
        <v>0</v>
      </c>
      <c r="P909" s="40">
        <f>SUMIFS('Weekly Dump'!R:R,'Weekly Dump'!B:B,C909,'Weekly Dump'!A:A,AB909)</f>
        <v>0</v>
      </c>
      <c r="Q909" s="40">
        <f t="shared" si="20"/>
        <v>0</v>
      </c>
      <c r="R909" s="41"/>
      <c r="T909" s="4">
        <f>SUMIFS('Weekly Dump'!E:E,'Weekly Dump'!B:B,C909,'Weekly Dump'!A:A,AB909)</f>
        <v>0</v>
      </c>
      <c r="U909" s="3">
        <f t="shared" si="21"/>
        <v>0</v>
      </c>
      <c r="V909" s="42"/>
      <c r="X909" s="4">
        <f>SUMIFS('Weekly Dump'!P:P,'Weekly Dump'!B:B,C909,'Weekly Dump'!A:A,AB909)</f>
        <v>0</v>
      </c>
      <c r="Y909" s="4">
        <f t="shared" si="22"/>
        <v>0</v>
      </c>
      <c r="Z909" s="41"/>
      <c r="AA909" s="12" t="str">
        <f>iferror(IF(VLOOKUP(C909,'Weekly Dump'!B:B,1,0)=C909,"Yes","Missing"),"")</f>
        <v/>
      </c>
      <c r="AB909" s="66"/>
    </row>
    <row r="910">
      <c r="B910" s="63"/>
      <c r="C910" s="63"/>
      <c r="G910" s="3" t="str">
        <f t="shared" si="26"/>
        <v/>
      </c>
      <c r="I910" s="4">
        <f>SUMIFS('Weekly Dump'!D:D,'Weekly Dump'!B:B,C910)</f>
        <v>0</v>
      </c>
      <c r="J910" s="5">
        <f>SUMIFS('Weekly Dump'!AE:AE,'Weekly Dump'!B:B,C910)</f>
        <v>0</v>
      </c>
      <c r="K910" s="4">
        <f>SUMPRODUCT(
  (TEXT('Weekly Dump'!$A$2:$A1009,"mmm-yy")=TEXT($AB910,"mmm-yy"))*
  ('Weekly Dump'!$B$2:$B1009=$C910)*
  'Weekly Dump'!$D$2:$D1009)</f>
        <v>0</v>
      </c>
      <c r="L910" s="4">
        <f>SUMPRODUCT(
  (TEXT('Weekly Dump'!$A$2:$A1009,"mmm-yy")=TEXT($AB910,"mmm-yy"))*
  ('Weekly Dump'!$B$2:$B1009=$C910)*
  'Weekly Dump'!$E$2:$E1009
)</f>
        <v>0</v>
      </c>
      <c r="M910" s="4">
        <f>SUMPRODUCT(
  (TEXT('Weekly Dump'!$A$2:$A1009,"mmm-yy")=TEXT($AB910,"mmm-yy"))*
  ('Weekly Dump'!$B$2:$B1009=$C910)*
  'Weekly Dump'!$P$2:$P1009
)</f>
        <v>0</v>
      </c>
      <c r="N910" s="39"/>
      <c r="O910" s="40">
        <f>SUMIFS('Weekly Dump'!$D:$D,'Weekly Dump'!$B:$B,$C910,'Weekly Dump'!$A:$A,$AB910)</f>
        <v>0</v>
      </c>
      <c r="P910" s="40">
        <f>SUMIFS('Weekly Dump'!R:R,'Weekly Dump'!B:B,C910,'Weekly Dump'!A:A,AB910)</f>
        <v>0</v>
      </c>
      <c r="Q910" s="40">
        <f t="shared" si="20"/>
        <v>0</v>
      </c>
      <c r="R910" s="41"/>
      <c r="T910" s="4">
        <f>SUMIFS('Weekly Dump'!E:E,'Weekly Dump'!B:B,C910,'Weekly Dump'!A:A,AB910)</f>
        <v>0</v>
      </c>
      <c r="U910" s="3">
        <f t="shared" si="21"/>
        <v>0</v>
      </c>
      <c r="V910" s="42"/>
      <c r="X910" s="4">
        <f>SUMIFS('Weekly Dump'!P:P,'Weekly Dump'!B:B,C910,'Weekly Dump'!A:A,AB910)</f>
        <v>0</v>
      </c>
      <c r="Y910" s="4">
        <f t="shared" si="22"/>
        <v>0</v>
      </c>
      <c r="Z910" s="41"/>
      <c r="AA910" s="12" t="str">
        <f>iferror(IF(VLOOKUP(C910,'Weekly Dump'!B:B,1,0)=C910,"Yes","Missing"),"")</f>
        <v/>
      </c>
      <c r="AB910" s="66"/>
    </row>
    <row r="911">
      <c r="B911" s="63"/>
      <c r="C911" s="63"/>
      <c r="G911" s="3" t="str">
        <f t="shared" si="26"/>
        <v/>
      </c>
      <c r="I911" s="4">
        <f>SUMIFS('Weekly Dump'!D:D,'Weekly Dump'!B:B,C911)</f>
        <v>0</v>
      </c>
      <c r="J911" s="5">
        <f>SUMIFS('Weekly Dump'!AE:AE,'Weekly Dump'!B:B,C911)</f>
        <v>0</v>
      </c>
      <c r="K911" s="4">
        <f>SUMPRODUCT(
  (TEXT('Weekly Dump'!$A$2:$A1009,"mmm-yy")=TEXT($AB911,"mmm-yy"))*
  ('Weekly Dump'!$B$2:$B1009=$C911)*
  'Weekly Dump'!$D$2:$D1009)</f>
        <v>0</v>
      </c>
      <c r="L911" s="4">
        <f>SUMPRODUCT(
  (TEXT('Weekly Dump'!$A$2:$A1009,"mmm-yy")=TEXT($AB911,"mmm-yy"))*
  ('Weekly Dump'!$B$2:$B1009=$C911)*
  'Weekly Dump'!$E$2:$E1009
)</f>
        <v>0</v>
      </c>
      <c r="M911" s="4">
        <f>SUMPRODUCT(
  (TEXT('Weekly Dump'!$A$2:$A1009,"mmm-yy")=TEXT($AB911,"mmm-yy"))*
  ('Weekly Dump'!$B$2:$B1009=$C911)*
  'Weekly Dump'!$P$2:$P1009
)</f>
        <v>0</v>
      </c>
      <c r="N911" s="39"/>
      <c r="O911" s="40">
        <f>SUMIFS('Weekly Dump'!$D:$D,'Weekly Dump'!$B:$B,$C911,'Weekly Dump'!$A:$A,$AB911)</f>
        <v>0</v>
      </c>
      <c r="P911" s="40">
        <f>SUMIFS('Weekly Dump'!R:R,'Weekly Dump'!B:B,C911,'Weekly Dump'!A:A,AB911)</f>
        <v>0</v>
      </c>
      <c r="Q911" s="40">
        <f t="shared" si="20"/>
        <v>0</v>
      </c>
      <c r="R911" s="41"/>
      <c r="T911" s="4">
        <f>SUMIFS('Weekly Dump'!E:E,'Weekly Dump'!B:B,C911,'Weekly Dump'!A:A,AB911)</f>
        <v>0</v>
      </c>
      <c r="U911" s="3">
        <f t="shared" si="21"/>
        <v>0</v>
      </c>
      <c r="V911" s="42"/>
      <c r="X911" s="4">
        <f>SUMIFS('Weekly Dump'!P:P,'Weekly Dump'!B:B,C911,'Weekly Dump'!A:A,AB911)</f>
        <v>0</v>
      </c>
      <c r="Y911" s="4">
        <f t="shared" si="22"/>
        <v>0</v>
      </c>
      <c r="Z911" s="41"/>
      <c r="AA911" s="12" t="str">
        <f>iferror(IF(VLOOKUP(C911,'Weekly Dump'!B:B,1,0)=C911,"Yes","Missing"),"")</f>
        <v/>
      </c>
      <c r="AB911" s="66"/>
    </row>
    <row r="912">
      <c r="B912" s="63"/>
      <c r="C912" s="63"/>
      <c r="G912" s="3" t="str">
        <f t="shared" si="26"/>
        <v/>
      </c>
      <c r="I912" s="4">
        <f>SUMIFS('Weekly Dump'!D:D,'Weekly Dump'!B:B,C912)</f>
        <v>0</v>
      </c>
      <c r="J912" s="5">
        <f>SUMIFS('Weekly Dump'!AE:AE,'Weekly Dump'!B:B,C912)</f>
        <v>0</v>
      </c>
      <c r="K912" s="4">
        <f>SUMPRODUCT(
  (TEXT('Weekly Dump'!$A$2:$A1009,"mmm-yy")=TEXT($AB912,"mmm-yy"))*
  ('Weekly Dump'!$B$2:$B1009=$C912)*
  'Weekly Dump'!$D$2:$D1009)</f>
        <v>0</v>
      </c>
      <c r="L912" s="4">
        <f>SUMPRODUCT(
  (TEXT('Weekly Dump'!$A$2:$A1009,"mmm-yy")=TEXT($AB912,"mmm-yy"))*
  ('Weekly Dump'!$B$2:$B1009=$C912)*
  'Weekly Dump'!$E$2:$E1009
)</f>
        <v>0</v>
      </c>
      <c r="M912" s="4">
        <f>SUMPRODUCT(
  (TEXT('Weekly Dump'!$A$2:$A1009,"mmm-yy")=TEXT($AB912,"mmm-yy"))*
  ('Weekly Dump'!$B$2:$B1009=$C912)*
  'Weekly Dump'!$P$2:$P1009
)</f>
        <v>0</v>
      </c>
      <c r="N912" s="39"/>
      <c r="O912" s="40">
        <f>SUMIFS('Weekly Dump'!$D:$D,'Weekly Dump'!$B:$B,$C912,'Weekly Dump'!$A:$A,$AB912)</f>
        <v>0</v>
      </c>
      <c r="P912" s="40">
        <f>SUMIFS('Weekly Dump'!R:R,'Weekly Dump'!B:B,C912,'Weekly Dump'!A:A,AB912)</f>
        <v>0</v>
      </c>
      <c r="Q912" s="40">
        <f t="shared" si="20"/>
        <v>0</v>
      </c>
      <c r="R912" s="41"/>
      <c r="T912" s="4">
        <f>SUMIFS('Weekly Dump'!E:E,'Weekly Dump'!B:B,C912,'Weekly Dump'!A:A,AB912)</f>
        <v>0</v>
      </c>
      <c r="U912" s="3">
        <f t="shared" si="21"/>
        <v>0</v>
      </c>
      <c r="V912" s="42"/>
      <c r="X912" s="4">
        <f>SUMIFS('Weekly Dump'!P:P,'Weekly Dump'!B:B,C912,'Weekly Dump'!A:A,AB912)</f>
        <v>0</v>
      </c>
      <c r="Y912" s="4">
        <f t="shared" si="22"/>
        <v>0</v>
      </c>
      <c r="Z912" s="41"/>
      <c r="AA912" s="12" t="str">
        <f>iferror(IF(VLOOKUP(C912,'Weekly Dump'!B:B,1,0)=C912,"Yes","Missing"),"")</f>
        <v/>
      </c>
      <c r="AB912" s="66"/>
    </row>
    <row r="913">
      <c r="B913" s="63"/>
      <c r="C913" s="63"/>
      <c r="G913" s="3" t="str">
        <f t="shared" si="26"/>
        <v/>
      </c>
      <c r="I913" s="4">
        <f>SUMIFS('Weekly Dump'!D:D,'Weekly Dump'!B:B,C913)</f>
        <v>0</v>
      </c>
      <c r="J913" s="5">
        <f>SUMIFS('Weekly Dump'!AE:AE,'Weekly Dump'!B:B,C913)</f>
        <v>0</v>
      </c>
      <c r="K913" s="4">
        <f>SUMPRODUCT(
  (TEXT('Weekly Dump'!$A$2:$A1009,"mmm-yy")=TEXT($AB913,"mmm-yy"))*
  ('Weekly Dump'!$B$2:$B1009=$C913)*
  'Weekly Dump'!$D$2:$D1009)</f>
        <v>0</v>
      </c>
      <c r="L913" s="4">
        <f>SUMPRODUCT(
  (TEXT('Weekly Dump'!$A$2:$A1009,"mmm-yy")=TEXT($AB913,"mmm-yy"))*
  ('Weekly Dump'!$B$2:$B1009=$C913)*
  'Weekly Dump'!$E$2:$E1009
)</f>
        <v>0</v>
      </c>
      <c r="M913" s="4">
        <f>SUMPRODUCT(
  (TEXT('Weekly Dump'!$A$2:$A1009,"mmm-yy")=TEXT($AB913,"mmm-yy"))*
  ('Weekly Dump'!$B$2:$B1009=$C913)*
  'Weekly Dump'!$P$2:$P1009
)</f>
        <v>0</v>
      </c>
      <c r="N913" s="39"/>
      <c r="O913" s="40">
        <f>SUMIFS('Weekly Dump'!$D:$D,'Weekly Dump'!$B:$B,$C913,'Weekly Dump'!$A:$A,$AB913)</f>
        <v>0</v>
      </c>
      <c r="P913" s="40">
        <f>SUMIFS('Weekly Dump'!R:R,'Weekly Dump'!B:B,C913,'Weekly Dump'!A:A,AB913)</f>
        <v>0</v>
      </c>
      <c r="Q913" s="40">
        <f t="shared" si="20"/>
        <v>0</v>
      </c>
      <c r="R913" s="41"/>
      <c r="T913" s="4">
        <f>SUMIFS('Weekly Dump'!E:E,'Weekly Dump'!B:B,C913,'Weekly Dump'!A:A,AB913)</f>
        <v>0</v>
      </c>
      <c r="U913" s="3">
        <f t="shared" si="21"/>
        <v>0</v>
      </c>
      <c r="V913" s="42"/>
      <c r="X913" s="4">
        <f>SUMIFS('Weekly Dump'!P:P,'Weekly Dump'!B:B,C913,'Weekly Dump'!A:A,AB913)</f>
        <v>0</v>
      </c>
      <c r="Y913" s="4">
        <f t="shared" si="22"/>
        <v>0</v>
      </c>
      <c r="Z913" s="41"/>
      <c r="AA913" s="12" t="str">
        <f>iferror(IF(VLOOKUP(C913,'Weekly Dump'!B:B,1,0)=C913,"Yes","Missing"),"")</f>
        <v/>
      </c>
      <c r="AB913" s="66"/>
    </row>
    <row r="914">
      <c r="B914" s="63"/>
      <c r="C914" s="63"/>
      <c r="G914" s="3" t="str">
        <f t="shared" si="26"/>
        <v/>
      </c>
      <c r="I914" s="4">
        <f>SUMIFS('Weekly Dump'!D:D,'Weekly Dump'!B:B,C914)</f>
        <v>0</v>
      </c>
      <c r="J914" s="5">
        <f>SUMIFS('Weekly Dump'!AE:AE,'Weekly Dump'!B:B,C914)</f>
        <v>0</v>
      </c>
      <c r="K914" s="4">
        <f>SUMPRODUCT(
  (TEXT('Weekly Dump'!$A$2:$A1009,"mmm-yy")=TEXT($AB914,"mmm-yy"))*
  ('Weekly Dump'!$B$2:$B1009=$C914)*
  'Weekly Dump'!$D$2:$D1009)</f>
        <v>0</v>
      </c>
      <c r="L914" s="4">
        <f>SUMPRODUCT(
  (TEXT('Weekly Dump'!$A$2:$A1009,"mmm-yy")=TEXT($AB914,"mmm-yy"))*
  ('Weekly Dump'!$B$2:$B1009=$C914)*
  'Weekly Dump'!$E$2:$E1009
)</f>
        <v>0</v>
      </c>
      <c r="M914" s="4">
        <f>SUMPRODUCT(
  (TEXT('Weekly Dump'!$A$2:$A1009,"mmm-yy")=TEXT($AB914,"mmm-yy"))*
  ('Weekly Dump'!$B$2:$B1009=$C914)*
  'Weekly Dump'!$P$2:$P1009
)</f>
        <v>0</v>
      </c>
      <c r="N914" s="39"/>
      <c r="O914" s="40">
        <f>SUMIFS('Weekly Dump'!$D:$D,'Weekly Dump'!$B:$B,$C914,'Weekly Dump'!$A:$A,$AB914)</f>
        <v>0</v>
      </c>
      <c r="P914" s="40">
        <f>SUMIFS('Weekly Dump'!R:R,'Weekly Dump'!B:B,C914,'Weekly Dump'!A:A,AB914)</f>
        <v>0</v>
      </c>
      <c r="Q914" s="40">
        <f t="shared" si="20"/>
        <v>0</v>
      </c>
      <c r="R914" s="41"/>
      <c r="T914" s="4">
        <f>SUMIFS('Weekly Dump'!E:E,'Weekly Dump'!B:B,C914,'Weekly Dump'!A:A,AB914)</f>
        <v>0</v>
      </c>
      <c r="U914" s="3">
        <f t="shared" si="21"/>
        <v>0</v>
      </c>
      <c r="V914" s="42"/>
      <c r="X914" s="4">
        <f>SUMIFS('Weekly Dump'!P:P,'Weekly Dump'!B:B,C914,'Weekly Dump'!A:A,AB914)</f>
        <v>0</v>
      </c>
      <c r="Y914" s="4">
        <f t="shared" si="22"/>
        <v>0</v>
      </c>
      <c r="Z914" s="41"/>
      <c r="AA914" s="12" t="str">
        <f>iferror(IF(VLOOKUP(C914,'Weekly Dump'!B:B,1,0)=C914,"Yes","Missing"),"")</f>
        <v/>
      </c>
      <c r="AB914" s="66"/>
    </row>
    <row r="915">
      <c r="B915" s="63"/>
      <c r="C915" s="63"/>
      <c r="G915" s="3" t="str">
        <f t="shared" si="26"/>
        <v/>
      </c>
      <c r="I915" s="4">
        <f>SUMIFS('Weekly Dump'!D:D,'Weekly Dump'!B:B,C915)</f>
        <v>0</v>
      </c>
      <c r="J915" s="5">
        <f>SUMIFS('Weekly Dump'!AE:AE,'Weekly Dump'!B:B,C915)</f>
        <v>0</v>
      </c>
      <c r="K915" s="4">
        <f>SUMPRODUCT(
  (TEXT('Weekly Dump'!$A$2:$A1009,"mmm-yy")=TEXT($AB915,"mmm-yy"))*
  ('Weekly Dump'!$B$2:$B1009=$C915)*
  'Weekly Dump'!$D$2:$D1009)</f>
        <v>0</v>
      </c>
      <c r="L915" s="4">
        <f>SUMPRODUCT(
  (TEXT('Weekly Dump'!$A$2:$A1009,"mmm-yy")=TEXT($AB915,"mmm-yy"))*
  ('Weekly Dump'!$B$2:$B1009=$C915)*
  'Weekly Dump'!$E$2:$E1009
)</f>
        <v>0</v>
      </c>
      <c r="M915" s="4">
        <f>SUMPRODUCT(
  (TEXT('Weekly Dump'!$A$2:$A1009,"mmm-yy")=TEXT($AB915,"mmm-yy"))*
  ('Weekly Dump'!$B$2:$B1009=$C915)*
  'Weekly Dump'!$P$2:$P1009
)</f>
        <v>0</v>
      </c>
      <c r="N915" s="39"/>
      <c r="O915" s="40">
        <f>SUMIFS('Weekly Dump'!$D:$D,'Weekly Dump'!$B:$B,$C915,'Weekly Dump'!$A:$A,$AB915)</f>
        <v>0</v>
      </c>
      <c r="P915" s="40">
        <f>SUMIFS('Weekly Dump'!R:R,'Weekly Dump'!B:B,C915,'Weekly Dump'!A:A,AB915)</f>
        <v>0</v>
      </c>
      <c r="Q915" s="40">
        <f t="shared" si="20"/>
        <v>0</v>
      </c>
      <c r="R915" s="41"/>
      <c r="T915" s="4">
        <f>SUMIFS('Weekly Dump'!E:E,'Weekly Dump'!B:B,C915,'Weekly Dump'!A:A,AB915)</f>
        <v>0</v>
      </c>
      <c r="U915" s="3">
        <f t="shared" si="21"/>
        <v>0</v>
      </c>
      <c r="V915" s="42"/>
      <c r="X915" s="4">
        <f>SUMIFS('Weekly Dump'!P:P,'Weekly Dump'!B:B,C915,'Weekly Dump'!A:A,AB915)</f>
        <v>0</v>
      </c>
      <c r="Y915" s="4">
        <f t="shared" si="22"/>
        <v>0</v>
      </c>
      <c r="Z915" s="41"/>
      <c r="AA915" s="12" t="str">
        <f>iferror(IF(VLOOKUP(C915,'Weekly Dump'!B:B,1,0)=C915,"Yes","Missing"),"")</f>
        <v/>
      </c>
      <c r="AB915" s="66"/>
    </row>
    <row r="916">
      <c r="B916" s="63"/>
      <c r="C916" s="63"/>
      <c r="G916" s="3" t="str">
        <f t="shared" si="26"/>
        <v/>
      </c>
      <c r="I916" s="4">
        <f>SUMIFS('Weekly Dump'!D:D,'Weekly Dump'!B:B,C916)</f>
        <v>0</v>
      </c>
      <c r="J916" s="5">
        <f>SUMIFS('Weekly Dump'!AE:AE,'Weekly Dump'!B:B,C916)</f>
        <v>0</v>
      </c>
      <c r="K916" s="4">
        <f>SUMPRODUCT(
  (TEXT('Weekly Dump'!$A$2:$A1009,"mmm-yy")=TEXT($AB916,"mmm-yy"))*
  ('Weekly Dump'!$B$2:$B1009=$C916)*
  'Weekly Dump'!$D$2:$D1009)</f>
        <v>0</v>
      </c>
      <c r="L916" s="4">
        <f>SUMPRODUCT(
  (TEXT('Weekly Dump'!$A$2:$A1009,"mmm-yy")=TEXT($AB916,"mmm-yy"))*
  ('Weekly Dump'!$B$2:$B1009=$C916)*
  'Weekly Dump'!$E$2:$E1009
)</f>
        <v>0</v>
      </c>
      <c r="M916" s="4">
        <f>SUMPRODUCT(
  (TEXT('Weekly Dump'!$A$2:$A1009,"mmm-yy")=TEXT($AB916,"mmm-yy"))*
  ('Weekly Dump'!$B$2:$B1009=$C916)*
  'Weekly Dump'!$P$2:$P1009
)</f>
        <v>0</v>
      </c>
      <c r="N916" s="39"/>
      <c r="O916" s="40">
        <f>SUMIFS('Weekly Dump'!$D:$D,'Weekly Dump'!$B:$B,$C916,'Weekly Dump'!$A:$A,$AB916)</f>
        <v>0</v>
      </c>
      <c r="P916" s="40">
        <f>SUMIFS('Weekly Dump'!R:R,'Weekly Dump'!B:B,C916,'Weekly Dump'!A:A,AB916)</f>
        <v>0</v>
      </c>
      <c r="Q916" s="40">
        <f t="shared" si="20"/>
        <v>0</v>
      </c>
      <c r="R916" s="41"/>
      <c r="T916" s="4">
        <f>SUMIFS('Weekly Dump'!E:E,'Weekly Dump'!B:B,C916,'Weekly Dump'!A:A,AB916)</f>
        <v>0</v>
      </c>
      <c r="U916" s="3">
        <f t="shared" si="21"/>
        <v>0</v>
      </c>
      <c r="V916" s="42"/>
      <c r="X916" s="4">
        <f>SUMIFS('Weekly Dump'!P:P,'Weekly Dump'!B:B,C916,'Weekly Dump'!A:A,AB916)</f>
        <v>0</v>
      </c>
      <c r="Y916" s="4">
        <f t="shared" si="22"/>
        <v>0</v>
      </c>
      <c r="Z916" s="41"/>
      <c r="AA916" s="12" t="str">
        <f>iferror(IF(VLOOKUP(C916,'Weekly Dump'!B:B,1,0)=C916,"Yes","Missing"),"")</f>
        <v/>
      </c>
      <c r="AB916" s="66"/>
    </row>
    <row r="917">
      <c r="B917" s="63"/>
      <c r="C917" s="63"/>
      <c r="G917" s="3" t="str">
        <f t="shared" si="26"/>
        <v/>
      </c>
      <c r="I917" s="4">
        <f>SUMIFS('Weekly Dump'!D:D,'Weekly Dump'!B:B,C917)</f>
        <v>0</v>
      </c>
      <c r="J917" s="5">
        <f>SUMIFS('Weekly Dump'!AE:AE,'Weekly Dump'!B:B,C917)</f>
        <v>0</v>
      </c>
      <c r="K917" s="4">
        <f>SUMPRODUCT(
  (TEXT('Weekly Dump'!$A$2:$A1009,"mmm-yy")=TEXT($AB917,"mmm-yy"))*
  ('Weekly Dump'!$B$2:$B1009=$C917)*
  'Weekly Dump'!$D$2:$D1009)</f>
        <v>0</v>
      </c>
      <c r="L917" s="4">
        <f>SUMPRODUCT(
  (TEXT('Weekly Dump'!$A$2:$A1009,"mmm-yy")=TEXT($AB917,"mmm-yy"))*
  ('Weekly Dump'!$B$2:$B1009=$C917)*
  'Weekly Dump'!$E$2:$E1009
)</f>
        <v>0</v>
      </c>
      <c r="M917" s="4">
        <f>SUMPRODUCT(
  (TEXT('Weekly Dump'!$A$2:$A1009,"mmm-yy")=TEXT($AB917,"mmm-yy"))*
  ('Weekly Dump'!$B$2:$B1009=$C917)*
  'Weekly Dump'!$P$2:$P1009
)</f>
        <v>0</v>
      </c>
      <c r="N917" s="39"/>
      <c r="O917" s="40">
        <f>SUMIFS('Weekly Dump'!$D:$D,'Weekly Dump'!$B:$B,$C917,'Weekly Dump'!$A:$A,$AB917)</f>
        <v>0</v>
      </c>
      <c r="P917" s="40">
        <f>SUMIFS('Weekly Dump'!R:R,'Weekly Dump'!B:B,C917,'Weekly Dump'!A:A,AB917)</f>
        <v>0</v>
      </c>
      <c r="Q917" s="40">
        <f t="shared" si="20"/>
        <v>0</v>
      </c>
      <c r="R917" s="41"/>
      <c r="T917" s="4">
        <f>SUMIFS('Weekly Dump'!E:E,'Weekly Dump'!B:B,C917,'Weekly Dump'!A:A,AB917)</f>
        <v>0</v>
      </c>
      <c r="U917" s="3">
        <f t="shared" si="21"/>
        <v>0</v>
      </c>
      <c r="V917" s="42"/>
      <c r="X917" s="4">
        <f>SUMIFS('Weekly Dump'!P:P,'Weekly Dump'!B:B,C917,'Weekly Dump'!A:A,AB917)</f>
        <v>0</v>
      </c>
      <c r="Y917" s="4">
        <f t="shared" si="22"/>
        <v>0</v>
      </c>
      <c r="Z917" s="41"/>
      <c r="AA917" s="12" t="str">
        <f>iferror(IF(VLOOKUP(C917,'Weekly Dump'!B:B,1,0)=C917,"Yes","Missing"),"")</f>
        <v/>
      </c>
      <c r="AB917" s="66"/>
    </row>
    <row r="918">
      <c r="B918" s="63"/>
      <c r="C918" s="63"/>
      <c r="G918" s="3" t="str">
        <f t="shared" si="26"/>
        <v/>
      </c>
      <c r="I918" s="4">
        <f>SUMIFS('Weekly Dump'!D:D,'Weekly Dump'!B:B,C918)</f>
        <v>0</v>
      </c>
      <c r="J918" s="5">
        <f>SUMIFS('Weekly Dump'!AE:AE,'Weekly Dump'!B:B,C918)</f>
        <v>0</v>
      </c>
      <c r="K918" s="4">
        <f>SUMPRODUCT(
  (TEXT('Weekly Dump'!$A$2:$A1009,"mmm-yy")=TEXT($AB918,"mmm-yy"))*
  ('Weekly Dump'!$B$2:$B1009=$C918)*
  'Weekly Dump'!$D$2:$D1009)</f>
        <v>0</v>
      </c>
      <c r="L918" s="4">
        <f>SUMPRODUCT(
  (TEXT('Weekly Dump'!$A$2:$A1009,"mmm-yy")=TEXT($AB918,"mmm-yy"))*
  ('Weekly Dump'!$B$2:$B1009=$C918)*
  'Weekly Dump'!$E$2:$E1009
)</f>
        <v>0</v>
      </c>
      <c r="M918" s="4">
        <f>SUMPRODUCT(
  (TEXT('Weekly Dump'!$A$2:$A1009,"mmm-yy")=TEXT($AB918,"mmm-yy"))*
  ('Weekly Dump'!$B$2:$B1009=$C918)*
  'Weekly Dump'!$P$2:$P1009
)</f>
        <v>0</v>
      </c>
      <c r="N918" s="39"/>
      <c r="O918" s="40">
        <f>SUMIFS('Weekly Dump'!$D:$D,'Weekly Dump'!$B:$B,$C918,'Weekly Dump'!$A:$A,$AB918)</f>
        <v>0</v>
      </c>
      <c r="P918" s="40">
        <f>SUMIFS('Weekly Dump'!R:R,'Weekly Dump'!B:B,C918,'Weekly Dump'!A:A,AB918)</f>
        <v>0</v>
      </c>
      <c r="Q918" s="40">
        <f t="shared" si="20"/>
        <v>0</v>
      </c>
      <c r="R918" s="41"/>
      <c r="T918" s="4">
        <f>SUMIFS('Weekly Dump'!E:E,'Weekly Dump'!B:B,C918,'Weekly Dump'!A:A,AB918)</f>
        <v>0</v>
      </c>
      <c r="U918" s="3">
        <f t="shared" si="21"/>
        <v>0</v>
      </c>
      <c r="V918" s="42"/>
      <c r="X918" s="4">
        <f>SUMIFS('Weekly Dump'!P:P,'Weekly Dump'!B:B,C918,'Weekly Dump'!A:A,AB918)</f>
        <v>0</v>
      </c>
      <c r="Y918" s="4">
        <f t="shared" si="22"/>
        <v>0</v>
      </c>
      <c r="Z918" s="41"/>
      <c r="AA918" s="12" t="str">
        <f>iferror(IF(VLOOKUP(C918,'Weekly Dump'!B:B,1,0)=C918,"Yes","Missing"),"")</f>
        <v/>
      </c>
      <c r="AB918" s="66"/>
    </row>
    <row r="919">
      <c r="B919" s="63"/>
      <c r="C919" s="63"/>
      <c r="G919" s="3" t="str">
        <f t="shared" si="26"/>
        <v/>
      </c>
      <c r="I919" s="4">
        <f>SUMIFS('Weekly Dump'!D:D,'Weekly Dump'!B:B,C919)</f>
        <v>0</v>
      </c>
      <c r="J919" s="5">
        <f>SUMIFS('Weekly Dump'!AE:AE,'Weekly Dump'!B:B,C919)</f>
        <v>0</v>
      </c>
      <c r="K919" s="4">
        <f>SUMPRODUCT(
  (TEXT('Weekly Dump'!$A$2:$A1009,"mmm-yy")=TEXT($AB919,"mmm-yy"))*
  ('Weekly Dump'!$B$2:$B1009=$C919)*
  'Weekly Dump'!$D$2:$D1009)</f>
        <v>0</v>
      </c>
      <c r="L919" s="4">
        <f>SUMPRODUCT(
  (TEXT('Weekly Dump'!$A$2:$A1009,"mmm-yy")=TEXT($AB919,"mmm-yy"))*
  ('Weekly Dump'!$B$2:$B1009=$C919)*
  'Weekly Dump'!$E$2:$E1009
)</f>
        <v>0</v>
      </c>
      <c r="M919" s="4">
        <f>SUMPRODUCT(
  (TEXT('Weekly Dump'!$A$2:$A1009,"mmm-yy")=TEXT($AB919,"mmm-yy"))*
  ('Weekly Dump'!$B$2:$B1009=$C919)*
  'Weekly Dump'!$P$2:$P1009
)</f>
        <v>0</v>
      </c>
      <c r="N919" s="39"/>
      <c r="O919" s="40">
        <f>SUMIFS('Weekly Dump'!$D:$D,'Weekly Dump'!$B:$B,$C919,'Weekly Dump'!$A:$A,$AB919)</f>
        <v>0</v>
      </c>
      <c r="P919" s="40">
        <f>SUMIFS('Weekly Dump'!R:R,'Weekly Dump'!B:B,C919,'Weekly Dump'!A:A,AB919)</f>
        <v>0</v>
      </c>
      <c r="Q919" s="40">
        <f t="shared" si="20"/>
        <v>0</v>
      </c>
      <c r="R919" s="41"/>
      <c r="T919" s="4">
        <f>SUMIFS('Weekly Dump'!E:E,'Weekly Dump'!B:B,C919,'Weekly Dump'!A:A,AB919)</f>
        <v>0</v>
      </c>
      <c r="U919" s="3">
        <f t="shared" si="21"/>
        <v>0</v>
      </c>
      <c r="V919" s="42"/>
      <c r="X919" s="4">
        <f>SUMIFS('Weekly Dump'!P:P,'Weekly Dump'!B:B,C919,'Weekly Dump'!A:A,AB919)</f>
        <v>0</v>
      </c>
      <c r="Y919" s="4">
        <f t="shared" si="22"/>
        <v>0</v>
      </c>
      <c r="Z919" s="41"/>
      <c r="AA919" s="12" t="str">
        <f>iferror(IF(VLOOKUP(C919,'Weekly Dump'!B:B,1,0)=C919,"Yes","Missing"),"")</f>
        <v/>
      </c>
      <c r="AB919" s="66"/>
    </row>
    <row r="920">
      <c r="B920" s="63"/>
      <c r="C920" s="63"/>
      <c r="G920" s="3" t="str">
        <f t="shared" si="26"/>
        <v/>
      </c>
      <c r="I920" s="4">
        <f>SUMIFS('Weekly Dump'!D:D,'Weekly Dump'!B:B,C920)</f>
        <v>0</v>
      </c>
      <c r="J920" s="5">
        <f>SUMIFS('Weekly Dump'!AE:AE,'Weekly Dump'!B:B,C920)</f>
        <v>0</v>
      </c>
      <c r="K920" s="4">
        <f>SUMPRODUCT(
  (TEXT('Weekly Dump'!$A$2:$A1009,"mmm-yy")=TEXT($AB920,"mmm-yy"))*
  ('Weekly Dump'!$B$2:$B1009=$C920)*
  'Weekly Dump'!$D$2:$D1009)</f>
        <v>0</v>
      </c>
      <c r="L920" s="4">
        <f>SUMPRODUCT(
  (TEXT('Weekly Dump'!$A$2:$A1009,"mmm-yy")=TEXT($AB920,"mmm-yy"))*
  ('Weekly Dump'!$B$2:$B1009=$C920)*
  'Weekly Dump'!$E$2:$E1009
)</f>
        <v>0</v>
      </c>
      <c r="M920" s="4">
        <f>SUMPRODUCT(
  (TEXT('Weekly Dump'!$A$2:$A1009,"mmm-yy")=TEXT($AB920,"mmm-yy"))*
  ('Weekly Dump'!$B$2:$B1009=$C920)*
  'Weekly Dump'!$P$2:$P1009
)</f>
        <v>0</v>
      </c>
      <c r="N920" s="39"/>
      <c r="O920" s="40">
        <f>SUMIFS('Weekly Dump'!$D:$D,'Weekly Dump'!$B:$B,$C920,'Weekly Dump'!$A:$A,$AB920)</f>
        <v>0</v>
      </c>
      <c r="P920" s="40">
        <f>SUMIFS('Weekly Dump'!R:R,'Weekly Dump'!B:B,C920,'Weekly Dump'!A:A,AB920)</f>
        <v>0</v>
      </c>
      <c r="Q920" s="40">
        <f t="shared" si="20"/>
        <v>0</v>
      </c>
      <c r="R920" s="41"/>
      <c r="T920" s="4">
        <f>SUMIFS('Weekly Dump'!E:E,'Weekly Dump'!B:B,C920,'Weekly Dump'!A:A,AB920)</f>
        <v>0</v>
      </c>
      <c r="U920" s="3">
        <f t="shared" si="21"/>
        <v>0</v>
      </c>
      <c r="V920" s="42"/>
      <c r="X920" s="4">
        <f>SUMIFS('Weekly Dump'!P:P,'Weekly Dump'!B:B,C920,'Weekly Dump'!A:A,AB920)</f>
        <v>0</v>
      </c>
      <c r="Y920" s="4">
        <f t="shared" si="22"/>
        <v>0</v>
      </c>
      <c r="Z920" s="41"/>
      <c r="AA920" s="12" t="str">
        <f>iferror(IF(VLOOKUP(C920,'Weekly Dump'!B:B,1,0)=C920,"Yes","Missing"),"")</f>
        <v/>
      </c>
      <c r="AB920" s="66"/>
    </row>
    <row r="921">
      <c r="B921" s="63"/>
      <c r="C921" s="63"/>
      <c r="G921" s="3" t="str">
        <f t="shared" si="26"/>
        <v/>
      </c>
      <c r="I921" s="4">
        <f>SUMIFS('Weekly Dump'!D:D,'Weekly Dump'!B:B,C921)</f>
        <v>0</v>
      </c>
      <c r="J921" s="5">
        <f>SUMIFS('Weekly Dump'!AE:AE,'Weekly Dump'!B:B,C921)</f>
        <v>0</v>
      </c>
      <c r="K921" s="4">
        <f>SUMPRODUCT(
  (TEXT('Weekly Dump'!$A$2:$A1009,"mmm-yy")=TEXT($AB921,"mmm-yy"))*
  ('Weekly Dump'!$B$2:$B1009=$C921)*
  'Weekly Dump'!$D$2:$D1009)</f>
        <v>0</v>
      </c>
      <c r="L921" s="4">
        <f>SUMPRODUCT(
  (TEXT('Weekly Dump'!$A$2:$A1009,"mmm-yy")=TEXT($AB921,"mmm-yy"))*
  ('Weekly Dump'!$B$2:$B1009=$C921)*
  'Weekly Dump'!$E$2:$E1009
)</f>
        <v>0</v>
      </c>
      <c r="M921" s="4">
        <f>SUMPRODUCT(
  (TEXT('Weekly Dump'!$A$2:$A1009,"mmm-yy")=TEXT($AB921,"mmm-yy"))*
  ('Weekly Dump'!$B$2:$B1009=$C921)*
  'Weekly Dump'!$P$2:$P1009
)</f>
        <v>0</v>
      </c>
      <c r="N921" s="39"/>
      <c r="O921" s="40">
        <f>SUMIFS('Weekly Dump'!$D:$D,'Weekly Dump'!$B:$B,$C921,'Weekly Dump'!$A:$A,$AB921)</f>
        <v>0</v>
      </c>
      <c r="P921" s="40">
        <f>SUMIFS('Weekly Dump'!R:R,'Weekly Dump'!B:B,C921,'Weekly Dump'!A:A,AB921)</f>
        <v>0</v>
      </c>
      <c r="Q921" s="40">
        <f t="shared" si="20"/>
        <v>0</v>
      </c>
      <c r="R921" s="41"/>
      <c r="T921" s="4">
        <f>SUMIFS('Weekly Dump'!E:E,'Weekly Dump'!B:B,C921,'Weekly Dump'!A:A,AB921)</f>
        <v>0</v>
      </c>
      <c r="U921" s="3">
        <f t="shared" si="21"/>
        <v>0</v>
      </c>
      <c r="V921" s="42"/>
      <c r="X921" s="4">
        <f>SUMIFS('Weekly Dump'!P:P,'Weekly Dump'!B:B,C921,'Weekly Dump'!A:A,AB921)</f>
        <v>0</v>
      </c>
      <c r="Y921" s="4">
        <f t="shared" si="22"/>
        <v>0</v>
      </c>
      <c r="Z921" s="41"/>
      <c r="AA921" s="12" t="str">
        <f>iferror(IF(VLOOKUP(C921,'Weekly Dump'!B:B,1,0)=C921,"Yes","Missing"),"")</f>
        <v/>
      </c>
      <c r="AB921" s="66"/>
    </row>
    <row r="922">
      <c r="B922" s="63"/>
      <c r="C922" s="63"/>
      <c r="G922" s="3" t="str">
        <f t="shared" si="26"/>
        <v/>
      </c>
      <c r="I922" s="4">
        <f>SUMIFS('Weekly Dump'!D:D,'Weekly Dump'!B:B,C922)</f>
        <v>0</v>
      </c>
      <c r="J922" s="5">
        <f>SUMIFS('Weekly Dump'!AE:AE,'Weekly Dump'!B:B,C922)</f>
        <v>0</v>
      </c>
      <c r="K922" s="4">
        <f>SUMPRODUCT(
  (TEXT('Weekly Dump'!$A$2:$A1009,"mmm-yy")=TEXT($AB922,"mmm-yy"))*
  ('Weekly Dump'!$B$2:$B1009=$C922)*
  'Weekly Dump'!$D$2:$D1009)</f>
        <v>0</v>
      </c>
      <c r="L922" s="4">
        <f>SUMPRODUCT(
  (TEXT('Weekly Dump'!$A$2:$A1009,"mmm-yy")=TEXT($AB922,"mmm-yy"))*
  ('Weekly Dump'!$B$2:$B1009=$C922)*
  'Weekly Dump'!$E$2:$E1009
)</f>
        <v>0</v>
      </c>
      <c r="M922" s="4">
        <f>SUMPRODUCT(
  (TEXT('Weekly Dump'!$A$2:$A1009,"mmm-yy")=TEXT($AB922,"mmm-yy"))*
  ('Weekly Dump'!$B$2:$B1009=$C922)*
  'Weekly Dump'!$P$2:$P1009
)</f>
        <v>0</v>
      </c>
      <c r="N922" s="39"/>
      <c r="O922" s="40">
        <f>SUMIFS('Weekly Dump'!$D:$D,'Weekly Dump'!$B:$B,$C922,'Weekly Dump'!$A:$A,$AB922)</f>
        <v>0</v>
      </c>
      <c r="P922" s="40">
        <f>SUMIFS('Weekly Dump'!R:R,'Weekly Dump'!B:B,C922,'Weekly Dump'!A:A,AB922)</f>
        <v>0</v>
      </c>
      <c r="Q922" s="40">
        <f t="shared" si="20"/>
        <v>0</v>
      </c>
      <c r="R922" s="41"/>
      <c r="T922" s="4">
        <f>SUMIFS('Weekly Dump'!E:E,'Weekly Dump'!B:B,C922,'Weekly Dump'!A:A,AB922)</f>
        <v>0</v>
      </c>
      <c r="U922" s="3">
        <f t="shared" si="21"/>
        <v>0</v>
      </c>
      <c r="V922" s="42"/>
      <c r="X922" s="4">
        <f>SUMIFS('Weekly Dump'!P:P,'Weekly Dump'!B:B,C922,'Weekly Dump'!A:A,AB922)</f>
        <v>0</v>
      </c>
      <c r="Y922" s="4">
        <f t="shared" si="22"/>
        <v>0</v>
      </c>
      <c r="Z922" s="41"/>
      <c r="AA922" s="12" t="str">
        <f>iferror(IF(VLOOKUP(C922,'Weekly Dump'!B:B,1,0)=C922,"Yes","Missing"),"")</f>
        <v/>
      </c>
      <c r="AB922" s="66"/>
    </row>
    <row r="923">
      <c r="B923" s="63"/>
      <c r="C923" s="63"/>
      <c r="G923" s="3" t="str">
        <f t="shared" si="26"/>
        <v/>
      </c>
      <c r="I923" s="4">
        <f>SUMIFS('Weekly Dump'!D:D,'Weekly Dump'!B:B,C923)</f>
        <v>0</v>
      </c>
      <c r="J923" s="5">
        <f>SUMIFS('Weekly Dump'!AE:AE,'Weekly Dump'!B:B,C923)</f>
        <v>0</v>
      </c>
      <c r="K923" s="4">
        <f>SUMPRODUCT(
  (TEXT('Weekly Dump'!$A$2:$A1009,"mmm-yy")=TEXT($AB923,"mmm-yy"))*
  ('Weekly Dump'!$B$2:$B1009=$C923)*
  'Weekly Dump'!$D$2:$D1009)</f>
        <v>0</v>
      </c>
      <c r="L923" s="4">
        <f>SUMPRODUCT(
  (TEXT('Weekly Dump'!$A$2:$A1009,"mmm-yy")=TEXT($AB923,"mmm-yy"))*
  ('Weekly Dump'!$B$2:$B1009=$C923)*
  'Weekly Dump'!$E$2:$E1009
)</f>
        <v>0</v>
      </c>
      <c r="M923" s="4">
        <f>SUMPRODUCT(
  (TEXT('Weekly Dump'!$A$2:$A1009,"mmm-yy")=TEXT($AB923,"mmm-yy"))*
  ('Weekly Dump'!$B$2:$B1009=$C923)*
  'Weekly Dump'!$P$2:$P1009
)</f>
        <v>0</v>
      </c>
      <c r="N923" s="39"/>
      <c r="O923" s="40">
        <f>SUMIFS('Weekly Dump'!$D:$D,'Weekly Dump'!$B:$B,$C923,'Weekly Dump'!$A:$A,$AB923)</f>
        <v>0</v>
      </c>
      <c r="P923" s="40">
        <f>SUMIFS('Weekly Dump'!R:R,'Weekly Dump'!B:B,C923,'Weekly Dump'!A:A,AB923)</f>
        <v>0</v>
      </c>
      <c r="Q923" s="40">
        <f t="shared" si="20"/>
        <v>0</v>
      </c>
      <c r="R923" s="41"/>
      <c r="T923" s="4">
        <f>SUMIFS('Weekly Dump'!E:E,'Weekly Dump'!B:B,C923,'Weekly Dump'!A:A,AB923)</f>
        <v>0</v>
      </c>
      <c r="U923" s="3">
        <f t="shared" si="21"/>
        <v>0</v>
      </c>
      <c r="V923" s="42"/>
      <c r="X923" s="4">
        <f>SUMIFS('Weekly Dump'!P:P,'Weekly Dump'!B:B,C923,'Weekly Dump'!A:A,AB923)</f>
        <v>0</v>
      </c>
      <c r="Y923" s="4">
        <f t="shared" si="22"/>
        <v>0</v>
      </c>
      <c r="Z923" s="41"/>
      <c r="AA923" s="12" t="str">
        <f>iferror(IF(VLOOKUP(C923,'Weekly Dump'!B:B,1,0)=C923,"Yes","Missing"),"")</f>
        <v/>
      </c>
      <c r="AB923" s="66"/>
    </row>
    <row r="924">
      <c r="B924" s="63"/>
      <c r="C924" s="63"/>
      <c r="G924" s="3" t="str">
        <f t="shared" si="26"/>
        <v/>
      </c>
      <c r="I924" s="4">
        <f>SUMIFS('Weekly Dump'!D:D,'Weekly Dump'!B:B,C924)</f>
        <v>0</v>
      </c>
      <c r="J924" s="5">
        <f>SUMIFS('Weekly Dump'!AE:AE,'Weekly Dump'!B:B,C924)</f>
        <v>0</v>
      </c>
      <c r="K924" s="4">
        <f>SUMPRODUCT(
  (TEXT('Weekly Dump'!$A$2:$A1009,"mmm-yy")=TEXT($AB924,"mmm-yy"))*
  ('Weekly Dump'!$B$2:$B1009=$C924)*
  'Weekly Dump'!$D$2:$D1009)</f>
        <v>0</v>
      </c>
      <c r="L924" s="4">
        <f>SUMPRODUCT(
  (TEXT('Weekly Dump'!$A$2:$A1009,"mmm-yy")=TEXT($AB924,"mmm-yy"))*
  ('Weekly Dump'!$B$2:$B1009=$C924)*
  'Weekly Dump'!$E$2:$E1009
)</f>
        <v>0</v>
      </c>
      <c r="M924" s="4">
        <f>SUMPRODUCT(
  (TEXT('Weekly Dump'!$A$2:$A1009,"mmm-yy")=TEXT($AB924,"mmm-yy"))*
  ('Weekly Dump'!$B$2:$B1009=$C924)*
  'Weekly Dump'!$P$2:$P1009
)</f>
        <v>0</v>
      </c>
      <c r="N924" s="39"/>
      <c r="O924" s="40">
        <f>SUMIFS('Weekly Dump'!$D:$D,'Weekly Dump'!$B:$B,$C924,'Weekly Dump'!$A:$A,$AB924)</f>
        <v>0</v>
      </c>
      <c r="P924" s="40">
        <f>SUMIFS('Weekly Dump'!R:R,'Weekly Dump'!B:B,C924,'Weekly Dump'!A:A,AB924)</f>
        <v>0</v>
      </c>
      <c r="Q924" s="40">
        <f t="shared" si="20"/>
        <v>0</v>
      </c>
      <c r="R924" s="41"/>
      <c r="T924" s="4">
        <f>SUMIFS('Weekly Dump'!E:E,'Weekly Dump'!B:B,C924,'Weekly Dump'!A:A,AB924)</f>
        <v>0</v>
      </c>
      <c r="U924" s="3">
        <f t="shared" si="21"/>
        <v>0</v>
      </c>
      <c r="V924" s="42"/>
      <c r="X924" s="4">
        <f>SUMIFS('Weekly Dump'!P:P,'Weekly Dump'!B:B,C924,'Weekly Dump'!A:A,AB924)</f>
        <v>0</v>
      </c>
      <c r="Y924" s="4">
        <f t="shared" si="22"/>
        <v>0</v>
      </c>
      <c r="Z924" s="41"/>
      <c r="AA924" s="12" t="str">
        <f>iferror(IF(VLOOKUP(C924,'Weekly Dump'!B:B,1,0)=C924,"Yes","Missing"),"")</f>
        <v/>
      </c>
      <c r="AB924" s="66"/>
    </row>
    <row r="925">
      <c r="B925" s="63"/>
      <c r="C925" s="63"/>
      <c r="G925" s="3" t="str">
        <f t="shared" si="26"/>
        <v/>
      </c>
      <c r="I925" s="4">
        <f>SUMIFS('Weekly Dump'!D:D,'Weekly Dump'!B:B,C925)</f>
        <v>0</v>
      </c>
      <c r="J925" s="5">
        <f>SUMIFS('Weekly Dump'!AE:AE,'Weekly Dump'!B:B,C925)</f>
        <v>0</v>
      </c>
      <c r="K925" s="4">
        <f>SUMPRODUCT(
  (TEXT('Weekly Dump'!$A$2:$A1009,"mmm-yy")=TEXT($AB925,"mmm-yy"))*
  ('Weekly Dump'!$B$2:$B1009=$C925)*
  'Weekly Dump'!$D$2:$D1009)</f>
        <v>0</v>
      </c>
      <c r="L925" s="4">
        <f>SUMPRODUCT(
  (TEXT('Weekly Dump'!$A$2:$A1009,"mmm-yy")=TEXT($AB925,"mmm-yy"))*
  ('Weekly Dump'!$B$2:$B1009=$C925)*
  'Weekly Dump'!$E$2:$E1009
)</f>
        <v>0</v>
      </c>
      <c r="M925" s="4">
        <f>SUMPRODUCT(
  (TEXT('Weekly Dump'!$A$2:$A1009,"mmm-yy")=TEXT($AB925,"mmm-yy"))*
  ('Weekly Dump'!$B$2:$B1009=$C925)*
  'Weekly Dump'!$P$2:$P1009
)</f>
        <v>0</v>
      </c>
      <c r="N925" s="39"/>
      <c r="O925" s="40">
        <f>SUMIFS('Weekly Dump'!$D:$D,'Weekly Dump'!$B:$B,$C925,'Weekly Dump'!$A:$A,$AB925)</f>
        <v>0</v>
      </c>
      <c r="P925" s="40">
        <f>SUMIFS('Weekly Dump'!R:R,'Weekly Dump'!B:B,C925,'Weekly Dump'!A:A,AB925)</f>
        <v>0</v>
      </c>
      <c r="Q925" s="40">
        <f t="shared" si="20"/>
        <v>0</v>
      </c>
      <c r="R925" s="41"/>
      <c r="T925" s="4">
        <f>SUMIFS('Weekly Dump'!E:E,'Weekly Dump'!B:B,C925,'Weekly Dump'!A:A,AB925)</f>
        <v>0</v>
      </c>
      <c r="U925" s="3">
        <f t="shared" si="21"/>
        <v>0</v>
      </c>
      <c r="V925" s="42"/>
      <c r="X925" s="4">
        <f>SUMIFS('Weekly Dump'!P:P,'Weekly Dump'!B:B,C925,'Weekly Dump'!A:A,AB925)</f>
        <v>0</v>
      </c>
      <c r="Y925" s="4">
        <f t="shared" si="22"/>
        <v>0</v>
      </c>
      <c r="Z925" s="41"/>
      <c r="AA925" s="12" t="str">
        <f>iferror(IF(VLOOKUP(C925,'Weekly Dump'!B:B,1,0)=C925,"Yes","Missing"),"")</f>
        <v/>
      </c>
      <c r="AB925" s="66"/>
    </row>
    <row r="926">
      <c r="B926" s="63"/>
      <c r="C926" s="63"/>
      <c r="G926" s="3" t="str">
        <f t="shared" si="26"/>
        <v/>
      </c>
      <c r="I926" s="4">
        <f>SUMIFS('Weekly Dump'!D:D,'Weekly Dump'!B:B,C926)</f>
        <v>0</v>
      </c>
      <c r="J926" s="5">
        <f>SUMIFS('Weekly Dump'!AE:AE,'Weekly Dump'!B:B,C926)</f>
        <v>0</v>
      </c>
      <c r="K926" s="4">
        <f>SUMPRODUCT(
  (TEXT('Weekly Dump'!$A$2:$A1009,"mmm-yy")=TEXT($AB926,"mmm-yy"))*
  ('Weekly Dump'!$B$2:$B1009=$C926)*
  'Weekly Dump'!$D$2:$D1009)</f>
        <v>0</v>
      </c>
      <c r="L926" s="4">
        <f>SUMPRODUCT(
  (TEXT('Weekly Dump'!$A$2:$A1009,"mmm-yy")=TEXT($AB926,"mmm-yy"))*
  ('Weekly Dump'!$B$2:$B1009=$C926)*
  'Weekly Dump'!$E$2:$E1009
)</f>
        <v>0</v>
      </c>
      <c r="M926" s="4">
        <f>SUMPRODUCT(
  (TEXT('Weekly Dump'!$A$2:$A1009,"mmm-yy")=TEXT($AB926,"mmm-yy"))*
  ('Weekly Dump'!$B$2:$B1009=$C926)*
  'Weekly Dump'!$P$2:$P1009
)</f>
        <v>0</v>
      </c>
      <c r="N926" s="39"/>
      <c r="O926" s="40">
        <f>SUMIFS('Weekly Dump'!$D:$D,'Weekly Dump'!$B:$B,$C926,'Weekly Dump'!$A:$A,$AB926)</f>
        <v>0</v>
      </c>
      <c r="P926" s="40">
        <f>SUMIFS('Weekly Dump'!R:R,'Weekly Dump'!B:B,C926,'Weekly Dump'!A:A,AB926)</f>
        <v>0</v>
      </c>
      <c r="Q926" s="40">
        <f t="shared" si="20"/>
        <v>0</v>
      </c>
      <c r="R926" s="41"/>
      <c r="T926" s="4">
        <f>SUMIFS('Weekly Dump'!E:E,'Weekly Dump'!B:B,C926,'Weekly Dump'!A:A,AB926)</f>
        <v>0</v>
      </c>
      <c r="U926" s="3">
        <f t="shared" si="21"/>
        <v>0</v>
      </c>
      <c r="V926" s="42"/>
      <c r="X926" s="4">
        <f>SUMIFS('Weekly Dump'!P:P,'Weekly Dump'!B:B,C926,'Weekly Dump'!A:A,AB926)</f>
        <v>0</v>
      </c>
      <c r="Y926" s="4">
        <f t="shared" si="22"/>
        <v>0</v>
      </c>
      <c r="Z926" s="41"/>
      <c r="AA926" s="12" t="str">
        <f>iferror(IF(VLOOKUP(C926,'Weekly Dump'!B:B,1,0)=C926,"Yes","Missing"),"")</f>
        <v/>
      </c>
      <c r="AB926" s="66"/>
    </row>
    <row r="927">
      <c r="B927" s="63"/>
      <c r="C927" s="63"/>
      <c r="G927" s="3" t="str">
        <f t="shared" si="26"/>
        <v/>
      </c>
      <c r="I927" s="4">
        <f>SUMIFS('Weekly Dump'!D:D,'Weekly Dump'!B:B,C927)</f>
        <v>0</v>
      </c>
      <c r="J927" s="5">
        <f>SUMIFS('Weekly Dump'!AE:AE,'Weekly Dump'!B:B,C927)</f>
        <v>0</v>
      </c>
      <c r="K927" s="4">
        <f>SUMPRODUCT(
  (TEXT('Weekly Dump'!$A$2:$A1009,"mmm-yy")=TEXT($AB927,"mmm-yy"))*
  ('Weekly Dump'!$B$2:$B1009=$C927)*
  'Weekly Dump'!$D$2:$D1009)</f>
        <v>0</v>
      </c>
      <c r="L927" s="4">
        <f>SUMPRODUCT(
  (TEXT('Weekly Dump'!$A$2:$A1009,"mmm-yy")=TEXT($AB927,"mmm-yy"))*
  ('Weekly Dump'!$B$2:$B1009=$C927)*
  'Weekly Dump'!$E$2:$E1009
)</f>
        <v>0</v>
      </c>
      <c r="M927" s="4">
        <f>SUMPRODUCT(
  (TEXT('Weekly Dump'!$A$2:$A1009,"mmm-yy")=TEXT($AB927,"mmm-yy"))*
  ('Weekly Dump'!$B$2:$B1009=$C927)*
  'Weekly Dump'!$P$2:$P1009
)</f>
        <v>0</v>
      </c>
      <c r="N927" s="39"/>
      <c r="O927" s="40">
        <f>SUMIFS('Weekly Dump'!$D:$D,'Weekly Dump'!$B:$B,$C927,'Weekly Dump'!$A:$A,$AB927)</f>
        <v>0</v>
      </c>
      <c r="P927" s="40">
        <f>SUMIFS('Weekly Dump'!R:R,'Weekly Dump'!B:B,C927,'Weekly Dump'!A:A,AB927)</f>
        <v>0</v>
      </c>
      <c r="Q927" s="40">
        <f t="shared" si="20"/>
        <v>0</v>
      </c>
      <c r="R927" s="41"/>
      <c r="T927" s="4">
        <f>SUMIFS('Weekly Dump'!E:E,'Weekly Dump'!B:B,C927,'Weekly Dump'!A:A,AB927)</f>
        <v>0</v>
      </c>
      <c r="U927" s="3">
        <f t="shared" si="21"/>
        <v>0</v>
      </c>
      <c r="V927" s="42"/>
      <c r="X927" s="4">
        <f>SUMIFS('Weekly Dump'!P:P,'Weekly Dump'!B:B,C927,'Weekly Dump'!A:A,AB927)</f>
        <v>0</v>
      </c>
      <c r="Y927" s="4">
        <f t="shared" si="22"/>
        <v>0</v>
      </c>
      <c r="Z927" s="41"/>
      <c r="AA927" s="12" t="str">
        <f>iferror(IF(VLOOKUP(C927,'Weekly Dump'!B:B,1,0)=C927,"Yes","Missing"),"")</f>
        <v/>
      </c>
      <c r="AB927" s="66"/>
    </row>
    <row r="928">
      <c r="B928" s="63"/>
      <c r="C928" s="63"/>
      <c r="G928" s="3" t="str">
        <f t="shared" si="26"/>
        <v/>
      </c>
      <c r="I928" s="4">
        <f>SUMIFS('Weekly Dump'!D:D,'Weekly Dump'!B:B,C928)</f>
        <v>0</v>
      </c>
      <c r="J928" s="5">
        <f>SUMIFS('Weekly Dump'!AE:AE,'Weekly Dump'!B:B,C928)</f>
        <v>0</v>
      </c>
      <c r="K928" s="4">
        <f>SUMPRODUCT(
  (TEXT('Weekly Dump'!$A$2:$A1009,"mmm-yy")=TEXT($AB928,"mmm-yy"))*
  ('Weekly Dump'!$B$2:$B1009=$C928)*
  'Weekly Dump'!$D$2:$D1009)</f>
        <v>0</v>
      </c>
      <c r="L928" s="4">
        <f>SUMPRODUCT(
  (TEXT('Weekly Dump'!$A$2:$A1009,"mmm-yy")=TEXT($AB928,"mmm-yy"))*
  ('Weekly Dump'!$B$2:$B1009=$C928)*
  'Weekly Dump'!$E$2:$E1009
)</f>
        <v>0</v>
      </c>
      <c r="M928" s="4">
        <f>SUMPRODUCT(
  (TEXT('Weekly Dump'!$A$2:$A1009,"mmm-yy")=TEXT($AB928,"mmm-yy"))*
  ('Weekly Dump'!$B$2:$B1009=$C928)*
  'Weekly Dump'!$P$2:$P1009
)</f>
        <v>0</v>
      </c>
      <c r="N928" s="39"/>
      <c r="O928" s="40">
        <f>SUMIFS('Weekly Dump'!$D:$D,'Weekly Dump'!$B:$B,$C928,'Weekly Dump'!$A:$A,$AB928)</f>
        <v>0</v>
      </c>
      <c r="P928" s="40">
        <f>SUMIFS('Weekly Dump'!R:R,'Weekly Dump'!B:B,C928,'Weekly Dump'!A:A,AB928)</f>
        <v>0</v>
      </c>
      <c r="Q928" s="40">
        <f t="shared" si="20"/>
        <v>0</v>
      </c>
      <c r="R928" s="41"/>
      <c r="T928" s="4">
        <f>SUMIFS('Weekly Dump'!E:E,'Weekly Dump'!B:B,C928,'Weekly Dump'!A:A,AB928)</f>
        <v>0</v>
      </c>
      <c r="U928" s="3">
        <f t="shared" si="21"/>
        <v>0</v>
      </c>
      <c r="V928" s="42"/>
      <c r="X928" s="4">
        <f>SUMIFS('Weekly Dump'!P:P,'Weekly Dump'!B:B,C928,'Weekly Dump'!A:A,AB928)</f>
        <v>0</v>
      </c>
      <c r="Y928" s="4">
        <f t="shared" si="22"/>
        <v>0</v>
      </c>
      <c r="Z928" s="41"/>
      <c r="AA928" s="12" t="str">
        <f>iferror(IF(VLOOKUP(C928,'Weekly Dump'!B:B,1,0)=C928,"Yes","Missing"),"")</f>
        <v/>
      </c>
      <c r="AB928" s="66"/>
    </row>
    <row r="929">
      <c r="B929" s="63"/>
      <c r="C929" s="63"/>
      <c r="G929" s="3" t="str">
        <f t="shared" si="26"/>
        <v/>
      </c>
      <c r="I929" s="4">
        <f>SUMIFS('Weekly Dump'!D:D,'Weekly Dump'!B:B,C929)</f>
        <v>0</v>
      </c>
      <c r="J929" s="5">
        <f>SUMIFS('Weekly Dump'!AE:AE,'Weekly Dump'!B:B,C929)</f>
        <v>0</v>
      </c>
      <c r="K929" s="4">
        <f>SUMPRODUCT(
  (TEXT('Weekly Dump'!$A$2:$A1009,"mmm-yy")=TEXT($AB929,"mmm-yy"))*
  ('Weekly Dump'!$B$2:$B1009=$C929)*
  'Weekly Dump'!$D$2:$D1009)</f>
        <v>0</v>
      </c>
      <c r="L929" s="4">
        <f>SUMPRODUCT(
  (TEXT('Weekly Dump'!$A$2:$A1009,"mmm-yy")=TEXT($AB929,"mmm-yy"))*
  ('Weekly Dump'!$B$2:$B1009=$C929)*
  'Weekly Dump'!$E$2:$E1009
)</f>
        <v>0</v>
      </c>
      <c r="M929" s="4">
        <f>SUMPRODUCT(
  (TEXT('Weekly Dump'!$A$2:$A1009,"mmm-yy")=TEXT($AB929,"mmm-yy"))*
  ('Weekly Dump'!$B$2:$B1009=$C929)*
  'Weekly Dump'!$P$2:$P1009
)</f>
        <v>0</v>
      </c>
      <c r="N929" s="39"/>
      <c r="O929" s="40">
        <f>SUMIFS('Weekly Dump'!$D:$D,'Weekly Dump'!$B:$B,$C929,'Weekly Dump'!$A:$A,$AB929)</f>
        <v>0</v>
      </c>
      <c r="P929" s="40">
        <f>SUMIFS('Weekly Dump'!R:R,'Weekly Dump'!B:B,C929,'Weekly Dump'!A:A,AB929)</f>
        <v>0</v>
      </c>
      <c r="Q929" s="40">
        <f t="shared" si="20"/>
        <v>0</v>
      </c>
      <c r="R929" s="41"/>
      <c r="T929" s="4">
        <f>SUMIFS('Weekly Dump'!E:E,'Weekly Dump'!B:B,C929,'Weekly Dump'!A:A,AB929)</f>
        <v>0</v>
      </c>
      <c r="U929" s="3">
        <f t="shared" si="21"/>
        <v>0</v>
      </c>
      <c r="V929" s="42"/>
      <c r="X929" s="4">
        <f>SUMIFS('Weekly Dump'!P:P,'Weekly Dump'!B:B,C929,'Weekly Dump'!A:A,AB929)</f>
        <v>0</v>
      </c>
      <c r="Y929" s="4">
        <f t="shared" si="22"/>
        <v>0</v>
      </c>
      <c r="Z929" s="41"/>
      <c r="AA929" s="12" t="str">
        <f>iferror(IF(VLOOKUP(C929,'Weekly Dump'!B:B,1,0)=C929,"Yes","Missing"),"")</f>
        <v/>
      </c>
      <c r="AB929" s="66"/>
    </row>
    <row r="930">
      <c r="B930" s="63"/>
      <c r="C930" s="63"/>
      <c r="G930" s="3" t="str">
        <f t="shared" si="26"/>
        <v/>
      </c>
      <c r="I930" s="4">
        <f>SUMIFS('Weekly Dump'!D:D,'Weekly Dump'!B:B,C930)</f>
        <v>0</v>
      </c>
      <c r="J930" s="5">
        <f>SUMIFS('Weekly Dump'!AE:AE,'Weekly Dump'!B:B,C930)</f>
        <v>0</v>
      </c>
      <c r="K930" s="4">
        <f>SUMPRODUCT(
  (TEXT('Weekly Dump'!$A$2:$A1009,"mmm-yy")=TEXT($AB930,"mmm-yy"))*
  ('Weekly Dump'!$B$2:$B1009=$C930)*
  'Weekly Dump'!$D$2:$D1009)</f>
        <v>0</v>
      </c>
      <c r="L930" s="4">
        <f>SUMPRODUCT(
  (TEXT('Weekly Dump'!$A$2:$A1009,"mmm-yy")=TEXT($AB930,"mmm-yy"))*
  ('Weekly Dump'!$B$2:$B1009=$C930)*
  'Weekly Dump'!$E$2:$E1009
)</f>
        <v>0</v>
      </c>
      <c r="M930" s="4">
        <f>SUMPRODUCT(
  (TEXT('Weekly Dump'!$A$2:$A1009,"mmm-yy")=TEXT($AB930,"mmm-yy"))*
  ('Weekly Dump'!$B$2:$B1009=$C930)*
  'Weekly Dump'!$P$2:$P1009
)</f>
        <v>0</v>
      </c>
      <c r="N930" s="39"/>
      <c r="O930" s="40">
        <f>SUMIFS('Weekly Dump'!$D:$D,'Weekly Dump'!$B:$B,$C930,'Weekly Dump'!$A:$A,$AB930)</f>
        <v>0</v>
      </c>
      <c r="P930" s="40">
        <f>SUMIFS('Weekly Dump'!R:R,'Weekly Dump'!B:B,C930,'Weekly Dump'!A:A,AB930)</f>
        <v>0</v>
      </c>
      <c r="Q930" s="40">
        <f t="shared" si="20"/>
        <v>0</v>
      </c>
      <c r="R930" s="41"/>
      <c r="T930" s="4">
        <f>SUMIFS('Weekly Dump'!E:E,'Weekly Dump'!B:B,C930,'Weekly Dump'!A:A,AB930)</f>
        <v>0</v>
      </c>
      <c r="U930" s="3">
        <f t="shared" si="21"/>
        <v>0</v>
      </c>
      <c r="V930" s="42"/>
      <c r="X930" s="4">
        <f>SUMIFS('Weekly Dump'!P:P,'Weekly Dump'!B:B,C930,'Weekly Dump'!A:A,AB930)</f>
        <v>0</v>
      </c>
      <c r="Y930" s="4">
        <f t="shared" si="22"/>
        <v>0</v>
      </c>
      <c r="Z930" s="41"/>
      <c r="AA930" s="12" t="str">
        <f>iferror(IF(VLOOKUP(C930,'Weekly Dump'!B:B,1,0)=C930,"Yes","Missing"),"")</f>
        <v/>
      </c>
      <c r="AB930" s="66"/>
    </row>
    <row r="931">
      <c r="B931" s="63"/>
      <c r="C931" s="63"/>
      <c r="G931" s="3" t="str">
        <f t="shared" si="26"/>
        <v/>
      </c>
      <c r="I931" s="4">
        <f>SUMIFS('Weekly Dump'!D:D,'Weekly Dump'!B:B,C931)</f>
        <v>0</v>
      </c>
      <c r="J931" s="5">
        <f>SUMIFS('Weekly Dump'!AE:AE,'Weekly Dump'!B:B,C931)</f>
        <v>0</v>
      </c>
      <c r="K931" s="4">
        <f>SUMPRODUCT(
  (TEXT('Weekly Dump'!$A$2:$A1009,"mmm-yy")=TEXT($AB931,"mmm-yy"))*
  ('Weekly Dump'!$B$2:$B1009=$C931)*
  'Weekly Dump'!$D$2:$D1009)</f>
        <v>0</v>
      </c>
      <c r="L931" s="4">
        <f>SUMPRODUCT(
  (TEXT('Weekly Dump'!$A$2:$A1009,"mmm-yy")=TEXT($AB931,"mmm-yy"))*
  ('Weekly Dump'!$B$2:$B1009=$C931)*
  'Weekly Dump'!$E$2:$E1009
)</f>
        <v>0</v>
      </c>
      <c r="M931" s="4">
        <f>SUMPRODUCT(
  (TEXT('Weekly Dump'!$A$2:$A1009,"mmm-yy")=TEXT($AB931,"mmm-yy"))*
  ('Weekly Dump'!$B$2:$B1009=$C931)*
  'Weekly Dump'!$P$2:$P1009
)</f>
        <v>0</v>
      </c>
      <c r="N931" s="39"/>
      <c r="O931" s="40">
        <f>SUMIFS('Weekly Dump'!$D:$D,'Weekly Dump'!$B:$B,$C931,'Weekly Dump'!$A:$A,$AB931)</f>
        <v>0</v>
      </c>
      <c r="P931" s="40">
        <f>SUMIFS('Weekly Dump'!R:R,'Weekly Dump'!B:B,C931,'Weekly Dump'!A:A,AB931)</f>
        <v>0</v>
      </c>
      <c r="Q931" s="40">
        <f t="shared" si="20"/>
        <v>0</v>
      </c>
      <c r="R931" s="41"/>
      <c r="T931" s="4">
        <f>SUMIFS('Weekly Dump'!E:E,'Weekly Dump'!B:B,C931,'Weekly Dump'!A:A,AB931)</f>
        <v>0</v>
      </c>
      <c r="U931" s="3">
        <f t="shared" si="21"/>
        <v>0</v>
      </c>
      <c r="V931" s="42"/>
      <c r="X931" s="4">
        <f>SUMIFS('Weekly Dump'!P:P,'Weekly Dump'!B:B,C931,'Weekly Dump'!A:A,AB931)</f>
        <v>0</v>
      </c>
      <c r="Y931" s="4">
        <f t="shared" si="22"/>
        <v>0</v>
      </c>
      <c r="Z931" s="41"/>
      <c r="AA931" s="12" t="str">
        <f>iferror(IF(VLOOKUP(C931,'Weekly Dump'!B:B,1,0)=C931,"Yes","Missing"),"")</f>
        <v/>
      </c>
      <c r="AB931" s="66"/>
    </row>
    <row r="932">
      <c r="B932" s="63"/>
      <c r="C932" s="63"/>
      <c r="G932" s="3" t="str">
        <f t="shared" si="26"/>
        <v/>
      </c>
      <c r="I932" s="4">
        <f>SUMIFS('Weekly Dump'!D:D,'Weekly Dump'!B:B,C932)</f>
        <v>0</v>
      </c>
      <c r="J932" s="5">
        <f>SUMIFS('Weekly Dump'!AE:AE,'Weekly Dump'!B:B,C932)</f>
        <v>0</v>
      </c>
      <c r="K932" s="4">
        <f>SUMPRODUCT(
  (TEXT('Weekly Dump'!$A$2:$A1009,"mmm-yy")=TEXT($AB932,"mmm-yy"))*
  ('Weekly Dump'!$B$2:$B1009=$C932)*
  'Weekly Dump'!$D$2:$D1009)</f>
        <v>0</v>
      </c>
      <c r="L932" s="4">
        <f>SUMPRODUCT(
  (TEXT('Weekly Dump'!$A$2:$A1009,"mmm-yy")=TEXT($AB932,"mmm-yy"))*
  ('Weekly Dump'!$B$2:$B1009=$C932)*
  'Weekly Dump'!$E$2:$E1009
)</f>
        <v>0</v>
      </c>
      <c r="M932" s="4">
        <f>SUMPRODUCT(
  (TEXT('Weekly Dump'!$A$2:$A1009,"mmm-yy")=TEXT($AB932,"mmm-yy"))*
  ('Weekly Dump'!$B$2:$B1009=$C932)*
  'Weekly Dump'!$P$2:$P1009
)</f>
        <v>0</v>
      </c>
      <c r="N932" s="39"/>
      <c r="O932" s="40">
        <f>SUMIFS('Weekly Dump'!$D:$D,'Weekly Dump'!$B:$B,$C932,'Weekly Dump'!$A:$A,$AB932)</f>
        <v>0</v>
      </c>
      <c r="P932" s="40">
        <f>SUMIFS('Weekly Dump'!R:R,'Weekly Dump'!B:B,C932,'Weekly Dump'!A:A,AB932)</f>
        <v>0</v>
      </c>
      <c r="Q932" s="40">
        <f t="shared" si="20"/>
        <v>0</v>
      </c>
      <c r="R932" s="41"/>
      <c r="T932" s="4">
        <f>SUMIFS('Weekly Dump'!E:E,'Weekly Dump'!B:B,C932,'Weekly Dump'!A:A,AB932)</f>
        <v>0</v>
      </c>
      <c r="U932" s="3">
        <f t="shared" si="21"/>
        <v>0</v>
      </c>
      <c r="V932" s="42"/>
      <c r="X932" s="4">
        <f>SUMIFS('Weekly Dump'!P:P,'Weekly Dump'!B:B,C932,'Weekly Dump'!A:A,AB932)</f>
        <v>0</v>
      </c>
      <c r="Y932" s="4">
        <f t="shared" si="22"/>
        <v>0</v>
      </c>
      <c r="Z932" s="41"/>
      <c r="AA932" s="12" t="str">
        <f>iferror(IF(VLOOKUP(C932,'Weekly Dump'!B:B,1,0)=C932,"Yes","Missing"),"")</f>
        <v/>
      </c>
      <c r="AB932" s="66"/>
    </row>
    <row r="933">
      <c r="B933" s="63"/>
      <c r="C933" s="63"/>
      <c r="G933" s="3" t="str">
        <f t="shared" si="26"/>
        <v/>
      </c>
      <c r="I933" s="4">
        <f>SUMIFS('Weekly Dump'!D:D,'Weekly Dump'!B:B,C933)</f>
        <v>0</v>
      </c>
      <c r="J933" s="5">
        <f>SUMIFS('Weekly Dump'!AE:AE,'Weekly Dump'!B:B,C933)</f>
        <v>0</v>
      </c>
      <c r="K933" s="4">
        <f>SUMPRODUCT(
  (TEXT('Weekly Dump'!$A$2:$A1009,"mmm-yy")=TEXT($AB933,"mmm-yy"))*
  ('Weekly Dump'!$B$2:$B1009=$C933)*
  'Weekly Dump'!$D$2:$D1009)</f>
        <v>0</v>
      </c>
      <c r="L933" s="4">
        <f>SUMPRODUCT(
  (TEXT('Weekly Dump'!$A$2:$A1009,"mmm-yy")=TEXT($AB933,"mmm-yy"))*
  ('Weekly Dump'!$B$2:$B1009=$C933)*
  'Weekly Dump'!$E$2:$E1009
)</f>
        <v>0</v>
      </c>
      <c r="M933" s="4">
        <f>SUMPRODUCT(
  (TEXT('Weekly Dump'!$A$2:$A1009,"mmm-yy")=TEXT($AB933,"mmm-yy"))*
  ('Weekly Dump'!$B$2:$B1009=$C933)*
  'Weekly Dump'!$P$2:$P1009
)</f>
        <v>0</v>
      </c>
      <c r="N933" s="39"/>
      <c r="O933" s="40">
        <f>SUMIFS('Weekly Dump'!$D:$D,'Weekly Dump'!$B:$B,$C933,'Weekly Dump'!$A:$A,$AB933)</f>
        <v>0</v>
      </c>
      <c r="P933" s="40">
        <f>SUMIFS('Weekly Dump'!R:R,'Weekly Dump'!B:B,C933,'Weekly Dump'!A:A,AB933)</f>
        <v>0</v>
      </c>
      <c r="Q933" s="40">
        <f t="shared" si="20"/>
        <v>0</v>
      </c>
      <c r="R933" s="41"/>
      <c r="T933" s="4">
        <f>SUMIFS('Weekly Dump'!E:E,'Weekly Dump'!B:B,C933,'Weekly Dump'!A:A,AB933)</f>
        <v>0</v>
      </c>
      <c r="U933" s="3">
        <f t="shared" si="21"/>
        <v>0</v>
      </c>
      <c r="V933" s="42"/>
      <c r="X933" s="4">
        <f>SUMIFS('Weekly Dump'!P:P,'Weekly Dump'!B:B,C933,'Weekly Dump'!A:A,AB933)</f>
        <v>0</v>
      </c>
      <c r="Y933" s="4">
        <f t="shared" si="22"/>
        <v>0</v>
      </c>
      <c r="Z933" s="41"/>
      <c r="AA933" s="12" t="str">
        <f>iferror(IF(VLOOKUP(C933,'Weekly Dump'!B:B,1,0)=C933,"Yes","Missing"),"")</f>
        <v/>
      </c>
      <c r="AB933" s="66"/>
    </row>
    <row r="934">
      <c r="B934" s="63"/>
      <c r="C934" s="63"/>
      <c r="G934" s="3" t="str">
        <f t="shared" si="26"/>
        <v/>
      </c>
      <c r="I934" s="4">
        <f>SUMIFS('Weekly Dump'!D:D,'Weekly Dump'!B:B,C934)</f>
        <v>0</v>
      </c>
      <c r="J934" s="5">
        <f>SUMIFS('Weekly Dump'!AE:AE,'Weekly Dump'!B:B,C934)</f>
        <v>0</v>
      </c>
      <c r="K934" s="4">
        <f>SUMPRODUCT(
  (TEXT('Weekly Dump'!$A$2:$A1009,"mmm-yy")=TEXT($AB934,"mmm-yy"))*
  ('Weekly Dump'!$B$2:$B1009=$C934)*
  'Weekly Dump'!$D$2:$D1009)</f>
        <v>0</v>
      </c>
      <c r="L934" s="4">
        <f>SUMPRODUCT(
  (TEXT('Weekly Dump'!$A$2:$A1009,"mmm-yy")=TEXT($AB934,"mmm-yy"))*
  ('Weekly Dump'!$B$2:$B1009=$C934)*
  'Weekly Dump'!$E$2:$E1009
)</f>
        <v>0</v>
      </c>
      <c r="M934" s="4">
        <f>SUMPRODUCT(
  (TEXT('Weekly Dump'!$A$2:$A1009,"mmm-yy")=TEXT($AB934,"mmm-yy"))*
  ('Weekly Dump'!$B$2:$B1009=$C934)*
  'Weekly Dump'!$P$2:$P1009
)</f>
        <v>0</v>
      </c>
      <c r="N934" s="39"/>
      <c r="O934" s="40">
        <f>SUMIFS('Weekly Dump'!$D:$D,'Weekly Dump'!$B:$B,$C934,'Weekly Dump'!$A:$A,$AB934)</f>
        <v>0</v>
      </c>
      <c r="P934" s="40">
        <f>SUMIFS('Weekly Dump'!R:R,'Weekly Dump'!B:B,C934,'Weekly Dump'!A:A,AB934)</f>
        <v>0</v>
      </c>
      <c r="Q934" s="40">
        <f t="shared" si="20"/>
        <v>0</v>
      </c>
      <c r="R934" s="41"/>
      <c r="T934" s="4">
        <f>SUMIFS('Weekly Dump'!E:E,'Weekly Dump'!B:B,C934,'Weekly Dump'!A:A,AB934)</f>
        <v>0</v>
      </c>
      <c r="U934" s="3">
        <f t="shared" si="21"/>
        <v>0</v>
      </c>
      <c r="V934" s="42"/>
      <c r="X934" s="4">
        <f>SUMIFS('Weekly Dump'!P:P,'Weekly Dump'!B:B,C934,'Weekly Dump'!A:A,AB934)</f>
        <v>0</v>
      </c>
      <c r="Y934" s="4">
        <f t="shared" si="22"/>
        <v>0</v>
      </c>
      <c r="Z934" s="41"/>
      <c r="AA934" s="12" t="str">
        <f>iferror(IF(VLOOKUP(C934,'Weekly Dump'!B:B,1,0)=C934,"Yes","Missing"),"")</f>
        <v/>
      </c>
      <c r="AB934" s="66"/>
    </row>
    <row r="935">
      <c r="B935" s="63"/>
      <c r="C935" s="63"/>
      <c r="G935" s="3" t="str">
        <f t="shared" si="26"/>
        <v/>
      </c>
      <c r="I935" s="4">
        <f>SUMIFS('Weekly Dump'!D:D,'Weekly Dump'!B:B,C935)</f>
        <v>0</v>
      </c>
      <c r="J935" s="5">
        <f>SUMIFS('Weekly Dump'!AE:AE,'Weekly Dump'!B:B,C935)</f>
        <v>0</v>
      </c>
      <c r="K935" s="4">
        <f>SUMPRODUCT(
  (TEXT('Weekly Dump'!$A$2:$A1009,"mmm-yy")=TEXT($AB935,"mmm-yy"))*
  ('Weekly Dump'!$B$2:$B1009=$C935)*
  'Weekly Dump'!$D$2:$D1009)</f>
        <v>0</v>
      </c>
      <c r="L935" s="4">
        <f>SUMPRODUCT(
  (TEXT('Weekly Dump'!$A$2:$A1009,"mmm-yy")=TEXT($AB935,"mmm-yy"))*
  ('Weekly Dump'!$B$2:$B1009=$C935)*
  'Weekly Dump'!$E$2:$E1009
)</f>
        <v>0</v>
      </c>
      <c r="M935" s="4">
        <f>SUMPRODUCT(
  (TEXT('Weekly Dump'!$A$2:$A1009,"mmm-yy")=TEXT($AB935,"mmm-yy"))*
  ('Weekly Dump'!$B$2:$B1009=$C935)*
  'Weekly Dump'!$P$2:$P1009
)</f>
        <v>0</v>
      </c>
      <c r="N935" s="39"/>
      <c r="O935" s="40">
        <f>SUMIFS('Weekly Dump'!$D:$D,'Weekly Dump'!$B:$B,$C935,'Weekly Dump'!$A:$A,$AB935)</f>
        <v>0</v>
      </c>
      <c r="P935" s="40">
        <f>SUMIFS('Weekly Dump'!R:R,'Weekly Dump'!B:B,C935,'Weekly Dump'!A:A,AB935)</f>
        <v>0</v>
      </c>
      <c r="Q935" s="40">
        <f t="shared" si="20"/>
        <v>0</v>
      </c>
      <c r="R935" s="41"/>
      <c r="T935" s="4">
        <f>SUMIFS('Weekly Dump'!E:E,'Weekly Dump'!B:B,C935,'Weekly Dump'!A:A,AB935)</f>
        <v>0</v>
      </c>
      <c r="U935" s="3">
        <f t="shared" si="21"/>
        <v>0</v>
      </c>
      <c r="V935" s="42"/>
      <c r="X935" s="4">
        <f>SUMIFS('Weekly Dump'!P:P,'Weekly Dump'!B:B,C935,'Weekly Dump'!A:A,AB935)</f>
        <v>0</v>
      </c>
      <c r="Y935" s="4">
        <f t="shared" si="22"/>
        <v>0</v>
      </c>
      <c r="Z935" s="41"/>
      <c r="AA935" s="12" t="str">
        <f>iferror(IF(VLOOKUP(C935,'Weekly Dump'!B:B,1,0)=C935,"Yes","Missing"),"")</f>
        <v/>
      </c>
      <c r="AB935" s="66"/>
    </row>
    <row r="936">
      <c r="B936" s="63"/>
      <c r="C936" s="63"/>
      <c r="G936" s="3" t="str">
        <f t="shared" si="26"/>
        <v/>
      </c>
      <c r="I936" s="4">
        <f>SUMIFS('Weekly Dump'!D:D,'Weekly Dump'!B:B,C936)</f>
        <v>0</v>
      </c>
      <c r="J936" s="5">
        <f>SUMIFS('Weekly Dump'!AE:AE,'Weekly Dump'!B:B,C936)</f>
        <v>0</v>
      </c>
      <c r="K936" s="4">
        <f>SUMPRODUCT(
  (TEXT('Weekly Dump'!$A$2:$A1009,"mmm-yy")=TEXT($AB936,"mmm-yy"))*
  ('Weekly Dump'!$B$2:$B1009=$C936)*
  'Weekly Dump'!$D$2:$D1009)</f>
        <v>0</v>
      </c>
      <c r="L936" s="4">
        <f>SUMPRODUCT(
  (TEXT('Weekly Dump'!$A$2:$A1009,"mmm-yy")=TEXT($AB936,"mmm-yy"))*
  ('Weekly Dump'!$B$2:$B1009=$C936)*
  'Weekly Dump'!$E$2:$E1009
)</f>
        <v>0</v>
      </c>
      <c r="M936" s="4">
        <f>SUMPRODUCT(
  (TEXT('Weekly Dump'!$A$2:$A1009,"mmm-yy")=TEXT($AB936,"mmm-yy"))*
  ('Weekly Dump'!$B$2:$B1009=$C936)*
  'Weekly Dump'!$P$2:$P1009
)</f>
        <v>0</v>
      </c>
      <c r="N936" s="39"/>
      <c r="O936" s="40">
        <f>SUMIFS('Weekly Dump'!$D:$D,'Weekly Dump'!$B:$B,$C936,'Weekly Dump'!$A:$A,$AB936)</f>
        <v>0</v>
      </c>
      <c r="P936" s="40">
        <f>SUMIFS('Weekly Dump'!R:R,'Weekly Dump'!B:B,C936,'Weekly Dump'!A:A,AB936)</f>
        <v>0</v>
      </c>
      <c r="Q936" s="40">
        <f t="shared" si="20"/>
        <v>0</v>
      </c>
      <c r="R936" s="41"/>
      <c r="T936" s="4">
        <f>SUMIFS('Weekly Dump'!E:E,'Weekly Dump'!B:B,C936,'Weekly Dump'!A:A,AB936)</f>
        <v>0</v>
      </c>
      <c r="U936" s="3">
        <f t="shared" si="21"/>
        <v>0</v>
      </c>
      <c r="V936" s="42"/>
      <c r="X936" s="4">
        <f>SUMIFS('Weekly Dump'!P:P,'Weekly Dump'!B:B,C936,'Weekly Dump'!A:A,AB936)</f>
        <v>0</v>
      </c>
      <c r="Y936" s="4">
        <f t="shared" si="22"/>
        <v>0</v>
      </c>
      <c r="Z936" s="41"/>
      <c r="AA936" s="12" t="str">
        <f>iferror(IF(VLOOKUP(C936,'Weekly Dump'!B:B,1,0)=C936,"Yes","Missing"),"")</f>
        <v/>
      </c>
      <c r="AB936" s="66"/>
    </row>
    <row r="937">
      <c r="B937" s="63"/>
      <c r="C937" s="63"/>
      <c r="G937" s="3" t="str">
        <f t="shared" si="26"/>
        <v/>
      </c>
      <c r="I937" s="4">
        <f>SUMIFS('Weekly Dump'!D:D,'Weekly Dump'!B:B,C937)</f>
        <v>0</v>
      </c>
      <c r="J937" s="5">
        <f>SUMIFS('Weekly Dump'!AE:AE,'Weekly Dump'!B:B,C937)</f>
        <v>0</v>
      </c>
      <c r="K937" s="4">
        <f>SUMPRODUCT(
  (TEXT('Weekly Dump'!$A$2:$A1009,"mmm-yy")=TEXT($AB937,"mmm-yy"))*
  ('Weekly Dump'!$B$2:$B1009=$C937)*
  'Weekly Dump'!$D$2:$D1009)</f>
        <v>0</v>
      </c>
      <c r="L937" s="4">
        <f>SUMPRODUCT(
  (TEXT('Weekly Dump'!$A$2:$A1009,"mmm-yy")=TEXT($AB937,"mmm-yy"))*
  ('Weekly Dump'!$B$2:$B1009=$C937)*
  'Weekly Dump'!$E$2:$E1009
)</f>
        <v>0</v>
      </c>
      <c r="M937" s="4">
        <f>SUMPRODUCT(
  (TEXT('Weekly Dump'!$A$2:$A1009,"mmm-yy")=TEXT($AB937,"mmm-yy"))*
  ('Weekly Dump'!$B$2:$B1009=$C937)*
  'Weekly Dump'!$P$2:$P1009
)</f>
        <v>0</v>
      </c>
      <c r="N937" s="39"/>
      <c r="O937" s="40">
        <f>SUMIFS('Weekly Dump'!$D:$D,'Weekly Dump'!$B:$B,$C937,'Weekly Dump'!$A:$A,$AB937)</f>
        <v>0</v>
      </c>
      <c r="P937" s="40">
        <f>SUMIFS('Weekly Dump'!R:R,'Weekly Dump'!B:B,C937,'Weekly Dump'!A:A,AB937)</f>
        <v>0</v>
      </c>
      <c r="Q937" s="40">
        <f t="shared" si="20"/>
        <v>0</v>
      </c>
      <c r="R937" s="41"/>
      <c r="T937" s="4">
        <f>SUMIFS('Weekly Dump'!E:E,'Weekly Dump'!B:B,C937,'Weekly Dump'!A:A,AB937)</f>
        <v>0</v>
      </c>
      <c r="U937" s="3">
        <f t="shared" si="21"/>
        <v>0</v>
      </c>
      <c r="V937" s="42"/>
      <c r="X937" s="4">
        <f>SUMIFS('Weekly Dump'!P:P,'Weekly Dump'!B:B,C937,'Weekly Dump'!A:A,AB937)</f>
        <v>0</v>
      </c>
      <c r="Y937" s="4">
        <f t="shared" si="22"/>
        <v>0</v>
      </c>
      <c r="Z937" s="41"/>
      <c r="AA937" s="12" t="str">
        <f>iferror(IF(VLOOKUP(C937,'Weekly Dump'!B:B,1,0)=C937,"Yes","Missing"),"")</f>
        <v/>
      </c>
      <c r="AB937" s="66"/>
    </row>
    <row r="938">
      <c r="B938" s="63"/>
      <c r="C938" s="63"/>
      <c r="G938" s="3" t="str">
        <f t="shared" si="26"/>
        <v/>
      </c>
      <c r="I938" s="4">
        <f>SUMIFS('Weekly Dump'!D:D,'Weekly Dump'!B:B,C938)</f>
        <v>0</v>
      </c>
      <c r="J938" s="5">
        <f>SUMIFS('Weekly Dump'!AE:AE,'Weekly Dump'!B:B,C938)</f>
        <v>0</v>
      </c>
      <c r="K938" s="4">
        <f>SUMPRODUCT(
  (TEXT('Weekly Dump'!$A$2:$A1009,"mmm-yy")=TEXT($AB938,"mmm-yy"))*
  ('Weekly Dump'!$B$2:$B1009=$C938)*
  'Weekly Dump'!$D$2:$D1009)</f>
        <v>0</v>
      </c>
      <c r="L938" s="4">
        <f>SUMPRODUCT(
  (TEXT('Weekly Dump'!$A$2:$A1009,"mmm-yy")=TEXT($AB938,"mmm-yy"))*
  ('Weekly Dump'!$B$2:$B1009=$C938)*
  'Weekly Dump'!$E$2:$E1009
)</f>
        <v>0</v>
      </c>
      <c r="M938" s="4">
        <f>SUMPRODUCT(
  (TEXT('Weekly Dump'!$A$2:$A1009,"mmm-yy")=TEXT($AB938,"mmm-yy"))*
  ('Weekly Dump'!$B$2:$B1009=$C938)*
  'Weekly Dump'!$P$2:$P1009
)</f>
        <v>0</v>
      </c>
      <c r="N938" s="39"/>
      <c r="O938" s="40">
        <f>SUMIFS('Weekly Dump'!$D:$D,'Weekly Dump'!$B:$B,$C938,'Weekly Dump'!$A:$A,$AB938)</f>
        <v>0</v>
      </c>
      <c r="P938" s="40">
        <f>SUMIFS('Weekly Dump'!R:R,'Weekly Dump'!B:B,C938,'Weekly Dump'!A:A,AB938)</f>
        <v>0</v>
      </c>
      <c r="Q938" s="40">
        <f t="shared" si="20"/>
        <v>0</v>
      </c>
      <c r="R938" s="41"/>
      <c r="T938" s="4">
        <f>SUMIFS('Weekly Dump'!E:E,'Weekly Dump'!B:B,C938,'Weekly Dump'!A:A,AB938)</f>
        <v>0</v>
      </c>
      <c r="U938" s="3">
        <f t="shared" si="21"/>
        <v>0</v>
      </c>
      <c r="V938" s="42"/>
      <c r="X938" s="4">
        <f>SUMIFS('Weekly Dump'!P:P,'Weekly Dump'!B:B,C938,'Weekly Dump'!A:A,AB938)</f>
        <v>0</v>
      </c>
      <c r="Y938" s="4">
        <f t="shared" si="22"/>
        <v>0</v>
      </c>
      <c r="Z938" s="41"/>
      <c r="AA938" s="12" t="str">
        <f>iferror(IF(VLOOKUP(C938,'Weekly Dump'!B:B,1,0)=C938,"Yes","Missing"),"")</f>
        <v/>
      </c>
      <c r="AB938" s="66"/>
    </row>
    <row r="939">
      <c r="B939" s="63"/>
      <c r="C939" s="63"/>
      <c r="G939" s="3" t="str">
        <f t="shared" si="26"/>
        <v/>
      </c>
      <c r="I939" s="4">
        <f>SUMIFS('Weekly Dump'!D:D,'Weekly Dump'!B:B,C939)</f>
        <v>0</v>
      </c>
      <c r="J939" s="5">
        <f>SUMIFS('Weekly Dump'!AE:AE,'Weekly Dump'!B:B,C939)</f>
        <v>0</v>
      </c>
      <c r="K939" s="4">
        <f>SUMPRODUCT(
  (TEXT('Weekly Dump'!$A$2:$A1009,"mmm-yy")=TEXT($AB939,"mmm-yy"))*
  ('Weekly Dump'!$B$2:$B1009=$C939)*
  'Weekly Dump'!$D$2:$D1009)</f>
        <v>0</v>
      </c>
      <c r="L939" s="4">
        <f>SUMPRODUCT(
  (TEXT('Weekly Dump'!$A$2:$A1009,"mmm-yy")=TEXT($AB939,"mmm-yy"))*
  ('Weekly Dump'!$B$2:$B1009=$C939)*
  'Weekly Dump'!$E$2:$E1009
)</f>
        <v>0</v>
      </c>
      <c r="M939" s="4">
        <f>SUMPRODUCT(
  (TEXT('Weekly Dump'!$A$2:$A1009,"mmm-yy")=TEXT($AB939,"mmm-yy"))*
  ('Weekly Dump'!$B$2:$B1009=$C939)*
  'Weekly Dump'!$P$2:$P1009
)</f>
        <v>0</v>
      </c>
      <c r="N939" s="39"/>
      <c r="O939" s="40">
        <f>SUMIFS('Weekly Dump'!$D:$D,'Weekly Dump'!$B:$B,$C939,'Weekly Dump'!$A:$A,$AB939)</f>
        <v>0</v>
      </c>
      <c r="P939" s="40">
        <f>SUMIFS('Weekly Dump'!R:R,'Weekly Dump'!B:B,C939,'Weekly Dump'!A:A,AB939)</f>
        <v>0</v>
      </c>
      <c r="Q939" s="40">
        <f t="shared" si="20"/>
        <v>0</v>
      </c>
      <c r="R939" s="41"/>
      <c r="T939" s="4">
        <f>SUMIFS('Weekly Dump'!E:E,'Weekly Dump'!B:B,C939,'Weekly Dump'!A:A,AB939)</f>
        <v>0</v>
      </c>
      <c r="U939" s="3">
        <f t="shared" si="21"/>
        <v>0</v>
      </c>
      <c r="V939" s="42"/>
      <c r="X939" s="4">
        <f>SUMIFS('Weekly Dump'!P:P,'Weekly Dump'!B:B,C939,'Weekly Dump'!A:A,AB939)</f>
        <v>0</v>
      </c>
      <c r="Y939" s="4">
        <f t="shared" si="22"/>
        <v>0</v>
      </c>
      <c r="Z939" s="41"/>
      <c r="AA939" s="12" t="str">
        <f>iferror(IF(VLOOKUP(C939,'Weekly Dump'!B:B,1,0)=C939,"Yes","Missing"),"")</f>
        <v/>
      </c>
      <c r="AB939" s="66"/>
    </row>
    <row r="940">
      <c r="B940" s="63"/>
      <c r="C940" s="63"/>
      <c r="G940" s="3" t="str">
        <f t="shared" si="26"/>
        <v/>
      </c>
      <c r="I940" s="4">
        <f>SUMIFS('Weekly Dump'!D:D,'Weekly Dump'!B:B,C940)</f>
        <v>0</v>
      </c>
      <c r="J940" s="5">
        <f>SUMIFS('Weekly Dump'!AE:AE,'Weekly Dump'!B:B,C940)</f>
        <v>0</v>
      </c>
      <c r="K940" s="4">
        <f>SUMPRODUCT(
  (TEXT('Weekly Dump'!$A$2:$A1009,"mmm-yy")=TEXT($AB940,"mmm-yy"))*
  ('Weekly Dump'!$B$2:$B1009=$C940)*
  'Weekly Dump'!$D$2:$D1009)</f>
        <v>0</v>
      </c>
      <c r="L940" s="4">
        <f>SUMPRODUCT(
  (TEXT('Weekly Dump'!$A$2:$A1009,"mmm-yy")=TEXT($AB940,"mmm-yy"))*
  ('Weekly Dump'!$B$2:$B1009=$C940)*
  'Weekly Dump'!$E$2:$E1009
)</f>
        <v>0</v>
      </c>
      <c r="M940" s="4">
        <f>SUMPRODUCT(
  (TEXT('Weekly Dump'!$A$2:$A1009,"mmm-yy")=TEXT($AB940,"mmm-yy"))*
  ('Weekly Dump'!$B$2:$B1009=$C940)*
  'Weekly Dump'!$P$2:$P1009
)</f>
        <v>0</v>
      </c>
      <c r="N940" s="39"/>
      <c r="O940" s="40">
        <f>SUMIFS('Weekly Dump'!$D:$D,'Weekly Dump'!$B:$B,$C940,'Weekly Dump'!$A:$A,$AB940)</f>
        <v>0</v>
      </c>
      <c r="P940" s="40">
        <f>SUMIFS('Weekly Dump'!R:R,'Weekly Dump'!B:B,C940,'Weekly Dump'!A:A,AB940)</f>
        <v>0</v>
      </c>
      <c r="Q940" s="40">
        <f t="shared" si="20"/>
        <v>0</v>
      </c>
      <c r="R940" s="41"/>
      <c r="T940" s="4">
        <f>SUMIFS('Weekly Dump'!E:E,'Weekly Dump'!B:B,C940,'Weekly Dump'!A:A,AB940)</f>
        <v>0</v>
      </c>
      <c r="U940" s="3">
        <f t="shared" si="21"/>
        <v>0</v>
      </c>
      <c r="V940" s="42"/>
      <c r="X940" s="4">
        <f>SUMIFS('Weekly Dump'!P:P,'Weekly Dump'!B:B,C940,'Weekly Dump'!A:A,AB940)</f>
        <v>0</v>
      </c>
      <c r="Y940" s="4">
        <f t="shared" si="22"/>
        <v>0</v>
      </c>
      <c r="Z940" s="41"/>
      <c r="AA940" s="12" t="str">
        <f>iferror(IF(VLOOKUP(C940,'Weekly Dump'!B:B,1,0)=C940,"Yes","Missing"),"")</f>
        <v/>
      </c>
      <c r="AB940" s="66"/>
    </row>
    <row r="941">
      <c r="B941" s="63"/>
      <c r="C941" s="63"/>
      <c r="G941" s="3" t="str">
        <f t="shared" si="26"/>
        <v/>
      </c>
      <c r="I941" s="4">
        <f>SUMIFS('Weekly Dump'!D:D,'Weekly Dump'!B:B,C941)</f>
        <v>0</v>
      </c>
      <c r="J941" s="5">
        <f>SUMIFS('Weekly Dump'!AE:AE,'Weekly Dump'!B:B,C941)</f>
        <v>0</v>
      </c>
      <c r="K941" s="4">
        <f>SUMPRODUCT(
  (TEXT('Weekly Dump'!$A$2:$A1009,"mmm-yy")=TEXT($AB941,"mmm-yy"))*
  ('Weekly Dump'!$B$2:$B1009=$C941)*
  'Weekly Dump'!$D$2:$D1009)</f>
        <v>0</v>
      </c>
      <c r="L941" s="4">
        <f>SUMPRODUCT(
  (TEXT('Weekly Dump'!$A$2:$A1009,"mmm-yy")=TEXT($AB941,"mmm-yy"))*
  ('Weekly Dump'!$B$2:$B1009=$C941)*
  'Weekly Dump'!$E$2:$E1009
)</f>
        <v>0</v>
      </c>
      <c r="M941" s="4">
        <f>SUMPRODUCT(
  (TEXT('Weekly Dump'!$A$2:$A1009,"mmm-yy")=TEXT($AB941,"mmm-yy"))*
  ('Weekly Dump'!$B$2:$B1009=$C941)*
  'Weekly Dump'!$P$2:$P1009
)</f>
        <v>0</v>
      </c>
      <c r="N941" s="39"/>
      <c r="O941" s="40">
        <f>SUMIFS('Weekly Dump'!$D:$D,'Weekly Dump'!$B:$B,$C941,'Weekly Dump'!$A:$A,$AB941)</f>
        <v>0</v>
      </c>
      <c r="P941" s="40">
        <f>SUMIFS('Weekly Dump'!R:R,'Weekly Dump'!B:B,C941,'Weekly Dump'!A:A,AB941)</f>
        <v>0</v>
      </c>
      <c r="Q941" s="40">
        <f t="shared" si="20"/>
        <v>0</v>
      </c>
      <c r="R941" s="41"/>
      <c r="T941" s="4">
        <f>SUMIFS('Weekly Dump'!E:E,'Weekly Dump'!B:B,C941,'Weekly Dump'!A:A,AB941)</f>
        <v>0</v>
      </c>
      <c r="U941" s="3">
        <f t="shared" si="21"/>
        <v>0</v>
      </c>
      <c r="V941" s="42"/>
      <c r="X941" s="4">
        <f>SUMIFS('Weekly Dump'!P:P,'Weekly Dump'!B:B,C941,'Weekly Dump'!A:A,AB941)</f>
        <v>0</v>
      </c>
      <c r="Y941" s="4">
        <f t="shared" si="22"/>
        <v>0</v>
      </c>
      <c r="Z941" s="41"/>
      <c r="AA941" s="12" t="str">
        <f>iferror(IF(VLOOKUP(C941,'Weekly Dump'!B:B,1,0)=C941,"Yes","Missing"),"")</f>
        <v/>
      </c>
      <c r="AB941" s="66"/>
    </row>
    <row r="942">
      <c r="B942" s="63"/>
      <c r="C942" s="63"/>
      <c r="G942" s="3" t="str">
        <f t="shared" si="26"/>
        <v/>
      </c>
      <c r="I942" s="4">
        <f>SUMIFS('Weekly Dump'!D:D,'Weekly Dump'!B:B,C942)</f>
        <v>0</v>
      </c>
      <c r="J942" s="5">
        <f>SUMIFS('Weekly Dump'!AE:AE,'Weekly Dump'!B:B,C942)</f>
        <v>0</v>
      </c>
      <c r="K942" s="4">
        <f>SUMPRODUCT(
  (TEXT('Weekly Dump'!$A$2:$A1009,"mmm-yy")=TEXT($AB942,"mmm-yy"))*
  ('Weekly Dump'!$B$2:$B1009=$C942)*
  'Weekly Dump'!$D$2:$D1009)</f>
        <v>0</v>
      </c>
      <c r="L942" s="4">
        <f>SUMPRODUCT(
  (TEXT('Weekly Dump'!$A$2:$A1009,"mmm-yy")=TEXT($AB942,"mmm-yy"))*
  ('Weekly Dump'!$B$2:$B1009=$C942)*
  'Weekly Dump'!$E$2:$E1009
)</f>
        <v>0</v>
      </c>
      <c r="M942" s="4">
        <f>SUMPRODUCT(
  (TEXT('Weekly Dump'!$A$2:$A1009,"mmm-yy")=TEXT($AB942,"mmm-yy"))*
  ('Weekly Dump'!$B$2:$B1009=$C942)*
  'Weekly Dump'!$P$2:$P1009
)</f>
        <v>0</v>
      </c>
      <c r="N942" s="39"/>
      <c r="O942" s="40">
        <f>SUMIFS('Weekly Dump'!$D:$D,'Weekly Dump'!$B:$B,$C942,'Weekly Dump'!$A:$A,$AB942)</f>
        <v>0</v>
      </c>
      <c r="P942" s="40">
        <f>SUMIFS('Weekly Dump'!R:R,'Weekly Dump'!B:B,C942,'Weekly Dump'!A:A,AB942)</f>
        <v>0</v>
      </c>
      <c r="Q942" s="40">
        <f t="shared" si="20"/>
        <v>0</v>
      </c>
      <c r="R942" s="41"/>
      <c r="T942" s="4">
        <f>SUMIFS('Weekly Dump'!E:E,'Weekly Dump'!B:B,C942,'Weekly Dump'!A:A,AB942)</f>
        <v>0</v>
      </c>
      <c r="U942" s="3">
        <f t="shared" si="21"/>
        <v>0</v>
      </c>
      <c r="V942" s="42"/>
      <c r="X942" s="4">
        <f>SUMIFS('Weekly Dump'!P:P,'Weekly Dump'!B:B,C942,'Weekly Dump'!A:A,AB942)</f>
        <v>0</v>
      </c>
      <c r="Y942" s="4">
        <f t="shared" si="22"/>
        <v>0</v>
      </c>
      <c r="Z942" s="41"/>
      <c r="AA942" s="12" t="str">
        <f>iferror(IF(VLOOKUP(C942,'Weekly Dump'!B:B,1,0)=C942,"Yes","Missing"),"")</f>
        <v/>
      </c>
      <c r="AB942" s="66"/>
    </row>
    <row r="943">
      <c r="B943" s="63"/>
      <c r="C943" s="63"/>
      <c r="G943" s="3" t="str">
        <f t="shared" si="26"/>
        <v/>
      </c>
      <c r="I943" s="4">
        <f>SUMIFS('Weekly Dump'!D:D,'Weekly Dump'!B:B,C943)</f>
        <v>0</v>
      </c>
      <c r="J943" s="5">
        <f>SUMIFS('Weekly Dump'!AE:AE,'Weekly Dump'!B:B,C943)</f>
        <v>0</v>
      </c>
      <c r="K943" s="4">
        <f>SUMPRODUCT(
  (TEXT('Weekly Dump'!$A$2:$A1009,"mmm-yy")=TEXT($AB943,"mmm-yy"))*
  ('Weekly Dump'!$B$2:$B1009=$C943)*
  'Weekly Dump'!$D$2:$D1009)</f>
        <v>0</v>
      </c>
      <c r="L943" s="4">
        <f>SUMPRODUCT(
  (TEXT('Weekly Dump'!$A$2:$A1009,"mmm-yy")=TEXT($AB943,"mmm-yy"))*
  ('Weekly Dump'!$B$2:$B1009=$C943)*
  'Weekly Dump'!$E$2:$E1009
)</f>
        <v>0</v>
      </c>
      <c r="M943" s="4">
        <f>SUMPRODUCT(
  (TEXT('Weekly Dump'!$A$2:$A1009,"mmm-yy")=TEXT($AB943,"mmm-yy"))*
  ('Weekly Dump'!$B$2:$B1009=$C943)*
  'Weekly Dump'!$P$2:$P1009
)</f>
        <v>0</v>
      </c>
      <c r="N943" s="39"/>
      <c r="O943" s="40">
        <f>SUMIFS('Weekly Dump'!$D:$D,'Weekly Dump'!$B:$B,$C943,'Weekly Dump'!$A:$A,$AB943)</f>
        <v>0</v>
      </c>
      <c r="P943" s="40">
        <f>SUMIFS('Weekly Dump'!R:R,'Weekly Dump'!B:B,C943,'Weekly Dump'!A:A,AB943)</f>
        <v>0</v>
      </c>
      <c r="Q943" s="40">
        <f t="shared" si="20"/>
        <v>0</v>
      </c>
      <c r="R943" s="41"/>
      <c r="T943" s="4">
        <f>SUMIFS('Weekly Dump'!E:E,'Weekly Dump'!B:B,C943,'Weekly Dump'!A:A,AB943)</f>
        <v>0</v>
      </c>
      <c r="U943" s="3">
        <f t="shared" si="21"/>
        <v>0</v>
      </c>
      <c r="V943" s="42"/>
      <c r="X943" s="4">
        <f>SUMIFS('Weekly Dump'!P:P,'Weekly Dump'!B:B,C943,'Weekly Dump'!A:A,AB943)</f>
        <v>0</v>
      </c>
      <c r="Y943" s="4">
        <f t="shared" si="22"/>
        <v>0</v>
      </c>
      <c r="Z943" s="41"/>
      <c r="AA943" s="12" t="str">
        <f>iferror(IF(VLOOKUP(C943,'Weekly Dump'!B:B,1,0)=C943,"Yes","Missing"),"")</f>
        <v/>
      </c>
      <c r="AB943" s="66"/>
    </row>
    <row r="944">
      <c r="B944" s="63"/>
      <c r="C944" s="63"/>
      <c r="G944" s="3" t="str">
        <f t="shared" si="26"/>
        <v/>
      </c>
      <c r="I944" s="4">
        <f>SUMIFS('Weekly Dump'!D:D,'Weekly Dump'!B:B,C944)</f>
        <v>0</v>
      </c>
      <c r="J944" s="5">
        <f>SUMIFS('Weekly Dump'!AE:AE,'Weekly Dump'!B:B,C944)</f>
        <v>0</v>
      </c>
      <c r="K944" s="4">
        <f>SUMPRODUCT(
  (TEXT('Weekly Dump'!$A$2:$A1009,"mmm-yy")=TEXT($AB944,"mmm-yy"))*
  ('Weekly Dump'!$B$2:$B1009=$C944)*
  'Weekly Dump'!$D$2:$D1009)</f>
        <v>0</v>
      </c>
      <c r="L944" s="4">
        <f>SUMPRODUCT(
  (TEXT('Weekly Dump'!$A$2:$A1009,"mmm-yy")=TEXT($AB944,"mmm-yy"))*
  ('Weekly Dump'!$B$2:$B1009=$C944)*
  'Weekly Dump'!$E$2:$E1009
)</f>
        <v>0</v>
      </c>
      <c r="M944" s="4">
        <f>SUMPRODUCT(
  (TEXT('Weekly Dump'!$A$2:$A1009,"mmm-yy")=TEXT($AB944,"mmm-yy"))*
  ('Weekly Dump'!$B$2:$B1009=$C944)*
  'Weekly Dump'!$P$2:$P1009
)</f>
        <v>0</v>
      </c>
      <c r="N944" s="39"/>
      <c r="O944" s="40">
        <f>SUMIFS('Weekly Dump'!$D:$D,'Weekly Dump'!$B:$B,$C944,'Weekly Dump'!$A:$A,$AB944)</f>
        <v>0</v>
      </c>
      <c r="P944" s="40">
        <f>SUMIFS('Weekly Dump'!R:R,'Weekly Dump'!B:B,C944,'Weekly Dump'!A:A,AB944)</f>
        <v>0</v>
      </c>
      <c r="Q944" s="40">
        <f t="shared" si="20"/>
        <v>0</v>
      </c>
      <c r="R944" s="41"/>
      <c r="T944" s="4">
        <f>SUMIFS('Weekly Dump'!E:E,'Weekly Dump'!B:B,C944,'Weekly Dump'!A:A,AB944)</f>
        <v>0</v>
      </c>
      <c r="U944" s="3">
        <f t="shared" si="21"/>
        <v>0</v>
      </c>
      <c r="V944" s="42"/>
      <c r="X944" s="4">
        <f>SUMIFS('Weekly Dump'!P:P,'Weekly Dump'!B:B,C944,'Weekly Dump'!A:A,AB944)</f>
        <v>0</v>
      </c>
      <c r="Y944" s="4">
        <f t="shared" si="22"/>
        <v>0</v>
      </c>
      <c r="Z944" s="41"/>
      <c r="AA944" s="12" t="str">
        <f>iferror(IF(VLOOKUP(C944,'Weekly Dump'!B:B,1,0)=C944,"Yes","Missing"),"")</f>
        <v/>
      </c>
      <c r="AB944" s="66"/>
    </row>
    <row r="945">
      <c r="B945" s="63"/>
      <c r="C945" s="63"/>
      <c r="G945" s="3" t="str">
        <f t="shared" si="26"/>
        <v/>
      </c>
      <c r="I945" s="4">
        <f>SUMIFS('Weekly Dump'!D:D,'Weekly Dump'!B:B,C945)</f>
        <v>0</v>
      </c>
      <c r="J945" s="5">
        <f>SUMIFS('Weekly Dump'!AE:AE,'Weekly Dump'!B:B,C945)</f>
        <v>0</v>
      </c>
      <c r="K945" s="4">
        <f>SUMPRODUCT(
  (TEXT('Weekly Dump'!$A$2:$A1009,"mmm-yy")=TEXT($AB945,"mmm-yy"))*
  ('Weekly Dump'!$B$2:$B1009=$C945)*
  'Weekly Dump'!$D$2:$D1009)</f>
        <v>0</v>
      </c>
      <c r="L945" s="4">
        <f>SUMPRODUCT(
  (TEXT('Weekly Dump'!$A$2:$A1009,"mmm-yy")=TEXT($AB945,"mmm-yy"))*
  ('Weekly Dump'!$B$2:$B1009=$C945)*
  'Weekly Dump'!$E$2:$E1009
)</f>
        <v>0</v>
      </c>
      <c r="M945" s="4">
        <f>SUMPRODUCT(
  (TEXT('Weekly Dump'!$A$2:$A1009,"mmm-yy")=TEXT($AB945,"mmm-yy"))*
  ('Weekly Dump'!$B$2:$B1009=$C945)*
  'Weekly Dump'!$P$2:$P1009
)</f>
        <v>0</v>
      </c>
      <c r="N945" s="39"/>
      <c r="O945" s="40">
        <f>SUMIFS('Weekly Dump'!$D:$D,'Weekly Dump'!$B:$B,$C945,'Weekly Dump'!$A:$A,$AB945)</f>
        <v>0</v>
      </c>
      <c r="P945" s="40">
        <f>SUMIFS('Weekly Dump'!R:R,'Weekly Dump'!B:B,C945,'Weekly Dump'!A:A,AB945)</f>
        <v>0</v>
      </c>
      <c r="Q945" s="40">
        <f t="shared" si="20"/>
        <v>0</v>
      </c>
      <c r="R945" s="41"/>
      <c r="T945" s="4">
        <f>SUMIFS('Weekly Dump'!E:E,'Weekly Dump'!B:B,C945,'Weekly Dump'!A:A,AB945)</f>
        <v>0</v>
      </c>
      <c r="U945" s="3">
        <f t="shared" si="21"/>
        <v>0</v>
      </c>
      <c r="V945" s="42"/>
      <c r="X945" s="4">
        <f>SUMIFS('Weekly Dump'!P:P,'Weekly Dump'!B:B,C945,'Weekly Dump'!A:A,AB945)</f>
        <v>0</v>
      </c>
      <c r="Y945" s="4">
        <f t="shared" si="22"/>
        <v>0</v>
      </c>
      <c r="Z945" s="41"/>
      <c r="AA945" s="12" t="str">
        <f>iferror(IF(VLOOKUP(C945,'Weekly Dump'!B:B,1,0)=C945,"Yes","Missing"),"")</f>
        <v/>
      </c>
      <c r="AB945" s="66"/>
    </row>
    <row r="946">
      <c r="B946" s="63"/>
      <c r="C946" s="63"/>
      <c r="G946" s="3" t="str">
        <f t="shared" si="26"/>
        <v/>
      </c>
      <c r="I946" s="4">
        <f>SUMIFS('Weekly Dump'!D:D,'Weekly Dump'!B:B,C946)</f>
        <v>0</v>
      </c>
      <c r="J946" s="5">
        <f>SUMIFS('Weekly Dump'!AE:AE,'Weekly Dump'!B:B,C946)</f>
        <v>0</v>
      </c>
      <c r="K946" s="4">
        <f>SUMPRODUCT(
  (TEXT('Weekly Dump'!$A$2:$A1009,"mmm-yy")=TEXT($AB946,"mmm-yy"))*
  ('Weekly Dump'!$B$2:$B1009=$C946)*
  'Weekly Dump'!$D$2:$D1009)</f>
        <v>0</v>
      </c>
      <c r="L946" s="4">
        <f>SUMPRODUCT(
  (TEXT('Weekly Dump'!$A$2:$A1009,"mmm-yy")=TEXT($AB946,"mmm-yy"))*
  ('Weekly Dump'!$B$2:$B1009=$C946)*
  'Weekly Dump'!$E$2:$E1009
)</f>
        <v>0</v>
      </c>
      <c r="M946" s="4">
        <f>SUMPRODUCT(
  (TEXT('Weekly Dump'!$A$2:$A1009,"mmm-yy")=TEXT($AB946,"mmm-yy"))*
  ('Weekly Dump'!$B$2:$B1009=$C946)*
  'Weekly Dump'!$P$2:$P1009
)</f>
        <v>0</v>
      </c>
      <c r="N946" s="39"/>
      <c r="O946" s="40">
        <f>SUMIFS('Weekly Dump'!$D:$D,'Weekly Dump'!$B:$B,$C946,'Weekly Dump'!$A:$A,$AB946)</f>
        <v>0</v>
      </c>
      <c r="P946" s="40">
        <f>SUMIFS('Weekly Dump'!R:R,'Weekly Dump'!B:B,C946,'Weekly Dump'!A:A,AB946)</f>
        <v>0</v>
      </c>
      <c r="Q946" s="40">
        <f t="shared" si="20"/>
        <v>0</v>
      </c>
      <c r="R946" s="41"/>
      <c r="T946" s="4">
        <f>SUMIFS('Weekly Dump'!E:E,'Weekly Dump'!B:B,C946,'Weekly Dump'!A:A,AB946)</f>
        <v>0</v>
      </c>
      <c r="U946" s="3">
        <f t="shared" si="21"/>
        <v>0</v>
      </c>
      <c r="V946" s="42"/>
      <c r="X946" s="4">
        <f>SUMIFS('Weekly Dump'!P:P,'Weekly Dump'!B:B,C946,'Weekly Dump'!A:A,AB946)</f>
        <v>0</v>
      </c>
      <c r="Y946" s="4">
        <f t="shared" si="22"/>
        <v>0</v>
      </c>
      <c r="Z946" s="41"/>
      <c r="AA946" s="12" t="str">
        <f>iferror(IF(VLOOKUP(C946,'Weekly Dump'!B:B,1,0)=C946,"Yes","Missing"),"")</f>
        <v/>
      </c>
      <c r="AB946" s="66"/>
    </row>
    <row r="947">
      <c r="B947" s="63"/>
      <c r="C947" s="63"/>
      <c r="G947" s="3" t="str">
        <f t="shared" si="26"/>
        <v/>
      </c>
      <c r="I947" s="4">
        <f>SUMIFS('Weekly Dump'!D:D,'Weekly Dump'!B:B,C947)</f>
        <v>0</v>
      </c>
      <c r="J947" s="5">
        <f>SUMIFS('Weekly Dump'!AE:AE,'Weekly Dump'!B:B,C947)</f>
        <v>0</v>
      </c>
      <c r="K947" s="4">
        <f>SUMPRODUCT(
  (TEXT('Weekly Dump'!$A$2:$A1009,"mmm-yy")=TEXT($AB947,"mmm-yy"))*
  ('Weekly Dump'!$B$2:$B1009=$C947)*
  'Weekly Dump'!$D$2:$D1009)</f>
        <v>0</v>
      </c>
      <c r="L947" s="4">
        <f>SUMPRODUCT(
  (TEXT('Weekly Dump'!$A$2:$A1009,"mmm-yy")=TEXT($AB947,"mmm-yy"))*
  ('Weekly Dump'!$B$2:$B1009=$C947)*
  'Weekly Dump'!$E$2:$E1009
)</f>
        <v>0</v>
      </c>
      <c r="M947" s="4">
        <f>SUMPRODUCT(
  (TEXT('Weekly Dump'!$A$2:$A1009,"mmm-yy")=TEXT($AB947,"mmm-yy"))*
  ('Weekly Dump'!$B$2:$B1009=$C947)*
  'Weekly Dump'!$P$2:$P1009
)</f>
        <v>0</v>
      </c>
      <c r="N947" s="39"/>
      <c r="O947" s="40">
        <f>SUMIFS('Weekly Dump'!$D:$D,'Weekly Dump'!$B:$B,$C947,'Weekly Dump'!$A:$A,$AB947)</f>
        <v>0</v>
      </c>
      <c r="P947" s="40">
        <f>SUMIFS('Weekly Dump'!R:R,'Weekly Dump'!B:B,C947,'Weekly Dump'!A:A,AB947)</f>
        <v>0</v>
      </c>
      <c r="Q947" s="40">
        <f t="shared" si="20"/>
        <v>0</v>
      </c>
      <c r="R947" s="41"/>
      <c r="T947" s="4">
        <f>SUMIFS('Weekly Dump'!E:E,'Weekly Dump'!B:B,C947,'Weekly Dump'!A:A,AB947)</f>
        <v>0</v>
      </c>
      <c r="U947" s="3">
        <f t="shared" si="21"/>
        <v>0</v>
      </c>
      <c r="V947" s="42"/>
      <c r="X947" s="4">
        <f>SUMIFS('Weekly Dump'!P:P,'Weekly Dump'!B:B,C947,'Weekly Dump'!A:A,AB947)</f>
        <v>0</v>
      </c>
      <c r="Y947" s="4">
        <f t="shared" si="22"/>
        <v>0</v>
      </c>
      <c r="Z947" s="41"/>
      <c r="AA947" s="12" t="str">
        <f>iferror(IF(VLOOKUP(C947,'Weekly Dump'!B:B,1,0)=C947,"Yes","Missing"),"")</f>
        <v/>
      </c>
      <c r="AB947" s="66"/>
    </row>
    <row r="948">
      <c r="B948" s="63"/>
      <c r="C948" s="63"/>
      <c r="G948" s="3" t="str">
        <f t="shared" si="26"/>
        <v/>
      </c>
      <c r="I948" s="4">
        <f>SUMIFS('Weekly Dump'!D:D,'Weekly Dump'!B:B,C948)</f>
        <v>0</v>
      </c>
      <c r="J948" s="5">
        <f>SUMIFS('Weekly Dump'!AE:AE,'Weekly Dump'!B:B,C948)</f>
        <v>0</v>
      </c>
      <c r="K948" s="4">
        <f>SUMPRODUCT(
  (TEXT('Weekly Dump'!$A$2:$A1009,"mmm-yy")=TEXT($AB948,"mmm-yy"))*
  ('Weekly Dump'!$B$2:$B1009=$C948)*
  'Weekly Dump'!$D$2:$D1009)</f>
        <v>0</v>
      </c>
      <c r="L948" s="4">
        <f>SUMPRODUCT(
  (TEXT('Weekly Dump'!$A$2:$A1009,"mmm-yy")=TEXT($AB948,"mmm-yy"))*
  ('Weekly Dump'!$B$2:$B1009=$C948)*
  'Weekly Dump'!$E$2:$E1009
)</f>
        <v>0</v>
      </c>
      <c r="M948" s="4">
        <f>SUMPRODUCT(
  (TEXT('Weekly Dump'!$A$2:$A1009,"mmm-yy")=TEXT($AB948,"mmm-yy"))*
  ('Weekly Dump'!$B$2:$B1009=$C948)*
  'Weekly Dump'!$P$2:$P1009
)</f>
        <v>0</v>
      </c>
      <c r="N948" s="39"/>
      <c r="O948" s="40">
        <f>SUMIFS('Weekly Dump'!$D:$D,'Weekly Dump'!$B:$B,$C948,'Weekly Dump'!$A:$A,$AB948)</f>
        <v>0</v>
      </c>
      <c r="P948" s="40">
        <f>SUMIFS('Weekly Dump'!R:R,'Weekly Dump'!B:B,C948,'Weekly Dump'!A:A,AB948)</f>
        <v>0</v>
      </c>
      <c r="Q948" s="40">
        <f t="shared" si="20"/>
        <v>0</v>
      </c>
      <c r="R948" s="41"/>
      <c r="T948" s="4">
        <f>SUMIFS('Weekly Dump'!E:E,'Weekly Dump'!B:B,C948,'Weekly Dump'!A:A,AB948)</f>
        <v>0</v>
      </c>
      <c r="U948" s="3">
        <f t="shared" si="21"/>
        <v>0</v>
      </c>
      <c r="V948" s="42"/>
      <c r="X948" s="4">
        <f>SUMIFS('Weekly Dump'!P:P,'Weekly Dump'!B:B,C948,'Weekly Dump'!A:A,AB948)</f>
        <v>0</v>
      </c>
      <c r="Y948" s="4">
        <f t="shared" si="22"/>
        <v>0</v>
      </c>
      <c r="Z948" s="41"/>
      <c r="AA948" s="12" t="str">
        <f>iferror(IF(VLOOKUP(C948,'Weekly Dump'!B:B,1,0)=C948,"Yes","Missing"),"")</f>
        <v/>
      </c>
      <c r="AB948" s="66"/>
    </row>
    <row r="949">
      <c r="B949" s="63"/>
      <c r="C949" s="63"/>
      <c r="G949" s="3" t="str">
        <f t="shared" si="26"/>
        <v/>
      </c>
      <c r="I949" s="4">
        <f>SUMIFS('Weekly Dump'!D:D,'Weekly Dump'!B:B,C949)</f>
        <v>0</v>
      </c>
      <c r="J949" s="5">
        <f>SUMIFS('Weekly Dump'!AE:AE,'Weekly Dump'!B:B,C949)</f>
        <v>0</v>
      </c>
      <c r="K949" s="4">
        <f>SUMPRODUCT(
  (TEXT('Weekly Dump'!$A$2:$A1009,"mmm-yy")=TEXT($AB949,"mmm-yy"))*
  ('Weekly Dump'!$B$2:$B1009=$C949)*
  'Weekly Dump'!$D$2:$D1009)</f>
        <v>0</v>
      </c>
      <c r="L949" s="4">
        <f>SUMPRODUCT(
  (TEXT('Weekly Dump'!$A$2:$A1009,"mmm-yy")=TEXT($AB949,"mmm-yy"))*
  ('Weekly Dump'!$B$2:$B1009=$C949)*
  'Weekly Dump'!$E$2:$E1009
)</f>
        <v>0</v>
      </c>
      <c r="M949" s="4">
        <f>SUMPRODUCT(
  (TEXT('Weekly Dump'!$A$2:$A1009,"mmm-yy")=TEXT($AB949,"mmm-yy"))*
  ('Weekly Dump'!$B$2:$B1009=$C949)*
  'Weekly Dump'!$P$2:$P1009
)</f>
        <v>0</v>
      </c>
      <c r="N949" s="39"/>
      <c r="O949" s="40">
        <f>SUMIFS('Weekly Dump'!$D:$D,'Weekly Dump'!$B:$B,$C949,'Weekly Dump'!$A:$A,$AB949)</f>
        <v>0</v>
      </c>
      <c r="P949" s="40">
        <f>SUMIFS('Weekly Dump'!R:R,'Weekly Dump'!B:B,C949,'Weekly Dump'!A:A,AB949)</f>
        <v>0</v>
      </c>
      <c r="Q949" s="40">
        <f t="shared" si="20"/>
        <v>0</v>
      </c>
      <c r="R949" s="41"/>
      <c r="T949" s="4">
        <f>SUMIFS('Weekly Dump'!E:E,'Weekly Dump'!B:B,C949,'Weekly Dump'!A:A,AB949)</f>
        <v>0</v>
      </c>
      <c r="U949" s="3">
        <f t="shared" si="21"/>
        <v>0</v>
      </c>
      <c r="V949" s="42"/>
      <c r="X949" s="4">
        <f>SUMIFS('Weekly Dump'!P:P,'Weekly Dump'!B:B,C949,'Weekly Dump'!A:A,AB949)</f>
        <v>0</v>
      </c>
      <c r="Y949" s="4">
        <f t="shared" si="22"/>
        <v>0</v>
      </c>
      <c r="Z949" s="41"/>
      <c r="AA949" s="12" t="str">
        <f>iferror(IF(VLOOKUP(C949,'Weekly Dump'!B:B,1,0)=C949,"Yes","Missing"),"")</f>
        <v/>
      </c>
      <c r="AB949" s="66"/>
    </row>
    <row r="950">
      <c r="B950" s="63"/>
      <c r="C950" s="63"/>
      <c r="G950" s="3" t="str">
        <f t="shared" si="26"/>
        <v/>
      </c>
      <c r="I950" s="4">
        <f>SUMIFS('Weekly Dump'!D:D,'Weekly Dump'!B:B,C950)</f>
        <v>0</v>
      </c>
      <c r="J950" s="5">
        <f>SUMIFS('Weekly Dump'!AE:AE,'Weekly Dump'!B:B,C950)</f>
        <v>0</v>
      </c>
      <c r="K950" s="4">
        <f>SUMPRODUCT(
  (TEXT('Weekly Dump'!$A$2:$A1009,"mmm-yy")=TEXT($AB950,"mmm-yy"))*
  ('Weekly Dump'!$B$2:$B1009=$C950)*
  'Weekly Dump'!$D$2:$D1009)</f>
        <v>0</v>
      </c>
      <c r="L950" s="4">
        <f>SUMPRODUCT(
  (TEXT('Weekly Dump'!$A$2:$A1009,"mmm-yy")=TEXT($AB950,"mmm-yy"))*
  ('Weekly Dump'!$B$2:$B1009=$C950)*
  'Weekly Dump'!$E$2:$E1009
)</f>
        <v>0</v>
      </c>
      <c r="M950" s="4">
        <f>SUMPRODUCT(
  (TEXT('Weekly Dump'!$A$2:$A1009,"mmm-yy")=TEXT($AB950,"mmm-yy"))*
  ('Weekly Dump'!$B$2:$B1009=$C950)*
  'Weekly Dump'!$P$2:$P1009
)</f>
        <v>0</v>
      </c>
      <c r="N950" s="39"/>
      <c r="O950" s="40">
        <f>SUMIFS('Weekly Dump'!$D:$D,'Weekly Dump'!$B:$B,$C950,'Weekly Dump'!$A:$A,$AB950)</f>
        <v>0</v>
      </c>
      <c r="P950" s="40">
        <f>SUMIFS('Weekly Dump'!R:R,'Weekly Dump'!B:B,C950,'Weekly Dump'!A:A,AB950)</f>
        <v>0</v>
      </c>
      <c r="Q950" s="40">
        <f t="shared" si="20"/>
        <v>0</v>
      </c>
      <c r="R950" s="41"/>
      <c r="T950" s="4">
        <f>SUMIFS('Weekly Dump'!E:E,'Weekly Dump'!B:B,C950,'Weekly Dump'!A:A,AB950)</f>
        <v>0</v>
      </c>
      <c r="U950" s="3">
        <f t="shared" si="21"/>
        <v>0</v>
      </c>
      <c r="V950" s="42"/>
      <c r="X950" s="4">
        <f>SUMIFS('Weekly Dump'!P:P,'Weekly Dump'!B:B,C950,'Weekly Dump'!A:A,AB950)</f>
        <v>0</v>
      </c>
      <c r="Y950" s="4">
        <f t="shared" si="22"/>
        <v>0</v>
      </c>
      <c r="Z950" s="41"/>
      <c r="AA950" s="12" t="str">
        <f>iferror(IF(VLOOKUP(C950,'Weekly Dump'!B:B,1,0)=C950,"Yes","Missing"),"")</f>
        <v/>
      </c>
      <c r="AB950" s="66"/>
    </row>
    <row r="951">
      <c r="B951" s="63"/>
      <c r="C951" s="63"/>
      <c r="G951" s="3" t="str">
        <f t="shared" si="26"/>
        <v/>
      </c>
      <c r="I951" s="4">
        <f>SUMIFS('Weekly Dump'!D:D,'Weekly Dump'!B:B,C951)</f>
        <v>0</v>
      </c>
      <c r="J951" s="5">
        <f>SUMIFS('Weekly Dump'!AE:AE,'Weekly Dump'!B:B,C951)</f>
        <v>0</v>
      </c>
      <c r="K951" s="4">
        <f>SUMPRODUCT(
  (TEXT('Weekly Dump'!$A$2:$A1009,"mmm-yy")=TEXT($AB951,"mmm-yy"))*
  ('Weekly Dump'!$B$2:$B1009=$C951)*
  'Weekly Dump'!$D$2:$D1009)</f>
        <v>0</v>
      </c>
      <c r="L951" s="4">
        <f>SUMPRODUCT(
  (TEXT('Weekly Dump'!$A$2:$A1009,"mmm-yy")=TEXT($AB951,"mmm-yy"))*
  ('Weekly Dump'!$B$2:$B1009=$C951)*
  'Weekly Dump'!$E$2:$E1009
)</f>
        <v>0</v>
      </c>
      <c r="M951" s="4">
        <f>SUMPRODUCT(
  (TEXT('Weekly Dump'!$A$2:$A1009,"mmm-yy")=TEXT($AB951,"mmm-yy"))*
  ('Weekly Dump'!$B$2:$B1009=$C951)*
  'Weekly Dump'!$P$2:$P1009
)</f>
        <v>0</v>
      </c>
      <c r="N951" s="39"/>
      <c r="O951" s="40">
        <f>SUMIFS('Weekly Dump'!$D:$D,'Weekly Dump'!$B:$B,$C951,'Weekly Dump'!$A:$A,$AB951)</f>
        <v>0</v>
      </c>
      <c r="P951" s="40">
        <f>SUMIFS('Weekly Dump'!R:R,'Weekly Dump'!B:B,C951,'Weekly Dump'!A:A,AB951)</f>
        <v>0</v>
      </c>
      <c r="Q951" s="40">
        <f t="shared" si="20"/>
        <v>0</v>
      </c>
      <c r="R951" s="41"/>
      <c r="T951" s="4">
        <f>SUMIFS('Weekly Dump'!E:E,'Weekly Dump'!B:B,C951,'Weekly Dump'!A:A,AB951)</f>
        <v>0</v>
      </c>
      <c r="U951" s="3">
        <f t="shared" si="21"/>
        <v>0</v>
      </c>
      <c r="V951" s="42"/>
      <c r="X951" s="4">
        <f>SUMIFS('Weekly Dump'!P:P,'Weekly Dump'!B:B,C951,'Weekly Dump'!A:A,AB951)</f>
        <v>0</v>
      </c>
      <c r="Y951" s="4">
        <f t="shared" si="22"/>
        <v>0</v>
      </c>
      <c r="Z951" s="41"/>
      <c r="AA951" s="12" t="str">
        <f>iferror(IF(VLOOKUP(C951,'Weekly Dump'!B:B,1,0)=C951,"Yes","Missing"),"")</f>
        <v/>
      </c>
      <c r="AB951" s="66"/>
    </row>
    <row r="952">
      <c r="B952" s="63"/>
      <c r="C952" s="63"/>
      <c r="G952" s="3" t="str">
        <f t="shared" si="26"/>
        <v/>
      </c>
      <c r="I952" s="4">
        <f>SUMIFS('Weekly Dump'!D:D,'Weekly Dump'!B:B,C952)</f>
        <v>0</v>
      </c>
      <c r="J952" s="5">
        <f>SUMIFS('Weekly Dump'!AE:AE,'Weekly Dump'!B:B,C952)</f>
        <v>0</v>
      </c>
      <c r="K952" s="4">
        <f>SUMPRODUCT(
  (TEXT('Weekly Dump'!$A$2:$A1009,"mmm-yy")=TEXT($AB952,"mmm-yy"))*
  ('Weekly Dump'!$B$2:$B1009=$C952)*
  'Weekly Dump'!$D$2:$D1009)</f>
        <v>0</v>
      </c>
      <c r="L952" s="4">
        <f>SUMPRODUCT(
  (TEXT('Weekly Dump'!$A$2:$A1009,"mmm-yy")=TEXT($AB952,"mmm-yy"))*
  ('Weekly Dump'!$B$2:$B1009=$C952)*
  'Weekly Dump'!$E$2:$E1009
)</f>
        <v>0</v>
      </c>
      <c r="M952" s="4">
        <f>SUMPRODUCT(
  (TEXT('Weekly Dump'!$A$2:$A1009,"mmm-yy")=TEXT($AB952,"mmm-yy"))*
  ('Weekly Dump'!$B$2:$B1009=$C952)*
  'Weekly Dump'!$P$2:$P1009
)</f>
        <v>0</v>
      </c>
      <c r="N952" s="39"/>
      <c r="O952" s="40">
        <f>SUMIFS('Weekly Dump'!$D:$D,'Weekly Dump'!$B:$B,$C952,'Weekly Dump'!$A:$A,$AB952)</f>
        <v>0</v>
      </c>
      <c r="P952" s="40">
        <f>SUMIFS('Weekly Dump'!R:R,'Weekly Dump'!B:B,C952,'Weekly Dump'!A:A,AB952)</f>
        <v>0</v>
      </c>
      <c r="Q952" s="40">
        <f t="shared" si="20"/>
        <v>0</v>
      </c>
      <c r="R952" s="41"/>
      <c r="T952" s="4">
        <f>SUMIFS('Weekly Dump'!E:E,'Weekly Dump'!B:B,C952,'Weekly Dump'!A:A,AB952)</f>
        <v>0</v>
      </c>
      <c r="U952" s="3">
        <f t="shared" si="21"/>
        <v>0</v>
      </c>
      <c r="V952" s="42"/>
      <c r="X952" s="4">
        <f>SUMIFS('Weekly Dump'!P:P,'Weekly Dump'!B:B,C952,'Weekly Dump'!A:A,AB952)</f>
        <v>0</v>
      </c>
      <c r="Y952" s="4">
        <f t="shared" si="22"/>
        <v>0</v>
      </c>
      <c r="Z952" s="41"/>
      <c r="AA952" s="12" t="str">
        <f>iferror(IF(VLOOKUP(C952,'Weekly Dump'!B:B,1,0)=C952,"Yes","Missing"),"")</f>
        <v/>
      </c>
      <c r="AB952" s="66"/>
    </row>
    <row r="953">
      <c r="B953" s="63"/>
      <c r="C953" s="63"/>
      <c r="G953" s="3" t="str">
        <f t="shared" si="26"/>
        <v/>
      </c>
      <c r="I953" s="4">
        <f>SUMIFS('Weekly Dump'!D:D,'Weekly Dump'!B:B,C953)</f>
        <v>0</v>
      </c>
      <c r="J953" s="5">
        <f>SUMIFS('Weekly Dump'!AE:AE,'Weekly Dump'!B:B,C953)</f>
        <v>0</v>
      </c>
      <c r="K953" s="4">
        <f>SUMPRODUCT(
  (TEXT('Weekly Dump'!$A$2:$A1009,"mmm-yy")=TEXT($AB953,"mmm-yy"))*
  ('Weekly Dump'!$B$2:$B1009=$C953)*
  'Weekly Dump'!$D$2:$D1009)</f>
        <v>0</v>
      </c>
      <c r="L953" s="4">
        <f>SUMPRODUCT(
  (TEXT('Weekly Dump'!$A$2:$A1009,"mmm-yy")=TEXT($AB953,"mmm-yy"))*
  ('Weekly Dump'!$B$2:$B1009=$C953)*
  'Weekly Dump'!$E$2:$E1009
)</f>
        <v>0</v>
      </c>
      <c r="M953" s="4">
        <f>SUMPRODUCT(
  (TEXT('Weekly Dump'!$A$2:$A1009,"mmm-yy")=TEXT($AB953,"mmm-yy"))*
  ('Weekly Dump'!$B$2:$B1009=$C953)*
  'Weekly Dump'!$P$2:$P1009
)</f>
        <v>0</v>
      </c>
      <c r="N953" s="39"/>
      <c r="O953" s="40">
        <f>SUMIFS('Weekly Dump'!$D:$D,'Weekly Dump'!$B:$B,$C953,'Weekly Dump'!$A:$A,$AB953)</f>
        <v>0</v>
      </c>
      <c r="P953" s="40">
        <f>SUMIFS('Weekly Dump'!R:R,'Weekly Dump'!B:B,C953,'Weekly Dump'!A:A,AB953)</f>
        <v>0</v>
      </c>
      <c r="Q953" s="40">
        <f t="shared" si="20"/>
        <v>0</v>
      </c>
      <c r="R953" s="41"/>
      <c r="T953" s="4">
        <f>SUMIFS('Weekly Dump'!E:E,'Weekly Dump'!B:B,C953,'Weekly Dump'!A:A,AB953)</f>
        <v>0</v>
      </c>
      <c r="U953" s="3">
        <f t="shared" si="21"/>
        <v>0</v>
      </c>
      <c r="V953" s="42"/>
      <c r="X953" s="4">
        <f>SUMIFS('Weekly Dump'!P:P,'Weekly Dump'!B:B,C953,'Weekly Dump'!A:A,AB953)</f>
        <v>0</v>
      </c>
      <c r="Y953" s="4">
        <f t="shared" si="22"/>
        <v>0</v>
      </c>
      <c r="Z953" s="41"/>
      <c r="AA953" s="12" t="str">
        <f>iferror(IF(VLOOKUP(C953,'Weekly Dump'!B:B,1,0)=C953,"Yes","Missing"),"")</f>
        <v/>
      </c>
      <c r="AB953" s="66"/>
    </row>
    <row r="954">
      <c r="B954" s="63"/>
      <c r="C954" s="63"/>
      <c r="G954" s="3" t="str">
        <f t="shared" si="26"/>
        <v/>
      </c>
      <c r="I954" s="4">
        <f>SUMIFS('Weekly Dump'!D:D,'Weekly Dump'!B:B,C954)</f>
        <v>0</v>
      </c>
      <c r="J954" s="5">
        <f>SUMIFS('Weekly Dump'!AE:AE,'Weekly Dump'!B:B,C954)</f>
        <v>0</v>
      </c>
      <c r="K954" s="4">
        <f>SUMPRODUCT(
  (TEXT('Weekly Dump'!$A$2:$A1009,"mmm-yy")=TEXT($AB954,"mmm-yy"))*
  ('Weekly Dump'!$B$2:$B1009=$C954)*
  'Weekly Dump'!$D$2:$D1009)</f>
        <v>0</v>
      </c>
      <c r="L954" s="4">
        <f>SUMPRODUCT(
  (TEXT('Weekly Dump'!$A$2:$A1009,"mmm-yy")=TEXT($AB954,"mmm-yy"))*
  ('Weekly Dump'!$B$2:$B1009=$C954)*
  'Weekly Dump'!$E$2:$E1009
)</f>
        <v>0</v>
      </c>
      <c r="M954" s="4">
        <f>SUMPRODUCT(
  (TEXT('Weekly Dump'!$A$2:$A1009,"mmm-yy")=TEXT($AB954,"mmm-yy"))*
  ('Weekly Dump'!$B$2:$B1009=$C954)*
  'Weekly Dump'!$P$2:$P1009
)</f>
        <v>0</v>
      </c>
      <c r="N954" s="39"/>
      <c r="O954" s="40">
        <f>SUMIFS('Weekly Dump'!$D:$D,'Weekly Dump'!$B:$B,$C954,'Weekly Dump'!$A:$A,$AB954)</f>
        <v>0</v>
      </c>
      <c r="P954" s="40">
        <f>SUMIFS('Weekly Dump'!R:R,'Weekly Dump'!B:B,C954,'Weekly Dump'!A:A,AB954)</f>
        <v>0</v>
      </c>
      <c r="Q954" s="40">
        <f t="shared" si="20"/>
        <v>0</v>
      </c>
      <c r="R954" s="41"/>
      <c r="T954" s="4">
        <f>SUMIFS('Weekly Dump'!E:E,'Weekly Dump'!B:B,C954,'Weekly Dump'!A:A,AB954)</f>
        <v>0</v>
      </c>
      <c r="U954" s="3">
        <f t="shared" si="21"/>
        <v>0</v>
      </c>
      <c r="V954" s="42"/>
      <c r="X954" s="4">
        <f>SUMIFS('Weekly Dump'!P:P,'Weekly Dump'!B:B,C954,'Weekly Dump'!A:A,AB954)</f>
        <v>0</v>
      </c>
      <c r="Y954" s="4">
        <f t="shared" si="22"/>
        <v>0</v>
      </c>
      <c r="Z954" s="41"/>
      <c r="AA954" s="12" t="str">
        <f>iferror(IF(VLOOKUP(C954,'Weekly Dump'!B:B,1,0)=C954,"Yes","Missing"),"")</f>
        <v/>
      </c>
      <c r="AB954" s="66"/>
    </row>
    <row r="955">
      <c r="B955" s="63"/>
      <c r="C955" s="63"/>
      <c r="G955" s="3" t="str">
        <f t="shared" si="26"/>
        <v/>
      </c>
      <c r="I955" s="4">
        <f>SUMIFS('Weekly Dump'!D:D,'Weekly Dump'!B:B,C955)</f>
        <v>0</v>
      </c>
      <c r="J955" s="5">
        <f>SUMIFS('Weekly Dump'!AE:AE,'Weekly Dump'!B:B,C955)</f>
        <v>0</v>
      </c>
      <c r="K955" s="4">
        <f>SUMPRODUCT(
  (TEXT('Weekly Dump'!$A$2:$A1009,"mmm-yy")=TEXT($AB955,"mmm-yy"))*
  ('Weekly Dump'!$B$2:$B1009=$C955)*
  'Weekly Dump'!$D$2:$D1009)</f>
        <v>0</v>
      </c>
      <c r="L955" s="4">
        <f>SUMPRODUCT(
  (TEXT('Weekly Dump'!$A$2:$A1009,"mmm-yy")=TEXT($AB955,"mmm-yy"))*
  ('Weekly Dump'!$B$2:$B1009=$C955)*
  'Weekly Dump'!$E$2:$E1009
)</f>
        <v>0</v>
      </c>
      <c r="M955" s="4">
        <f>SUMPRODUCT(
  (TEXT('Weekly Dump'!$A$2:$A1009,"mmm-yy")=TEXT($AB955,"mmm-yy"))*
  ('Weekly Dump'!$B$2:$B1009=$C955)*
  'Weekly Dump'!$P$2:$P1009
)</f>
        <v>0</v>
      </c>
      <c r="N955" s="39"/>
      <c r="O955" s="40">
        <f>SUMIFS('Weekly Dump'!$D:$D,'Weekly Dump'!$B:$B,$C955,'Weekly Dump'!$A:$A,$AB955)</f>
        <v>0</v>
      </c>
      <c r="P955" s="40">
        <f>SUMIFS('Weekly Dump'!R:R,'Weekly Dump'!B:B,C955,'Weekly Dump'!A:A,AB955)</f>
        <v>0</v>
      </c>
      <c r="Q955" s="40">
        <f t="shared" si="20"/>
        <v>0</v>
      </c>
      <c r="R955" s="41"/>
      <c r="T955" s="4">
        <f>SUMIFS('Weekly Dump'!E:E,'Weekly Dump'!B:B,C955,'Weekly Dump'!A:A,AB955)</f>
        <v>0</v>
      </c>
      <c r="U955" s="3">
        <f t="shared" si="21"/>
        <v>0</v>
      </c>
      <c r="V955" s="42"/>
      <c r="X955" s="4">
        <f>SUMIFS('Weekly Dump'!P:P,'Weekly Dump'!B:B,C955,'Weekly Dump'!A:A,AB955)</f>
        <v>0</v>
      </c>
      <c r="Y955" s="4">
        <f t="shared" si="22"/>
        <v>0</v>
      </c>
      <c r="Z955" s="41"/>
      <c r="AA955" s="12" t="str">
        <f>iferror(IF(VLOOKUP(C955,'Weekly Dump'!B:B,1,0)=C955,"Yes","Missing"),"")</f>
        <v/>
      </c>
      <c r="AB955" s="66"/>
    </row>
    <row r="956">
      <c r="B956" s="63"/>
      <c r="C956" s="63"/>
      <c r="G956" s="3" t="str">
        <f t="shared" si="26"/>
        <v/>
      </c>
      <c r="I956" s="4">
        <f>SUMIFS('Weekly Dump'!D:D,'Weekly Dump'!B:B,C956)</f>
        <v>0</v>
      </c>
      <c r="J956" s="5">
        <f>SUMIFS('Weekly Dump'!AE:AE,'Weekly Dump'!B:B,C956)</f>
        <v>0</v>
      </c>
      <c r="K956" s="4">
        <f>SUMPRODUCT(
  (TEXT('Weekly Dump'!$A$2:$A1009,"mmm-yy")=TEXT($AB956,"mmm-yy"))*
  ('Weekly Dump'!$B$2:$B1009=$C956)*
  'Weekly Dump'!$D$2:$D1009)</f>
        <v>0</v>
      </c>
      <c r="L956" s="4">
        <f>SUMPRODUCT(
  (TEXT('Weekly Dump'!$A$2:$A1009,"mmm-yy")=TEXT($AB956,"mmm-yy"))*
  ('Weekly Dump'!$B$2:$B1009=$C956)*
  'Weekly Dump'!$E$2:$E1009
)</f>
        <v>0</v>
      </c>
      <c r="M956" s="4">
        <f>SUMPRODUCT(
  (TEXT('Weekly Dump'!$A$2:$A1009,"mmm-yy")=TEXT($AB956,"mmm-yy"))*
  ('Weekly Dump'!$B$2:$B1009=$C956)*
  'Weekly Dump'!$P$2:$P1009
)</f>
        <v>0</v>
      </c>
      <c r="N956" s="39"/>
      <c r="O956" s="40">
        <f>SUMIFS('Weekly Dump'!$D:$D,'Weekly Dump'!$B:$B,$C956,'Weekly Dump'!$A:$A,$AB956)</f>
        <v>0</v>
      </c>
      <c r="P956" s="40">
        <f>SUMIFS('Weekly Dump'!R:R,'Weekly Dump'!B:B,C956,'Weekly Dump'!A:A,AB956)</f>
        <v>0</v>
      </c>
      <c r="Q956" s="40">
        <f t="shared" si="20"/>
        <v>0</v>
      </c>
      <c r="R956" s="41"/>
      <c r="T956" s="4">
        <f>SUMIFS('Weekly Dump'!E:E,'Weekly Dump'!B:B,C956,'Weekly Dump'!A:A,AB956)</f>
        <v>0</v>
      </c>
      <c r="U956" s="3">
        <f t="shared" si="21"/>
        <v>0</v>
      </c>
      <c r="V956" s="42"/>
      <c r="X956" s="4">
        <f>SUMIFS('Weekly Dump'!P:P,'Weekly Dump'!B:B,C956,'Weekly Dump'!A:A,AB956)</f>
        <v>0</v>
      </c>
      <c r="Y956" s="4">
        <f t="shared" si="22"/>
        <v>0</v>
      </c>
      <c r="Z956" s="41"/>
      <c r="AA956" s="12" t="str">
        <f>iferror(IF(VLOOKUP(C956,'Weekly Dump'!B:B,1,0)=C956,"Yes","Missing"),"")</f>
        <v/>
      </c>
      <c r="AB956" s="66"/>
    </row>
    <row r="957">
      <c r="B957" s="63"/>
      <c r="C957" s="63"/>
      <c r="G957" s="3" t="str">
        <f t="shared" si="26"/>
        <v/>
      </c>
      <c r="I957" s="4">
        <f>SUMIFS('Weekly Dump'!D:D,'Weekly Dump'!B:B,C957)</f>
        <v>0</v>
      </c>
      <c r="J957" s="5">
        <f>SUMIFS('Weekly Dump'!AE:AE,'Weekly Dump'!B:B,C957)</f>
        <v>0</v>
      </c>
      <c r="K957" s="4">
        <f>SUMPRODUCT(
  (TEXT('Weekly Dump'!$A$2:$A1009,"mmm-yy")=TEXT($AB957,"mmm-yy"))*
  ('Weekly Dump'!$B$2:$B1009=$C957)*
  'Weekly Dump'!$D$2:$D1009)</f>
        <v>0</v>
      </c>
      <c r="L957" s="4">
        <f>SUMPRODUCT(
  (TEXT('Weekly Dump'!$A$2:$A1009,"mmm-yy")=TEXT($AB957,"mmm-yy"))*
  ('Weekly Dump'!$B$2:$B1009=$C957)*
  'Weekly Dump'!$E$2:$E1009
)</f>
        <v>0</v>
      </c>
      <c r="M957" s="4">
        <f>SUMPRODUCT(
  (TEXT('Weekly Dump'!$A$2:$A1009,"mmm-yy")=TEXT($AB957,"mmm-yy"))*
  ('Weekly Dump'!$B$2:$B1009=$C957)*
  'Weekly Dump'!$P$2:$P1009
)</f>
        <v>0</v>
      </c>
      <c r="N957" s="39"/>
      <c r="O957" s="40">
        <f>SUMIFS('Weekly Dump'!$D:$D,'Weekly Dump'!$B:$B,$C957,'Weekly Dump'!$A:$A,$AB957)</f>
        <v>0</v>
      </c>
      <c r="P957" s="40">
        <f>SUMIFS('Weekly Dump'!R:R,'Weekly Dump'!B:B,C957,'Weekly Dump'!A:A,AB957)</f>
        <v>0</v>
      </c>
      <c r="Q957" s="40">
        <f t="shared" si="20"/>
        <v>0</v>
      </c>
      <c r="R957" s="41"/>
      <c r="T957" s="4">
        <f>SUMIFS('Weekly Dump'!E:E,'Weekly Dump'!B:B,C957,'Weekly Dump'!A:A,AB957)</f>
        <v>0</v>
      </c>
      <c r="U957" s="3">
        <f t="shared" si="21"/>
        <v>0</v>
      </c>
      <c r="V957" s="42"/>
      <c r="X957" s="4">
        <f>SUMIFS('Weekly Dump'!P:P,'Weekly Dump'!B:B,C957,'Weekly Dump'!A:A,AB957)</f>
        <v>0</v>
      </c>
      <c r="Y957" s="4">
        <f t="shared" si="22"/>
        <v>0</v>
      </c>
      <c r="Z957" s="41"/>
      <c r="AA957" s="12" t="str">
        <f>iferror(IF(VLOOKUP(C957,'Weekly Dump'!B:B,1,0)=C957,"Yes","Missing"),"")</f>
        <v/>
      </c>
      <c r="AB957" s="66"/>
    </row>
    <row r="958">
      <c r="B958" s="63"/>
      <c r="C958" s="63"/>
      <c r="G958" s="3" t="str">
        <f t="shared" si="26"/>
        <v/>
      </c>
      <c r="I958" s="4">
        <f>SUMIFS('Weekly Dump'!D:D,'Weekly Dump'!B:B,C958)</f>
        <v>0</v>
      </c>
      <c r="J958" s="5">
        <f>SUMIFS('Weekly Dump'!AE:AE,'Weekly Dump'!B:B,C958)</f>
        <v>0</v>
      </c>
      <c r="K958" s="4">
        <f>SUMPRODUCT(
  (TEXT('Weekly Dump'!$A$2:$A1009,"mmm-yy")=TEXT($AB958,"mmm-yy"))*
  ('Weekly Dump'!$B$2:$B1009=$C958)*
  'Weekly Dump'!$D$2:$D1009)</f>
        <v>0</v>
      </c>
      <c r="L958" s="4">
        <f>SUMPRODUCT(
  (TEXT('Weekly Dump'!$A$2:$A1009,"mmm-yy")=TEXT($AB958,"mmm-yy"))*
  ('Weekly Dump'!$B$2:$B1009=$C958)*
  'Weekly Dump'!$E$2:$E1009
)</f>
        <v>0</v>
      </c>
      <c r="M958" s="4">
        <f>SUMPRODUCT(
  (TEXT('Weekly Dump'!$A$2:$A1009,"mmm-yy")=TEXT($AB958,"mmm-yy"))*
  ('Weekly Dump'!$B$2:$B1009=$C958)*
  'Weekly Dump'!$P$2:$P1009
)</f>
        <v>0</v>
      </c>
      <c r="N958" s="39"/>
      <c r="O958" s="40">
        <f>SUMIFS('Weekly Dump'!$D:$D,'Weekly Dump'!$B:$B,$C958,'Weekly Dump'!$A:$A,$AB958)</f>
        <v>0</v>
      </c>
      <c r="P958" s="40">
        <f>SUMIFS('Weekly Dump'!R:R,'Weekly Dump'!B:B,C958,'Weekly Dump'!A:A,AB958)</f>
        <v>0</v>
      </c>
      <c r="Q958" s="40">
        <f t="shared" si="20"/>
        <v>0</v>
      </c>
      <c r="R958" s="41"/>
      <c r="T958" s="4">
        <f>SUMIFS('Weekly Dump'!E:E,'Weekly Dump'!B:B,C958,'Weekly Dump'!A:A,AB958)</f>
        <v>0</v>
      </c>
      <c r="U958" s="3">
        <f t="shared" si="21"/>
        <v>0</v>
      </c>
      <c r="V958" s="42"/>
      <c r="X958" s="4">
        <f>SUMIFS('Weekly Dump'!P:P,'Weekly Dump'!B:B,C958,'Weekly Dump'!A:A,AB958)</f>
        <v>0</v>
      </c>
      <c r="Y958" s="4">
        <f t="shared" si="22"/>
        <v>0</v>
      </c>
      <c r="Z958" s="41"/>
      <c r="AA958" s="12" t="str">
        <f>iferror(IF(VLOOKUP(C958,'Weekly Dump'!B:B,1,0)=C958,"Yes","Missing"),"")</f>
        <v/>
      </c>
      <c r="AB958" s="66"/>
    </row>
    <row r="959">
      <c r="B959" s="63"/>
      <c r="C959" s="63"/>
      <c r="G959" s="3" t="str">
        <f t="shared" si="26"/>
        <v/>
      </c>
      <c r="I959" s="4">
        <f>SUMIFS('Weekly Dump'!D:D,'Weekly Dump'!B:B,C959)</f>
        <v>0</v>
      </c>
      <c r="J959" s="5">
        <f>SUMIFS('Weekly Dump'!AE:AE,'Weekly Dump'!B:B,C959)</f>
        <v>0</v>
      </c>
      <c r="K959" s="4">
        <f>SUMPRODUCT(
  (TEXT('Weekly Dump'!$A$2:$A1009,"mmm-yy")=TEXT($AB959,"mmm-yy"))*
  ('Weekly Dump'!$B$2:$B1009=$C959)*
  'Weekly Dump'!$D$2:$D1009)</f>
        <v>0</v>
      </c>
      <c r="L959" s="4">
        <f>SUMPRODUCT(
  (TEXT('Weekly Dump'!$A$2:$A1009,"mmm-yy")=TEXT($AB959,"mmm-yy"))*
  ('Weekly Dump'!$B$2:$B1009=$C959)*
  'Weekly Dump'!$E$2:$E1009
)</f>
        <v>0</v>
      </c>
      <c r="M959" s="4">
        <f>SUMPRODUCT(
  (TEXT('Weekly Dump'!$A$2:$A1009,"mmm-yy")=TEXT($AB959,"mmm-yy"))*
  ('Weekly Dump'!$B$2:$B1009=$C959)*
  'Weekly Dump'!$P$2:$P1009
)</f>
        <v>0</v>
      </c>
      <c r="N959" s="39"/>
      <c r="O959" s="40">
        <f>SUMIFS('Weekly Dump'!$D:$D,'Weekly Dump'!$B:$B,$C959,'Weekly Dump'!$A:$A,$AB959)</f>
        <v>0</v>
      </c>
      <c r="P959" s="40">
        <f>SUMIFS('Weekly Dump'!R:R,'Weekly Dump'!B:B,C959,'Weekly Dump'!A:A,AB959)</f>
        <v>0</v>
      </c>
      <c r="Q959" s="40">
        <f t="shared" si="20"/>
        <v>0</v>
      </c>
      <c r="R959" s="41"/>
      <c r="T959" s="4">
        <f>SUMIFS('Weekly Dump'!E:E,'Weekly Dump'!B:B,C959,'Weekly Dump'!A:A,AB959)</f>
        <v>0</v>
      </c>
      <c r="U959" s="3">
        <f t="shared" si="21"/>
        <v>0</v>
      </c>
      <c r="V959" s="42"/>
      <c r="X959" s="4">
        <f>SUMIFS('Weekly Dump'!P:P,'Weekly Dump'!B:B,C959,'Weekly Dump'!A:A,AB959)</f>
        <v>0</v>
      </c>
      <c r="Y959" s="4">
        <f t="shared" si="22"/>
        <v>0</v>
      </c>
      <c r="Z959" s="41"/>
      <c r="AA959" s="12" t="str">
        <f>iferror(IF(VLOOKUP(C959,'Weekly Dump'!B:B,1,0)=C959,"Yes","Missing"),"")</f>
        <v/>
      </c>
      <c r="AB959" s="66"/>
    </row>
    <row r="960">
      <c r="B960" s="63"/>
      <c r="C960" s="63"/>
      <c r="G960" s="3" t="str">
        <f t="shared" si="26"/>
        <v/>
      </c>
      <c r="I960" s="4">
        <f>SUMIFS('Weekly Dump'!D:D,'Weekly Dump'!B:B,C960)</f>
        <v>0</v>
      </c>
      <c r="J960" s="5">
        <f>SUMIFS('Weekly Dump'!AE:AE,'Weekly Dump'!B:B,C960)</f>
        <v>0</v>
      </c>
      <c r="K960" s="4">
        <f>SUMPRODUCT(
  (TEXT('Weekly Dump'!$A$2:$A1009,"mmm-yy")=TEXT($AB960,"mmm-yy"))*
  ('Weekly Dump'!$B$2:$B1009=$C960)*
  'Weekly Dump'!$D$2:$D1009)</f>
        <v>0</v>
      </c>
      <c r="L960" s="4">
        <f>SUMPRODUCT(
  (TEXT('Weekly Dump'!$A$2:$A1009,"mmm-yy")=TEXT($AB960,"mmm-yy"))*
  ('Weekly Dump'!$B$2:$B1009=$C960)*
  'Weekly Dump'!$E$2:$E1009
)</f>
        <v>0</v>
      </c>
      <c r="M960" s="4">
        <f>SUMPRODUCT(
  (TEXT('Weekly Dump'!$A$2:$A1009,"mmm-yy")=TEXT($AB960,"mmm-yy"))*
  ('Weekly Dump'!$B$2:$B1009=$C960)*
  'Weekly Dump'!$P$2:$P1009
)</f>
        <v>0</v>
      </c>
      <c r="N960" s="39"/>
      <c r="O960" s="40">
        <f>SUMIFS('Weekly Dump'!$D:$D,'Weekly Dump'!$B:$B,$C960,'Weekly Dump'!$A:$A,$AB960)</f>
        <v>0</v>
      </c>
      <c r="P960" s="40">
        <f>SUMIFS('Weekly Dump'!R:R,'Weekly Dump'!B:B,C960,'Weekly Dump'!A:A,AB960)</f>
        <v>0</v>
      </c>
      <c r="Q960" s="40">
        <f t="shared" si="20"/>
        <v>0</v>
      </c>
      <c r="R960" s="41"/>
      <c r="T960" s="4">
        <f>SUMIFS('Weekly Dump'!E:E,'Weekly Dump'!B:B,C960,'Weekly Dump'!A:A,AB960)</f>
        <v>0</v>
      </c>
      <c r="U960" s="3">
        <f t="shared" si="21"/>
        <v>0</v>
      </c>
      <c r="V960" s="42"/>
      <c r="X960" s="4">
        <f>SUMIFS('Weekly Dump'!P:P,'Weekly Dump'!B:B,C960,'Weekly Dump'!A:A,AB960)</f>
        <v>0</v>
      </c>
      <c r="Y960" s="4">
        <f t="shared" si="22"/>
        <v>0</v>
      </c>
      <c r="Z960" s="41"/>
      <c r="AA960" s="12" t="str">
        <f>iferror(IF(VLOOKUP(C960,'Weekly Dump'!B:B,1,0)=C960,"Yes","Missing"),"")</f>
        <v/>
      </c>
      <c r="AB960" s="66"/>
    </row>
    <row r="961">
      <c r="B961" s="63"/>
      <c r="C961" s="63"/>
      <c r="G961" s="3" t="str">
        <f t="shared" si="26"/>
        <v/>
      </c>
      <c r="I961" s="4">
        <f>SUMIFS('Weekly Dump'!D:D,'Weekly Dump'!B:B,C961)</f>
        <v>0</v>
      </c>
      <c r="J961" s="5">
        <f>SUMIFS('Weekly Dump'!AE:AE,'Weekly Dump'!B:B,C961)</f>
        <v>0</v>
      </c>
      <c r="K961" s="4">
        <f>SUMPRODUCT(
  (TEXT('Weekly Dump'!$A$2:$A1009,"mmm-yy")=TEXT($AB961,"mmm-yy"))*
  ('Weekly Dump'!$B$2:$B1009=$C961)*
  'Weekly Dump'!$D$2:$D1009)</f>
        <v>0</v>
      </c>
      <c r="L961" s="4">
        <f>SUMPRODUCT(
  (TEXT('Weekly Dump'!$A$2:$A1009,"mmm-yy")=TEXT($AB961,"mmm-yy"))*
  ('Weekly Dump'!$B$2:$B1009=$C961)*
  'Weekly Dump'!$E$2:$E1009
)</f>
        <v>0</v>
      </c>
      <c r="M961" s="4">
        <f>SUMPRODUCT(
  (TEXT('Weekly Dump'!$A$2:$A1009,"mmm-yy")=TEXT($AB961,"mmm-yy"))*
  ('Weekly Dump'!$B$2:$B1009=$C961)*
  'Weekly Dump'!$P$2:$P1009
)</f>
        <v>0</v>
      </c>
      <c r="N961" s="39"/>
      <c r="O961" s="40">
        <f>SUMIFS('Weekly Dump'!$D:$D,'Weekly Dump'!$B:$B,$C961,'Weekly Dump'!$A:$A,$AB961)</f>
        <v>0</v>
      </c>
      <c r="P961" s="40">
        <f>SUMIFS('Weekly Dump'!R:R,'Weekly Dump'!B:B,C961,'Weekly Dump'!A:A,AB961)</f>
        <v>0</v>
      </c>
      <c r="Q961" s="40">
        <f t="shared" si="20"/>
        <v>0</v>
      </c>
      <c r="R961" s="41"/>
      <c r="T961" s="4">
        <f>SUMIFS('Weekly Dump'!E:E,'Weekly Dump'!B:B,C961,'Weekly Dump'!A:A,AB961)</f>
        <v>0</v>
      </c>
      <c r="U961" s="3">
        <f t="shared" si="21"/>
        <v>0</v>
      </c>
      <c r="V961" s="42"/>
      <c r="X961" s="4">
        <f>SUMIFS('Weekly Dump'!P:P,'Weekly Dump'!B:B,C961,'Weekly Dump'!A:A,AB961)</f>
        <v>0</v>
      </c>
      <c r="Y961" s="4">
        <f t="shared" si="22"/>
        <v>0</v>
      </c>
      <c r="Z961" s="41"/>
      <c r="AA961" s="12" t="str">
        <f>iferror(IF(VLOOKUP(C961,'Weekly Dump'!B:B,1,0)=C961,"Yes","Missing"),"")</f>
        <v/>
      </c>
      <c r="AB961" s="66"/>
    </row>
    <row r="962">
      <c r="B962" s="63"/>
      <c r="C962" s="63"/>
      <c r="G962" s="3" t="str">
        <f t="shared" si="26"/>
        <v/>
      </c>
      <c r="I962" s="4">
        <f>SUMIFS('Weekly Dump'!D:D,'Weekly Dump'!B:B,C962)</f>
        <v>0</v>
      </c>
      <c r="J962" s="5">
        <f>SUMIFS('Weekly Dump'!AE:AE,'Weekly Dump'!B:B,C962)</f>
        <v>0</v>
      </c>
      <c r="K962" s="4">
        <f>SUMPRODUCT(
  (TEXT('Weekly Dump'!$A$2:$A1009,"mmm-yy")=TEXT($AB962,"mmm-yy"))*
  ('Weekly Dump'!$B$2:$B1009=$C962)*
  'Weekly Dump'!$D$2:$D1009)</f>
        <v>0</v>
      </c>
      <c r="L962" s="4">
        <f>SUMPRODUCT(
  (TEXT('Weekly Dump'!$A$2:$A1009,"mmm-yy")=TEXT($AB962,"mmm-yy"))*
  ('Weekly Dump'!$B$2:$B1009=$C962)*
  'Weekly Dump'!$E$2:$E1009
)</f>
        <v>0</v>
      </c>
      <c r="M962" s="4">
        <f>SUMPRODUCT(
  (TEXT('Weekly Dump'!$A$2:$A1009,"mmm-yy")=TEXT($AB962,"mmm-yy"))*
  ('Weekly Dump'!$B$2:$B1009=$C962)*
  'Weekly Dump'!$P$2:$P1009
)</f>
        <v>0</v>
      </c>
      <c r="N962" s="39"/>
      <c r="O962" s="40">
        <f>SUMIFS('Weekly Dump'!$D:$D,'Weekly Dump'!$B:$B,$C962,'Weekly Dump'!$A:$A,$AB962)</f>
        <v>0</v>
      </c>
      <c r="P962" s="40">
        <f>SUMIFS('Weekly Dump'!R:R,'Weekly Dump'!B:B,C962,'Weekly Dump'!A:A,AB962)</f>
        <v>0</v>
      </c>
      <c r="Q962" s="40">
        <f t="shared" si="20"/>
        <v>0</v>
      </c>
      <c r="R962" s="41"/>
      <c r="T962" s="4">
        <f>SUMIFS('Weekly Dump'!E:E,'Weekly Dump'!B:B,C962,'Weekly Dump'!A:A,AB962)</f>
        <v>0</v>
      </c>
      <c r="U962" s="3">
        <f t="shared" si="21"/>
        <v>0</v>
      </c>
      <c r="V962" s="42"/>
      <c r="X962" s="4">
        <f>SUMIFS('Weekly Dump'!P:P,'Weekly Dump'!B:B,C962,'Weekly Dump'!A:A,AB962)</f>
        <v>0</v>
      </c>
      <c r="Y962" s="4">
        <f t="shared" si="22"/>
        <v>0</v>
      </c>
      <c r="Z962" s="41"/>
      <c r="AA962" s="12" t="str">
        <f>iferror(IF(VLOOKUP(C962,'Weekly Dump'!B:B,1,0)=C962,"Yes","Missing"),"")</f>
        <v/>
      </c>
      <c r="AB962" s="66"/>
    </row>
    <row r="963">
      <c r="B963" s="63"/>
      <c r="C963" s="63"/>
      <c r="G963" s="3" t="str">
        <f t="shared" si="26"/>
        <v/>
      </c>
      <c r="I963" s="4">
        <f>SUMIFS('Weekly Dump'!D:D,'Weekly Dump'!B:B,C963)</f>
        <v>0</v>
      </c>
      <c r="J963" s="5">
        <f>SUMIFS('Weekly Dump'!AE:AE,'Weekly Dump'!B:B,C963)</f>
        <v>0</v>
      </c>
      <c r="K963" s="4">
        <f>SUMPRODUCT(
  (TEXT('Weekly Dump'!$A$2:$A1009,"mmm-yy")=TEXT($AB963,"mmm-yy"))*
  ('Weekly Dump'!$B$2:$B1009=$C963)*
  'Weekly Dump'!$D$2:$D1009)</f>
        <v>0</v>
      </c>
      <c r="L963" s="4">
        <f>SUMPRODUCT(
  (TEXT('Weekly Dump'!$A$2:$A1009,"mmm-yy")=TEXT($AB963,"mmm-yy"))*
  ('Weekly Dump'!$B$2:$B1009=$C963)*
  'Weekly Dump'!$E$2:$E1009
)</f>
        <v>0</v>
      </c>
      <c r="M963" s="4">
        <f>SUMPRODUCT(
  (TEXT('Weekly Dump'!$A$2:$A1009,"mmm-yy")=TEXT($AB963,"mmm-yy"))*
  ('Weekly Dump'!$B$2:$B1009=$C963)*
  'Weekly Dump'!$P$2:$P1009
)</f>
        <v>0</v>
      </c>
      <c r="N963" s="39"/>
      <c r="O963" s="40">
        <f>SUMIFS('Weekly Dump'!$D:$D,'Weekly Dump'!$B:$B,$C963,'Weekly Dump'!$A:$A,$AB963)</f>
        <v>0</v>
      </c>
      <c r="P963" s="40">
        <f>SUMIFS('Weekly Dump'!R:R,'Weekly Dump'!B:B,C963,'Weekly Dump'!A:A,AB963)</f>
        <v>0</v>
      </c>
      <c r="Q963" s="40">
        <f t="shared" si="20"/>
        <v>0</v>
      </c>
      <c r="R963" s="41"/>
      <c r="T963" s="4">
        <f>SUMIFS('Weekly Dump'!E:E,'Weekly Dump'!B:B,C963,'Weekly Dump'!A:A,AB963)</f>
        <v>0</v>
      </c>
      <c r="U963" s="3">
        <f t="shared" si="21"/>
        <v>0</v>
      </c>
      <c r="V963" s="42"/>
      <c r="X963" s="4">
        <f>SUMIFS('Weekly Dump'!P:P,'Weekly Dump'!B:B,C963,'Weekly Dump'!A:A,AB963)</f>
        <v>0</v>
      </c>
      <c r="Y963" s="4">
        <f t="shared" si="22"/>
        <v>0</v>
      </c>
      <c r="Z963" s="41"/>
      <c r="AA963" s="12" t="str">
        <f>iferror(IF(VLOOKUP(C963,'Weekly Dump'!B:B,1,0)=C963,"Yes","Missing"),"")</f>
        <v/>
      </c>
      <c r="AB963" s="66"/>
    </row>
    <row r="964">
      <c r="B964" s="63"/>
      <c r="C964" s="63"/>
      <c r="G964" s="3" t="str">
        <f t="shared" si="26"/>
        <v/>
      </c>
      <c r="I964" s="4">
        <f>SUMIFS('Weekly Dump'!D:D,'Weekly Dump'!B:B,C964)</f>
        <v>0</v>
      </c>
      <c r="J964" s="5">
        <f>SUMIFS('Weekly Dump'!AE:AE,'Weekly Dump'!B:B,C964)</f>
        <v>0</v>
      </c>
      <c r="K964" s="4">
        <f>SUMPRODUCT(
  (TEXT('Weekly Dump'!$A$2:$A1009,"mmm-yy")=TEXT($AB964,"mmm-yy"))*
  ('Weekly Dump'!$B$2:$B1009=$C964)*
  'Weekly Dump'!$D$2:$D1009)</f>
        <v>0</v>
      </c>
      <c r="L964" s="4">
        <f>SUMPRODUCT(
  (TEXT('Weekly Dump'!$A$2:$A1009,"mmm-yy")=TEXT($AB964,"mmm-yy"))*
  ('Weekly Dump'!$B$2:$B1009=$C964)*
  'Weekly Dump'!$E$2:$E1009
)</f>
        <v>0</v>
      </c>
      <c r="M964" s="4">
        <f>SUMPRODUCT(
  (TEXT('Weekly Dump'!$A$2:$A1009,"mmm-yy")=TEXT($AB964,"mmm-yy"))*
  ('Weekly Dump'!$B$2:$B1009=$C964)*
  'Weekly Dump'!$P$2:$P1009
)</f>
        <v>0</v>
      </c>
      <c r="N964" s="39"/>
      <c r="O964" s="40">
        <f>SUMIFS('Weekly Dump'!$D:$D,'Weekly Dump'!$B:$B,$C964,'Weekly Dump'!$A:$A,$AB964)</f>
        <v>0</v>
      </c>
      <c r="P964" s="40">
        <f>SUMIFS('Weekly Dump'!R:R,'Weekly Dump'!B:B,C964,'Weekly Dump'!A:A,AB964)</f>
        <v>0</v>
      </c>
      <c r="Q964" s="40">
        <f t="shared" si="20"/>
        <v>0</v>
      </c>
      <c r="R964" s="41"/>
      <c r="T964" s="4">
        <f>SUMIFS('Weekly Dump'!E:E,'Weekly Dump'!B:B,C964,'Weekly Dump'!A:A,AB964)</f>
        <v>0</v>
      </c>
      <c r="U964" s="3">
        <f t="shared" si="21"/>
        <v>0</v>
      </c>
      <c r="V964" s="42"/>
      <c r="X964" s="4">
        <f>SUMIFS('Weekly Dump'!P:P,'Weekly Dump'!B:B,C964,'Weekly Dump'!A:A,AB964)</f>
        <v>0</v>
      </c>
      <c r="Y964" s="4">
        <f t="shared" si="22"/>
        <v>0</v>
      </c>
      <c r="Z964" s="41"/>
      <c r="AA964" s="12" t="str">
        <f>iferror(IF(VLOOKUP(C964,'Weekly Dump'!B:B,1,0)=C964,"Yes","Missing"),"")</f>
        <v/>
      </c>
      <c r="AB964" s="66"/>
    </row>
    <row r="965">
      <c r="B965" s="63"/>
      <c r="C965" s="63"/>
      <c r="G965" s="3" t="str">
        <f t="shared" si="26"/>
        <v/>
      </c>
      <c r="I965" s="4">
        <f>SUMIFS('Weekly Dump'!D:D,'Weekly Dump'!B:B,C965)</f>
        <v>0</v>
      </c>
      <c r="J965" s="5">
        <f>SUMIFS('Weekly Dump'!AE:AE,'Weekly Dump'!B:B,C965)</f>
        <v>0</v>
      </c>
      <c r="K965" s="4">
        <f>SUMPRODUCT(
  (TEXT('Weekly Dump'!$A$2:$A1009,"mmm-yy")=TEXT($AB965,"mmm-yy"))*
  ('Weekly Dump'!$B$2:$B1009=$C965)*
  'Weekly Dump'!$D$2:$D1009)</f>
        <v>0</v>
      </c>
      <c r="L965" s="4">
        <f>SUMPRODUCT(
  (TEXT('Weekly Dump'!$A$2:$A1009,"mmm-yy")=TEXT($AB965,"mmm-yy"))*
  ('Weekly Dump'!$B$2:$B1009=$C965)*
  'Weekly Dump'!$E$2:$E1009
)</f>
        <v>0</v>
      </c>
      <c r="M965" s="4">
        <f>SUMPRODUCT(
  (TEXT('Weekly Dump'!$A$2:$A1009,"mmm-yy")=TEXT($AB965,"mmm-yy"))*
  ('Weekly Dump'!$B$2:$B1009=$C965)*
  'Weekly Dump'!$P$2:$P1009
)</f>
        <v>0</v>
      </c>
      <c r="N965" s="39"/>
      <c r="O965" s="40">
        <f>SUMIFS('Weekly Dump'!$D:$D,'Weekly Dump'!$B:$B,$C965,'Weekly Dump'!$A:$A,$AB965)</f>
        <v>0</v>
      </c>
      <c r="P965" s="40">
        <f>SUMIFS('Weekly Dump'!R:R,'Weekly Dump'!B:B,C965,'Weekly Dump'!A:A,AB965)</f>
        <v>0</v>
      </c>
      <c r="Q965" s="40">
        <f t="shared" si="20"/>
        <v>0</v>
      </c>
      <c r="R965" s="41"/>
      <c r="T965" s="4">
        <f>SUMIFS('Weekly Dump'!E:E,'Weekly Dump'!B:B,C965,'Weekly Dump'!A:A,AB965)</f>
        <v>0</v>
      </c>
      <c r="U965" s="3">
        <f t="shared" si="21"/>
        <v>0</v>
      </c>
      <c r="V965" s="42"/>
      <c r="X965" s="4">
        <f>SUMIFS('Weekly Dump'!P:P,'Weekly Dump'!B:B,C965,'Weekly Dump'!A:A,AB965)</f>
        <v>0</v>
      </c>
      <c r="Y965" s="4">
        <f t="shared" si="22"/>
        <v>0</v>
      </c>
      <c r="Z965" s="41"/>
      <c r="AA965" s="12" t="str">
        <f>iferror(IF(VLOOKUP(C965,'Weekly Dump'!B:B,1,0)=C965,"Yes","Missing"),"")</f>
        <v/>
      </c>
      <c r="AB965" s="66"/>
    </row>
    <row r="966">
      <c r="B966" s="63"/>
      <c r="C966" s="63"/>
      <c r="G966" s="3" t="str">
        <f t="shared" si="26"/>
        <v/>
      </c>
      <c r="I966" s="4">
        <f>SUMIFS('Weekly Dump'!D:D,'Weekly Dump'!B:B,C966)</f>
        <v>0</v>
      </c>
      <c r="J966" s="5">
        <f>SUMIFS('Weekly Dump'!AE:AE,'Weekly Dump'!B:B,C966)</f>
        <v>0</v>
      </c>
      <c r="K966" s="4">
        <f>SUMPRODUCT(
  (TEXT('Weekly Dump'!$A$2:$A1009,"mmm-yy")=TEXT($AB966,"mmm-yy"))*
  ('Weekly Dump'!$B$2:$B1009=$C966)*
  'Weekly Dump'!$D$2:$D1009)</f>
        <v>0</v>
      </c>
      <c r="L966" s="4">
        <f>SUMPRODUCT(
  (TEXT('Weekly Dump'!$A$2:$A1009,"mmm-yy")=TEXT($AB966,"mmm-yy"))*
  ('Weekly Dump'!$B$2:$B1009=$C966)*
  'Weekly Dump'!$E$2:$E1009
)</f>
        <v>0</v>
      </c>
      <c r="M966" s="4">
        <f>SUMPRODUCT(
  (TEXT('Weekly Dump'!$A$2:$A1009,"mmm-yy")=TEXT($AB966,"mmm-yy"))*
  ('Weekly Dump'!$B$2:$B1009=$C966)*
  'Weekly Dump'!$P$2:$P1009
)</f>
        <v>0</v>
      </c>
      <c r="N966" s="39"/>
      <c r="O966" s="40">
        <f>SUMIFS('Weekly Dump'!$D:$D,'Weekly Dump'!$B:$B,$C966,'Weekly Dump'!$A:$A,$AB966)</f>
        <v>0</v>
      </c>
      <c r="P966" s="40">
        <f>SUMIFS('Weekly Dump'!R:R,'Weekly Dump'!B:B,C966,'Weekly Dump'!A:A,AB966)</f>
        <v>0</v>
      </c>
      <c r="Q966" s="40">
        <f t="shared" si="20"/>
        <v>0</v>
      </c>
      <c r="R966" s="41"/>
      <c r="T966" s="4">
        <f>SUMIFS('Weekly Dump'!E:E,'Weekly Dump'!B:B,C966,'Weekly Dump'!A:A,AB966)</f>
        <v>0</v>
      </c>
      <c r="U966" s="3">
        <f t="shared" si="21"/>
        <v>0</v>
      </c>
      <c r="V966" s="42"/>
      <c r="X966" s="4">
        <f>SUMIFS('Weekly Dump'!P:P,'Weekly Dump'!B:B,C966,'Weekly Dump'!A:A,AB966)</f>
        <v>0</v>
      </c>
      <c r="Y966" s="4">
        <f t="shared" si="22"/>
        <v>0</v>
      </c>
      <c r="Z966" s="41"/>
      <c r="AA966" s="12" t="str">
        <f>iferror(IF(VLOOKUP(C966,'Weekly Dump'!B:B,1,0)=C966,"Yes","Missing"),"")</f>
        <v/>
      </c>
      <c r="AB966" s="66"/>
    </row>
    <row r="967">
      <c r="B967" s="63"/>
      <c r="C967" s="63"/>
      <c r="G967" s="3" t="str">
        <f t="shared" si="26"/>
        <v/>
      </c>
      <c r="I967" s="4">
        <f>SUMIFS('Weekly Dump'!D:D,'Weekly Dump'!B:B,C967)</f>
        <v>0</v>
      </c>
      <c r="J967" s="5">
        <f>SUMIFS('Weekly Dump'!AE:AE,'Weekly Dump'!B:B,C967)</f>
        <v>0</v>
      </c>
      <c r="K967" s="4">
        <f>SUMPRODUCT(
  (TEXT('Weekly Dump'!$A$2:$A1009,"mmm-yy")=TEXT($AB967,"mmm-yy"))*
  ('Weekly Dump'!$B$2:$B1009=$C967)*
  'Weekly Dump'!$D$2:$D1009)</f>
        <v>0</v>
      </c>
      <c r="L967" s="4">
        <f>SUMPRODUCT(
  (TEXT('Weekly Dump'!$A$2:$A1009,"mmm-yy")=TEXT($AB967,"mmm-yy"))*
  ('Weekly Dump'!$B$2:$B1009=$C967)*
  'Weekly Dump'!$E$2:$E1009
)</f>
        <v>0</v>
      </c>
      <c r="M967" s="4">
        <f>SUMPRODUCT(
  (TEXT('Weekly Dump'!$A$2:$A1009,"mmm-yy")=TEXT($AB967,"mmm-yy"))*
  ('Weekly Dump'!$B$2:$B1009=$C967)*
  'Weekly Dump'!$P$2:$P1009
)</f>
        <v>0</v>
      </c>
      <c r="N967" s="39"/>
      <c r="O967" s="40">
        <f>SUMIFS('Weekly Dump'!$D:$D,'Weekly Dump'!$B:$B,$C967,'Weekly Dump'!$A:$A,$AB967)</f>
        <v>0</v>
      </c>
      <c r="P967" s="40">
        <f>SUMIFS('Weekly Dump'!R:R,'Weekly Dump'!B:B,C967,'Weekly Dump'!A:A,AB967)</f>
        <v>0</v>
      </c>
      <c r="Q967" s="40">
        <f t="shared" si="20"/>
        <v>0</v>
      </c>
      <c r="R967" s="41"/>
      <c r="T967" s="4">
        <f>SUMIFS('Weekly Dump'!E:E,'Weekly Dump'!B:B,C967,'Weekly Dump'!A:A,AB967)</f>
        <v>0</v>
      </c>
      <c r="U967" s="3">
        <f t="shared" si="21"/>
        <v>0</v>
      </c>
      <c r="V967" s="42"/>
      <c r="X967" s="4">
        <f>SUMIFS('Weekly Dump'!P:P,'Weekly Dump'!B:B,C967,'Weekly Dump'!A:A,AB967)</f>
        <v>0</v>
      </c>
      <c r="Y967" s="4">
        <f t="shared" si="22"/>
        <v>0</v>
      </c>
      <c r="Z967" s="41"/>
      <c r="AA967" s="12" t="str">
        <f>iferror(IF(VLOOKUP(C967,'Weekly Dump'!B:B,1,0)=C967,"Yes","Missing"),"")</f>
        <v/>
      </c>
      <c r="AB967" s="66"/>
    </row>
    <row r="968">
      <c r="B968" s="63"/>
      <c r="C968" s="63"/>
      <c r="G968" s="3" t="str">
        <f t="shared" si="26"/>
        <v/>
      </c>
      <c r="I968" s="4">
        <f>SUMIFS('Weekly Dump'!D:D,'Weekly Dump'!B:B,C968)</f>
        <v>0</v>
      </c>
      <c r="J968" s="5">
        <f>SUMIFS('Weekly Dump'!AE:AE,'Weekly Dump'!B:B,C968)</f>
        <v>0</v>
      </c>
      <c r="K968" s="4">
        <f>SUMPRODUCT(
  (TEXT('Weekly Dump'!$A$2:$A1009,"mmm-yy")=TEXT($AB968,"mmm-yy"))*
  ('Weekly Dump'!$B$2:$B1009=$C968)*
  'Weekly Dump'!$D$2:$D1009)</f>
        <v>0</v>
      </c>
      <c r="L968" s="4">
        <f>SUMPRODUCT(
  (TEXT('Weekly Dump'!$A$2:$A1009,"mmm-yy")=TEXT($AB968,"mmm-yy"))*
  ('Weekly Dump'!$B$2:$B1009=$C968)*
  'Weekly Dump'!$E$2:$E1009
)</f>
        <v>0</v>
      </c>
      <c r="M968" s="4">
        <f>SUMPRODUCT(
  (TEXT('Weekly Dump'!$A$2:$A1009,"mmm-yy")=TEXT($AB968,"mmm-yy"))*
  ('Weekly Dump'!$B$2:$B1009=$C968)*
  'Weekly Dump'!$P$2:$P1009
)</f>
        <v>0</v>
      </c>
      <c r="N968" s="39"/>
      <c r="O968" s="40">
        <f>SUMIFS('Weekly Dump'!$D:$D,'Weekly Dump'!$B:$B,$C968,'Weekly Dump'!$A:$A,$AB968)</f>
        <v>0</v>
      </c>
      <c r="P968" s="40">
        <f>SUMIFS('Weekly Dump'!R:R,'Weekly Dump'!B:B,C968,'Weekly Dump'!A:A,AB968)</f>
        <v>0</v>
      </c>
      <c r="Q968" s="40">
        <f t="shared" si="20"/>
        <v>0</v>
      </c>
      <c r="R968" s="41"/>
      <c r="T968" s="4">
        <f>SUMIFS('Weekly Dump'!E:E,'Weekly Dump'!B:B,C968,'Weekly Dump'!A:A,AB968)</f>
        <v>0</v>
      </c>
      <c r="U968" s="3">
        <f t="shared" si="21"/>
        <v>0</v>
      </c>
      <c r="V968" s="42"/>
      <c r="X968" s="4">
        <f>SUMIFS('Weekly Dump'!P:P,'Weekly Dump'!B:B,C968,'Weekly Dump'!A:A,AB968)</f>
        <v>0</v>
      </c>
      <c r="Y968" s="4">
        <f t="shared" si="22"/>
        <v>0</v>
      </c>
      <c r="Z968" s="41"/>
      <c r="AA968" s="12" t="str">
        <f>iferror(IF(VLOOKUP(C968,'Weekly Dump'!B:B,1,0)=C968,"Yes","Missing"),"")</f>
        <v/>
      </c>
      <c r="AB968" s="66"/>
    </row>
    <row r="969">
      <c r="B969" s="63"/>
      <c r="C969" s="63"/>
      <c r="G969" s="3" t="str">
        <f t="shared" si="26"/>
        <v/>
      </c>
      <c r="I969" s="4">
        <f>SUMIFS('Weekly Dump'!D:D,'Weekly Dump'!B:B,C969)</f>
        <v>0</v>
      </c>
      <c r="J969" s="5">
        <f>SUMIFS('Weekly Dump'!AE:AE,'Weekly Dump'!B:B,C969)</f>
        <v>0</v>
      </c>
      <c r="K969" s="4">
        <f>SUMPRODUCT(
  (TEXT('Weekly Dump'!$A$2:$A1009,"mmm-yy")=TEXT($AB969,"mmm-yy"))*
  ('Weekly Dump'!$B$2:$B1009=$C969)*
  'Weekly Dump'!$D$2:$D1009)</f>
        <v>0</v>
      </c>
      <c r="L969" s="4">
        <f>SUMPRODUCT(
  (TEXT('Weekly Dump'!$A$2:$A1009,"mmm-yy")=TEXT($AB969,"mmm-yy"))*
  ('Weekly Dump'!$B$2:$B1009=$C969)*
  'Weekly Dump'!$E$2:$E1009
)</f>
        <v>0</v>
      </c>
      <c r="M969" s="4">
        <f>SUMPRODUCT(
  (TEXT('Weekly Dump'!$A$2:$A1009,"mmm-yy")=TEXT($AB969,"mmm-yy"))*
  ('Weekly Dump'!$B$2:$B1009=$C969)*
  'Weekly Dump'!$P$2:$P1009
)</f>
        <v>0</v>
      </c>
      <c r="N969" s="39"/>
      <c r="O969" s="40">
        <f>SUMIFS('Weekly Dump'!$D:$D,'Weekly Dump'!$B:$B,$C969,'Weekly Dump'!$A:$A,$AB969)</f>
        <v>0</v>
      </c>
      <c r="P969" s="40">
        <f>SUMIFS('Weekly Dump'!R:R,'Weekly Dump'!B:B,C969,'Weekly Dump'!A:A,AB969)</f>
        <v>0</v>
      </c>
      <c r="Q969" s="40">
        <f t="shared" si="20"/>
        <v>0</v>
      </c>
      <c r="R969" s="41"/>
      <c r="T969" s="4">
        <f>SUMIFS('Weekly Dump'!E:E,'Weekly Dump'!B:B,C969,'Weekly Dump'!A:A,AB969)</f>
        <v>0</v>
      </c>
      <c r="U969" s="3">
        <f t="shared" si="21"/>
        <v>0</v>
      </c>
      <c r="V969" s="42"/>
      <c r="X969" s="4">
        <f>SUMIFS('Weekly Dump'!P:P,'Weekly Dump'!B:B,C969,'Weekly Dump'!A:A,AB969)</f>
        <v>0</v>
      </c>
      <c r="Y969" s="4">
        <f t="shared" si="22"/>
        <v>0</v>
      </c>
      <c r="Z969" s="41"/>
      <c r="AA969" s="12" t="str">
        <f>iferror(IF(VLOOKUP(C969,'Weekly Dump'!B:B,1,0)=C969,"Yes","Missing"),"")</f>
        <v/>
      </c>
      <c r="AB969" s="66"/>
    </row>
    <row r="970">
      <c r="B970" s="63"/>
      <c r="C970" s="63"/>
      <c r="G970" s="3" t="str">
        <f t="shared" si="26"/>
        <v/>
      </c>
      <c r="I970" s="4">
        <f>SUMIFS('Weekly Dump'!D:D,'Weekly Dump'!B:B,C970)</f>
        <v>0</v>
      </c>
      <c r="J970" s="5">
        <f>SUMIFS('Weekly Dump'!AE:AE,'Weekly Dump'!B:B,C970)</f>
        <v>0</v>
      </c>
      <c r="K970" s="4">
        <f>SUMPRODUCT(
  (TEXT('Weekly Dump'!$A$2:$A1009,"mmm-yy")=TEXT($AB970,"mmm-yy"))*
  ('Weekly Dump'!$B$2:$B1009=$C970)*
  'Weekly Dump'!$D$2:$D1009)</f>
        <v>0</v>
      </c>
      <c r="L970" s="4">
        <f>SUMPRODUCT(
  (TEXT('Weekly Dump'!$A$2:$A1009,"mmm-yy")=TEXT($AB970,"mmm-yy"))*
  ('Weekly Dump'!$B$2:$B1009=$C970)*
  'Weekly Dump'!$E$2:$E1009
)</f>
        <v>0</v>
      </c>
      <c r="M970" s="4">
        <f>SUMPRODUCT(
  (TEXT('Weekly Dump'!$A$2:$A1009,"mmm-yy")=TEXT($AB970,"mmm-yy"))*
  ('Weekly Dump'!$B$2:$B1009=$C970)*
  'Weekly Dump'!$P$2:$P1009
)</f>
        <v>0</v>
      </c>
      <c r="N970" s="39"/>
      <c r="O970" s="40">
        <f>SUMIFS('Weekly Dump'!$D:$D,'Weekly Dump'!$B:$B,$C970,'Weekly Dump'!$A:$A,$AB970)</f>
        <v>0</v>
      </c>
      <c r="P970" s="40">
        <f>SUMIFS('Weekly Dump'!R:R,'Weekly Dump'!B:B,C970,'Weekly Dump'!A:A,AB970)</f>
        <v>0</v>
      </c>
      <c r="Q970" s="40">
        <f t="shared" si="20"/>
        <v>0</v>
      </c>
      <c r="R970" s="41"/>
      <c r="T970" s="4">
        <f>SUMIFS('Weekly Dump'!E:E,'Weekly Dump'!B:B,C970,'Weekly Dump'!A:A,AB970)</f>
        <v>0</v>
      </c>
      <c r="U970" s="3">
        <f t="shared" si="21"/>
        <v>0</v>
      </c>
      <c r="V970" s="42"/>
      <c r="X970" s="4">
        <f>SUMIFS('Weekly Dump'!P:P,'Weekly Dump'!B:B,C970,'Weekly Dump'!A:A,AB970)</f>
        <v>0</v>
      </c>
      <c r="Y970" s="4">
        <f t="shared" si="22"/>
        <v>0</v>
      </c>
      <c r="Z970" s="41"/>
      <c r="AA970" s="12" t="str">
        <f>iferror(IF(VLOOKUP(C970,'Weekly Dump'!B:B,1,0)=C970,"Yes","Missing"),"")</f>
        <v/>
      </c>
      <c r="AB970" s="66"/>
    </row>
    <row r="971">
      <c r="B971" s="63"/>
      <c r="C971" s="63"/>
      <c r="G971" s="3" t="str">
        <f t="shared" si="26"/>
        <v/>
      </c>
      <c r="I971" s="4">
        <f>SUMIFS('Weekly Dump'!D:D,'Weekly Dump'!B:B,C971)</f>
        <v>0</v>
      </c>
      <c r="J971" s="5">
        <f>SUMIFS('Weekly Dump'!AE:AE,'Weekly Dump'!B:B,C971)</f>
        <v>0</v>
      </c>
      <c r="K971" s="4">
        <f>SUMPRODUCT(
  (TEXT('Weekly Dump'!$A$2:$A1009,"mmm-yy")=TEXT($AB971,"mmm-yy"))*
  ('Weekly Dump'!$B$2:$B1009=$C971)*
  'Weekly Dump'!$D$2:$D1009)</f>
        <v>0</v>
      </c>
      <c r="L971" s="4">
        <f>SUMPRODUCT(
  (TEXT('Weekly Dump'!$A$2:$A1009,"mmm-yy")=TEXT($AB971,"mmm-yy"))*
  ('Weekly Dump'!$B$2:$B1009=$C971)*
  'Weekly Dump'!$E$2:$E1009
)</f>
        <v>0</v>
      </c>
      <c r="M971" s="4">
        <f>SUMPRODUCT(
  (TEXT('Weekly Dump'!$A$2:$A1009,"mmm-yy")=TEXT($AB971,"mmm-yy"))*
  ('Weekly Dump'!$B$2:$B1009=$C971)*
  'Weekly Dump'!$P$2:$P1009
)</f>
        <v>0</v>
      </c>
      <c r="N971" s="39"/>
      <c r="O971" s="40">
        <f>SUMIFS('Weekly Dump'!$D:$D,'Weekly Dump'!$B:$B,$C971,'Weekly Dump'!$A:$A,$AB971)</f>
        <v>0</v>
      </c>
      <c r="P971" s="40">
        <f>SUMIFS('Weekly Dump'!R:R,'Weekly Dump'!B:B,C971,'Weekly Dump'!A:A,AB971)</f>
        <v>0</v>
      </c>
      <c r="Q971" s="40">
        <f t="shared" si="20"/>
        <v>0</v>
      </c>
      <c r="R971" s="41"/>
      <c r="T971" s="4">
        <f>SUMIFS('Weekly Dump'!E:E,'Weekly Dump'!B:B,C971,'Weekly Dump'!A:A,AB971)</f>
        <v>0</v>
      </c>
      <c r="U971" s="3">
        <f t="shared" si="21"/>
        <v>0</v>
      </c>
      <c r="V971" s="42"/>
      <c r="X971" s="4">
        <f>SUMIFS('Weekly Dump'!P:P,'Weekly Dump'!B:B,C971,'Weekly Dump'!A:A,AB971)</f>
        <v>0</v>
      </c>
      <c r="Y971" s="4">
        <f t="shared" si="22"/>
        <v>0</v>
      </c>
      <c r="Z971" s="41"/>
      <c r="AA971" s="12" t="str">
        <f>iferror(IF(VLOOKUP(C971,'Weekly Dump'!B:B,1,0)=C971,"Yes","Missing"),"")</f>
        <v/>
      </c>
      <c r="AB971" s="66"/>
    </row>
    <row r="972">
      <c r="B972" s="63"/>
      <c r="C972" s="63"/>
      <c r="G972" s="3" t="str">
        <f t="shared" si="26"/>
        <v/>
      </c>
      <c r="I972" s="4">
        <f>SUMIFS('Weekly Dump'!D:D,'Weekly Dump'!B:B,C972)</f>
        <v>0</v>
      </c>
      <c r="J972" s="5">
        <f>SUMIFS('Weekly Dump'!AE:AE,'Weekly Dump'!B:B,C972)</f>
        <v>0</v>
      </c>
      <c r="K972" s="4">
        <f>SUMPRODUCT(
  (TEXT('Weekly Dump'!$A$2:$A1009,"mmm-yy")=TEXT($AB972,"mmm-yy"))*
  ('Weekly Dump'!$B$2:$B1009=$C972)*
  'Weekly Dump'!$D$2:$D1009)</f>
        <v>0</v>
      </c>
      <c r="L972" s="4">
        <f>SUMPRODUCT(
  (TEXT('Weekly Dump'!$A$2:$A1009,"mmm-yy")=TEXT($AB972,"mmm-yy"))*
  ('Weekly Dump'!$B$2:$B1009=$C972)*
  'Weekly Dump'!$E$2:$E1009
)</f>
        <v>0</v>
      </c>
      <c r="M972" s="4">
        <f>SUMPRODUCT(
  (TEXT('Weekly Dump'!$A$2:$A1009,"mmm-yy")=TEXT($AB972,"mmm-yy"))*
  ('Weekly Dump'!$B$2:$B1009=$C972)*
  'Weekly Dump'!$P$2:$P1009
)</f>
        <v>0</v>
      </c>
      <c r="N972" s="39"/>
      <c r="O972" s="40">
        <f>SUMIFS('Weekly Dump'!$D:$D,'Weekly Dump'!$B:$B,$C972,'Weekly Dump'!$A:$A,$AB972)</f>
        <v>0</v>
      </c>
      <c r="P972" s="40">
        <f>SUMIFS('Weekly Dump'!R:R,'Weekly Dump'!B:B,C972,'Weekly Dump'!A:A,AB972)</f>
        <v>0</v>
      </c>
      <c r="Q972" s="40">
        <f t="shared" si="20"/>
        <v>0</v>
      </c>
      <c r="R972" s="41"/>
      <c r="T972" s="4">
        <f>SUMIFS('Weekly Dump'!E:E,'Weekly Dump'!B:B,C972,'Weekly Dump'!A:A,AB972)</f>
        <v>0</v>
      </c>
      <c r="U972" s="3">
        <f t="shared" si="21"/>
        <v>0</v>
      </c>
      <c r="V972" s="42"/>
      <c r="X972" s="4">
        <f>SUMIFS('Weekly Dump'!P:P,'Weekly Dump'!B:B,C972,'Weekly Dump'!A:A,AB972)</f>
        <v>0</v>
      </c>
      <c r="Y972" s="4">
        <f t="shared" si="22"/>
        <v>0</v>
      </c>
      <c r="Z972" s="41"/>
      <c r="AA972" s="12" t="str">
        <f>iferror(IF(VLOOKUP(C972,'Weekly Dump'!B:B,1,0)=C972,"Yes","Missing"),"")</f>
        <v/>
      </c>
      <c r="AB972" s="66"/>
    </row>
    <row r="973">
      <c r="B973" s="63"/>
      <c r="C973" s="63"/>
      <c r="G973" s="3" t="str">
        <f t="shared" si="26"/>
        <v/>
      </c>
      <c r="I973" s="4">
        <f>SUMIFS('Weekly Dump'!D:D,'Weekly Dump'!B:B,C973)</f>
        <v>0</v>
      </c>
      <c r="J973" s="5">
        <f>SUMIFS('Weekly Dump'!AE:AE,'Weekly Dump'!B:B,C973)</f>
        <v>0</v>
      </c>
      <c r="K973" s="4">
        <f>SUMPRODUCT(
  (TEXT('Weekly Dump'!$A$2:$A1009,"mmm-yy")=TEXT($AB973,"mmm-yy"))*
  ('Weekly Dump'!$B$2:$B1009=$C973)*
  'Weekly Dump'!$D$2:$D1009)</f>
        <v>0</v>
      </c>
      <c r="L973" s="4">
        <f>SUMPRODUCT(
  (TEXT('Weekly Dump'!$A$2:$A1009,"mmm-yy")=TEXT($AB973,"mmm-yy"))*
  ('Weekly Dump'!$B$2:$B1009=$C973)*
  'Weekly Dump'!$E$2:$E1009
)</f>
        <v>0</v>
      </c>
      <c r="M973" s="4">
        <f>SUMPRODUCT(
  (TEXT('Weekly Dump'!$A$2:$A1009,"mmm-yy")=TEXT($AB973,"mmm-yy"))*
  ('Weekly Dump'!$B$2:$B1009=$C973)*
  'Weekly Dump'!$P$2:$P1009
)</f>
        <v>0</v>
      </c>
      <c r="N973" s="39"/>
      <c r="O973" s="40">
        <f>SUMIFS('Weekly Dump'!$D:$D,'Weekly Dump'!$B:$B,$C973,'Weekly Dump'!$A:$A,$AB973)</f>
        <v>0</v>
      </c>
      <c r="P973" s="40">
        <f>SUMIFS('Weekly Dump'!R:R,'Weekly Dump'!B:B,C973,'Weekly Dump'!A:A,AB973)</f>
        <v>0</v>
      </c>
      <c r="Q973" s="40">
        <f t="shared" si="20"/>
        <v>0</v>
      </c>
      <c r="R973" s="41"/>
      <c r="T973" s="4">
        <f>SUMIFS('Weekly Dump'!E:E,'Weekly Dump'!B:B,C973,'Weekly Dump'!A:A,AB973)</f>
        <v>0</v>
      </c>
      <c r="U973" s="3">
        <f t="shared" si="21"/>
        <v>0</v>
      </c>
      <c r="V973" s="42"/>
      <c r="X973" s="4">
        <f>SUMIFS('Weekly Dump'!P:P,'Weekly Dump'!B:B,C973,'Weekly Dump'!A:A,AB973)</f>
        <v>0</v>
      </c>
      <c r="Y973" s="4">
        <f t="shared" si="22"/>
        <v>0</v>
      </c>
      <c r="Z973" s="41"/>
      <c r="AA973" s="12" t="str">
        <f>iferror(IF(VLOOKUP(C973,'Weekly Dump'!B:B,1,0)=C973,"Yes","Missing"),"")</f>
        <v/>
      </c>
      <c r="AB973" s="66"/>
    </row>
    <row r="974">
      <c r="B974" s="63"/>
      <c r="C974" s="63"/>
      <c r="G974" s="3" t="str">
        <f t="shared" si="26"/>
        <v/>
      </c>
      <c r="I974" s="4">
        <f>SUMIFS('Weekly Dump'!D:D,'Weekly Dump'!B:B,C974)</f>
        <v>0</v>
      </c>
      <c r="J974" s="5">
        <f>SUMIFS('Weekly Dump'!AE:AE,'Weekly Dump'!B:B,C974)</f>
        <v>0</v>
      </c>
      <c r="K974" s="4">
        <f>SUMPRODUCT(
  (TEXT('Weekly Dump'!$A$2:$A1009,"mmm-yy")=TEXT($AB974,"mmm-yy"))*
  ('Weekly Dump'!$B$2:$B1009=$C974)*
  'Weekly Dump'!$D$2:$D1009)</f>
        <v>0</v>
      </c>
      <c r="L974" s="4">
        <f>SUMPRODUCT(
  (TEXT('Weekly Dump'!$A$2:$A1009,"mmm-yy")=TEXT($AB974,"mmm-yy"))*
  ('Weekly Dump'!$B$2:$B1009=$C974)*
  'Weekly Dump'!$E$2:$E1009
)</f>
        <v>0</v>
      </c>
      <c r="M974" s="4">
        <f>SUMPRODUCT(
  (TEXT('Weekly Dump'!$A$2:$A1009,"mmm-yy")=TEXT($AB974,"mmm-yy"))*
  ('Weekly Dump'!$B$2:$B1009=$C974)*
  'Weekly Dump'!$P$2:$P1009
)</f>
        <v>0</v>
      </c>
      <c r="N974" s="39"/>
      <c r="O974" s="40">
        <f>SUMIFS('Weekly Dump'!$D:$D,'Weekly Dump'!$B:$B,$C974,'Weekly Dump'!$A:$A,$AB974)</f>
        <v>0</v>
      </c>
      <c r="P974" s="40">
        <f>SUMIFS('Weekly Dump'!R:R,'Weekly Dump'!B:B,C974,'Weekly Dump'!A:A,AB974)</f>
        <v>0</v>
      </c>
      <c r="Q974" s="40">
        <f t="shared" si="20"/>
        <v>0</v>
      </c>
      <c r="R974" s="41"/>
      <c r="T974" s="4">
        <f>SUMIFS('Weekly Dump'!E:E,'Weekly Dump'!B:B,C974,'Weekly Dump'!A:A,AB974)</f>
        <v>0</v>
      </c>
      <c r="U974" s="3">
        <f t="shared" si="21"/>
        <v>0</v>
      </c>
      <c r="V974" s="42"/>
      <c r="X974" s="4">
        <f>SUMIFS('Weekly Dump'!P:P,'Weekly Dump'!B:B,C974,'Weekly Dump'!A:A,AB974)</f>
        <v>0</v>
      </c>
      <c r="Y974" s="4">
        <f t="shared" si="22"/>
        <v>0</v>
      </c>
      <c r="Z974" s="41"/>
      <c r="AA974" s="12" t="str">
        <f>iferror(IF(VLOOKUP(C974,'Weekly Dump'!B:B,1,0)=C974,"Yes","Missing"),"")</f>
        <v/>
      </c>
      <c r="AB974" s="66"/>
    </row>
    <row r="975">
      <c r="B975" s="63"/>
      <c r="C975" s="63"/>
      <c r="G975" s="3" t="str">
        <f t="shared" si="26"/>
        <v/>
      </c>
      <c r="I975" s="4">
        <f>SUMIFS('Weekly Dump'!D:D,'Weekly Dump'!B:B,C975)</f>
        <v>0</v>
      </c>
      <c r="J975" s="5">
        <f>SUMIFS('Weekly Dump'!AE:AE,'Weekly Dump'!B:B,C975)</f>
        <v>0</v>
      </c>
      <c r="K975" s="4">
        <f>SUMPRODUCT(
  (TEXT('Weekly Dump'!$A$2:$A1009,"mmm-yy")=TEXT($AB975,"mmm-yy"))*
  ('Weekly Dump'!$B$2:$B1009=$C975)*
  'Weekly Dump'!$D$2:$D1009)</f>
        <v>0</v>
      </c>
      <c r="L975" s="4">
        <f>SUMPRODUCT(
  (TEXT('Weekly Dump'!$A$2:$A1009,"mmm-yy")=TEXT($AB975,"mmm-yy"))*
  ('Weekly Dump'!$B$2:$B1009=$C975)*
  'Weekly Dump'!$E$2:$E1009
)</f>
        <v>0</v>
      </c>
      <c r="M975" s="4">
        <f>SUMPRODUCT(
  (TEXT('Weekly Dump'!$A$2:$A1009,"mmm-yy")=TEXT($AB975,"mmm-yy"))*
  ('Weekly Dump'!$B$2:$B1009=$C975)*
  'Weekly Dump'!$P$2:$P1009
)</f>
        <v>0</v>
      </c>
      <c r="N975" s="39"/>
      <c r="O975" s="40">
        <f>SUMIFS('Weekly Dump'!$D:$D,'Weekly Dump'!$B:$B,$C975,'Weekly Dump'!$A:$A,$AB975)</f>
        <v>0</v>
      </c>
      <c r="P975" s="40">
        <f>SUMIFS('Weekly Dump'!R:R,'Weekly Dump'!B:B,C975,'Weekly Dump'!A:A,AB975)</f>
        <v>0</v>
      </c>
      <c r="Q975" s="40">
        <f t="shared" si="20"/>
        <v>0</v>
      </c>
      <c r="R975" s="41"/>
      <c r="T975" s="4">
        <f>SUMIFS('Weekly Dump'!E:E,'Weekly Dump'!B:B,C975,'Weekly Dump'!A:A,AB975)</f>
        <v>0</v>
      </c>
      <c r="U975" s="3">
        <f t="shared" si="21"/>
        <v>0</v>
      </c>
      <c r="V975" s="42"/>
      <c r="X975" s="4">
        <f>SUMIFS('Weekly Dump'!P:P,'Weekly Dump'!B:B,C975,'Weekly Dump'!A:A,AB975)</f>
        <v>0</v>
      </c>
      <c r="Y975" s="4">
        <f t="shared" si="22"/>
        <v>0</v>
      </c>
      <c r="Z975" s="41"/>
      <c r="AA975" s="12" t="str">
        <f>iferror(IF(VLOOKUP(C975,'Weekly Dump'!B:B,1,0)=C975,"Yes","Missing"),"")</f>
        <v/>
      </c>
      <c r="AB975" s="66"/>
    </row>
    <row r="976">
      <c r="B976" s="63"/>
      <c r="C976" s="63"/>
      <c r="G976" s="3" t="str">
        <f t="shared" si="26"/>
        <v/>
      </c>
      <c r="I976" s="4">
        <f>SUMIFS('Weekly Dump'!D:D,'Weekly Dump'!B:B,C976)</f>
        <v>0</v>
      </c>
      <c r="J976" s="5">
        <f>SUMIFS('Weekly Dump'!AE:AE,'Weekly Dump'!B:B,C976)</f>
        <v>0</v>
      </c>
      <c r="K976" s="4">
        <f>SUMPRODUCT(
  (TEXT('Weekly Dump'!$A$2:$A1009,"mmm-yy")=TEXT($AB976,"mmm-yy"))*
  ('Weekly Dump'!$B$2:$B1009=$C976)*
  'Weekly Dump'!$D$2:$D1009)</f>
        <v>0</v>
      </c>
      <c r="L976" s="4">
        <f>SUMPRODUCT(
  (TEXT('Weekly Dump'!$A$2:$A1009,"mmm-yy")=TEXT($AB976,"mmm-yy"))*
  ('Weekly Dump'!$B$2:$B1009=$C976)*
  'Weekly Dump'!$E$2:$E1009
)</f>
        <v>0</v>
      </c>
      <c r="M976" s="4">
        <f>SUMPRODUCT(
  (TEXT('Weekly Dump'!$A$2:$A1009,"mmm-yy")=TEXT($AB976,"mmm-yy"))*
  ('Weekly Dump'!$B$2:$B1009=$C976)*
  'Weekly Dump'!$P$2:$P1009
)</f>
        <v>0</v>
      </c>
      <c r="N976" s="39"/>
      <c r="O976" s="40">
        <f>SUMIFS('Weekly Dump'!$D:$D,'Weekly Dump'!$B:$B,$C976,'Weekly Dump'!$A:$A,$AB976)</f>
        <v>0</v>
      </c>
      <c r="P976" s="40">
        <f>SUMIFS('Weekly Dump'!R:R,'Weekly Dump'!B:B,C976,'Weekly Dump'!A:A,AB976)</f>
        <v>0</v>
      </c>
      <c r="Q976" s="40">
        <f t="shared" si="20"/>
        <v>0</v>
      </c>
      <c r="R976" s="41"/>
      <c r="T976" s="4">
        <f>SUMIFS('Weekly Dump'!E:E,'Weekly Dump'!B:B,C976,'Weekly Dump'!A:A,AB976)</f>
        <v>0</v>
      </c>
      <c r="U976" s="3">
        <f t="shared" si="21"/>
        <v>0</v>
      </c>
      <c r="V976" s="42"/>
      <c r="X976" s="4">
        <f>SUMIFS('Weekly Dump'!P:P,'Weekly Dump'!B:B,C976,'Weekly Dump'!A:A,AB976)</f>
        <v>0</v>
      </c>
      <c r="Y976" s="4">
        <f t="shared" si="22"/>
        <v>0</v>
      </c>
      <c r="Z976" s="41"/>
      <c r="AA976" s="12" t="str">
        <f>iferror(IF(VLOOKUP(C976,'Weekly Dump'!B:B,1,0)=C976,"Yes","Missing"),"")</f>
        <v/>
      </c>
      <c r="AB976" s="66"/>
    </row>
    <row r="977">
      <c r="B977" s="63"/>
      <c r="C977" s="63"/>
      <c r="G977" s="3" t="str">
        <f t="shared" si="26"/>
        <v/>
      </c>
      <c r="I977" s="4">
        <f>SUMIFS('Weekly Dump'!D:D,'Weekly Dump'!B:B,C977)</f>
        <v>0</v>
      </c>
      <c r="J977" s="5">
        <f>SUMIFS('Weekly Dump'!AE:AE,'Weekly Dump'!B:B,C977)</f>
        <v>0</v>
      </c>
      <c r="K977" s="4">
        <f>SUMPRODUCT(
  (TEXT('Weekly Dump'!$A$2:$A1009,"mmm-yy")=TEXT($AB977,"mmm-yy"))*
  ('Weekly Dump'!$B$2:$B1009=$C977)*
  'Weekly Dump'!$D$2:$D1009)</f>
        <v>0</v>
      </c>
      <c r="L977" s="4">
        <f>SUMPRODUCT(
  (TEXT('Weekly Dump'!$A$2:$A1009,"mmm-yy")=TEXT($AB977,"mmm-yy"))*
  ('Weekly Dump'!$B$2:$B1009=$C977)*
  'Weekly Dump'!$E$2:$E1009
)</f>
        <v>0</v>
      </c>
      <c r="M977" s="4">
        <f>SUMPRODUCT(
  (TEXT('Weekly Dump'!$A$2:$A1009,"mmm-yy")=TEXT($AB977,"mmm-yy"))*
  ('Weekly Dump'!$B$2:$B1009=$C977)*
  'Weekly Dump'!$P$2:$P1009
)</f>
        <v>0</v>
      </c>
      <c r="N977" s="39"/>
      <c r="O977" s="40">
        <f>SUMIFS('Weekly Dump'!$D:$D,'Weekly Dump'!$B:$B,$C977,'Weekly Dump'!$A:$A,$AB977)</f>
        <v>0</v>
      </c>
      <c r="P977" s="40">
        <f>SUMIFS('Weekly Dump'!R:R,'Weekly Dump'!B:B,C977,'Weekly Dump'!A:A,AB977)</f>
        <v>0</v>
      </c>
      <c r="Q977" s="40">
        <f t="shared" si="20"/>
        <v>0</v>
      </c>
      <c r="R977" s="41"/>
      <c r="T977" s="4">
        <f>SUMIFS('Weekly Dump'!E:E,'Weekly Dump'!B:B,C977,'Weekly Dump'!A:A,AB977)</f>
        <v>0</v>
      </c>
      <c r="U977" s="3">
        <f t="shared" si="21"/>
        <v>0</v>
      </c>
      <c r="V977" s="42"/>
      <c r="X977" s="4">
        <f>SUMIFS('Weekly Dump'!P:P,'Weekly Dump'!B:B,C977,'Weekly Dump'!A:A,AB977)</f>
        <v>0</v>
      </c>
      <c r="Y977" s="4">
        <f t="shared" si="22"/>
        <v>0</v>
      </c>
      <c r="Z977" s="41"/>
      <c r="AA977" s="12" t="str">
        <f>iferror(IF(VLOOKUP(C977,'Weekly Dump'!B:B,1,0)=C977,"Yes","Missing"),"")</f>
        <v/>
      </c>
      <c r="AB977" s="66"/>
    </row>
    <row r="978">
      <c r="B978" s="63"/>
      <c r="C978" s="63"/>
      <c r="G978" s="3" t="str">
        <f t="shared" si="26"/>
        <v/>
      </c>
      <c r="I978" s="4">
        <f>SUMIFS('Weekly Dump'!D:D,'Weekly Dump'!B:B,C978)</f>
        <v>0</v>
      </c>
      <c r="J978" s="5">
        <f>SUMIFS('Weekly Dump'!AE:AE,'Weekly Dump'!B:B,C978)</f>
        <v>0</v>
      </c>
      <c r="K978" s="4">
        <f>SUMPRODUCT(
  (TEXT('Weekly Dump'!$A$2:$A1009,"mmm-yy")=TEXT($AB978,"mmm-yy"))*
  ('Weekly Dump'!$B$2:$B1009=$C978)*
  'Weekly Dump'!$D$2:$D1009)</f>
        <v>0</v>
      </c>
      <c r="L978" s="4">
        <f>SUMPRODUCT(
  (TEXT('Weekly Dump'!$A$2:$A1009,"mmm-yy")=TEXT($AB978,"mmm-yy"))*
  ('Weekly Dump'!$B$2:$B1009=$C978)*
  'Weekly Dump'!$E$2:$E1009
)</f>
        <v>0</v>
      </c>
      <c r="M978" s="4">
        <f>SUMPRODUCT(
  (TEXT('Weekly Dump'!$A$2:$A1009,"mmm-yy")=TEXT($AB978,"mmm-yy"))*
  ('Weekly Dump'!$B$2:$B1009=$C978)*
  'Weekly Dump'!$P$2:$P1009
)</f>
        <v>0</v>
      </c>
      <c r="N978" s="39"/>
      <c r="O978" s="40">
        <f>SUMIFS('Weekly Dump'!$D:$D,'Weekly Dump'!$B:$B,$C978,'Weekly Dump'!$A:$A,$AB978)</f>
        <v>0</v>
      </c>
      <c r="P978" s="40">
        <f>SUMIFS('Weekly Dump'!R:R,'Weekly Dump'!B:B,C978,'Weekly Dump'!A:A,AB978)</f>
        <v>0</v>
      </c>
      <c r="Q978" s="40">
        <f t="shared" si="20"/>
        <v>0</v>
      </c>
      <c r="R978" s="41"/>
      <c r="T978" s="4">
        <f>SUMIFS('Weekly Dump'!E:E,'Weekly Dump'!B:B,C978,'Weekly Dump'!A:A,AB978)</f>
        <v>0</v>
      </c>
      <c r="U978" s="3">
        <f t="shared" si="21"/>
        <v>0</v>
      </c>
      <c r="V978" s="42"/>
      <c r="X978" s="4">
        <f>SUMIFS('Weekly Dump'!P:P,'Weekly Dump'!B:B,C978,'Weekly Dump'!A:A,AB978)</f>
        <v>0</v>
      </c>
      <c r="Y978" s="4">
        <f t="shared" si="22"/>
        <v>0</v>
      </c>
      <c r="Z978" s="41"/>
      <c r="AA978" s="12" t="str">
        <f>iferror(IF(VLOOKUP(C978,'Weekly Dump'!B:B,1,0)=C978,"Yes","Missing"),"")</f>
        <v/>
      </c>
      <c r="AB978" s="66"/>
    </row>
    <row r="979">
      <c r="B979" s="63"/>
      <c r="C979" s="63"/>
      <c r="G979" s="3" t="str">
        <f t="shared" si="26"/>
        <v/>
      </c>
      <c r="I979" s="4">
        <f>SUMIFS('Weekly Dump'!D:D,'Weekly Dump'!B:B,C979)</f>
        <v>0</v>
      </c>
      <c r="J979" s="5">
        <f>SUMIFS('Weekly Dump'!AE:AE,'Weekly Dump'!B:B,C979)</f>
        <v>0</v>
      </c>
      <c r="K979" s="4">
        <f>SUMPRODUCT(
  (TEXT('Weekly Dump'!$A$2:$A1009,"mmm-yy")=TEXT($AB979,"mmm-yy"))*
  ('Weekly Dump'!$B$2:$B1009=$C979)*
  'Weekly Dump'!$D$2:$D1009)</f>
        <v>0</v>
      </c>
      <c r="L979" s="4">
        <f>SUMPRODUCT(
  (TEXT('Weekly Dump'!$A$2:$A1009,"mmm-yy")=TEXT($AB979,"mmm-yy"))*
  ('Weekly Dump'!$B$2:$B1009=$C979)*
  'Weekly Dump'!$E$2:$E1009
)</f>
        <v>0</v>
      </c>
      <c r="M979" s="4">
        <f>SUMPRODUCT(
  (TEXT('Weekly Dump'!$A$2:$A1009,"mmm-yy")=TEXT($AB979,"mmm-yy"))*
  ('Weekly Dump'!$B$2:$B1009=$C979)*
  'Weekly Dump'!$P$2:$P1009
)</f>
        <v>0</v>
      </c>
      <c r="N979" s="39"/>
      <c r="O979" s="40">
        <f>SUMIFS('Weekly Dump'!$D:$D,'Weekly Dump'!$B:$B,$C979,'Weekly Dump'!$A:$A,$AB979)</f>
        <v>0</v>
      </c>
      <c r="P979" s="40">
        <f>SUMIFS('Weekly Dump'!R:R,'Weekly Dump'!B:B,C979,'Weekly Dump'!A:A,AB979)</f>
        <v>0</v>
      </c>
      <c r="Q979" s="40">
        <f t="shared" si="20"/>
        <v>0</v>
      </c>
      <c r="R979" s="41"/>
      <c r="T979" s="4">
        <f>SUMIFS('Weekly Dump'!E:E,'Weekly Dump'!B:B,C979,'Weekly Dump'!A:A,AB979)</f>
        <v>0</v>
      </c>
      <c r="U979" s="3">
        <f t="shared" si="21"/>
        <v>0</v>
      </c>
      <c r="V979" s="42"/>
      <c r="X979" s="4">
        <f>SUMIFS('Weekly Dump'!P:P,'Weekly Dump'!B:B,C979,'Weekly Dump'!A:A,AB979)</f>
        <v>0</v>
      </c>
      <c r="Y979" s="4">
        <f t="shared" si="22"/>
        <v>0</v>
      </c>
      <c r="Z979" s="41"/>
      <c r="AA979" s="12" t="str">
        <f>iferror(IF(VLOOKUP(C979,'Weekly Dump'!B:B,1,0)=C979,"Yes","Missing"),"")</f>
        <v/>
      </c>
      <c r="AB979" s="66"/>
    </row>
    <row r="980">
      <c r="B980" s="63"/>
      <c r="C980" s="63"/>
      <c r="G980" s="3" t="str">
        <f t="shared" si="26"/>
        <v/>
      </c>
      <c r="I980" s="4">
        <f>SUMIFS('Weekly Dump'!D:D,'Weekly Dump'!B:B,C980)</f>
        <v>0</v>
      </c>
      <c r="J980" s="5">
        <f>SUMIFS('Weekly Dump'!AE:AE,'Weekly Dump'!B:B,C980)</f>
        <v>0</v>
      </c>
      <c r="K980" s="4">
        <f>SUMPRODUCT(
  (TEXT('Weekly Dump'!$A$2:$A1009,"mmm-yy")=TEXT($AB980,"mmm-yy"))*
  ('Weekly Dump'!$B$2:$B1009=$C980)*
  'Weekly Dump'!$D$2:$D1009)</f>
        <v>0</v>
      </c>
      <c r="L980" s="4">
        <f>SUMPRODUCT(
  (TEXT('Weekly Dump'!$A$2:$A1009,"mmm-yy")=TEXT($AB980,"mmm-yy"))*
  ('Weekly Dump'!$B$2:$B1009=$C980)*
  'Weekly Dump'!$E$2:$E1009
)</f>
        <v>0</v>
      </c>
      <c r="M980" s="4">
        <f>SUMPRODUCT(
  (TEXT('Weekly Dump'!$A$2:$A1009,"mmm-yy")=TEXT($AB980,"mmm-yy"))*
  ('Weekly Dump'!$B$2:$B1009=$C980)*
  'Weekly Dump'!$P$2:$P1009
)</f>
        <v>0</v>
      </c>
      <c r="N980" s="39"/>
      <c r="O980" s="40">
        <f>SUMIFS('Weekly Dump'!$D:$D,'Weekly Dump'!$B:$B,$C980,'Weekly Dump'!$A:$A,$AB980)</f>
        <v>0</v>
      </c>
      <c r="P980" s="40">
        <f>SUMIFS('Weekly Dump'!R:R,'Weekly Dump'!B:B,C980,'Weekly Dump'!A:A,AB980)</f>
        <v>0</v>
      </c>
      <c r="Q980" s="40">
        <f t="shared" si="20"/>
        <v>0</v>
      </c>
      <c r="R980" s="41"/>
      <c r="T980" s="4">
        <f>SUMIFS('Weekly Dump'!E:E,'Weekly Dump'!B:B,C980,'Weekly Dump'!A:A,AB980)</f>
        <v>0</v>
      </c>
      <c r="U980" s="3">
        <f t="shared" si="21"/>
        <v>0</v>
      </c>
      <c r="V980" s="42"/>
      <c r="X980" s="4">
        <f>SUMIFS('Weekly Dump'!P:P,'Weekly Dump'!B:B,C980,'Weekly Dump'!A:A,AB980)</f>
        <v>0</v>
      </c>
      <c r="Y980" s="4">
        <f t="shared" si="22"/>
        <v>0</v>
      </c>
      <c r="Z980" s="41"/>
      <c r="AA980" s="12" t="str">
        <f>iferror(IF(VLOOKUP(C980,'Weekly Dump'!B:B,1,0)=C980,"Yes","Missing"),"")</f>
        <v/>
      </c>
      <c r="AB980" s="66"/>
    </row>
    <row r="981">
      <c r="B981" s="63"/>
      <c r="C981" s="63"/>
      <c r="G981" s="3" t="str">
        <f t="shared" si="26"/>
        <v/>
      </c>
      <c r="I981" s="4">
        <f>SUMIFS('Weekly Dump'!D:D,'Weekly Dump'!B:B,C981)</f>
        <v>0</v>
      </c>
      <c r="J981" s="5">
        <f>SUMIFS('Weekly Dump'!AE:AE,'Weekly Dump'!B:B,C981)</f>
        <v>0</v>
      </c>
      <c r="K981" s="4">
        <f>SUMPRODUCT(
  (TEXT('Weekly Dump'!$A$2:$A1009,"mmm-yy")=TEXT($AB981,"mmm-yy"))*
  ('Weekly Dump'!$B$2:$B1009=$C981)*
  'Weekly Dump'!$D$2:$D1009)</f>
        <v>0</v>
      </c>
      <c r="L981" s="4">
        <f>SUMPRODUCT(
  (TEXT('Weekly Dump'!$A$2:$A1009,"mmm-yy")=TEXT($AB981,"mmm-yy"))*
  ('Weekly Dump'!$B$2:$B1009=$C981)*
  'Weekly Dump'!$E$2:$E1009
)</f>
        <v>0</v>
      </c>
      <c r="M981" s="4">
        <f>SUMPRODUCT(
  (TEXT('Weekly Dump'!$A$2:$A1009,"mmm-yy")=TEXT($AB981,"mmm-yy"))*
  ('Weekly Dump'!$B$2:$B1009=$C981)*
  'Weekly Dump'!$P$2:$P1009
)</f>
        <v>0</v>
      </c>
      <c r="N981" s="39"/>
      <c r="O981" s="40">
        <f>SUMIFS('Weekly Dump'!$D:$D,'Weekly Dump'!$B:$B,$C981,'Weekly Dump'!$A:$A,$AB981)</f>
        <v>0</v>
      </c>
      <c r="P981" s="40">
        <f>SUMIFS('Weekly Dump'!R:R,'Weekly Dump'!B:B,C981,'Weekly Dump'!A:A,AB981)</f>
        <v>0</v>
      </c>
      <c r="Q981" s="40">
        <f t="shared" si="20"/>
        <v>0</v>
      </c>
      <c r="R981" s="41"/>
      <c r="T981" s="4">
        <f>SUMIFS('Weekly Dump'!E:E,'Weekly Dump'!B:B,C981,'Weekly Dump'!A:A,AB981)</f>
        <v>0</v>
      </c>
      <c r="U981" s="3">
        <f t="shared" si="21"/>
        <v>0</v>
      </c>
      <c r="V981" s="42"/>
      <c r="X981" s="4">
        <f>SUMIFS('Weekly Dump'!P:P,'Weekly Dump'!B:B,C981,'Weekly Dump'!A:A,AB981)</f>
        <v>0</v>
      </c>
      <c r="Y981" s="4">
        <f t="shared" si="22"/>
        <v>0</v>
      </c>
      <c r="Z981" s="41"/>
      <c r="AA981" s="12" t="str">
        <f>iferror(IF(VLOOKUP(C981,'Weekly Dump'!B:B,1,0)=C981,"Yes","Missing"),"")</f>
        <v/>
      </c>
      <c r="AB981" s="66"/>
    </row>
    <row r="982">
      <c r="B982" s="63"/>
      <c r="C982" s="63"/>
      <c r="G982" s="3" t="str">
        <f t="shared" si="26"/>
        <v/>
      </c>
      <c r="I982" s="4">
        <f>SUMIFS('Weekly Dump'!D:D,'Weekly Dump'!B:B,C982)</f>
        <v>0</v>
      </c>
      <c r="J982" s="5">
        <f>SUMIFS('Weekly Dump'!AE:AE,'Weekly Dump'!B:B,C982)</f>
        <v>0</v>
      </c>
      <c r="K982" s="4">
        <f>SUMPRODUCT(
  (TEXT('Weekly Dump'!$A$2:$A1009,"mmm-yy")=TEXT($AB982,"mmm-yy"))*
  ('Weekly Dump'!$B$2:$B1009=$C982)*
  'Weekly Dump'!$D$2:$D1009)</f>
        <v>0</v>
      </c>
      <c r="L982" s="4">
        <f>SUMPRODUCT(
  (TEXT('Weekly Dump'!$A$2:$A1009,"mmm-yy")=TEXT($AB982,"mmm-yy"))*
  ('Weekly Dump'!$B$2:$B1009=$C982)*
  'Weekly Dump'!$E$2:$E1009
)</f>
        <v>0</v>
      </c>
      <c r="M982" s="4">
        <f>SUMPRODUCT(
  (TEXT('Weekly Dump'!$A$2:$A1009,"mmm-yy")=TEXT($AB982,"mmm-yy"))*
  ('Weekly Dump'!$B$2:$B1009=$C982)*
  'Weekly Dump'!$P$2:$P1009
)</f>
        <v>0</v>
      </c>
      <c r="N982" s="39"/>
      <c r="O982" s="40">
        <f>SUMIFS('Weekly Dump'!$D:$D,'Weekly Dump'!$B:$B,$C982,'Weekly Dump'!$A:$A,$AB982)</f>
        <v>0</v>
      </c>
      <c r="P982" s="40">
        <f>SUMIFS('Weekly Dump'!R:R,'Weekly Dump'!B:B,C982,'Weekly Dump'!A:A,AB982)</f>
        <v>0</v>
      </c>
      <c r="Q982" s="40">
        <f t="shared" si="20"/>
        <v>0</v>
      </c>
      <c r="R982" s="41"/>
      <c r="T982" s="4">
        <f>SUMIFS('Weekly Dump'!E:E,'Weekly Dump'!B:B,C982,'Weekly Dump'!A:A,AB982)</f>
        <v>0</v>
      </c>
      <c r="U982" s="3">
        <f t="shared" si="21"/>
        <v>0</v>
      </c>
      <c r="V982" s="42"/>
      <c r="X982" s="4">
        <f>SUMIFS('Weekly Dump'!P:P,'Weekly Dump'!B:B,C982,'Weekly Dump'!A:A,AB982)</f>
        <v>0</v>
      </c>
      <c r="Y982" s="4">
        <f t="shared" si="22"/>
        <v>0</v>
      </c>
      <c r="Z982" s="41"/>
      <c r="AA982" s="12" t="str">
        <f>iferror(IF(VLOOKUP(C982,'Weekly Dump'!B:B,1,0)=C982,"Yes","Missing"),"")</f>
        <v/>
      </c>
      <c r="AB982" s="66"/>
    </row>
    <row r="983">
      <c r="B983" s="63"/>
      <c r="C983" s="63"/>
      <c r="G983" s="3" t="str">
        <f t="shared" si="26"/>
        <v/>
      </c>
      <c r="I983" s="4">
        <f>SUMIFS('Weekly Dump'!D:D,'Weekly Dump'!B:B,C983)</f>
        <v>0</v>
      </c>
      <c r="J983" s="5">
        <f>SUMIFS('Weekly Dump'!AE:AE,'Weekly Dump'!B:B,C983)</f>
        <v>0</v>
      </c>
      <c r="K983" s="4">
        <f>SUMPRODUCT(
  (TEXT('Weekly Dump'!$A$2:$A1009,"mmm-yy")=TEXT($AB983,"mmm-yy"))*
  ('Weekly Dump'!$B$2:$B1009=$C983)*
  'Weekly Dump'!$D$2:$D1009)</f>
        <v>0</v>
      </c>
      <c r="L983" s="4">
        <f>SUMPRODUCT(
  (TEXT('Weekly Dump'!$A$2:$A1009,"mmm-yy")=TEXT($AB983,"mmm-yy"))*
  ('Weekly Dump'!$B$2:$B1009=$C983)*
  'Weekly Dump'!$E$2:$E1009
)</f>
        <v>0</v>
      </c>
      <c r="M983" s="4">
        <f>SUMPRODUCT(
  (TEXT('Weekly Dump'!$A$2:$A1009,"mmm-yy")=TEXT($AB983,"mmm-yy"))*
  ('Weekly Dump'!$B$2:$B1009=$C983)*
  'Weekly Dump'!$P$2:$P1009
)</f>
        <v>0</v>
      </c>
      <c r="N983" s="39"/>
      <c r="O983" s="40">
        <f>SUMIFS('Weekly Dump'!$D:$D,'Weekly Dump'!$B:$B,$C983,'Weekly Dump'!$A:$A,$AB983)</f>
        <v>0</v>
      </c>
      <c r="P983" s="40">
        <f>SUMIFS('Weekly Dump'!R:R,'Weekly Dump'!B:B,C983,'Weekly Dump'!A:A,AB983)</f>
        <v>0</v>
      </c>
      <c r="Q983" s="40">
        <f t="shared" si="20"/>
        <v>0</v>
      </c>
      <c r="R983" s="41"/>
      <c r="T983" s="4">
        <f>SUMIFS('Weekly Dump'!E:E,'Weekly Dump'!B:B,C983,'Weekly Dump'!A:A,AB983)</f>
        <v>0</v>
      </c>
      <c r="U983" s="3">
        <f t="shared" si="21"/>
        <v>0</v>
      </c>
      <c r="V983" s="42"/>
      <c r="X983" s="4">
        <f>SUMIFS('Weekly Dump'!P:P,'Weekly Dump'!B:B,C983,'Weekly Dump'!A:A,AB983)</f>
        <v>0</v>
      </c>
      <c r="Y983" s="4">
        <f t="shared" si="22"/>
        <v>0</v>
      </c>
      <c r="Z983" s="41"/>
      <c r="AA983" s="12" t="str">
        <f>iferror(IF(VLOOKUP(C983,'Weekly Dump'!B:B,1,0)=C983,"Yes","Missing"),"")</f>
        <v/>
      </c>
      <c r="AB983" s="66"/>
    </row>
    <row r="984">
      <c r="B984" s="63"/>
      <c r="C984" s="63"/>
      <c r="G984" s="3" t="str">
        <f t="shared" si="26"/>
        <v/>
      </c>
      <c r="I984" s="4">
        <f>SUMIFS('Weekly Dump'!D:D,'Weekly Dump'!B:B,C984)</f>
        <v>0</v>
      </c>
      <c r="J984" s="5">
        <f>SUMIFS('Weekly Dump'!AE:AE,'Weekly Dump'!B:B,C984)</f>
        <v>0</v>
      </c>
      <c r="K984" s="4">
        <f>SUMPRODUCT(
  (TEXT('Weekly Dump'!$A$2:$A1009,"mmm-yy")=TEXT($AB984,"mmm-yy"))*
  ('Weekly Dump'!$B$2:$B1009=$C984)*
  'Weekly Dump'!$D$2:$D1009)</f>
        <v>0</v>
      </c>
      <c r="L984" s="4">
        <f>SUMPRODUCT(
  (TEXT('Weekly Dump'!$A$2:$A1009,"mmm-yy")=TEXT($AB984,"mmm-yy"))*
  ('Weekly Dump'!$B$2:$B1009=$C984)*
  'Weekly Dump'!$E$2:$E1009
)</f>
        <v>0</v>
      </c>
      <c r="M984" s="4">
        <f>SUMPRODUCT(
  (TEXT('Weekly Dump'!$A$2:$A1009,"mmm-yy")=TEXT($AB984,"mmm-yy"))*
  ('Weekly Dump'!$B$2:$B1009=$C984)*
  'Weekly Dump'!$P$2:$P1009
)</f>
        <v>0</v>
      </c>
      <c r="N984" s="39"/>
      <c r="O984" s="40">
        <f>SUMIFS('Weekly Dump'!$D:$D,'Weekly Dump'!$B:$B,$C984,'Weekly Dump'!$A:$A,$AB984)</f>
        <v>0</v>
      </c>
      <c r="P984" s="40">
        <f>SUMIFS('Weekly Dump'!R:R,'Weekly Dump'!B:B,C984,'Weekly Dump'!A:A,AB984)</f>
        <v>0</v>
      </c>
      <c r="Q984" s="40">
        <f t="shared" si="20"/>
        <v>0</v>
      </c>
      <c r="R984" s="41"/>
      <c r="T984" s="4">
        <f>SUMIFS('Weekly Dump'!E:E,'Weekly Dump'!B:B,C984,'Weekly Dump'!A:A,AB984)</f>
        <v>0</v>
      </c>
      <c r="U984" s="3">
        <f t="shared" si="21"/>
        <v>0</v>
      </c>
      <c r="V984" s="42"/>
      <c r="X984" s="4">
        <f>SUMIFS('Weekly Dump'!P:P,'Weekly Dump'!B:B,C984,'Weekly Dump'!A:A,AB984)</f>
        <v>0</v>
      </c>
      <c r="Y984" s="4">
        <f t="shared" si="22"/>
        <v>0</v>
      </c>
      <c r="Z984" s="41"/>
      <c r="AA984" s="12" t="str">
        <f>iferror(IF(VLOOKUP(C984,'Weekly Dump'!B:B,1,0)=C984,"Yes","Missing"),"")</f>
        <v/>
      </c>
      <c r="AB984" s="66"/>
    </row>
    <row r="985">
      <c r="B985" s="63"/>
      <c r="C985" s="63"/>
      <c r="G985" s="3" t="str">
        <f t="shared" si="26"/>
        <v/>
      </c>
      <c r="I985" s="4">
        <f>SUMIFS('Weekly Dump'!D:D,'Weekly Dump'!B:B,C985)</f>
        <v>0</v>
      </c>
      <c r="J985" s="5">
        <f>SUMIFS('Weekly Dump'!AE:AE,'Weekly Dump'!B:B,C985)</f>
        <v>0</v>
      </c>
      <c r="K985" s="4">
        <f>SUMPRODUCT(
  (TEXT('Weekly Dump'!$A$2:$A1009,"mmm-yy")=TEXT($AB985,"mmm-yy"))*
  ('Weekly Dump'!$B$2:$B1009=$C985)*
  'Weekly Dump'!$D$2:$D1009)</f>
        <v>0</v>
      </c>
      <c r="L985" s="4">
        <f>SUMPRODUCT(
  (TEXT('Weekly Dump'!$A$2:$A1009,"mmm-yy")=TEXT($AB985,"mmm-yy"))*
  ('Weekly Dump'!$B$2:$B1009=$C985)*
  'Weekly Dump'!$E$2:$E1009
)</f>
        <v>0</v>
      </c>
      <c r="M985" s="4">
        <f>SUMPRODUCT(
  (TEXT('Weekly Dump'!$A$2:$A1009,"mmm-yy")=TEXT($AB985,"mmm-yy"))*
  ('Weekly Dump'!$B$2:$B1009=$C985)*
  'Weekly Dump'!$P$2:$P1009
)</f>
        <v>0</v>
      </c>
      <c r="N985" s="39"/>
      <c r="O985" s="40">
        <f>SUMIFS('Weekly Dump'!$D:$D,'Weekly Dump'!$B:$B,$C985,'Weekly Dump'!$A:$A,$AB985)</f>
        <v>0</v>
      </c>
      <c r="P985" s="40">
        <f>SUMIFS('Weekly Dump'!R:R,'Weekly Dump'!B:B,C985,'Weekly Dump'!A:A,AB985)</f>
        <v>0</v>
      </c>
      <c r="Q985" s="40">
        <f t="shared" si="20"/>
        <v>0</v>
      </c>
      <c r="R985" s="41"/>
      <c r="T985" s="4">
        <f>SUMIFS('Weekly Dump'!E:E,'Weekly Dump'!B:B,C985,'Weekly Dump'!A:A,AB985)</f>
        <v>0</v>
      </c>
      <c r="U985" s="3">
        <f t="shared" si="21"/>
        <v>0</v>
      </c>
      <c r="V985" s="42"/>
      <c r="X985" s="4">
        <f>SUMIFS('Weekly Dump'!P:P,'Weekly Dump'!B:B,C985,'Weekly Dump'!A:A,AB985)</f>
        <v>0</v>
      </c>
      <c r="Y985" s="4">
        <f t="shared" si="22"/>
        <v>0</v>
      </c>
      <c r="Z985" s="41"/>
      <c r="AA985" s="12" t="str">
        <f>iferror(IF(VLOOKUP(C985,'Weekly Dump'!B:B,1,0)=C985,"Yes","Missing"),"")</f>
        <v/>
      </c>
      <c r="AB985" s="66"/>
    </row>
    <row r="986">
      <c r="B986" s="63"/>
      <c r="C986" s="63"/>
      <c r="G986" s="3" t="str">
        <f t="shared" si="26"/>
        <v/>
      </c>
      <c r="I986" s="4">
        <f>SUMIFS('Weekly Dump'!D:D,'Weekly Dump'!B:B,C986)</f>
        <v>0</v>
      </c>
      <c r="J986" s="5">
        <f>SUMIFS('Weekly Dump'!AE:AE,'Weekly Dump'!B:B,C986)</f>
        <v>0</v>
      </c>
      <c r="K986" s="4">
        <f>SUMPRODUCT(
  (TEXT('Weekly Dump'!$A$2:$A1009,"mmm-yy")=TEXT($AB986,"mmm-yy"))*
  ('Weekly Dump'!$B$2:$B1009=$C986)*
  'Weekly Dump'!$D$2:$D1009)</f>
        <v>0</v>
      </c>
      <c r="L986" s="4">
        <f>SUMPRODUCT(
  (TEXT('Weekly Dump'!$A$2:$A1009,"mmm-yy")=TEXT($AB986,"mmm-yy"))*
  ('Weekly Dump'!$B$2:$B1009=$C986)*
  'Weekly Dump'!$E$2:$E1009
)</f>
        <v>0</v>
      </c>
      <c r="M986" s="4">
        <f>SUMPRODUCT(
  (TEXT('Weekly Dump'!$A$2:$A1009,"mmm-yy")=TEXT($AB986,"mmm-yy"))*
  ('Weekly Dump'!$B$2:$B1009=$C986)*
  'Weekly Dump'!$P$2:$P1009
)</f>
        <v>0</v>
      </c>
      <c r="N986" s="39"/>
      <c r="O986" s="40">
        <f>SUMIFS('Weekly Dump'!$D:$D,'Weekly Dump'!$B:$B,$C986,'Weekly Dump'!$A:$A,$AB986)</f>
        <v>0</v>
      </c>
      <c r="P986" s="40">
        <f>SUMIFS('Weekly Dump'!R:R,'Weekly Dump'!B:B,C986,'Weekly Dump'!A:A,AB986)</f>
        <v>0</v>
      </c>
      <c r="Q986" s="40">
        <f t="shared" si="20"/>
        <v>0</v>
      </c>
      <c r="R986" s="41"/>
      <c r="T986" s="4">
        <f>SUMIFS('Weekly Dump'!E:E,'Weekly Dump'!B:B,C986,'Weekly Dump'!A:A,AB986)</f>
        <v>0</v>
      </c>
      <c r="U986" s="3">
        <f t="shared" si="21"/>
        <v>0</v>
      </c>
      <c r="V986" s="42"/>
      <c r="X986" s="4">
        <f>SUMIFS('Weekly Dump'!P:P,'Weekly Dump'!B:B,C986,'Weekly Dump'!A:A,AB986)</f>
        <v>0</v>
      </c>
      <c r="Y986" s="4">
        <f t="shared" si="22"/>
        <v>0</v>
      </c>
      <c r="Z986" s="41"/>
      <c r="AA986" s="12" t="str">
        <f>iferror(IF(VLOOKUP(C986,'Weekly Dump'!B:B,1,0)=C986,"Yes","Missing"),"")</f>
        <v/>
      </c>
      <c r="AB986" s="66"/>
    </row>
    <row r="987">
      <c r="B987" s="63"/>
      <c r="C987" s="63"/>
      <c r="G987" s="3" t="str">
        <f t="shared" si="26"/>
        <v/>
      </c>
      <c r="I987" s="4">
        <f>SUMIFS('Weekly Dump'!D:D,'Weekly Dump'!B:B,C987)</f>
        <v>0</v>
      </c>
      <c r="J987" s="5">
        <f>SUMIFS('Weekly Dump'!AE:AE,'Weekly Dump'!B:B,C987)</f>
        <v>0</v>
      </c>
      <c r="K987" s="4">
        <f>SUMPRODUCT(
  (TEXT('Weekly Dump'!$A$2:$A1009,"mmm-yy")=TEXT($AB987,"mmm-yy"))*
  ('Weekly Dump'!$B$2:$B1009=$C987)*
  'Weekly Dump'!$D$2:$D1009)</f>
        <v>0</v>
      </c>
      <c r="L987" s="4">
        <f>SUMPRODUCT(
  (TEXT('Weekly Dump'!$A$2:$A1009,"mmm-yy")=TEXT($AB987,"mmm-yy"))*
  ('Weekly Dump'!$B$2:$B1009=$C987)*
  'Weekly Dump'!$E$2:$E1009
)</f>
        <v>0</v>
      </c>
      <c r="M987" s="4">
        <f>SUMPRODUCT(
  (TEXT('Weekly Dump'!$A$2:$A1009,"mmm-yy")=TEXT($AB987,"mmm-yy"))*
  ('Weekly Dump'!$B$2:$B1009=$C987)*
  'Weekly Dump'!$P$2:$P1009
)</f>
        <v>0</v>
      </c>
      <c r="N987" s="39"/>
      <c r="O987" s="40">
        <f>SUMIFS('Weekly Dump'!$D:$D,'Weekly Dump'!$B:$B,$C987,'Weekly Dump'!$A:$A,$AB987)</f>
        <v>0</v>
      </c>
      <c r="P987" s="40">
        <f>SUMIFS('Weekly Dump'!R:R,'Weekly Dump'!B:B,C987,'Weekly Dump'!A:A,AB987)</f>
        <v>0</v>
      </c>
      <c r="Q987" s="40">
        <f t="shared" si="20"/>
        <v>0</v>
      </c>
      <c r="R987" s="41"/>
      <c r="T987" s="4">
        <f>SUMIFS('Weekly Dump'!E:E,'Weekly Dump'!B:B,C987,'Weekly Dump'!A:A,AB987)</f>
        <v>0</v>
      </c>
      <c r="U987" s="3">
        <f t="shared" si="21"/>
        <v>0</v>
      </c>
      <c r="V987" s="42"/>
      <c r="X987" s="4">
        <f>SUMIFS('Weekly Dump'!P:P,'Weekly Dump'!B:B,C987,'Weekly Dump'!A:A,AB987)</f>
        <v>0</v>
      </c>
      <c r="Y987" s="4">
        <f t="shared" si="22"/>
        <v>0</v>
      </c>
      <c r="Z987" s="41"/>
      <c r="AA987" s="12" t="str">
        <f>iferror(IF(VLOOKUP(C987,'Weekly Dump'!B:B,1,0)=C987,"Yes","Missing"),"")</f>
        <v/>
      </c>
      <c r="AB987" s="66"/>
    </row>
    <row r="988">
      <c r="B988" s="63"/>
      <c r="C988" s="63"/>
      <c r="G988" s="3" t="str">
        <f t="shared" si="26"/>
        <v/>
      </c>
      <c r="I988" s="4">
        <f>SUMIFS('Weekly Dump'!D:D,'Weekly Dump'!B:B,C988)</f>
        <v>0</v>
      </c>
      <c r="J988" s="5">
        <f>SUMIFS('Weekly Dump'!AE:AE,'Weekly Dump'!B:B,C988)</f>
        <v>0</v>
      </c>
      <c r="K988" s="4">
        <f>SUMPRODUCT(
  (TEXT('Weekly Dump'!$A$2:$A1009,"mmm-yy")=TEXT($AB988,"mmm-yy"))*
  ('Weekly Dump'!$B$2:$B1009=$C988)*
  'Weekly Dump'!$D$2:$D1009)</f>
        <v>0</v>
      </c>
      <c r="L988" s="4">
        <f>SUMPRODUCT(
  (TEXT('Weekly Dump'!$A$2:$A1009,"mmm-yy")=TEXT($AB988,"mmm-yy"))*
  ('Weekly Dump'!$B$2:$B1009=$C988)*
  'Weekly Dump'!$E$2:$E1009
)</f>
        <v>0</v>
      </c>
      <c r="M988" s="4">
        <f>SUMPRODUCT(
  (TEXT('Weekly Dump'!$A$2:$A1009,"mmm-yy")=TEXT($AB988,"mmm-yy"))*
  ('Weekly Dump'!$B$2:$B1009=$C988)*
  'Weekly Dump'!$P$2:$P1009
)</f>
        <v>0</v>
      </c>
      <c r="N988" s="39"/>
      <c r="O988" s="40">
        <f>SUMIFS('Weekly Dump'!$D:$D,'Weekly Dump'!$B:$B,$C988,'Weekly Dump'!$A:$A,$AB988)</f>
        <v>0</v>
      </c>
      <c r="P988" s="40">
        <f>SUMIFS('Weekly Dump'!R:R,'Weekly Dump'!B:B,C988,'Weekly Dump'!A:A,AB988)</f>
        <v>0</v>
      </c>
      <c r="Q988" s="40">
        <f t="shared" si="20"/>
        <v>0</v>
      </c>
      <c r="R988" s="41"/>
      <c r="T988" s="4">
        <f>SUMIFS('Weekly Dump'!E:E,'Weekly Dump'!B:B,C988,'Weekly Dump'!A:A,AB988)</f>
        <v>0</v>
      </c>
      <c r="U988" s="3">
        <f t="shared" si="21"/>
        <v>0</v>
      </c>
      <c r="V988" s="42"/>
      <c r="X988" s="4">
        <f>SUMIFS('Weekly Dump'!P:P,'Weekly Dump'!B:B,C988,'Weekly Dump'!A:A,AB988)</f>
        <v>0</v>
      </c>
      <c r="Y988" s="4">
        <f t="shared" si="22"/>
        <v>0</v>
      </c>
      <c r="Z988" s="41"/>
      <c r="AA988" s="12" t="str">
        <f>iferror(IF(VLOOKUP(C988,'Weekly Dump'!B:B,1,0)=C988,"Yes","Missing"),"")</f>
        <v/>
      </c>
      <c r="AB988" s="66"/>
    </row>
    <row r="989">
      <c r="B989" s="63"/>
      <c r="C989" s="63"/>
      <c r="G989" s="3" t="str">
        <f t="shared" si="26"/>
        <v/>
      </c>
      <c r="I989" s="4">
        <f>SUMIFS('Weekly Dump'!D:D,'Weekly Dump'!B:B,C989)</f>
        <v>0</v>
      </c>
      <c r="J989" s="5">
        <f>SUMIFS('Weekly Dump'!AE:AE,'Weekly Dump'!B:B,C989)</f>
        <v>0</v>
      </c>
      <c r="K989" s="4">
        <f>SUMPRODUCT(
  (TEXT('Weekly Dump'!$A$2:$A1009,"mmm-yy")=TEXT($AB989,"mmm-yy"))*
  ('Weekly Dump'!$B$2:$B1009=$C989)*
  'Weekly Dump'!$D$2:$D1009)</f>
        <v>0</v>
      </c>
      <c r="L989" s="4">
        <f>SUMPRODUCT(
  (TEXT('Weekly Dump'!$A$2:$A1009,"mmm-yy")=TEXT($AB989,"mmm-yy"))*
  ('Weekly Dump'!$B$2:$B1009=$C989)*
  'Weekly Dump'!$E$2:$E1009
)</f>
        <v>0</v>
      </c>
      <c r="M989" s="4">
        <f>SUMPRODUCT(
  (TEXT('Weekly Dump'!$A$2:$A1009,"mmm-yy")=TEXT($AB989,"mmm-yy"))*
  ('Weekly Dump'!$B$2:$B1009=$C989)*
  'Weekly Dump'!$P$2:$P1009
)</f>
        <v>0</v>
      </c>
      <c r="N989" s="39"/>
      <c r="O989" s="40">
        <f>SUMIFS('Weekly Dump'!$D:$D,'Weekly Dump'!$B:$B,$C989,'Weekly Dump'!$A:$A,$AB989)</f>
        <v>0</v>
      </c>
      <c r="P989" s="40">
        <f>SUMIFS('Weekly Dump'!R:R,'Weekly Dump'!B:B,C989,'Weekly Dump'!A:A,AB989)</f>
        <v>0</v>
      </c>
      <c r="Q989" s="40">
        <f t="shared" si="20"/>
        <v>0</v>
      </c>
      <c r="R989" s="41"/>
      <c r="T989" s="4">
        <f>SUMIFS('Weekly Dump'!E:E,'Weekly Dump'!B:B,C989,'Weekly Dump'!A:A,AB989)</f>
        <v>0</v>
      </c>
      <c r="U989" s="3">
        <f t="shared" si="21"/>
        <v>0</v>
      </c>
      <c r="V989" s="42"/>
      <c r="X989" s="4">
        <f>SUMIFS('Weekly Dump'!P:P,'Weekly Dump'!B:B,C989,'Weekly Dump'!A:A,AB989)</f>
        <v>0</v>
      </c>
      <c r="Y989" s="4">
        <f t="shared" si="22"/>
        <v>0</v>
      </c>
      <c r="Z989" s="41"/>
      <c r="AA989" s="12" t="str">
        <f>iferror(IF(VLOOKUP(C989,'Weekly Dump'!B:B,1,0)=C989,"Yes","Missing"),"")</f>
        <v/>
      </c>
      <c r="AB989" s="66"/>
    </row>
    <row r="990">
      <c r="B990" s="63"/>
      <c r="C990" s="63"/>
      <c r="G990" s="3" t="str">
        <f t="shared" si="26"/>
        <v/>
      </c>
      <c r="I990" s="4">
        <f>SUMIFS('Weekly Dump'!D:D,'Weekly Dump'!B:B,C990)</f>
        <v>0</v>
      </c>
      <c r="J990" s="5">
        <f>SUMIFS('Weekly Dump'!AE:AE,'Weekly Dump'!B:B,C990)</f>
        <v>0</v>
      </c>
      <c r="K990" s="4">
        <f>SUMPRODUCT(
  (TEXT('Weekly Dump'!$A$2:$A1009,"mmm-yy")=TEXT($AB990,"mmm-yy"))*
  ('Weekly Dump'!$B$2:$B1009=$C990)*
  'Weekly Dump'!$D$2:$D1009)</f>
        <v>0</v>
      </c>
      <c r="L990" s="4">
        <f>SUMPRODUCT(
  (TEXT('Weekly Dump'!$A$2:$A1009,"mmm-yy")=TEXT($AB990,"mmm-yy"))*
  ('Weekly Dump'!$B$2:$B1009=$C990)*
  'Weekly Dump'!$E$2:$E1009
)</f>
        <v>0</v>
      </c>
      <c r="M990" s="4">
        <f>SUMPRODUCT(
  (TEXT('Weekly Dump'!$A$2:$A1009,"mmm-yy")=TEXT($AB990,"mmm-yy"))*
  ('Weekly Dump'!$B$2:$B1009=$C990)*
  'Weekly Dump'!$P$2:$P1009
)</f>
        <v>0</v>
      </c>
      <c r="N990" s="39"/>
      <c r="O990" s="40">
        <f>SUMIFS('Weekly Dump'!$D:$D,'Weekly Dump'!$B:$B,$C990,'Weekly Dump'!$A:$A,$AB990)</f>
        <v>0</v>
      </c>
      <c r="P990" s="40">
        <f>SUMIFS('Weekly Dump'!R:R,'Weekly Dump'!B:B,C990,'Weekly Dump'!A:A,AB990)</f>
        <v>0</v>
      </c>
      <c r="Q990" s="40">
        <f t="shared" si="20"/>
        <v>0</v>
      </c>
      <c r="R990" s="41"/>
      <c r="T990" s="4">
        <f>SUMIFS('Weekly Dump'!E:E,'Weekly Dump'!B:B,C990,'Weekly Dump'!A:A,AB990)</f>
        <v>0</v>
      </c>
      <c r="U990" s="3">
        <f t="shared" si="21"/>
        <v>0</v>
      </c>
      <c r="V990" s="42"/>
      <c r="X990" s="4">
        <f>SUMIFS('Weekly Dump'!P:P,'Weekly Dump'!B:B,C990,'Weekly Dump'!A:A,AB990)</f>
        <v>0</v>
      </c>
      <c r="Y990" s="4">
        <f t="shared" si="22"/>
        <v>0</v>
      </c>
      <c r="Z990" s="41"/>
      <c r="AA990" s="12" t="str">
        <f>iferror(IF(VLOOKUP(C990,'Weekly Dump'!B:B,1,0)=C990,"Yes","Missing"),"")</f>
        <v/>
      </c>
      <c r="AB990" s="66"/>
    </row>
    <row r="991">
      <c r="B991" s="63"/>
      <c r="C991" s="63"/>
      <c r="G991" s="3" t="str">
        <f t="shared" si="26"/>
        <v/>
      </c>
      <c r="I991" s="4">
        <f>SUMIFS('Weekly Dump'!D:D,'Weekly Dump'!B:B,C991)</f>
        <v>0</v>
      </c>
      <c r="J991" s="5">
        <f>SUMIFS('Weekly Dump'!AE:AE,'Weekly Dump'!B:B,C991)</f>
        <v>0</v>
      </c>
      <c r="K991" s="4">
        <f>SUMPRODUCT(
  (TEXT('Weekly Dump'!$A$2:$A1009,"mmm-yy")=TEXT($AB991,"mmm-yy"))*
  ('Weekly Dump'!$B$2:$B1009=$C991)*
  'Weekly Dump'!$D$2:$D1009)</f>
        <v>0</v>
      </c>
      <c r="L991" s="4">
        <f>SUMPRODUCT(
  (TEXT('Weekly Dump'!$A$2:$A1009,"mmm-yy")=TEXT($AB991,"mmm-yy"))*
  ('Weekly Dump'!$B$2:$B1009=$C991)*
  'Weekly Dump'!$E$2:$E1009
)</f>
        <v>0</v>
      </c>
      <c r="M991" s="4">
        <f>SUMPRODUCT(
  (TEXT('Weekly Dump'!$A$2:$A1009,"mmm-yy")=TEXT($AB991,"mmm-yy"))*
  ('Weekly Dump'!$B$2:$B1009=$C991)*
  'Weekly Dump'!$P$2:$P1009
)</f>
        <v>0</v>
      </c>
      <c r="N991" s="39"/>
      <c r="O991" s="40">
        <f>SUMIFS('Weekly Dump'!$D:$D,'Weekly Dump'!$B:$B,$C991,'Weekly Dump'!$A:$A,$AB991)</f>
        <v>0</v>
      </c>
      <c r="P991" s="40">
        <f>SUMIFS('Weekly Dump'!R:R,'Weekly Dump'!B:B,C991,'Weekly Dump'!A:A,AB991)</f>
        <v>0</v>
      </c>
      <c r="Q991" s="40">
        <f t="shared" si="20"/>
        <v>0</v>
      </c>
      <c r="R991" s="41"/>
      <c r="T991" s="4">
        <f>SUMIFS('Weekly Dump'!E:E,'Weekly Dump'!B:B,C991,'Weekly Dump'!A:A,AB991)</f>
        <v>0</v>
      </c>
      <c r="U991" s="3">
        <f t="shared" si="21"/>
        <v>0</v>
      </c>
      <c r="V991" s="42"/>
      <c r="X991" s="4">
        <f>SUMIFS('Weekly Dump'!P:P,'Weekly Dump'!B:B,C991,'Weekly Dump'!A:A,AB991)</f>
        <v>0</v>
      </c>
      <c r="Y991" s="4">
        <f t="shared" si="22"/>
        <v>0</v>
      </c>
      <c r="Z991" s="41"/>
      <c r="AA991" s="12" t="str">
        <f>iferror(IF(VLOOKUP(C991,'Weekly Dump'!B:B,1,0)=C991,"Yes","Missing"),"")</f>
        <v/>
      </c>
      <c r="AB991" s="66"/>
    </row>
    <row r="992">
      <c r="B992" s="63"/>
      <c r="C992" s="63"/>
      <c r="G992" s="3" t="str">
        <f t="shared" si="26"/>
        <v/>
      </c>
      <c r="I992" s="4">
        <f>SUMIFS('Weekly Dump'!D:D,'Weekly Dump'!B:B,C992)</f>
        <v>0</v>
      </c>
      <c r="J992" s="5">
        <f>SUMIFS('Weekly Dump'!AE:AE,'Weekly Dump'!B:B,C992)</f>
        <v>0</v>
      </c>
      <c r="K992" s="4">
        <f>SUMPRODUCT(
  (TEXT('Weekly Dump'!$A$2:$A1009,"mmm-yy")=TEXT($AB992,"mmm-yy"))*
  ('Weekly Dump'!$B$2:$B1009=$C992)*
  'Weekly Dump'!$D$2:$D1009)</f>
        <v>0</v>
      </c>
      <c r="L992" s="4">
        <f>SUMPRODUCT(
  (TEXT('Weekly Dump'!$A$2:$A1009,"mmm-yy")=TEXT($AB992,"mmm-yy"))*
  ('Weekly Dump'!$B$2:$B1009=$C992)*
  'Weekly Dump'!$E$2:$E1009
)</f>
        <v>0</v>
      </c>
      <c r="M992" s="4">
        <f>SUMPRODUCT(
  (TEXT('Weekly Dump'!$A$2:$A1009,"mmm-yy")=TEXT($AB992,"mmm-yy"))*
  ('Weekly Dump'!$B$2:$B1009=$C992)*
  'Weekly Dump'!$P$2:$P1009
)</f>
        <v>0</v>
      </c>
      <c r="N992" s="39"/>
      <c r="O992" s="40">
        <f>SUMIFS('Weekly Dump'!$D:$D,'Weekly Dump'!$B:$B,$C992,'Weekly Dump'!$A:$A,$AB992)</f>
        <v>0</v>
      </c>
      <c r="P992" s="40">
        <f>SUMIFS('Weekly Dump'!R:R,'Weekly Dump'!B:B,C992,'Weekly Dump'!A:A,AB992)</f>
        <v>0</v>
      </c>
      <c r="Q992" s="40">
        <f t="shared" si="20"/>
        <v>0</v>
      </c>
      <c r="R992" s="41"/>
      <c r="T992" s="4">
        <f>SUMIFS('Weekly Dump'!E:E,'Weekly Dump'!B:B,C992,'Weekly Dump'!A:A,AB992)</f>
        <v>0</v>
      </c>
      <c r="U992" s="3">
        <f t="shared" si="21"/>
        <v>0</v>
      </c>
      <c r="V992" s="42"/>
      <c r="X992" s="4">
        <f>SUMIFS('Weekly Dump'!P:P,'Weekly Dump'!B:B,C992,'Weekly Dump'!A:A,AB992)</f>
        <v>0</v>
      </c>
      <c r="Y992" s="4">
        <f t="shared" si="22"/>
        <v>0</v>
      </c>
      <c r="Z992" s="41"/>
      <c r="AA992" s="12" t="str">
        <f>iferror(IF(VLOOKUP(C992,'Weekly Dump'!B:B,1,0)=C992,"Yes","Missing"),"")</f>
        <v/>
      </c>
      <c r="AB992" s="66"/>
    </row>
    <row r="993">
      <c r="B993" s="63"/>
      <c r="C993" s="63"/>
      <c r="G993" s="3" t="str">
        <f t="shared" si="26"/>
        <v/>
      </c>
      <c r="I993" s="4">
        <f>SUMIFS('Weekly Dump'!D:D,'Weekly Dump'!B:B,C993)</f>
        <v>0</v>
      </c>
      <c r="J993" s="5">
        <f>SUMIFS('Weekly Dump'!AE:AE,'Weekly Dump'!B:B,C993)</f>
        <v>0</v>
      </c>
      <c r="K993" s="4">
        <f>SUMPRODUCT(
  (TEXT('Weekly Dump'!$A$2:$A1009,"mmm-yy")=TEXT($AB993,"mmm-yy"))*
  ('Weekly Dump'!$B$2:$B1009=$C993)*
  'Weekly Dump'!$D$2:$D1009)</f>
        <v>0</v>
      </c>
      <c r="L993" s="4">
        <f>SUMPRODUCT(
  (TEXT('Weekly Dump'!$A$2:$A1009,"mmm-yy")=TEXT($AB993,"mmm-yy"))*
  ('Weekly Dump'!$B$2:$B1009=$C993)*
  'Weekly Dump'!$E$2:$E1009
)</f>
        <v>0</v>
      </c>
      <c r="M993" s="4">
        <f>SUMPRODUCT(
  (TEXT('Weekly Dump'!$A$2:$A1009,"mmm-yy")=TEXT($AB993,"mmm-yy"))*
  ('Weekly Dump'!$B$2:$B1009=$C993)*
  'Weekly Dump'!$P$2:$P1009
)</f>
        <v>0</v>
      </c>
      <c r="N993" s="39"/>
      <c r="O993" s="40">
        <f>SUMIFS('Weekly Dump'!$D:$D,'Weekly Dump'!$B:$B,$C993,'Weekly Dump'!$A:$A,$AB993)</f>
        <v>0</v>
      </c>
      <c r="P993" s="40">
        <f>SUMIFS('Weekly Dump'!R:R,'Weekly Dump'!B:B,C993,'Weekly Dump'!A:A,AB993)</f>
        <v>0</v>
      </c>
      <c r="Q993" s="40">
        <f t="shared" si="20"/>
        <v>0</v>
      </c>
      <c r="R993" s="41"/>
      <c r="T993" s="4">
        <f>SUMIFS('Weekly Dump'!E:E,'Weekly Dump'!B:B,C993,'Weekly Dump'!A:A,AB993)</f>
        <v>0</v>
      </c>
      <c r="U993" s="3">
        <f t="shared" si="21"/>
        <v>0</v>
      </c>
      <c r="V993" s="42"/>
      <c r="X993" s="4">
        <f>SUMIFS('Weekly Dump'!P:P,'Weekly Dump'!B:B,C993,'Weekly Dump'!A:A,AB993)</f>
        <v>0</v>
      </c>
      <c r="Y993" s="4">
        <f t="shared" si="22"/>
        <v>0</v>
      </c>
      <c r="Z993" s="41"/>
      <c r="AA993" s="12" t="str">
        <f>iferror(IF(VLOOKUP(C993,'Weekly Dump'!B:B,1,0)=C993,"Yes","Missing"),"")</f>
        <v/>
      </c>
      <c r="AB993" s="66"/>
    </row>
    <row r="994">
      <c r="B994" s="63"/>
      <c r="C994" s="63"/>
      <c r="G994" s="3" t="str">
        <f t="shared" si="26"/>
        <v/>
      </c>
      <c r="I994" s="4">
        <f>SUMIFS('Weekly Dump'!D:D,'Weekly Dump'!B:B,C994)</f>
        <v>0</v>
      </c>
      <c r="J994" s="5">
        <f>SUMIFS('Weekly Dump'!AE:AE,'Weekly Dump'!B:B,C994)</f>
        <v>0</v>
      </c>
      <c r="K994" s="4">
        <f>SUMPRODUCT(
  (TEXT('Weekly Dump'!$A$2:$A1009,"mmm-yy")=TEXT($AB994,"mmm-yy"))*
  ('Weekly Dump'!$B$2:$B1009=$C994)*
  'Weekly Dump'!$D$2:$D1009)</f>
        <v>0</v>
      </c>
      <c r="L994" s="4">
        <f>SUMPRODUCT(
  (TEXT('Weekly Dump'!$A$2:$A1009,"mmm-yy")=TEXT($AB994,"mmm-yy"))*
  ('Weekly Dump'!$B$2:$B1009=$C994)*
  'Weekly Dump'!$E$2:$E1009
)</f>
        <v>0</v>
      </c>
      <c r="M994" s="4">
        <f>SUMPRODUCT(
  (TEXT('Weekly Dump'!$A$2:$A1009,"mmm-yy")=TEXT($AB994,"mmm-yy"))*
  ('Weekly Dump'!$B$2:$B1009=$C994)*
  'Weekly Dump'!$P$2:$P1009
)</f>
        <v>0</v>
      </c>
      <c r="N994" s="39"/>
      <c r="O994" s="40">
        <f>SUMIFS('Weekly Dump'!$D:$D,'Weekly Dump'!$B:$B,$C994,'Weekly Dump'!$A:$A,$AB994)</f>
        <v>0</v>
      </c>
      <c r="P994" s="40">
        <f>SUMIFS('Weekly Dump'!R:R,'Weekly Dump'!B:B,C994,'Weekly Dump'!A:A,AB994)</f>
        <v>0</v>
      </c>
      <c r="Q994" s="40">
        <f t="shared" si="20"/>
        <v>0</v>
      </c>
      <c r="R994" s="41"/>
      <c r="T994" s="4">
        <f>SUMIFS('Weekly Dump'!E:E,'Weekly Dump'!B:B,C994,'Weekly Dump'!A:A,AB994)</f>
        <v>0</v>
      </c>
      <c r="U994" s="3">
        <f t="shared" si="21"/>
        <v>0</v>
      </c>
      <c r="V994" s="42"/>
      <c r="X994" s="4">
        <f>SUMIFS('Weekly Dump'!P:P,'Weekly Dump'!B:B,C994,'Weekly Dump'!A:A,AB994)</f>
        <v>0</v>
      </c>
      <c r="Y994" s="4">
        <f t="shared" si="22"/>
        <v>0</v>
      </c>
      <c r="Z994" s="41"/>
      <c r="AA994" s="12" t="str">
        <f>iferror(IF(VLOOKUP(C994,'Weekly Dump'!B:B,1,0)=C994,"Yes","Missing"),"")</f>
        <v/>
      </c>
      <c r="AB994" s="66"/>
    </row>
    <row r="995">
      <c r="B995" s="63"/>
      <c r="C995" s="63"/>
      <c r="G995" s="3" t="str">
        <f t="shared" si="26"/>
        <v/>
      </c>
      <c r="I995" s="4">
        <f>SUMIFS('Weekly Dump'!D:D,'Weekly Dump'!B:B,C995)</f>
        <v>0</v>
      </c>
      <c r="J995" s="5">
        <f>SUMIFS('Weekly Dump'!AE:AE,'Weekly Dump'!B:B,C995)</f>
        <v>0</v>
      </c>
      <c r="K995" s="4">
        <f>SUMPRODUCT(
  (TEXT('Weekly Dump'!$A$2:$A1009,"mmm-yy")=TEXT($AB995,"mmm-yy"))*
  ('Weekly Dump'!$B$2:$B1009=$C995)*
  'Weekly Dump'!$D$2:$D1009)</f>
        <v>0</v>
      </c>
      <c r="L995" s="4">
        <f>SUMPRODUCT(
  (TEXT('Weekly Dump'!$A$2:$A1009,"mmm-yy")=TEXT($AB995,"mmm-yy"))*
  ('Weekly Dump'!$B$2:$B1009=$C995)*
  'Weekly Dump'!$E$2:$E1009
)</f>
        <v>0</v>
      </c>
      <c r="M995" s="4">
        <f>SUMPRODUCT(
  (TEXT('Weekly Dump'!$A$2:$A1009,"mmm-yy")=TEXT($AB995,"mmm-yy"))*
  ('Weekly Dump'!$B$2:$B1009=$C995)*
  'Weekly Dump'!$P$2:$P1009
)</f>
        <v>0</v>
      </c>
      <c r="N995" s="39"/>
      <c r="O995" s="40">
        <f>SUMIFS('Weekly Dump'!$D:$D,'Weekly Dump'!$B:$B,$C995,'Weekly Dump'!$A:$A,$AB995)</f>
        <v>0</v>
      </c>
      <c r="P995" s="40">
        <f>SUMIFS('Weekly Dump'!R:R,'Weekly Dump'!B:B,C995,'Weekly Dump'!A:A,AB995)</f>
        <v>0</v>
      </c>
      <c r="Q995" s="40">
        <f t="shared" si="20"/>
        <v>0</v>
      </c>
      <c r="R995" s="41"/>
      <c r="T995" s="4">
        <f>SUMIFS('Weekly Dump'!E:E,'Weekly Dump'!B:B,C995,'Weekly Dump'!A:A,AB995)</f>
        <v>0</v>
      </c>
      <c r="U995" s="3">
        <f t="shared" si="21"/>
        <v>0</v>
      </c>
      <c r="V995" s="42"/>
      <c r="X995" s="4">
        <f>SUMIFS('Weekly Dump'!P:P,'Weekly Dump'!B:B,C995,'Weekly Dump'!A:A,AB995)</f>
        <v>0</v>
      </c>
      <c r="Y995" s="4">
        <f t="shared" si="22"/>
        <v>0</v>
      </c>
      <c r="Z995" s="41"/>
      <c r="AA995" s="12" t="str">
        <f>iferror(IF(VLOOKUP(C995,'Weekly Dump'!B:B,1,0)=C995,"Yes","Missing"),"")</f>
        <v/>
      </c>
      <c r="AB995" s="66"/>
    </row>
    <row r="996">
      <c r="B996" s="63"/>
      <c r="C996" s="63"/>
      <c r="G996" s="3" t="str">
        <f t="shared" si="26"/>
        <v/>
      </c>
      <c r="I996" s="4">
        <f>SUMIFS('Weekly Dump'!D:D,'Weekly Dump'!B:B,C996)</f>
        <v>0</v>
      </c>
      <c r="J996" s="5">
        <f>SUMIFS('Weekly Dump'!AE:AE,'Weekly Dump'!B:B,C996)</f>
        <v>0</v>
      </c>
      <c r="K996" s="4">
        <f>SUMPRODUCT(
  (TEXT('Weekly Dump'!$A$2:$A1009,"mmm-yy")=TEXT($AB996,"mmm-yy"))*
  ('Weekly Dump'!$B$2:$B1009=$C996)*
  'Weekly Dump'!$D$2:$D1009)</f>
        <v>0</v>
      </c>
      <c r="L996" s="4">
        <f>SUMPRODUCT(
  (TEXT('Weekly Dump'!$A$2:$A1009,"mmm-yy")=TEXT($AB996,"mmm-yy"))*
  ('Weekly Dump'!$B$2:$B1009=$C996)*
  'Weekly Dump'!$E$2:$E1009
)</f>
        <v>0</v>
      </c>
      <c r="M996" s="4">
        <f>SUMPRODUCT(
  (TEXT('Weekly Dump'!$A$2:$A1009,"mmm-yy")=TEXT($AB996,"mmm-yy"))*
  ('Weekly Dump'!$B$2:$B1009=$C996)*
  'Weekly Dump'!$P$2:$P1009
)</f>
        <v>0</v>
      </c>
      <c r="N996" s="39"/>
      <c r="O996" s="40">
        <f>SUMIFS('Weekly Dump'!$D:$D,'Weekly Dump'!$B:$B,$C996,'Weekly Dump'!$A:$A,$AB996)</f>
        <v>0</v>
      </c>
      <c r="P996" s="40">
        <f>SUMIFS('Weekly Dump'!R:R,'Weekly Dump'!B:B,C996,'Weekly Dump'!A:A,AB996)</f>
        <v>0</v>
      </c>
      <c r="Q996" s="40">
        <f t="shared" si="20"/>
        <v>0</v>
      </c>
      <c r="R996" s="41"/>
      <c r="T996" s="4">
        <f>SUMIFS('Weekly Dump'!E:E,'Weekly Dump'!B:B,C996,'Weekly Dump'!A:A,AB996)</f>
        <v>0</v>
      </c>
      <c r="U996" s="3">
        <f t="shared" si="21"/>
        <v>0</v>
      </c>
      <c r="V996" s="42"/>
      <c r="X996" s="4">
        <f>SUMIFS('Weekly Dump'!P:P,'Weekly Dump'!B:B,C996,'Weekly Dump'!A:A,AB996)</f>
        <v>0</v>
      </c>
      <c r="Y996" s="4">
        <f t="shared" si="22"/>
        <v>0</v>
      </c>
      <c r="Z996" s="41"/>
      <c r="AA996" s="12" t="str">
        <f>iferror(IF(VLOOKUP(C996,'Weekly Dump'!B:B,1,0)=C996,"Yes","Missing"),"")</f>
        <v/>
      </c>
      <c r="AB996" s="66"/>
    </row>
    <row r="997">
      <c r="B997" s="63"/>
      <c r="C997" s="63"/>
      <c r="G997" s="3" t="str">
        <f t="shared" si="26"/>
        <v/>
      </c>
      <c r="I997" s="4">
        <f>SUMIFS('Weekly Dump'!D:D,'Weekly Dump'!B:B,C997)</f>
        <v>0</v>
      </c>
      <c r="J997" s="5">
        <f>SUMIFS('Weekly Dump'!AE:AE,'Weekly Dump'!B:B,C997)</f>
        <v>0</v>
      </c>
      <c r="K997" s="4">
        <f>SUMPRODUCT(
  (TEXT('Weekly Dump'!$A$2:$A1009,"mmm-yy")=TEXT($AB997,"mmm-yy"))*
  ('Weekly Dump'!$B$2:$B1009=$C997)*
  'Weekly Dump'!$D$2:$D1009)</f>
        <v>0</v>
      </c>
      <c r="L997" s="4">
        <f>SUMPRODUCT(
  (TEXT('Weekly Dump'!$A$2:$A1009,"mmm-yy")=TEXT($AB997,"mmm-yy"))*
  ('Weekly Dump'!$B$2:$B1009=$C997)*
  'Weekly Dump'!$E$2:$E1009
)</f>
        <v>0</v>
      </c>
      <c r="M997" s="4">
        <f>SUMPRODUCT(
  (TEXT('Weekly Dump'!$A$2:$A1009,"mmm-yy")=TEXT($AB997,"mmm-yy"))*
  ('Weekly Dump'!$B$2:$B1009=$C997)*
  'Weekly Dump'!$P$2:$P1009
)</f>
        <v>0</v>
      </c>
      <c r="N997" s="39"/>
      <c r="O997" s="40">
        <f>SUMIFS('Weekly Dump'!$D:$D,'Weekly Dump'!$B:$B,$C997,'Weekly Dump'!$A:$A,$AB997)</f>
        <v>0</v>
      </c>
      <c r="P997" s="40">
        <f>SUMIFS('Weekly Dump'!R:R,'Weekly Dump'!B:B,C997,'Weekly Dump'!A:A,AB997)</f>
        <v>0</v>
      </c>
      <c r="Q997" s="40">
        <f t="shared" si="20"/>
        <v>0</v>
      </c>
      <c r="R997" s="41"/>
      <c r="T997" s="4">
        <f>SUMIFS('Weekly Dump'!E:E,'Weekly Dump'!B:B,C997,'Weekly Dump'!A:A,AB997)</f>
        <v>0</v>
      </c>
      <c r="U997" s="3">
        <f t="shared" si="21"/>
        <v>0</v>
      </c>
      <c r="V997" s="42"/>
      <c r="X997" s="4">
        <f>SUMIFS('Weekly Dump'!P:P,'Weekly Dump'!B:B,C997,'Weekly Dump'!A:A,AB997)</f>
        <v>0</v>
      </c>
      <c r="Y997" s="4">
        <f t="shared" si="22"/>
        <v>0</v>
      </c>
      <c r="Z997" s="41"/>
      <c r="AA997" s="12" t="str">
        <f>iferror(IF(VLOOKUP(C997,'Weekly Dump'!B:B,1,0)=C997,"Yes","Missing"),"")</f>
        <v/>
      </c>
      <c r="AB997" s="66"/>
    </row>
    <row r="998">
      <c r="B998" s="63"/>
      <c r="C998" s="63"/>
      <c r="G998" s="3" t="str">
        <f t="shared" si="26"/>
        <v/>
      </c>
      <c r="I998" s="4">
        <f>SUMIFS('Weekly Dump'!D:D,'Weekly Dump'!B:B,C998)</f>
        <v>0</v>
      </c>
      <c r="J998" s="5">
        <f>SUMIFS('Weekly Dump'!AE:AE,'Weekly Dump'!B:B,C998)</f>
        <v>0</v>
      </c>
      <c r="K998" s="4">
        <f>SUMPRODUCT(
  (TEXT('Weekly Dump'!$A$2:$A1009,"mmm-yy")=TEXT($AB998,"mmm-yy"))*
  ('Weekly Dump'!$B$2:$B1009=$C998)*
  'Weekly Dump'!$D$2:$D1009)</f>
        <v>0</v>
      </c>
      <c r="L998" s="4">
        <f>SUMPRODUCT(
  (TEXT('Weekly Dump'!$A$2:$A1009,"mmm-yy")=TEXT($AB998,"mmm-yy"))*
  ('Weekly Dump'!$B$2:$B1009=$C998)*
  'Weekly Dump'!$E$2:$E1009
)</f>
        <v>0</v>
      </c>
      <c r="M998" s="4">
        <f>SUMPRODUCT(
  (TEXT('Weekly Dump'!$A$2:$A1009,"mmm-yy")=TEXT($AB998,"mmm-yy"))*
  ('Weekly Dump'!$B$2:$B1009=$C998)*
  'Weekly Dump'!$P$2:$P1009
)</f>
        <v>0</v>
      </c>
      <c r="N998" s="39"/>
      <c r="O998" s="40">
        <f>SUMIFS('Weekly Dump'!$D:$D,'Weekly Dump'!$B:$B,$C998,'Weekly Dump'!$A:$A,$AB998)</f>
        <v>0</v>
      </c>
      <c r="P998" s="40">
        <f>SUMIFS('Weekly Dump'!R:R,'Weekly Dump'!B:B,C998,'Weekly Dump'!A:A,AB998)</f>
        <v>0</v>
      </c>
      <c r="Q998" s="40">
        <f t="shared" si="20"/>
        <v>0</v>
      </c>
      <c r="R998" s="41"/>
      <c r="T998" s="4">
        <f>SUMIFS('Weekly Dump'!E:E,'Weekly Dump'!B:B,C998,'Weekly Dump'!A:A,AB998)</f>
        <v>0</v>
      </c>
      <c r="U998" s="3">
        <f t="shared" si="21"/>
        <v>0</v>
      </c>
      <c r="V998" s="42"/>
      <c r="X998" s="4">
        <f>SUMIFS('Weekly Dump'!P:P,'Weekly Dump'!B:B,C998,'Weekly Dump'!A:A,AB998)</f>
        <v>0</v>
      </c>
      <c r="Y998" s="4">
        <f t="shared" si="22"/>
        <v>0</v>
      </c>
      <c r="Z998" s="41"/>
      <c r="AA998" s="12" t="str">
        <f>iferror(IF(VLOOKUP(C998,'Weekly Dump'!B:B,1,0)=C998,"Yes","Missing"),"")</f>
        <v/>
      </c>
      <c r="AB998" s="66"/>
    </row>
    <row r="999">
      <c r="B999" s="63"/>
      <c r="C999" s="63"/>
      <c r="G999" s="3" t="str">
        <f t="shared" si="26"/>
        <v/>
      </c>
      <c r="I999" s="4">
        <f>SUMIFS('Weekly Dump'!D:D,'Weekly Dump'!B:B,C999)</f>
        <v>0</v>
      </c>
      <c r="J999" s="5">
        <f>SUMIFS('Weekly Dump'!AE:AE,'Weekly Dump'!B:B,C999)</f>
        <v>0</v>
      </c>
      <c r="K999" s="4">
        <f>SUMPRODUCT(
  (TEXT('Weekly Dump'!$A$2:$A1009,"mmm-yy")=TEXT($AB999,"mmm-yy"))*
  ('Weekly Dump'!$B$2:$B1009=$C999)*
  'Weekly Dump'!$D$2:$D1009)</f>
        <v>0</v>
      </c>
      <c r="L999" s="4">
        <f>SUMPRODUCT(
  (TEXT('Weekly Dump'!$A$2:$A1009,"mmm-yy")=TEXT($AB999,"mmm-yy"))*
  ('Weekly Dump'!$B$2:$B1009=$C999)*
  'Weekly Dump'!$E$2:$E1009
)</f>
        <v>0</v>
      </c>
      <c r="M999" s="4">
        <f>SUMPRODUCT(
  (TEXT('Weekly Dump'!$A$2:$A1009,"mmm-yy")=TEXT($AB999,"mmm-yy"))*
  ('Weekly Dump'!$B$2:$B1009=$C999)*
  'Weekly Dump'!$P$2:$P1009
)</f>
        <v>0</v>
      </c>
      <c r="N999" s="39"/>
      <c r="O999" s="40">
        <f>SUMIFS('Weekly Dump'!$D:$D,'Weekly Dump'!$B:$B,$C999,'Weekly Dump'!$A:$A,$AB999)</f>
        <v>0</v>
      </c>
      <c r="P999" s="40">
        <f>SUMIFS('Weekly Dump'!R:R,'Weekly Dump'!B:B,C999,'Weekly Dump'!A:A,AB999)</f>
        <v>0</v>
      </c>
      <c r="Q999" s="40">
        <f t="shared" si="20"/>
        <v>0</v>
      </c>
      <c r="R999" s="41"/>
      <c r="T999" s="4">
        <f>SUMIFS('Weekly Dump'!E:E,'Weekly Dump'!B:B,C999,'Weekly Dump'!A:A,AB999)</f>
        <v>0</v>
      </c>
      <c r="U999" s="3">
        <f t="shared" si="21"/>
        <v>0</v>
      </c>
      <c r="V999" s="42"/>
      <c r="X999" s="4">
        <f>SUMIFS('Weekly Dump'!P:P,'Weekly Dump'!B:B,C999,'Weekly Dump'!A:A,AB999)</f>
        <v>0</v>
      </c>
      <c r="Y999" s="4">
        <f t="shared" si="22"/>
        <v>0</v>
      </c>
      <c r="Z999" s="41"/>
      <c r="AA999" s="12" t="str">
        <f>iferror(IF(VLOOKUP(C999,'Weekly Dump'!B:B,1,0)=C999,"Yes","Missing"),"")</f>
        <v/>
      </c>
      <c r="AB999" s="66"/>
    </row>
    <row r="1000">
      <c r="B1000" s="63"/>
      <c r="C1000" s="63"/>
      <c r="G1000" s="3" t="str">
        <f t="shared" si="26"/>
        <v/>
      </c>
      <c r="I1000" s="4">
        <f>SUMIFS('Weekly Dump'!D:D,'Weekly Dump'!B:B,C1000)</f>
        <v>0</v>
      </c>
      <c r="J1000" s="5">
        <f>SUMIFS('Weekly Dump'!AE:AE,'Weekly Dump'!B:B,C1000)</f>
        <v>0</v>
      </c>
      <c r="K1000" s="4">
        <f>SUMPRODUCT(
  (TEXT('Weekly Dump'!$A$2:$A1009,"mmm-yy")=TEXT($AB1000,"mmm-yy"))*
  ('Weekly Dump'!$B$2:$B1009=$C1000)*
  'Weekly Dump'!$D$2:$D1009)</f>
        <v>0</v>
      </c>
      <c r="L1000" s="4">
        <f>SUMPRODUCT(
  (TEXT('Weekly Dump'!$A$2:$A1009,"mmm-yy")=TEXT($AB1000,"mmm-yy"))*
  ('Weekly Dump'!$B$2:$B1009=$C1000)*
  'Weekly Dump'!$E$2:$E1009
)</f>
        <v>0</v>
      </c>
      <c r="M1000" s="4">
        <f>SUMPRODUCT(
  (TEXT('Weekly Dump'!$A$2:$A1009,"mmm-yy")=TEXT($AB1000,"mmm-yy"))*
  ('Weekly Dump'!$B$2:$B1009=$C1000)*
  'Weekly Dump'!$P$2:$P1009
)</f>
        <v>0</v>
      </c>
      <c r="N1000" s="39"/>
      <c r="O1000" s="40">
        <f>SUMIFS('Weekly Dump'!$D:$D,'Weekly Dump'!$B:$B,$C1000,'Weekly Dump'!$A:$A,$AB1000)</f>
        <v>0</v>
      </c>
      <c r="P1000" s="40">
        <f>SUMIFS('Weekly Dump'!R:R,'Weekly Dump'!B:B,C1000,'Weekly Dump'!A:A,AB1000)</f>
        <v>0</v>
      </c>
      <c r="Q1000" s="40">
        <f t="shared" si="20"/>
        <v>0</v>
      </c>
      <c r="R1000" s="41"/>
      <c r="T1000" s="4">
        <f>SUMIFS('Weekly Dump'!E:E,'Weekly Dump'!B:B,C1000,'Weekly Dump'!A:A,AB1000)</f>
        <v>0</v>
      </c>
      <c r="U1000" s="3">
        <f t="shared" si="21"/>
        <v>0</v>
      </c>
      <c r="V1000" s="42"/>
      <c r="X1000" s="4">
        <f>SUMIFS('Weekly Dump'!P:P,'Weekly Dump'!B:B,C1000,'Weekly Dump'!A:A,AB1000)</f>
        <v>0</v>
      </c>
      <c r="Y1000" s="4">
        <f t="shared" si="22"/>
        <v>0</v>
      </c>
      <c r="Z1000" s="41"/>
      <c r="AA1000" s="12" t="str">
        <f>iferror(IF(VLOOKUP(C1000,'Weekly Dump'!B:B,1,0)=C1000,"Yes","Missing"),"")</f>
        <v/>
      </c>
      <c r="AB1000" s="66"/>
    </row>
    <row r="1001">
      <c r="B1001" s="63"/>
      <c r="C1001" s="63"/>
      <c r="G1001" s="3" t="str">
        <f t="shared" si="26"/>
        <v/>
      </c>
      <c r="I1001" s="4">
        <f>SUMIFS('Weekly Dump'!D:D,'Weekly Dump'!B:B,C1001)</f>
        <v>0</v>
      </c>
      <c r="J1001" s="5">
        <f>SUMIFS('Weekly Dump'!AE:AE,'Weekly Dump'!B:B,C1001)</f>
        <v>0</v>
      </c>
      <c r="K1001" s="4">
        <f>SUMPRODUCT(
  (TEXT('Weekly Dump'!$A$2:$A1009,"mmm-yy")=TEXT($AB1001,"mmm-yy"))*
  ('Weekly Dump'!$B$2:$B1009=$C1001)*
  'Weekly Dump'!$D$2:$D1009)</f>
        <v>0</v>
      </c>
      <c r="L1001" s="4">
        <f>SUMPRODUCT(
  (TEXT('Weekly Dump'!$A$2:$A1009,"mmm-yy")=TEXT($AB1001,"mmm-yy"))*
  ('Weekly Dump'!$B$2:$B1009=$C1001)*
  'Weekly Dump'!$E$2:$E1009
)</f>
        <v>0</v>
      </c>
      <c r="M1001" s="4">
        <f>SUMPRODUCT(
  (TEXT('Weekly Dump'!$A$2:$A1009,"mmm-yy")=TEXT($AB1001,"mmm-yy"))*
  ('Weekly Dump'!$B$2:$B1009=$C1001)*
  'Weekly Dump'!$P$2:$P1009
)</f>
        <v>0</v>
      </c>
      <c r="N1001" s="39"/>
      <c r="O1001" s="40">
        <f>SUMIFS('Weekly Dump'!$D:$D,'Weekly Dump'!$B:$B,$C1001,'Weekly Dump'!$A:$A,$AB1001)</f>
        <v>0</v>
      </c>
      <c r="P1001" s="40">
        <f>SUMIFS('Weekly Dump'!R:R,'Weekly Dump'!B:B,C1001,'Weekly Dump'!A:A,AB1001)</f>
        <v>0</v>
      </c>
      <c r="Q1001" s="40">
        <f t="shared" si="20"/>
        <v>0</v>
      </c>
      <c r="R1001" s="41"/>
      <c r="T1001" s="4">
        <f>SUMIFS('Weekly Dump'!E:E,'Weekly Dump'!B:B,C1001,'Weekly Dump'!A:A,AB1001)</f>
        <v>0</v>
      </c>
      <c r="U1001" s="3">
        <f t="shared" si="21"/>
        <v>0</v>
      </c>
      <c r="V1001" s="42"/>
      <c r="X1001" s="4">
        <f>SUMIFS('Weekly Dump'!P:P,'Weekly Dump'!B:B,C1001,'Weekly Dump'!A:A,AB1001)</f>
        <v>0</v>
      </c>
      <c r="Y1001" s="4">
        <f t="shared" si="22"/>
        <v>0</v>
      </c>
      <c r="Z1001" s="41"/>
      <c r="AA1001" s="12" t="str">
        <f>iferror(IF(VLOOKUP(C1001,'Weekly Dump'!B:B,1,0)=C1001,"Yes","Missing"),"")</f>
        <v/>
      </c>
      <c r="AB1001" s="66"/>
    </row>
    <row r="1002">
      <c r="B1002" s="63"/>
      <c r="C1002" s="63"/>
      <c r="G1002" s="3" t="str">
        <f t="shared" si="26"/>
        <v/>
      </c>
      <c r="I1002" s="4">
        <f>SUMIFS('Weekly Dump'!D:D,'Weekly Dump'!B:B,C1002)</f>
        <v>0</v>
      </c>
      <c r="J1002" s="5">
        <f>SUMIFS('Weekly Dump'!AE:AE,'Weekly Dump'!B:B,C1002)</f>
        <v>0</v>
      </c>
      <c r="K1002" s="4">
        <f>SUMPRODUCT(
  (TEXT('Weekly Dump'!$A$2:$A1009,"mmm-yy")=TEXT($AB1002,"mmm-yy"))*
  ('Weekly Dump'!$B$2:$B1009=$C1002)*
  'Weekly Dump'!$D$2:$D1009)</f>
        <v>0</v>
      </c>
      <c r="L1002" s="4">
        <f>SUMPRODUCT(
  (TEXT('Weekly Dump'!$A$2:$A1009,"mmm-yy")=TEXT($AB1002,"mmm-yy"))*
  ('Weekly Dump'!$B$2:$B1009=$C1002)*
  'Weekly Dump'!$E$2:$E1009
)</f>
        <v>0</v>
      </c>
      <c r="M1002" s="4">
        <f>SUMPRODUCT(
  (TEXT('Weekly Dump'!$A$2:$A1009,"mmm-yy")=TEXT($AB1002,"mmm-yy"))*
  ('Weekly Dump'!$B$2:$B1009=$C1002)*
  'Weekly Dump'!$P$2:$P1009
)</f>
        <v>0</v>
      </c>
      <c r="N1002" s="39"/>
      <c r="O1002" s="40">
        <f>SUMIFS('Weekly Dump'!$D:$D,'Weekly Dump'!$B:$B,$C1002,'Weekly Dump'!$A:$A,$AB1002)</f>
        <v>0</v>
      </c>
      <c r="P1002" s="40">
        <f>SUMIFS('Weekly Dump'!R:R,'Weekly Dump'!B:B,C1002,'Weekly Dump'!A:A,AB1002)</f>
        <v>0</v>
      </c>
      <c r="Q1002" s="40">
        <f t="shared" si="20"/>
        <v>0</v>
      </c>
      <c r="R1002" s="41"/>
      <c r="T1002" s="4">
        <f>SUMIFS('Weekly Dump'!E:E,'Weekly Dump'!B:B,C1002,'Weekly Dump'!A:A,AB1002)</f>
        <v>0</v>
      </c>
      <c r="U1002" s="3">
        <f t="shared" si="21"/>
        <v>0</v>
      </c>
      <c r="V1002" s="42"/>
      <c r="X1002" s="4">
        <f>SUMIFS('Weekly Dump'!P:P,'Weekly Dump'!B:B,C1002,'Weekly Dump'!A:A,AB1002)</f>
        <v>0</v>
      </c>
      <c r="Y1002" s="4">
        <f t="shared" si="22"/>
        <v>0</v>
      </c>
      <c r="Z1002" s="41"/>
      <c r="AA1002" s="12" t="str">
        <f>iferror(IF(VLOOKUP(C1002,'Weekly Dump'!B:B,1,0)=C1002,"Yes","Missing"),"")</f>
        <v/>
      </c>
      <c r="AB1002" s="66"/>
    </row>
    <row r="1003">
      <c r="B1003" s="63"/>
      <c r="C1003" s="63"/>
      <c r="G1003" s="3" t="str">
        <f t="shared" si="26"/>
        <v/>
      </c>
      <c r="I1003" s="4">
        <f>SUMIFS('Weekly Dump'!D:D,'Weekly Dump'!B:B,C1003)</f>
        <v>0</v>
      </c>
      <c r="J1003" s="5">
        <f>SUMIFS('Weekly Dump'!AE:AE,'Weekly Dump'!B:B,C1003)</f>
        <v>0</v>
      </c>
      <c r="K1003" s="4">
        <f>SUMPRODUCT(
  (TEXT('Weekly Dump'!$A$2:$A1009,"mmm-yy")=TEXT($AB1003,"mmm-yy"))*
  ('Weekly Dump'!$B$2:$B1009=$C1003)*
  'Weekly Dump'!$D$2:$D1009)</f>
        <v>0</v>
      </c>
      <c r="L1003" s="4">
        <f>SUMPRODUCT(
  (TEXT('Weekly Dump'!$A$2:$A1009,"mmm-yy")=TEXT($AB1003,"mmm-yy"))*
  ('Weekly Dump'!$B$2:$B1009=$C1003)*
  'Weekly Dump'!$E$2:$E1009
)</f>
        <v>0</v>
      </c>
      <c r="M1003" s="4">
        <f>SUMPRODUCT(
  (TEXT('Weekly Dump'!$A$2:$A1009,"mmm-yy")=TEXT($AB1003,"mmm-yy"))*
  ('Weekly Dump'!$B$2:$B1009=$C1003)*
  'Weekly Dump'!$P$2:$P1009
)</f>
        <v>0</v>
      </c>
      <c r="N1003" s="39"/>
      <c r="O1003" s="40">
        <f>SUMIFS('Weekly Dump'!$D:$D,'Weekly Dump'!$B:$B,$C1003,'Weekly Dump'!$A:$A,$AB1003)</f>
        <v>0</v>
      </c>
      <c r="P1003" s="40">
        <f>SUMIFS('Weekly Dump'!R:R,'Weekly Dump'!B:B,C1003,'Weekly Dump'!A:A,AB1003)</f>
        <v>0</v>
      </c>
      <c r="Q1003" s="40">
        <f t="shared" si="20"/>
        <v>0</v>
      </c>
      <c r="R1003" s="41"/>
      <c r="T1003" s="4">
        <f>SUMIFS('Weekly Dump'!E:E,'Weekly Dump'!B:B,C1003,'Weekly Dump'!A:A,AB1003)</f>
        <v>0</v>
      </c>
      <c r="U1003" s="3">
        <f t="shared" si="21"/>
        <v>0</v>
      </c>
      <c r="V1003" s="42"/>
      <c r="X1003" s="4">
        <f>SUMIFS('Weekly Dump'!P:P,'Weekly Dump'!B:B,C1003,'Weekly Dump'!A:A,AB1003)</f>
        <v>0</v>
      </c>
      <c r="Y1003" s="4">
        <f t="shared" si="22"/>
        <v>0</v>
      </c>
      <c r="Z1003" s="41"/>
      <c r="AA1003" s="12" t="str">
        <f>iferror(IF(VLOOKUP(C1003,'Weekly Dump'!B:B,1,0)=C1003,"Yes","Missing"),"")</f>
        <v/>
      </c>
      <c r="AB1003" s="66"/>
    </row>
    <row r="1004">
      <c r="B1004" s="63"/>
      <c r="C1004" s="63"/>
      <c r="G1004" s="3" t="str">
        <f t="shared" si="26"/>
        <v/>
      </c>
      <c r="I1004" s="4">
        <f>SUMIFS('Weekly Dump'!D:D,'Weekly Dump'!B:B,C1004)</f>
        <v>0</v>
      </c>
      <c r="J1004" s="5">
        <f>SUMIFS('Weekly Dump'!AE:AE,'Weekly Dump'!B:B,C1004)</f>
        <v>0</v>
      </c>
      <c r="K1004" s="4">
        <f>SUMPRODUCT(
  (TEXT('Weekly Dump'!$A$2:$A1009,"mmm-yy")=TEXT($AB1004,"mmm-yy"))*
  ('Weekly Dump'!$B$2:$B1009=$C1004)*
  'Weekly Dump'!$D$2:$D1009)</f>
        <v>0</v>
      </c>
      <c r="L1004" s="4">
        <f>SUMPRODUCT(
  (TEXT('Weekly Dump'!$A$2:$A1009,"mmm-yy")=TEXT($AB1004,"mmm-yy"))*
  ('Weekly Dump'!$B$2:$B1009=$C1004)*
  'Weekly Dump'!$E$2:$E1009
)</f>
        <v>0</v>
      </c>
      <c r="M1004" s="4">
        <f>SUMPRODUCT(
  (TEXT('Weekly Dump'!$A$2:$A1009,"mmm-yy")=TEXT($AB1004,"mmm-yy"))*
  ('Weekly Dump'!$B$2:$B1009=$C1004)*
  'Weekly Dump'!$P$2:$P1009
)</f>
        <v>0</v>
      </c>
      <c r="N1004" s="39"/>
      <c r="O1004" s="40">
        <f>SUMIFS('Weekly Dump'!$D:$D,'Weekly Dump'!$B:$B,$C1004,'Weekly Dump'!$A:$A,$AB1004)</f>
        <v>0</v>
      </c>
      <c r="P1004" s="40">
        <f>SUMIFS('Weekly Dump'!R:R,'Weekly Dump'!B:B,C1004,'Weekly Dump'!A:A,AB1004)</f>
        <v>0</v>
      </c>
      <c r="Q1004" s="40">
        <f t="shared" si="20"/>
        <v>0</v>
      </c>
      <c r="R1004" s="41"/>
      <c r="T1004" s="4">
        <f>SUMIFS('Weekly Dump'!E:E,'Weekly Dump'!B:B,C1004,'Weekly Dump'!A:A,AB1004)</f>
        <v>0</v>
      </c>
      <c r="U1004" s="3">
        <f t="shared" si="21"/>
        <v>0</v>
      </c>
      <c r="V1004" s="42"/>
      <c r="X1004" s="4">
        <f>SUMIFS('Weekly Dump'!P:P,'Weekly Dump'!B:B,C1004,'Weekly Dump'!A:A,AB1004)</f>
        <v>0</v>
      </c>
      <c r="Y1004" s="4">
        <f t="shared" si="22"/>
        <v>0</v>
      </c>
      <c r="Z1004" s="41"/>
      <c r="AA1004" s="12" t="str">
        <f>iferror(IF(VLOOKUP(C1004,'Weekly Dump'!B:B,1,0)=C1004,"Yes","Missing"),"")</f>
        <v/>
      </c>
      <c r="AB1004" s="66"/>
    </row>
    <row r="1005">
      <c r="B1005" s="63"/>
      <c r="C1005" s="63"/>
      <c r="G1005" s="3" t="str">
        <f t="shared" si="26"/>
        <v/>
      </c>
      <c r="I1005" s="4">
        <f>SUMIFS('Weekly Dump'!D:D,'Weekly Dump'!B:B,C1005)</f>
        <v>0</v>
      </c>
      <c r="J1005" s="5">
        <f>SUMIFS('Weekly Dump'!AE:AE,'Weekly Dump'!B:B,C1005)</f>
        <v>0</v>
      </c>
      <c r="K1005" s="4">
        <f>SUMPRODUCT(
  (TEXT('Weekly Dump'!$A$2:$A1009,"mmm-yy")=TEXT($AB1005,"mmm-yy"))*
  ('Weekly Dump'!$B$2:$B1009=$C1005)*
  'Weekly Dump'!$D$2:$D1009)</f>
        <v>0</v>
      </c>
      <c r="L1005" s="4">
        <f>SUMPRODUCT(
  (TEXT('Weekly Dump'!$A$2:$A1009,"mmm-yy")=TEXT($AB1005,"mmm-yy"))*
  ('Weekly Dump'!$B$2:$B1009=$C1005)*
  'Weekly Dump'!$E$2:$E1009
)</f>
        <v>0</v>
      </c>
      <c r="M1005" s="4">
        <f>SUMPRODUCT(
  (TEXT('Weekly Dump'!$A$2:$A1009,"mmm-yy")=TEXT($AB1005,"mmm-yy"))*
  ('Weekly Dump'!$B$2:$B1009=$C1005)*
  'Weekly Dump'!$P$2:$P1009
)</f>
        <v>0</v>
      </c>
      <c r="N1005" s="39"/>
      <c r="O1005" s="40">
        <f>SUMIFS('Weekly Dump'!$D:$D,'Weekly Dump'!$B:$B,$C1005,'Weekly Dump'!$A:$A,$AB1005)</f>
        <v>0</v>
      </c>
      <c r="P1005" s="40">
        <f>SUMIFS('Weekly Dump'!R:R,'Weekly Dump'!B:B,C1005,'Weekly Dump'!A:A,AB1005)</f>
        <v>0</v>
      </c>
      <c r="Q1005" s="40">
        <f t="shared" si="20"/>
        <v>0</v>
      </c>
      <c r="R1005" s="41"/>
      <c r="T1005" s="4">
        <f>SUMIFS('Weekly Dump'!E:E,'Weekly Dump'!B:B,C1005,'Weekly Dump'!A:A,AB1005)</f>
        <v>0</v>
      </c>
      <c r="U1005" s="3">
        <f t="shared" si="21"/>
        <v>0</v>
      </c>
      <c r="V1005" s="42"/>
      <c r="X1005" s="4">
        <f>SUMIFS('Weekly Dump'!P:P,'Weekly Dump'!B:B,C1005,'Weekly Dump'!A:A,AB1005)</f>
        <v>0</v>
      </c>
      <c r="Y1005" s="4">
        <f t="shared" si="22"/>
        <v>0</v>
      </c>
      <c r="Z1005" s="41"/>
      <c r="AA1005" s="12" t="str">
        <f>iferror(IF(VLOOKUP(C1005,'Weekly Dump'!B:B,1,0)=C1005,"Yes","Missing"),"")</f>
        <v/>
      </c>
      <c r="AB1005" s="66"/>
    </row>
    <row r="1006">
      <c r="B1006" s="63"/>
      <c r="C1006" s="63"/>
      <c r="G1006" s="3" t="str">
        <f t="shared" si="26"/>
        <v/>
      </c>
      <c r="I1006" s="4">
        <f>SUMIFS('Weekly Dump'!D:D,'Weekly Dump'!B:B,C1006)</f>
        <v>0</v>
      </c>
      <c r="J1006" s="5">
        <f>SUMIFS('Weekly Dump'!AE:AE,'Weekly Dump'!B:B,C1006)</f>
        <v>0</v>
      </c>
      <c r="K1006" s="4">
        <f>SUMPRODUCT(
  (TEXT('Weekly Dump'!$A$2:$A1009,"mmm-yy")=TEXT($AB1006,"mmm-yy"))*
  ('Weekly Dump'!$B$2:$B1009=$C1006)*
  'Weekly Dump'!$D$2:$D1009)</f>
        <v>0</v>
      </c>
      <c r="L1006" s="4">
        <f>SUMPRODUCT(
  (TEXT('Weekly Dump'!$A$2:$A1009,"mmm-yy")=TEXT($AB1006,"mmm-yy"))*
  ('Weekly Dump'!$B$2:$B1009=$C1006)*
  'Weekly Dump'!$E$2:$E1009
)</f>
        <v>0</v>
      </c>
      <c r="M1006" s="4">
        <f>SUMPRODUCT(
  (TEXT('Weekly Dump'!$A$2:$A1009,"mmm-yy")=TEXT($AB1006,"mmm-yy"))*
  ('Weekly Dump'!$B$2:$B1009=$C1006)*
  'Weekly Dump'!$P$2:$P1009
)</f>
        <v>0</v>
      </c>
      <c r="N1006" s="39"/>
      <c r="O1006" s="40">
        <f>SUMIFS('Weekly Dump'!$D:$D,'Weekly Dump'!$B:$B,$C1006,'Weekly Dump'!$A:$A,$AB1006)</f>
        <v>0</v>
      </c>
      <c r="P1006" s="40">
        <f>SUMIFS('Weekly Dump'!R:R,'Weekly Dump'!B:B,C1006,'Weekly Dump'!A:A,AB1006)</f>
        <v>0</v>
      </c>
      <c r="Q1006" s="40">
        <f t="shared" si="20"/>
        <v>0</v>
      </c>
      <c r="R1006" s="41"/>
      <c r="T1006" s="4">
        <f>SUMIFS('Weekly Dump'!E:E,'Weekly Dump'!B:B,C1006,'Weekly Dump'!A:A,AB1006)</f>
        <v>0</v>
      </c>
      <c r="U1006" s="3">
        <f t="shared" si="21"/>
        <v>0</v>
      </c>
      <c r="V1006" s="42"/>
      <c r="X1006" s="4">
        <f>SUMIFS('Weekly Dump'!P:P,'Weekly Dump'!B:B,C1006,'Weekly Dump'!A:A,AB1006)</f>
        <v>0</v>
      </c>
      <c r="Y1006" s="4">
        <f t="shared" si="22"/>
        <v>0</v>
      </c>
      <c r="Z1006" s="41"/>
      <c r="AA1006" s="12" t="str">
        <f>iferror(IF(VLOOKUP(C1006,'Weekly Dump'!B:B,1,0)=C1006,"Yes","Missing"),"")</f>
        <v/>
      </c>
      <c r="AB1006" s="66"/>
    </row>
    <row r="1007">
      <c r="B1007" s="63"/>
      <c r="C1007" s="63"/>
      <c r="G1007" s="3" t="str">
        <f t="shared" si="26"/>
        <v/>
      </c>
      <c r="I1007" s="4">
        <f>SUMIFS('Weekly Dump'!D:D,'Weekly Dump'!B:B,C1007)</f>
        <v>0</v>
      </c>
      <c r="J1007" s="5">
        <f>SUMIFS('Weekly Dump'!AE:AE,'Weekly Dump'!B:B,C1007)</f>
        <v>0</v>
      </c>
      <c r="K1007" s="4">
        <f>SUMPRODUCT(
  (TEXT('Weekly Dump'!$A$2:$A1009,"mmm-yy")=TEXT($AB1007,"mmm-yy"))*
  ('Weekly Dump'!$B$2:$B1009=$C1007)*
  'Weekly Dump'!$D$2:$D1009)</f>
        <v>0</v>
      </c>
      <c r="L1007" s="4">
        <f>SUMPRODUCT(
  (TEXT('Weekly Dump'!$A$2:$A1009,"mmm-yy")=TEXT($AB1007,"mmm-yy"))*
  ('Weekly Dump'!$B$2:$B1009=$C1007)*
  'Weekly Dump'!$E$2:$E1009
)</f>
        <v>0</v>
      </c>
      <c r="M1007" s="4">
        <f>SUMPRODUCT(
  (TEXT('Weekly Dump'!$A$2:$A1009,"mmm-yy")=TEXT($AB1007,"mmm-yy"))*
  ('Weekly Dump'!$B$2:$B1009=$C1007)*
  'Weekly Dump'!$P$2:$P1009
)</f>
        <v>0</v>
      </c>
      <c r="N1007" s="39"/>
      <c r="O1007" s="40">
        <f>SUMIFS('Weekly Dump'!$D:$D,'Weekly Dump'!$B:$B,$C1007,'Weekly Dump'!$A:$A,$AB1007)</f>
        <v>0</v>
      </c>
      <c r="P1007" s="40">
        <f>SUMIFS('Weekly Dump'!R:R,'Weekly Dump'!B:B,C1007,'Weekly Dump'!A:A,AB1007)</f>
        <v>0</v>
      </c>
      <c r="Q1007" s="40">
        <f t="shared" si="20"/>
        <v>0</v>
      </c>
      <c r="R1007" s="41"/>
      <c r="T1007" s="4">
        <f>SUMIFS('Weekly Dump'!E:E,'Weekly Dump'!B:B,C1007,'Weekly Dump'!A:A,AB1007)</f>
        <v>0</v>
      </c>
      <c r="U1007" s="3">
        <f t="shared" si="21"/>
        <v>0</v>
      </c>
      <c r="V1007" s="42"/>
      <c r="X1007" s="4">
        <f>SUMIFS('Weekly Dump'!P:P,'Weekly Dump'!B:B,C1007,'Weekly Dump'!A:A,AB1007)</f>
        <v>0</v>
      </c>
      <c r="Y1007" s="4">
        <f t="shared" si="22"/>
        <v>0</v>
      </c>
      <c r="Z1007" s="41"/>
      <c r="AA1007" s="12" t="str">
        <f>iferror(IF(VLOOKUP(C1007,'Weekly Dump'!B:B,1,0)=C1007,"Yes","Missing"),"")</f>
        <v/>
      </c>
      <c r="AB1007" s="66"/>
    </row>
    <row r="1008">
      <c r="B1008" s="63"/>
      <c r="C1008" s="63"/>
      <c r="G1008" s="3" t="str">
        <f t="shared" si="26"/>
        <v/>
      </c>
      <c r="I1008" s="4">
        <f>SUMIFS('Weekly Dump'!D:D,'Weekly Dump'!B:B,C1008)</f>
        <v>0</v>
      </c>
      <c r="J1008" s="5">
        <f>SUMIFS('Weekly Dump'!AE:AE,'Weekly Dump'!B:B,C1008)</f>
        <v>0</v>
      </c>
      <c r="K1008" s="4">
        <f>SUMPRODUCT(
  (TEXT('Weekly Dump'!$A$2:$A1009,"mmm-yy")=TEXT($AB1008,"mmm-yy"))*
  ('Weekly Dump'!$B$2:$B1009=$C1008)*
  'Weekly Dump'!$D$2:$D1009)</f>
        <v>0</v>
      </c>
      <c r="L1008" s="4">
        <f>SUMPRODUCT(
  (TEXT('Weekly Dump'!$A$2:$A1009,"mmm-yy")=TEXT($AB1008,"mmm-yy"))*
  ('Weekly Dump'!$B$2:$B1009=$C1008)*
  'Weekly Dump'!$E$2:$E1009
)</f>
        <v>0</v>
      </c>
      <c r="M1008" s="4">
        <f>SUMPRODUCT(
  (TEXT('Weekly Dump'!$A$2:$A1009,"mmm-yy")=TEXT($AB1008,"mmm-yy"))*
  ('Weekly Dump'!$B$2:$B1009=$C1008)*
  'Weekly Dump'!$P$2:$P1009
)</f>
        <v>0</v>
      </c>
      <c r="N1008" s="39"/>
      <c r="O1008" s="40">
        <f>SUMIFS('Weekly Dump'!$D:$D,'Weekly Dump'!$B:$B,$C1008,'Weekly Dump'!$A:$A,$AB1008)</f>
        <v>0</v>
      </c>
      <c r="P1008" s="40">
        <f>SUMIFS('Weekly Dump'!R:R,'Weekly Dump'!B:B,C1008,'Weekly Dump'!A:A,AB1008)</f>
        <v>0</v>
      </c>
      <c r="Q1008" s="40">
        <f t="shared" si="20"/>
        <v>0</v>
      </c>
      <c r="R1008" s="41"/>
      <c r="T1008" s="4">
        <f>SUMIFS('Weekly Dump'!E:E,'Weekly Dump'!B:B,C1008,'Weekly Dump'!A:A,AB1008)</f>
        <v>0</v>
      </c>
      <c r="U1008" s="3">
        <f t="shared" si="21"/>
        <v>0</v>
      </c>
      <c r="V1008" s="42"/>
      <c r="X1008" s="4">
        <f>SUMIFS('Weekly Dump'!P:P,'Weekly Dump'!B:B,C1008,'Weekly Dump'!A:A,AB1008)</f>
        <v>0</v>
      </c>
      <c r="Y1008" s="4">
        <f t="shared" si="22"/>
        <v>0</v>
      </c>
      <c r="Z1008" s="41"/>
      <c r="AA1008" s="12" t="str">
        <f>iferror(IF(VLOOKUP(C1008,'Weekly Dump'!B:B,1,0)=C1008,"Yes","Missing"),"")</f>
        <v/>
      </c>
      <c r="AB1008" s="66"/>
    </row>
    <row r="1009">
      <c r="B1009" s="63"/>
      <c r="C1009" s="63"/>
      <c r="G1009" s="3" t="str">
        <f t="shared" si="26"/>
        <v/>
      </c>
      <c r="I1009" s="4">
        <f>SUMIFS('Weekly Dump'!D:D,'Weekly Dump'!B:B,C1009)</f>
        <v>0</v>
      </c>
      <c r="J1009" s="5">
        <f>SUMIFS('Weekly Dump'!AE:AE,'Weekly Dump'!B:B,C1009)</f>
        <v>0</v>
      </c>
      <c r="K1009" s="4">
        <f>SUMPRODUCT(
  (TEXT('Weekly Dump'!$A$2:$A1009,"mmm-yy")=TEXT($AB1009,"mmm-yy"))*
  ('Weekly Dump'!$B$2:$B1009=$C1009)*
  'Weekly Dump'!$D$2:$D1009)</f>
        <v>0</v>
      </c>
      <c r="L1009" s="4">
        <f>SUMPRODUCT(
  (TEXT('Weekly Dump'!$A$2:$A1009,"mmm-yy")=TEXT($AB1009,"mmm-yy"))*
  ('Weekly Dump'!$B$2:$B1009=$C1009)*
  'Weekly Dump'!$E$2:$E1009
)</f>
        <v>0</v>
      </c>
      <c r="M1009" s="4">
        <f>SUMPRODUCT(
  (TEXT('Weekly Dump'!$A$2:$A1009,"mmm-yy")=TEXT($AB1009,"mmm-yy"))*
  ('Weekly Dump'!$B$2:$B1009=$C1009)*
  'Weekly Dump'!$P$2:$P1009
)</f>
        <v>0</v>
      </c>
      <c r="N1009" s="39"/>
      <c r="O1009" s="40">
        <f>SUMIFS('Weekly Dump'!$D:$D,'Weekly Dump'!$B:$B,$C1009,'Weekly Dump'!$A:$A,$AB1009)</f>
        <v>0</v>
      </c>
      <c r="P1009" s="40">
        <f>SUMIFS('Weekly Dump'!R:R,'Weekly Dump'!B:B,C1009,'Weekly Dump'!A:A,AB1009)</f>
        <v>0</v>
      </c>
      <c r="Q1009" s="40">
        <f t="shared" si="20"/>
        <v>0</v>
      </c>
      <c r="R1009" s="41"/>
      <c r="T1009" s="4">
        <f>SUMIFS('Weekly Dump'!E:E,'Weekly Dump'!B:B,C1009,'Weekly Dump'!A:A,AB1009)</f>
        <v>0</v>
      </c>
      <c r="U1009" s="3">
        <f t="shared" si="21"/>
        <v>0</v>
      </c>
      <c r="V1009" s="42"/>
      <c r="X1009" s="4">
        <f>SUMIFS('Weekly Dump'!P:P,'Weekly Dump'!B:B,C1009,'Weekly Dump'!A:A,AB1009)</f>
        <v>0</v>
      </c>
      <c r="Y1009" s="4">
        <f t="shared" si="22"/>
        <v>0</v>
      </c>
      <c r="Z1009" s="41"/>
      <c r="AA1009" s="12" t="str">
        <f>iferror(IF(VLOOKUP(C1009,'Weekly Dump'!B:B,1,0)=C1009,"Yes","Missing"),"")</f>
        <v/>
      </c>
      <c r="AB1009" s="66"/>
    </row>
  </sheetData>
  <mergeCells count="6">
    <mergeCell ref="N1:R1"/>
    <mergeCell ref="S1:V1"/>
    <mergeCell ref="W1:Z1"/>
    <mergeCell ref="N2:R2"/>
    <mergeCell ref="S2:V2"/>
    <mergeCell ref="W2:Z2"/>
  </mergeCells>
  <conditionalFormatting sqref="Q3:R1009">
    <cfRule type="cellIs" dxfId="0" priority="1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2" t="s">
        <v>130</v>
      </c>
      <c r="B1" s="62" t="s">
        <v>131</v>
      </c>
      <c r="C1" s="62" t="s">
        <v>132</v>
      </c>
      <c r="D1" s="62" t="s">
        <v>133</v>
      </c>
      <c r="E1" s="62" t="s">
        <v>134</v>
      </c>
      <c r="F1" s="62" t="s">
        <v>135</v>
      </c>
      <c r="G1" s="62" t="s">
        <v>136</v>
      </c>
      <c r="H1" s="62" t="s">
        <v>137</v>
      </c>
      <c r="I1" s="62" t="s">
        <v>138</v>
      </c>
      <c r="J1" s="62" t="s">
        <v>139</v>
      </c>
      <c r="K1" s="62" t="s">
        <v>140</v>
      </c>
      <c r="L1" s="62" t="s">
        <v>141</v>
      </c>
      <c r="M1" s="62" t="s">
        <v>142</v>
      </c>
      <c r="N1" s="62" t="s">
        <v>143</v>
      </c>
      <c r="O1" s="62" t="s">
        <v>144</v>
      </c>
      <c r="P1" s="62" t="s">
        <v>145</v>
      </c>
      <c r="Q1" s="62" t="s">
        <v>146</v>
      </c>
      <c r="R1" s="62" t="s">
        <v>147</v>
      </c>
      <c r="S1" s="62" t="s">
        <v>148</v>
      </c>
      <c r="T1" s="62" t="s">
        <v>149</v>
      </c>
      <c r="U1" s="62" t="s">
        <v>150</v>
      </c>
      <c r="V1" s="62" t="s">
        <v>151</v>
      </c>
      <c r="W1" s="62" t="s">
        <v>152</v>
      </c>
      <c r="X1" s="62" t="s">
        <v>153</v>
      </c>
      <c r="Y1" s="62" t="s">
        <v>154</v>
      </c>
      <c r="Z1" s="62" t="s">
        <v>155</v>
      </c>
      <c r="AA1" s="62" t="s">
        <v>156</v>
      </c>
      <c r="AB1" s="62" t="s">
        <v>157</v>
      </c>
      <c r="AC1" s="62" t="s">
        <v>158</v>
      </c>
      <c r="AD1" s="62" t="s">
        <v>159</v>
      </c>
      <c r="AE1" s="62" t="s">
        <v>160</v>
      </c>
      <c r="AF1" s="62" t="s">
        <v>161</v>
      </c>
      <c r="AG1" s="67"/>
      <c r="AH1" s="67"/>
      <c r="AI1" s="67"/>
      <c r="AJ1" s="67"/>
      <c r="AK1" s="67"/>
      <c r="AL1" s="67"/>
      <c r="AM1" s="67"/>
      <c r="AN1" s="67"/>
      <c r="AO1" s="67"/>
      <c r="AP1" s="67"/>
    </row>
    <row r="2">
      <c r="A2" s="68">
        <v>46160.0</v>
      </c>
      <c r="B2" s="62" t="s">
        <v>79</v>
      </c>
      <c r="C2" s="62" t="s">
        <v>162</v>
      </c>
      <c r="D2" s="62">
        <v>57.0</v>
      </c>
      <c r="E2" s="62">
        <v>34.0</v>
      </c>
      <c r="F2" s="62">
        <v>13.0</v>
      </c>
      <c r="G2" s="62">
        <v>13.0</v>
      </c>
      <c r="H2" s="62">
        <v>15.0</v>
      </c>
      <c r="I2" s="62">
        <v>2.0</v>
      </c>
      <c r="J2" s="62">
        <v>17.0</v>
      </c>
      <c r="K2" s="62">
        <v>7.0</v>
      </c>
      <c r="L2" s="62">
        <v>1.0</v>
      </c>
      <c r="M2" s="62">
        <v>22.0</v>
      </c>
      <c r="N2" s="62">
        <v>27.0</v>
      </c>
      <c r="O2" s="62">
        <v>7.0</v>
      </c>
      <c r="P2" s="62">
        <v>27.0</v>
      </c>
      <c r="Q2" s="62">
        <v>0.0</v>
      </c>
      <c r="R2" s="62">
        <v>135745.0</v>
      </c>
      <c r="S2" s="62">
        <v>81337.0</v>
      </c>
      <c r="T2" s="62">
        <v>3.20972222222222</v>
      </c>
      <c r="U2" s="62">
        <v>2.78694444444444</v>
      </c>
      <c r="V2" s="62">
        <v>2.77694444444444</v>
      </c>
      <c r="W2" s="62">
        <v>3.19972222222222</v>
      </c>
      <c r="X2" s="62">
        <v>0.422777777777777</v>
      </c>
      <c r="Y2" s="62">
        <v>3.6425</v>
      </c>
      <c r="Z2" s="62">
        <v>1.55083333333333</v>
      </c>
      <c r="AA2" s="62">
        <v>0.210555555555555</v>
      </c>
      <c r="AB2" s="62">
        <v>4.72638888888888</v>
      </c>
      <c r="AC2" s="62">
        <v>5.7975</v>
      </c>
      <c r="AD2" s="62">
        <v>1.41166666666666</v>
      </c>
      <c r="AE2" s="62">
        <v>5.7975</v>
      </c>
      <c r="AF2" s="62">
        <v>15.0</v>
      </c>
    </row>
    <row r="3">
      <c r="A3" s="68">
        <v>46160.0</v>
      </c>
      <c r="B3" s="62" t="s">
        <v>96</v>
      </c>
      <c r="C3" s="62" t="s">
        <v>97</v>
      </c>
      <c r="D3" s="62">
        <v>15.0</v>
      </c>
      <c r="E3" s="62">
        <v>14.0</v>
      </c>
      <c r="F3" s="62">
        <v>0.0</v>
      </c>
      <c r="G3" s="62">
        <v>0.0</v>
      </c>
      <c r="H3" s="62">
        <v>0.0</v>
      </c>
      <c r="I3" s="62">
        <v>0.0</v>
      </c>
      <c r="J3" s="62">
        <v>0.0</v>
      </c>
      <c r="K3" s="62">
        <v>0.0</v>
      </c>
      <c r="L3" s="62">
        <v>0.0</v>
      </c>
      <c r="M3" s="62">
        <v>19.0</v>
      </c>
      <c r="N3" s="62">
        <v>19.0</v>
      </c>
      <c r="O3" s="62">
        <v>7.0</v>
      </c>
      <c r="P3" s="62">
        <v>19.0</v>
      </c>
      <c r="Q3" s="62">
        <v>0.0</v>
      </c>
      <c r="R3" s="62">
        <v>33566.0</v>
      </c>
      <c r="S3" s="62">
        <v>31487.0</v>
      </c>
      <c r="T3" s="62">
        <v>4.6625</v>
      </c>
      <c r="U3" s="62">
        <v>0.0</v>
      </c>
      <c r="V3" s="62">
        <v>0.0</v>
      </c>
      <c r="W3" s="62">
        <v>0.0</v>
      </c>
      <c r="X3" s="62">
        <v>0.0</v>
      </c>
      <c r="Y3" s="62">
        <v>0.0</v>
      </c>
      <c r="Z3" s="62">
        <v>0.0</v>
      </c>
      <c r="AA3" s="62">
        <v>0.0</v>
      </c>
      <c r="AB3" s="62">
        <v>4.63638888888888</v>
      </c>
      <c r="AC3" s="62">
        <v>4.63638888888888</v>
      </c>
      <c r="AD3" s="62">
        <v>1.62333333333333</v>
      </c>
      <c r="AE3" s="62">
        <v>4.63638888888888</v>
      </c>
      <c r="AF3" s="62">
        <v>19.0</v>
      </c>
    </row>
    <row r="4">
      <c r="A4" s="68">
        <v>46160.0</v>
      </c>
      <c r="B4" s="62" t="s">
        <v>71</v>
      </c>
      <c r="C4" s="62" t="s">
        <v>163</v>
      </c>
      <c r="D4" s="62">
        <v>6.0</v>
      </c>
      <c r="E4" s="62">
        <v>1.0</v>
      </c>
      <c r="F4" s="62">
        <v>0.0</v>
      </c>
      <c r="G4" s="62">
        <v>0.0</v>
      </c>
      <c r="H4" s="62">
        <v>0.0</v>
      </c>
      <c r="I4" s="62">
        <v>0.0</v>
      </c>
      <c r="J4" s="62">
        <v>0.0</v>
      </c>
      <c r="K4" s="62">
        <v>0.0</v>
      </c>
      <c r="L4" s="62">
        <v>0.0</v>
      </c>
      <c r="M4" s="62">
        <v>0.0</v>
      </c>
      <c r="N4" s="62">
        <v>0.0</v>
      </c>
      <c r="O4" s="62">
        <v>3.0</v>
      </c>
      <c r="P4" s="62">
        <v>0.0</v>
      </c>
      <c r="Q4" s="62">
        <v>0.0</v>
      </c>
      <c r="R4" s="62">
        <v>15530.0</v>
      </c>
      <c r="S4" s="62">
        <v>2658.0</v>
      </c>
      <c r="T4" s="62">
        <v>0.0</v>
      </c>
      <c r="U4" s="62">
        <v>0.0</v>
      </c>
      <c r="V4" s="62">
        <v>0.0</v>
      </c>
      <c r="W4" s="62">
        <v>0.0</v>
      </c>
      <c r="X4" s="62">
        <v>0.0</v>
      </c>
      <c r="Y4" s="62">
        <v>0.0</v>
      </c>
      <c r="Z4" s="62">
        <v>0.0</v>
      </c>
      <c r="AA4" s="62">
        <v>0.0</v>
      </c>
      <c r="AB4" s="62">
        <v>0.0</v>
      </c>
      <c r="AC4" s="62">
        <v>0.0</v>
      </c>
      <c r="AD4" s="62">
        <v>0.850277777777777</v>
      </c>
      <c r="AE4" s="62">
        <v>0.0</v>
      </c>
      <c r="AF4" s="62">
        <v>0.0</v>
      </c>
    </row>
    <row r="5">
      <c r="A5" s="68">
        <v>46160.0</v>
      </c>
      <c r="B5" s="62" t="s">
        <v>118</v>
      </c>
      <c r="C5" s="62" t="s">
        <v>164</v>
      </c>
      <c r="D5" s="62">
        <v>20.0</v>
      </c>
      <c r="E5" s="62">
        <v>0.0</v>
      </c>
      <c r="F5" s="62">
        <v>0.0</v>
      </c>
      <c r="G5" s="62">
        <v>0.0</v>
      </c>
      <c r="H5" s="62">
        <v>0.0</v>
      </c>
      <c r="I5" s="62">
        <v>0.0</v>
      </c>
      <c r="J5" s="62">
        <v>0.0</v>
      </c>
      <c r="K5" s="62">
        <v>0.0</v>
      </c>
      <c r="L5" s="62">
        <v>0.0</v>
      </c>
      <c r="M5" s="62">
        <v>0.0</v>
      </c>
      <c r="N5" s="62">
        <v>0.0</v>
      </c>
      <c r="O5" s="62">
        <v>0.0</v>
      </c>
      <c r="P5" s="62">
        <v>0.0</v>
      </c>
      <c r="Q5" s="62">
        <v>0.0</v>
      </c>
      <c r="R5" s="62">
        <v>47294.0</v>
      </c>
      <c r="S5" s="62">
        <v>0.0</v>
      </c>
      <c r="T5" s="62">
        <v>0.0</v>
      </c>
      <c r="U5" s="62">
        <v>0.0</v>
      </c>
      <c r="V5" s="62">
        <v>0.0</v>
      </c>
      <c r="W5" s="62">
        <v>0.0</v>
      </c>
      <c r="X5" s="62">
        <v>0.0</v>
      </c>
      <c r="Y5" s="62">
        <v>0.0</v>
      </c>
      <c r="Z5" s="62">
        <v>0.0</v>
      </c>
      <c r="AA5" s="62">
        <v>0.0</v>
      </c>
      <c r="AB5" s="62">
        <v>0.0</v>
      </c>
      <c r="AC5" s="62">
        <v>0.0</v>
      </c>
      <c r="AD5" s="62">
        <v>0.0</v>
      </c>
      <c r="AE5" s="62">
        <v>0.0</v>
      </c>
      <c r="AF5" s="62">
        <v>0.0</v>
      </c>
    </row>
    <row r="6">
      <c r="A6" s="68">
        <v>46160.0</v>
      </c>
      <c r="B6" s="62" t="s">
        <v>76</v>
      </c>
      <c r="C6" s="62" t="s">
        <v>165</v>
      </c>
      <c r="D6" s="62">
        <v>1.0</v>
      </c>
      <c r="E6" s="62">
        <v>50.0</v>
      </c>
      <c r="F6" s="62">
        <v>24.0</v>
      </c>
      <c r="G6" s="62">
        <v>24.0</v>
      </c>
      <c r="H6" s="62">
        <v>24.0</v>
      </c>
      <c r="I6" s="62">
        <v>0.0</v>
      </c>
      <c r="J6" s="62">
        <v>28.0</v>
      </c>
      <c r="K6" s="62">
        <v>1.0</v>
      </c>
      <c r="L6" s="62">
        <v>1.0</v>
      </c>
      <c r="M6" s="62">
        <v>20.0</v>
      </c>
      <c r="N6" s="62">
        <v>28.0</v>
      </c>
      <c r="O6" s="62">
        <v>7.0</v>
      </c>
      <c r="P6" s="62">
        <v>28.0</v>
      </c>
      <c r="Q6" s="62">
        <v>0.0</v>
      </c>
      <c r="R6" s="62">
        <v>3677.0</v>
      </c>
      <c r="S6" s="62">
        <v>145129.0</v>
      </c>
      <c r="T6" s="62">
        <v>7.34305555555555</v>
      </c>
      <c r="U6" s="62">
        <v>7.34305555555555</v>
      </c>
      <c r="V6" s="62">
        <v>7.34583333333333</v>
      </c>
      <c r="W6" s="62">
        <v>7.34583333333333</v>
      </c>
      <c r="X6" s="62">
        <v>0.0</v>
      </c>
      <c r="Y6" s="62">
        <v>8.77527777777777</v>
      </c>
      <c r="Z6" s="62">
        <v>0.311944444444444</v>
      </c>
      <c r="AA6" s="62">
        <v>0.311944444444444</v>
      </c>
      <c r="AB6" s="62">
        <v>6.16361111111111</v>
      </c>
      <c r="AC6" s="62">
        <v>8.77527777777777</v>
      </c>
      <c r="AD6" s="62">
        <v>1.66444444444444</v>
      </c>
      <c r="AE6" s="62">
        <v>8.77527777777777</v>
      </c>
      <c r="AF6" s="62">
        <v>24.0</v>
      </c>
    </row>
    <row r="7">
      <c r="A7" s="68">
        <v>46160.0</v>
      </c>
      <c r="B7" s="62" t="s">
        <v>104</v>
      </c>
      <c r="C7" s="62" t="s">
        <v>166</v>
      </c>
      <c r="D7" s="62">
        <v>0.0</v>
      </c>
      <c r="E7" s="62">
        <v>12.0</v>
      </c>
      <c r="F7" s="62">
        <v>0.0</v>
      </c>
      <c r="G7" s="62">
        <v>0.0</v>
      </c>
      <c r="H7" s="62">
        <v>19.0</v>
      </c>
      <c r="I7" s="62">
        <v>19.0</v>
      </c>
      <c r="J7" s="62">
        <v>13.0</v>
      </c>
      <c r="K7" s="62">
        <v>6.0</v>
      </c>
      <c r="L7" s="62">
        <v>3.0</v>
      </c>
      <c r="M7" s="62">
        <v>13.0</v>
      </c>
      <c r="N7" s="62">
        <v>13.0</v>
      </c>
      <c r="O7" s="62">
        <v>2.0</v>
      </c>
      <c r="P7" s="62">
        <v>13.0</v>
      </c>
      <c r="Q7" s="62">
        <v>0.0</v>
      </c>
      <c r="R7" s="62">
        <v>0.0</v>
      </c>
      <c r="S7" s="62">
        <v>29208.0</v>
      </c>
      <c r="T7" s="62">
        <v>3.52888888888888</v>
      </c>
      <c r="U7" s="62">
        <v>0.0</v>
      </c>
      <c r="V7" s="62">
        <v>0.0</v>
      </c>
      <c r="W7" s="62">
        <v>4.2875</v>
      </c>
      <c r="X7" s="62">
        <v>4.2875</v>
      </c>
      <c r="Y7" s="62">
        <v>2.96472222222222</v>
      </c>
      <c r="Z7" s="62">
        <v>1.38861111111111</v>
      </c>
      <c r="AA7" s="62">
        <v>0.686111111111111</v>
      </c>
      <c r="AB7" s="62">
        <v>2.96472222222222</v>
      </c>
      <c r="AC7" s="62">
        <v>2.96472222222222</v>
      </c>
      <c r="AD7" s="62">
        <v>0.454166666666666</v>
      </c>
      <c r="AE7" s="62">
        <v>2.96472222222222</v>
      </c>
      <c r="AF7" s="62">
        <v>16.0</v>
      </c>
    </row>
    <row r="8">
      <c r="A8" s="68">
        <v>46160.0</v>
      </c>
      <c r="B8" s="62" t="s">
        <v>100</v>
      </c>
      <c r="C8" s="62" t="s">
        <v>167</v>
      </c>
      <c r="D8" s="62">
        <v>0.0</v>
      </c>
      <c r="E8" s="62">
        <v>39.0</v>
      </c>
      <c r="F8" s="62">
        <v>8.0</v>
      </c>
      <c r="G8" s="62">
        <v>9.0</v>
      </c>
      <c r="H8" s="62">
        <v>19.0</v>
      </c>
      <c r="I8" s="62">
        <v>10.0</v>
      </c>
      <c r="J8" s="62">
        <v>19.0</v>
      </c>
      <c r="K8" s="62">
        <v>13.0</v>
      </c>
      <c r="L8" s="62">
        <v>3.0</v>
      </c>
      <c r="M8" s="62">
        <v>23.0</v>
      </c>
      <c r="N8" s="62">
        <v>23.0</v>
      </c>
      <c r="O8" s="62">
        <v>7.0</v>
      </c>
      <c r="P8" s="62">
        <v>23.0</v>
      </c>
      <c r="Q8" s="62">
        <v>0.0</v>
      </c>
      <c r="R8" s="62">
        <v>0.0</v>
      </c>
      <c r="S8" s="62">
        <v>95194.0</v>
      </c>
      <c r="T8" s="62">
        <v>4.55277777777777</v>
      </c>
      <c r="U8" s="62">
        <v>1.71777777777777</v>
      </c>
      <c r="V8" s="62">
        <v>1.97944444444444</v>
      </c>
      <c r="W8" s="62">
        <v>4.08944444444444</v>
      </c>
      <c r="X8" s="62">
        <v>2.11</v>
      </c>
      <c r="Y8" s="62">
        <v>4.1375</v>
      </c>
      <c r="Z8" s="62">
        <v>2.77861111111111</v>
      </c>
      <c r="AA8" s="62">
        <v>0.639722222222222</v>
      </c>
      <c r="AB8" s="62">
        <v>4.97</v>
      </c>
      <c r="AC8" s="62">
        <v>4.97</v>
      </c>
      <c r="AD8" s="62">
        <v>1.58833333333333</v>
      </c>
      <c r="AE8" s="62">
        <v>4.97</v>
      </c>
      <c r="AF8" s="62">
        <v>21.0</v>
      </c>
    </row>
    <row r="9">
      <c r="A9" s="68">
        <v>46160.0</v>
      </c>
      <c r="B9" s="62" t="s">
        <v>32</v>
      </c>
      <c r="C9" s="62" t="s">
        <v>168</v>
      </c>
      <c r="D9" s="62">
        <v>23.0</v>
      </c>
      <c r="E9" s="62">
        <v>16.0</v>
      </c>
      <c r="F9" s="62">
        <v>17.0</v>
      </c>
      <c r="G9" s="62">
        <v>0.0</v>
      </c>
      <c r="H9" s="62">
        <v>21.0</v>
      </c>
      <c r="I9" s="62">
        <v>7.0</v>
      </c>
      <c r="J9" s="62">
        <v>20.0</v>
      </c>
      <c r="K9" s="62">
        <v>0.0</v>
      </c>
      <c r="L9" s="62">
        <v>0.0</v>
      </c>
      <c r="M9" s="62">
        <v>17.0</v>
      </c>
      <c r="N9" s="62">
        <v>17.0</v>
      </c>
      <c r="O9" s="62">
        <v>6.0</v>
      </c>
      <c r="P9" s="62">
        <v>17.0</v>
      </c>
      <c r="Q9" s="62">
        <v>0.0</v>
      </c>
      <c r="R9" s="62">
        <v>49644.0</v>
      </c>
      <c r="S9" s="62">
        <v>38066.0</v>
      </c>
      <c r="T9" s="62">
        <v>4.13388888888888</v>
      </c>
      <c r="U9" s="62">
        <v>3.65027777777777</v>
      </c>
      <c r="V9" s="62">
        <v>0.0</v>
      </c>
      <c r="W9" s="62">
        <v>4.55944444444444</v>
      </c>
      <c r="X9" s="62">
        <v>1.5475</v>
      </c>
      <c r="Y9" s="62">
        <v>4.33777777777777</v>
      </c>
      <c r="Z9" s="62">
        <v>0.0</v>
      </c>
      <c r="AA9" s="62">
        <v>0.0</v>
      </c>
      <c r="AB9" s="62">
        <v>3.69999999999999</v>
      </c>
      <c r="AC9" s="62">
        <v>3.69999999999999</v>
      </c>
      <c r="AD9" s="62">
        <v>1.28222222222222</v>
      </c>
      <c r="AE9" s="62">
        <v>3.7</v>
      </c>
      <c r="AF9" s="62">
        <v>19.0</v>
      </c>
    </row>
    <row r="10">
      <c r="A10" s="68">
        <v>46160.0</v>
      </c>
      <c r="B10" s="62" t="s">
        <v>110</v>
      </c>
      <c r="C10" s="62" t="s">
        <v>169</v>
      </c>
      <c r="D10" s="62">
        <v>0.0</v>
      </c>
      <c r="E10" s="62">
        <v>12.0</v>
      </c>
      <c r="F10" s="62">
        <v>0.0</v>
      </c>
      <c r="G10" s="62">
        <v>0.0</v>
      </c>
      <c r="H10" s="62">
        <v>0.0</v>
      </c>
      <c r="I10" s="62">
        <v>0.0</v>
      </c>
      <c r="J10" s="62">
        <v>0.0</v>
      </c>
      <c r="K10" s="62">
        <v>0.0</v>
      </c>
      <c r="L10" s="62">
        <v>0.0</v>
      </c>
      <c r="M10" s="62">
        <v>12.0</v>
      </c>
      <c r="N10" s="62">
        <v>12.0</v>
      </c>
      <c r="O10" s="62">
        <v>3.0</v>
      </c>
      <c r="P10" s="62">
        <v>12.0</v>
      </c>
      <c r="Q10" s="62">
        <v>0.0</v>
      </c>
      <c r="R10" s="62">
        <v>0.0</v>
      </c>
      <c r="S10" s="62">
        <v>27220.0</v>
      </c>
      <c r="T10" s="62">
        <v>3.455</v>
      </c>
      <c r="U10" s="62">
        <v>0.0</v>
      </c>
      <c r="V10" s="62">
        <v>0.0</v>
      </c>
      <c r="W10" s="62">
        <v>0.0</v>
      </c>
      <c r="X10" s="62">
        <v>0.0</v>
      </c>
      <c r="Y10" s="62">
        <v>0.0</v>
      </c>
      <c r="Z10" s="62">
        <v>0.0</v>
      </c>
      <c r="AA10" s="62">
        <v>0.0</v>
      </c>
      <c r="AB10" s="62">
        <v>2.71333333333333</v>
      </c>
      <c r="AC10" s="62">
        <v>2.71333333333333</v>
      </c>
      <c r="AD10" s="62">
        <v>0.769166666666666</v>
      </c>
      <c r="AE10" s="62">
        <v>2.71333333333333</v>
      </c>
      <c r="AF10" s="62">
        <v>15.0</v>
      </c>
    </row>
    <row r="11">
      <c r="A11" s="68">
        <v>46160.0</v>
      </c>
      <c r="B11" s="62" t="s">
        <v>102</v>
      </c>
      <c r="C11" s="62" t="s">
        <v>170</v>
      </c>
      <c r="D11" s="62">
        <v>0.0</v>
      </c>
      <c r="E11" s="62">
        <v>9.0</v>
      </c>
      <c r="F11" s="62">
        <v>0.0</v>
      </c>
      <c r="G11" s="62">
        <v>0.0</v>
      </c>
      <c r="H11" s="62">
        <v>0.0</v>
      </c>
      <c r="I11" s="62">
        <v>0.0</v>
      </c>
      <c r="J11" s="62">
        <v>0.0</v>
      </c>
      <c r="K11" s="62">
        <v>0.0</v>
      </c>
      <c r="L11" s="62">
        <v>0.0</v>
      </c>
      <c r="M11" s="62">
        <v>8.0</v>
      </c>
      <c r="N11" s="62">
        <v>6.0</v>
      </c>
      <c r="O11" s="62">
        <v>4.0</v>
      </c>
      <c r="P11" s="62">
        <v>6.0</v>
      </c>
      <c r="Q11" s="62">
        <v>0.0</v>
      </c>
      <c r="R11" s="62">
        <v>0.0</v>
      </c>
      <c r="S11" s="62">
        <v>20836.0</v>
      </c>
      <c r="T11" s="62">
        <v>0.571944444444444</v>
      </c>
      <c r="U11" s="62">
        <v>0.0</v>
      </c>
      <c r="V11" s="62">
        <v>0.0</v>
      </c>
      <c r="W11" s="62">
        <v>0.0</v>
      </c>
      <c r="X11" s="62">
        <v>0.0</v>
      </c>
      <c r="Y11" s="62">
        <v>0.0</v>
      </c>
      <c r="Z11" s="62">
        <v>0.0</v>
      </c>
      <c r="AA11" s="62">
        <v>0.0</v>
      </c>
      <c r="AB11" s="62">
        <v>1.96583333333333</v>
      </c>
      <c r="AC11" s="62">
        <v>1.51694444444444</v>
      </c>
      <c r="AD11" s="62">
        <v>1.02444444444444</v>
      </c>
      <c r="AE11" s="62">
        <v>1.51694444444444</v>
      </c>
      <c r="AF11" s="62">
        <v>2.0</v>
      </c>
    </row>
    <row r="12">
      <c r="A12" s="68">
        <v>46160.0</v>
      </c>
      <c r="B12" s="62" t="s">
        <v>124</v>
      </c>
      <c r="C12" s="62" t="s">
        <v>171</v>
      </c>
      <c r="D12" s="62">
        <v>7.0</v>
      </c>
      <c r="E12" s="62">
        <v>0.0</v>
      </c>
      <c r="F12" s="62">
        <v>0.0</v>
      </c>
      <c r="G12" s="62">
        <v>0.0</v>
      </c>
      <c r="H12" s="62">
        <v>0.0</v>
      </c>
      <c r="I12" s="62">
        <v>0.0</v>
      </c>
      <c r="J12" s="62">
        <v>0.0</v>
      </c>
      <c r="K12" s="62">
        <v>0.0</v>
      </c>
      <c r="L12" s="62">
        <v>0.0</v>
      </c>
      <c r="M12" s="62">
        <v>0.0</v>
      </c>
      <c r="N12" s="62">
        <v>0.0</v>
      </c>
      <c r="O12" s="62">
        <v>0.0</v>
      </c>
      <c r="P12" s="62">
        <v>0.0</v>
      </c>
      <c r="Q12" s="62">
        <v>0.0</v>
      </c>
      <c r="R12" s="62">
        <v>17026.0</v>
      </c>
      <c r="S12" s="62">
        <v>0.0</v>
      </c>
      <c r="T12" s="62">
        <v>0.0</v>
      </c>
      <c r="U12" s="62">
        <v>0.0</v>
      </c>
      <c r="V12" s="62">
        <v>0.0</v>
      </c>
      <c r="W12" s="62">
        <v>0.0</v>
      </c>
      <c r="X12" s="62">
        <v>0.0</v>
      </c>
      <c r="Y12" s="62">
        <v>0.0</v>
      </c>
      <c r="Z12" s="62">
        <v>0.0</v>
      </c>
      <c r="AA12" s="62">
        <v>0.0</v>
      </c>
      <c r="AB12" s="62">
        <v>0.0</v>
      </c>
      <c r="AC12" s="62">
        <v>0.0</v>
      </c>
      <c r="AD12" s="62">
        <v>0.0</v>
      </c>
      <c r="AE12" s="62">
        <v>0.0</v>
      </c>
      <c r="AF12" s="62">
        <v>0.0</v>
      </c>
    </row>
    <row r="13">
      <c r="A13" s="68">
        <v>46160.0</v>
      </c>
      <c r="B13" s="62" t="s">
        <v>41</v>
      </c>
      <c r="C13" s="62" t="s">
        <v>172</v>
      </c>
      <c r="D13" s="62">
        <v>30.0</v>
      </c>
      <c r="E13" s="62">
        <v>21.0</v>
      </c>
      <c r="F13" s="62">
        <v>0.0</v>
      </c>
      <c r="G13" s="62">
        <v>0.0</v>
      </c>
      <c r="H13" s="62">
        <v>19.0</v>
      </c>
      <c r="I13" s="62">
        <v>16.0</v>
      </c>
      <c r="J13" s="62">
        <v>26.0</v>
      </c>
      <c r="K13" s="62">
        <v>23.0</v>
      </c>
      <c r="L13" s="62">
        <v>1.0</v>
      </c>
      <c r="M13" s="62">
        <v>28.0</v>
      </c>
      <c r="N13" s="62">
        <v>27.0</v>
      </c>
      <c r="O13" s="62">
        <v>7.0</v>
      </c>
      <c r="P13" s="62">
        <v>27.0</v>
      </c>
      <c r="Q13" s="62">
        <v>0.0</v>
      </c>
      <c r="R13" s="62">
        <v>86144.0</v>
      </c>
      <c r="S13" s="62">
        <v>61869.0</v>
      </c>
      <c r="T13" s="62">
        <v>5.33388888888889</v>
      </c>
      <c r="U13" s="62">
        <v>0.0</v>
      </c>
      <c r="V13" s="62">
        <v>0.0</v>
      </c>
      <c r="W13" s="62">
        <v>5.30944444444444</v>
      </c>
      <c r="X13" s="62">
        <v>4.47777777777777</v>
      </c>
      <c r="Y13" s="62">
        <v>7.18527777777777</v>
      </c>
      <c r="Z13" s="62">
        <v>6.35361111111111</v>
      </c>
      <c r="AA13" s="62">
        <v>0.304722222222222</v>
      </c>
      <c r="AB13" s="62">
        <v>7.70777777777777</v>
      </c>
      <c r="AC13" s="62">
        <v>7.44194444444444</v>
      </c>
      <c r="AD13" s="62">
        <v>1.61138888888888</v>
      </c>
      <c r="AE13" s="62">
        <v>7.44194444444444</v>
      </c>
      <c r="AF13" s="62">
        <v>19.0</v>
      </c>
    </row>
    <row r="14">
      <c r="A14" s="68">
        <v>46160.0</v>
      </c>
      <c r="B14" s="62" t="s">
        <v>65</v>
      </c>
      <c r="C14" s="62" t="s">
        <v>173</v>
      </c>
      <c r="D14" s="62">
        <v>49.0</v>
      </c>
      <c r="E14" s="62">
        <v>24.0</v>
      </c>
      <c r="F14" s="62">
        <v>0.0</v>
      </c>
      <c r="G14" s="62">
        <v>0.0</v>
      </c>
      <c r="H14" s="62">
        <v>31.0</v>
      </c>
      <c r="I14" s="62">
        <v>31.0</v>
      </c>
      <c r="J14" s="62">
        <v>29.0</v>
      </c>
      <c r="K14" s="62">
        <v>19.0</v>
      </c>
      <c r="L14" s="62">
        <v>14.0</v>
      </c>
      <c r="M14" s="62">
        <v>24.0</v>
      </c>
      <c r="N14" s="62">
        <v>20.0</v>
      </c>
      <c r="O14" s="62">
        <v>6.0</v>
      </c>
      <c r="P14" s="62">
        <v>20.0</v>
      </c>
      <c r="Q14" s="62">
        <v>0.0</v>
      </c>
      <c r="R14" s="62">
        <v>93805.0</v>
      </c>
      <c r="S14" s="62">
        <v>46623.0</v>
      </c>
      <c r="T14" s="62">
        <v>4.64527777777777</v>
      </c>
      <c r="U14" s="62">
        <v>0.0</v>
      </c>
      <c r="V14" s="62">
        <v>0.0</v>
      </c>
      <c r="W14" s="62">
        <v>6.2325</v>
      </c>
      <c r="X14" s="62">
        <v>6.2325</v>
      </c>
      <c r="Y14" s="62">
        <v>5.845</v>
      </c>
      <c r="Z14" s="62">
        <v>3.80805555555555</v>
      </c>
      <c r="AA14" s="62">
        <v>2.8075</v>
      </c>
      <c r="AB14" s="62">
        <v>4.88111111111111</v>
      </c>
      <c r="AC14" s="62">
        <v>4.10638888888888</v>
      </c>
      <c r="AD14" s="62">
        <v>1.35638888888888</v>
      </c>
      <c r="AE14" s="62">
        <v>4.10638888888888</v>
      </c>
      <c r="AF14" s="62">
        <v>23.0</v>
      </c>
    </row>
    <row r="15">
      <c r="A15" s="68">
        <v>46160.0</v>
      </c>
      <c r="B15" s="62" t="s">
        <v>37</v>
      </c>
      <c r="C15" s="62" t="s">
        <v>174</v>
      </c>
      <c r="D15" s="62">
        <v>26.0</v>
      </c>
      <c r="E15" s="62">
        <v>18.0</v>
      </c>
      <c r="F15" s="62">
        <v>11.0</v>
      </c>
      <c r="G15" s="62">
        <v>14.0</v>
      </c>
      <c r="H15" s="62">
        <v>14.0</v>
      </c>
      <c r="I15" s="62">
        <v>0.0</v>
      </c>
      <c r="J15" s="62">
        <v>15.0</v>
      </c>
      <c r="K15" s="62">
        <v>3.0</v>
      </c>
      <c r="L15" s="62">
        <v>0.0</v>
      </c>
      <c r="M15" s="62">
        <v>12.0</v>
      </c>
      <c r="N15" s="62">
        <v>15.0</v>
      </c>
      <c r="O15" s="62">
        <v>5.0</v>
      </c>
      <c r="P15" s="62">
        <v>15.0</v>
      </c>
      <c r="Q15" s="62">
        <v>0.0</v>
      </c>
      <c r="R15" s="62">
        <v>61815.0</v>
      </c>
      <c r="S15" s="62">
        <v>43646.0</v>
      </c>
      <c r="T15" s="62">
        <v>2.88083333333333</v>
      </c>
      <c r="U15" s="62">
        <v>2.88083333333333</v>
      </c>
      <c r="V15" s="62">
        <v>3.60583333333333</v>
      </c>
      <c r="W15" s="62">
        <v>3.60583333333333</v>
      </c>
      <c r="X15" s="62">
        <v>0.0</v>
      </c>
      <c r="Y15" s="62">
        <v>3.85472222222222</v>
      </c>
      <c r="Z15" s="62">
        <v>0.753888888888888</v>
      </c>
      <c r="AA15" s="62">
        <v>0.0</v>
      </c>
      <c r="AB15" s="62">
        <v>3.08055555555555</v>
      </c>
      <c r="AC15" s="62">
        <v>3.85083333333333</v>
      </c>
      <c r="AD15" s="62">
        <v>1.35611111111111</v>
      </c>
      <c r="AE15" s="62">
        <v>3.85083333333333</v>
      </c>
      <c r="AF15" s="62">
        <v>11.0</v>
      </c>
    </row>
    <row r="16">
      <c r="A16" s="68">
        <v>46160.0</v>
      </c>
      <c r="B16" s="62" t="s">
        <v>108</v>
      </c>
      <c r="C16" s="62" t="s">
        <v>175</v>
      </c>
      <c r="D16" s="62">
        <v>15.0</v>
      </c>
      <c r="E16" s="62">
        <v>8.0</v>
      </c>
      <c r="F16" s="62">
        <v>9.0</v>
      </c>
      <c r="G16" s="62">
        <v>9.0</v>
      </c>
      <c r="H16" s="62">
        <v>12.0</v>
      </c>
      <c r="I16" s="62">
        <v>3.0</v>
      </c>
      <c r="J16" s="62">
        <v>14.0</v>
      </c>
      <c r="K16" s="62">
        <v>1.0</v>
      </c>
      <c r="L16" s="62">
        <v>1.0</v>
      </c>
      <c r="M16" s="62">
        <v>12.0</v>
      </c>
      <c r="N16" s="62">
        <v>12.0</v>
      </c>
      <c r="O16" s="62">
        <v>5.0</v>
      </c>
      <c r="P16" s="62">
        <v>12.0</v>
      </c>
      <c r="Q16" s="62">
        <v>0.0</v>
      </c>
      <c r="R16" s="62">
        <v>34222.0</v>
      </c>
      <c r="S16" s="62">
        <v>17399.0</v>
      </c>
      <c r="T16" s="62">
        <v>1.96805555555555</v>
      </c>
      <c r="U16" s="62">
        <v>1.85527777777777</v>
      </c>
      <c r="V16" s="62">
        <v>1.89527777777777</v>
      </c>
      <c r="W16" s="62">
        <v>2.56694444444444</v>
      </c>
      <c r="X16" s="62">
        <v>0.671666666666666</v>
      </c>
      <c r="Y16" s="62">
        <v>3.00138888888888</v>
      </c>
      <c r="Z16" s="62">
        <v>0.185833333333333</v>
      </c>
      <c r="AA16" s="62">
        <v>0.204444444444444</v>
      </c>
      <c r="AB16" s="62">
        <v>2.48222222222222</v>
      </c>
      <c r="AC16" s="62">
        <v>2.48222222222222</v>
      </c>
      <c r="AD16" s="62">
        <v>1.01361111111111</v>
      </c>
      <c r="AE16" s="62">
        <v>2.48222222222222</v>
      </c>
      <c r="AF16" s="62">
        <v>9.0</v>
      </c>
    </row>
    <row r="17">
      <c r="A17" s="68">
        <v>46160.0</v>
      </c>
      <c r="B17" s="62" t="s">
        <v>56</v>
      </c>
      <c r="C17" s="62" t="s">
        <v>176</v>
      </c>
      <c r="D17" s="62">
        <v>64.0</v>
      </c>
      <c r="E17" s="62">
        <v>59.0</v>
      </c>
      <c r="F17" s="62">
        <v>29.0</v>
      </c>
      <c r="G17" s="62">
        <v>40.0</v>
      </c>
      <c r="H17" s="62">
        <v>44.0</v>
      </c>
      <c r="I17" s="62">
        <v>3.0</v>
      </c>
      <c r="J17" s="62">
        <v>43.0</v>
      </c>
      <c r="K17" s="62">
        <v>12.0</v>
      </c>
      <c r="L17" s="62">
        <v>1.0</v>
      </c>
      <c r="M17" s="62">
        <v>42.0</v>
      </c>
      <c r="N17" s="62">
        <v>47.0</v>
      </c>
      <c r="O17" s="62">
        <v>6.0</v>
      </c>
      <c r="P17" s="62">
        <v>47.0</v>
      </c>
      <c r="Q17" s="62">
        <v>0.0</v>
      </c>
      <c r="R17" s="62">
        <v>131837.0</v>
      </c>
      <c r="S17" s="62">
        <v>121010.0</v>
      </c>
      <c r="T17" s="62">
        <v>8.29249999999999</v>
      </c>
      <c r="U17" s="62">
        <v>7.21166666666666</v>
      </c>
      <c r="V17" s="62">
        <v>9.97833333333333</v>
      </c>
      <c r="W17" s="62">
        <v>10.8630555555555</v>
      </c>
      <c r="X17" s="62">
        <v>0.661666666666666</v>
      </c>
      <c r="Y17" s="62">
        <v>10.61</v>
      </c>
      <c r="Z17" s="62">
        <v>2.98972222222222</v>
      </c>
      <c r="AA17" s="62">
        <v>0.264444444444444</v>
      </c>
      <c r="AB17" s="62">
        <v>10.3908333333333</v>
      </c>
      <c r="AC17" s="62">
        <v>11.6316666666666</v>
      </c>
      <c r="AD17" s="62">
        <v>1.53416666666666</v>
      </c>
      <c r="AE17" s="62">
        <v>11.6316666666666</v>
      </c>
      <c r="AF17" s="62">
        <v>34.0</v>
      </c>
    </row>
    <row r="18">
      <c r="A18" s="68">
        <v>46160.0</v>
      </c>
      <c r="B18" s="62" t="s">
        <v>122</v>
      </c>
      <c r="C18" s="62" t="s">
        <v>177</v>
      </c>
      <c r="D18" s="62">
        <v>19.0</v>
      </c>
      <c r="E18" s="62">
        <v>0.0</v>
      </c>
      <c r="F18" s="62">
        <v>0.0</v>
      </c>
      <c r="G18" s="62">
        <v>0.0</v>
      </c>
      <c r="H18" s="62">
        <v>0.0</v>
      </c>
      <c r="I18" s="62">
        <v>0.0</v>
      </c>
      <c r="J18" s="62">
        <v>0.0</v>
      </c>
      <c r="K18" s="62">
        <v>0.0</v>
      </c>
      <c r="L18" s="62">
        <v>0.0</v>
      </c>
      <c r="M18" s="62">
        <v>0.0</v>
      </c>
      <c r="N18" s="62">
        <v>0.0</v>
      </c>
      <c r="O18" s="62">
        <v>0.0</v>
      </c>
      <c r="P18" s="62">
        <v>0.0</v>
      </c>
      <c r="Q18" s="62">
        <v>0.0</v>
      </c>
      <c r="R18" s="62">
        <v>47051.0</v>
      </c>
      <c r="S18" s="62">
        <v>0.0</v>
      </c>
      <c r="T18" s="62">
        <v>0.0</v>
      </c>
      <c r="U18" s="62">
        <v>0.0</v>
      </c>
      <c r="V18" s="62">
        <v>0.0</v>
      </c>
      <c r="W18" s="62">
        <v>0.0</v>
      </c>
      <c r="X18" s="62">
        <v>0.0</v>
      </c>
      <c r="Y18" s="62">
        <v>0.0</v>
      </c>
      <c r="Z18" s="62">
        <v>0.0</v>
      </c>
      <c r="AA18" s="62">
        <v>0.0</v>
      </c>
      <c r="AB18" s="62">
        <v>0.0</v>
      </c>
      <c r="AC18" s="62">
        <v>0.0</v>
      </c>
      <c r="AD18" s="62">
        <v>0.0</v>
      </c>
      <c r="AE18" s="62">
        <v>0.0</v>
      </c>
      <c r="AF18" s="62">
        <v>0.0</v>
      </c>
    </row>
    <row r="19">
      <c r="A19" s="68">
        <v>46160.0</v>
      </c>
      <c r="B19" s="62" t="s">
        <v>26</v>
      </c>
      <c r="C19" s="62" t="s">
        <v>178</v>
      </c>
      <c r="D19" s="62">
        <v>5.0</v>
      </c>
      <c r="E19" s="62">
        <v>25.0</v>
      </c>
      <c r="F19" s="62">
        <v>18.0</v>
      </c>
      <c r="G19" s="62">
        <v>18.0</v>
      </c>
      <c r="H19" s="62">
        <v>19.0</v>
      </c>
      <c r="I19" s="62">
        <v>2.0</v>
      </c>
      <c r="J19" s="62">
        <v>19.0</v>
      </c>
      <c r="K19" s="62">
        <v>2.0</v>
      </c>
      <c r="L19" s="62">
        <v>2.0</v>
      </c>
      <c r="M19" s="62">
        <v>15.0</v>
      </c>
      <c r="N19" s="62">
        <v>19.0</v>
      </c>
      <c r="O19" s="62">
        <v>5.0</v>
      </c>
      <c r="P19" s="62">
        <v>19.0</v>
      </c>
      <c r="Q19" s="62">
        <v>0.0</v>
      </c>
      <c r="R19" s="62">
        <v>10898.0</v>
      </c>
      <c r="S19" s="62">
        <v>54398.0</v>
      </c>
      <c r="T19" s="62">
        <v>3.37277777777777</v>
      </c>
      <c r="U19" s="62">
        <v>3.16277777777777</v>
      </c>
      <c r="V19" s="62">
        <v>3.16472222222222</v>
      </c>
      <c r="W19" s="62">
        <v>3.37333333333333</v>
      </c>
      <c r="X19" s="62">
        <v>0.373888888888888</v>
      </c>
      <c r="Y19" s="62">
        <v>3.375</v>
      </c>
      <c r="Z19" s="62">
        <v>0.344444444444444</v>
      </c>
      <c r="AA19" s="62">
        <v>0.341111111111111</v>
      </c>
      <c r="AB19" s="62">
        <v>2.66944444444444</v>
      </c>
      <c r="AC19" s="62">
        <v>3.37166666666666</v>
      </c>
      <c r="AD19" s="62">
        <v>0.958333333333333</v>
      </c>
      <c r="AE19" s="62">
        <v>3.37166666666666</v>
      </c>
      <c r="AF19" s="62">
        <v>19.0</v>
      </c>
    </row>
    <row r="20">
      <c r="A20" s="68">
        <v>46160.0</v>
      </c>
      <c r="B20" s="62" t="s">
        <v>62</v>
      </c>
      <c r="C20" s="62" t="s">
        <v>63</v>
      </c>
      <c r="D20" s="62">
        <v>0.0</v>
      </c>
      <c r="E20" s="62">
        <v>3.0</v>
      </c>
      <c r="F20" s="62">
        <v>0.0</v>
      </c>
      <c r="G20" s="62">
        <v>0.0</v>
      </c>
      <c r="H20" s="62">
        <v>0.0</v>
      </c>
      <c r="I20" s="62">
        <v>0.0</v>
      </c>
      <c r="J20" s="62">
        <v>0.0</v>
      </c>
      <c r="K20" s="62">
        <v>0.0</v>
      </c>
      <c r="L20" s="62">
        <v>0.0</v>
      </c>
      <c r="M20" s="62">
        <v>4.0</v>
      </c>
      <c r="N20" s="62">
        <v>12.0</v>
      </c>
      <c r="O20" s="62">
        <v>2.0</v>
      </c>
      <c r="P20" s="62">
        <v>12.0</v>
      </c>
      <c r="Q20" s="62">
        <v>0.0</v>
      </c>
      <c r="R20" s="62">
        <v>0.0</v>
      </c>
      <c r="S20" s="62">
        <v>7585.0</v>
      </c>
      <c r="T20" s="62">
        <v>0.0</v>
      </c>
      <c r="U20" s="62">
        <v>0.0</v>
      </c>
      <c r="V20" s="62">
        <v>0.0</v>
      </c>
      <c r="W20" s="62">
        <v>0.0</v>
      </c>
      <c r="X20" s="62">
        <v>0.0</v>
      </c>
      <c r="Y20" s="62">
        <v>0.0</v>
      </c>
      <c r="Z20" s="62">
        <v>0.0</v>
      </c>
      <c r="AA20" s="62">
        <v>0.0</v>
      </c>
      <c r="AB20" s="62">
        <v>0.763333333333333</v>
      </c>
      <c r="AC20" s="62">
        <v>2.36666666666666</v>
      </c>
      <c r="AD20" s="62">
        <v>0.425555555555555</v>
      </c>
      <c r="AE20" s="62">
        <v>2.36666666666666</v>
      </c>
      <c r="AF20" s="62">
        <v>0.0</v>
      </c>
    </row>
    <row r="21">
      <c r="A21" s="68">
        <v>46160.0</v>
      </c>
      <c r="B21" s="62" t="s">
        <v>116</v>
      </c>
      <c r="C21" s="62" t="s">
        <v>179</v>
      </c>
      <c r="D21" s="62">
        <v>20.0</v>
      </c>
      <c r="E21" s="62">
        <v>0.0</v>
      </c>
      <c r="F21" s="62">
        <v>0.0</v>
      </c>
      <c r="G21" s="62">
        <v>0.0</v>
      </c>
      <c r="H21" s="62">
        <v>0.0</v>
      </c>
      <c r="I21" s="62">
        <v>0.0</v>
      </c>
      <c r="J21" s="62">
        <v>0.0</v>
      </c>
      <c r="K21" s="62">
        <v>0.0</v>
      </c>
      <c r="L21" s="62">
        <v>0.0</v>
      </c>
      <c r="M21" s="62">
        <v>0.0</v>
      </c>
      <c r="N21" s="62">
        <v>0.0</v>
      </c>
      <c r="O21" s="62">
        <v>0.0</v>
      </c>
      <c r="P21" s="62">
        <v>0.0</v>
      </c>
      <c r="Q21" s="62">
        <v>0.0</v>
      </c>
      <c r="R21" s="62">
        <v>43818.0</v>
      </c>
      <c r="S21" s="62">
        <v>0.0</v>
      </c>
      <c r="T21" s="62">
        <v>0.0</v>
      </c>
      <c r="U21" s="62">
        <v>0.0</v>
      </c>
      <c r="V21" s="62">
        <v>0.0</v>
      </c>
      <c r="W21" s="62">
        <v>0.0</v>
      </c>
      <c r="X21" s="62">
        <v>0.0</v>
      </c>
      <c r="Y21" s="62">
        <v>0.0</v>
      </c>
      <c r="Z21" s="62">
        <v>0.0</v>
      </c>
      <c r="AA21" s="62">
        <v>0.0</v>
      </c>
      <c r="AB21" s="62">
        <v>0.0</v>
      </c>
      <c r="AC21" s="62">
        <v>0.0</v>
      </c>
      <c r="AD21" s="62">
        <v>0.0</v>
      </c>
      <c r="AE21" s="62">
        <v>0.0</v>
      </c>
      <c r="AF21" s="62">
        <v>0.0</v>
      </c>
    </row>
    <row r="22">
      <c r="A22" s="68">
        <v>46160.0</v>
      </c>
      <c r="B22" s="62" t="s">
        <v>89</v>
      </c>
      <c r="C22" s="62" t="s">
        <v>180</v>
      </c>
      <c r="D22" s="62">
        <v>9.0</v>
      </c>
      <c r="E22" s="62">
        <v>15.0</v>
      </c>
      <c r="F22" s="62">
        <v>0.0</v>
      </c>
      <c r="G22" s="62">
        <v>0.0</v>
      </c>
      <c r="H22" s="62">
        <v>0.0</v>
      </c>
      <c r="I22" s="62">
        <v>0.0</v>
      </c>
      <c r="J22" s="62">
        <v>0.0</v>
      </c>
      <c r="K22" s="62">
        <v>0.0</v>
      </c>
      <c r="L22" s="62">
        <v>0.0</v>
      </c>
      <c r="M22" s="62">
        <v>15.0</v>
      </c>
      <c r="N22" s="62">
        <v>19.0</v>
      </c>
      <c r="O22" s="62">
        <v>6.0</v>
      </c>
      <c r="P22" s="62">
        <v>19.0</v>
      </c>
      <c r="Q22" s="62">
        <v>0.0</v>
      </c>
      <c r="R22" s="62">
        <v>19240.0</v>
      </c>
      <c r="S22" s="62">
        <v>31988.0</v>
      </c>
      <c r="T22" s="62">
        <v>3.58722222222222</v>
      </c>
      <c r="U22" s="62">
        <v>0.0</v>
      </c>
      <c r="V22" s="62">
        <v>0.0</v>
      </c>
      <c r="W22" s="62">
        <v>0.0</v>
      </c>
      <c r="X22" s="62">
        <v>0.0</v>
      </c>
      <c r="Y22" s="62">
        <v>0.0</v>
      </c>
      <c r="Z22" s="62">
        <v>0.0</v>
      </c>
      <c r="AA22" s="62">
        <v>0.0</v>
      </c>
      <c r="AB22" s="62">
        <v>3.56833333333333</v>
      </c>
      <c r="AC22" s="62">
        <v>4.66555555555555</v>
      </c>
      <c r="AD22" s="62">
        <v>1.29694444444444</v>
      </c>
      <c r="AE22" s="62">
        <v>4.66555555555555</v>
      </c>
      <c r="AF22" s="62">
        <v>15.0</v>
      </c>
    </row>
    <row r="23">
      <c r="A23" s="68">
        <v>46153.0</v>
      </c>
      <c r="B23" s="62" t="s">
        <v>79</v>
      </c>
      <c r="C23" s="62" t="s">
        <v>162</v>
      </c>
      <c r="D23" s="62">
        <v>35.0</v>
      </c>
      <c r="E23" s="62">
        <v>52.0</v>
      </c>
      <c r="F23" s="62">
        <v>21.0</v>
      </c>
      <c r="G23" s="62">
        <v>18.0</v>
      </c>
      <c r="H23" s="62">
        <v>25.0</v>
      </c>
      <c r="I23" s="62">
        <v>8.0</v>
      </c>
      <c r="J23" s="62">
        <v>23.0</v>
      </c>
      <c r="K23" s="62">
        <v>6.0</v>
      </c>
      <c r="L23" s="62">
        <v>1.0</v>
      </c>
      <c r="M23" s="62">
        <v>20.0</v>
      </c>
      <c r="N23" s="62">
        <v>24.0</v>
      </c>
      <c r="O23" s="62">
        <v>6.0</v>
      </c>
      <c r="P23" s="62">
        <v>24.0</v>
      </c>
      <c r="Q23" s="62">
        <v>0.0</v>
      </c>
      <c r="R23" s="62">
        <v>83837.0</v>
      </c>
      <c r="S23" s="62">
        <v>125646.0</v>
      </c>
      <c r="T23" s="62">
        <v>4.94055555555555</v>
      </c>
      <c r="U23" s="62">
        <v>4.52222222222222</v>
      </c>
      <c r="V23" s="62">
        <v>3.87638888888888</v>
      </c>
      <c r="W23" s="62">
        <v>5.38777777777777</v>
      </c>
      <c r="X23" s="62">
        <v>1.73777777777777</v>
      </c>
      <c r="Y23" s="62">
        <v>4.94333333333333</v>
      </c>
      <c r="Z23" s="62">
        <v>1.29194444444444</v>
      </c>
      <c r="AA23" s="62">
        <v>0.221388888888888</v>
      </c>
      <c r="AB23" s="62">
        <v>4.31999999999999</v>
      </c>
      <c r="AC23" s="62">
        <v>5.17249999999999</v>
      </c>
      <c r="AD23" s="62">
        <v>1.18277777777777</v>
      </c>
      <c r="AE23" s="62">
        <v>5.17249999999999</v>
      </c>
      <c r="AF23" s="62">
        <v>23.0</v>
      </c>
    </row>
    <row r="24">
      <c r="A24" s="68">
        <v>46153.0</v>
      </c>
      <c r="B24" s="62" t="s">
        <v>96</v>
      </c>
      <c r="C24" s="62" t="s">
        <v>97</v>
      </c>
      <c r="D24" s="62">
        <v>15.0</v>
      </c>
      <c r="E24" s="62">
        <v>15.0</v>
      </c>
      <c r="F24" s="62">
        <v>0.0</v>
      </c>
      <c r="G24" s="62">
        <v>0.0</v>
      </c>
      <c r="H24" s="62">
        <v>5.0</v>
      </c>
      <c r="I24" s="62">
        <v>0.0</v>
      </c>
      <c r="J24" s="62">
        <v>5.0</v>
      </c>
      <c r="K24" s="62">
        <v>0.0</v>
      </c>
      <c r="L24" s="62">
        <v>0.0</v>
      </c>
      <c r="M24" s="62">
        <v>18.0</v>
      </c>
      <c r="N24" s="62">
        <v>19.0</v>
      </c>
      <c r="O24" s="62">
        <v>7.0</v>
      </c>
      <c r="P24" s="62">
        <v>19.0</v>
      </c>
      <c r="Q24" s="62">
        <v>0.0</v>
      </c>
      <c r="R24" s="62">
        <v>32933.0</v>
      </c>
      <c r="S24" s="62">
        <v>32933.0</v>
      </c>
      <c r="T24" s="62">
        <v>2.54</v>
      </c>
      <c r="U24" s="62">
        <v>0.0</v>
      </c>
      <c r="V24" s="62">
        <v>0.0</v>
      </c>
      <c r="W24" s="62">
        <v>1.20166666666666</v>
      </c>
      <c r="X24" s="62">
        <v>0.0</v>
      </c>
      <c r="Y24" s="62">
        <v>1.20166666666666</v>
      </c>
      <c r="Z24" s="62">
        <v>0.0</v>
      </c>
      <c r="AA24" s="62">
        <v>0.0</v>
      </c>
      <c r="AB24" s="62">
        <v>4.39833333333333</v>
      </c>
      <c r="AC24" s="62">
        <v>4.63333333333333</v>
      </c>
      <c r="AD24" s="62">
        <v>1.55916666666666</v>
      </c>
      <c r="AE24" s="62">
        <v>4.63333333333333</v>
      </c>
      <c r="AF24" s="62">
        <v>10.0</v>
      </c>
    </row>
    <row r="25">
      <c r="A25" s="68">
        <v>46153.0</v>
      </c>
      <c r="B25" s="62" t="s">
        <v>120</v>
      </c>
      <c r="C25" s="62" t="s">
        <v>181</v>
      </c>
      <c r="D25" s="62">
        <v>5.0</v>
      </c>
      <c r="E25" s="62">
        <v>0.0</v>
      </c>
      <c r="F25" s="62">
        <v>0.0</v>
      </c>
      <c r="G25" s="62">
        <v>0.0</v>
      </c>
      <c r="H25" s="62">
        <v>0.0</v>
      </c>
      <c r="I25" s="62">
        <v>0.0</v>
      </c>
      <c r="J25" s="62">
        <v>0.0</v>
      </c>
      <c r="K25" s="62">
        <v>0.0</v>
      </c>
      <c r="L25" s="62">
        <v>0.0</v>
      </c>
      <c r="M25" s="62">
        <v>0.0</v>
      </c>
      <c r="N25" s="62">
        <v>0.0</v>
      </c>
      <c r="O25" s="62">
        <v>0.0</v>
      </c>
      <c r="P25" s="62">
        <v>0.0</v>
      </c>
      <c r="Q25" s="62">
        <v>0.0</v>
      </c>
      <c r="R25" s="62">
        <v>12424.0</v>
      </c>
      <c r="S25" s="62">
        <v>0.0</v>
      </c>
      <c r="T25" s="62">
        <v>0.0</v>
      </c>
      <c r="U25" s="62">
        <v>0.0</v>
      </c>
      <c r="V25" s="62">
        <v>0.0</v>
      </c>
      <c r="W25" s="62">
        <v>0.0</v>
      </c>
      <c r="X25" s="62">
        <v>0.0</v>
      </c>
      <c r="Y25" s="62">
        <v>0.0</v>
      </c>
      <c r="Z25" s="62">
        <v>0.0</v>
      </c>
      <c r="AA25" s="62">
        <v>0.0</v>
      </c>
      <c r="AB25" s="62">
        <v>0.0</v>
      </c>
      <c r="AC25" s="62">
        <v>0.0</v>
      </c>
      <c r="AD25" s="62">
        <v>0.0</v>
      </c>
      <c r="AE25" s="62">
        <v>0.0</v>
      </c>
      <c r="AF25" s="62">
        <v>0.0</v>
      </c>
    </row>
    <row r="26">
      <c r="A26" s="68">
        <v>46153.0</v>
      </c>
      <c r="B26" s="62" t="s">
        <v>71</v>
      </c>
      <c r="C26" s="62" t="s">
        <v>163</v>
      </c>
      <c r="D26" s="62">
        <v>0.0</v>
      </c>
      <c r="E26" s="62">
        <v>0.0</v>
      </c>
      <c r="F26" s="62">
        <v>0.0</v>
      </c>
      <c r="G26" s="62">
        <v>0.0</v>
      </c>
      <c r="H26" s="62">
        <v>0.0</v>
      </c>
      <c r="I26" s="62">
        <v>0.0</v>
      </c>
      <c r="J26" s="62">
        <v>0.0</v>
      </c>
      <c r="K26" s="62">
        <v>0.0</v>
      </c>
      <c r="L26" s="62">
        <v>0.0</v>
      </c>
      <c r="M26" s="62">
        <v>0.0</v>
      </c>
      <c r="N26" s="62">
        <v>1.0</v>
      </c>
      <c r="O26" s="62">
        <v>1.0</v>
      </c>
      <c r="P26" s="62">
        <v>1.0</v>
      </c>
      <c r="Q26" s="62">
        <v>0.0</v>
      </c>
      <c r="R26" s="62">
        <v>0.0</v>
      </c>
      <c r="S26" s="62">
        <v>0.0</v>
      </c>
      <c r="T26" s="62">
        <v>0.0</v>
      </c>
      <c r="U26" s="62">
        <v>0.0</v>
      </c>
      <c r="V26" s="62">
        <v>0.0</v>
      </c>
      <c r="W26" s="62">
        <v>0.0</v>
      </c>
      <c r="X26" s="62">
        <v>0.0</v>
      </c>
      <c r="Y26" s="62">
        <v>0.0</v>
      </c>
      <c r="Z26" s="62">
        <v>0.0</v>
      </c>
      <c r="AA26" s="62">
        <v>0.0</v>
      </c>
      <c r="AB26" s="62">
        <v>0.0</v>
      </c>
      <c r="AC26" s="62">
        <v>0.274722222222222</v>
      </c>
      <c r="AD26" s="62">
        <v>0.272222222222222</v>
      </c>
      <c r="AE26" s="62">
        <v>0.274722222222222</v>
      </c>
      <c r="AF26" s="62">
        <v>0.0</v>
      </c>
    </row>
    <row r="27">
      <c r="A27" s="68">
        <v>46153.0</v>
      </c>
      <c r="B27" s="62" t="s">
        <v>118</v>
      </c>
      <c r="C27" s="62" t="s">
        <v>164</v>
      </c>
      <c r="D27" s="62">
        <v>5.0</v>
      </c>
      <c r="E27" s="62">
        <v>0.0</v>
      </c>
      <c r="F27" s="62">
        <v>0.0</v>
      </c>
      <c r="G27" s="62">
        <v>0.0</v>
      </c>
      <c r="H27" s="62">
        <v>0.0</v>
      </c>
      <c r="I27" s="62">
        <v>0.0</v>
      </c>
      <c r="J27" s="62">
        <v>0.0</v>
      </c>
      <c r="K27" s="62">
        <v>0.0</v>
      </c>
      <c r="L27" s="62">
        <v>0.0</v>
      </c>
      <c r="M27" s="62">
        <v>0.0</v>
      </c>
      <c r="N27" s="62">
        <v>0.0</v>
      </c>
      <c r="O27" s="62">
        <v>0.0</v>
      </c>
      <c r="P27" s="62">
        <v>0.0</v>
      </c>
      <c r="Q27" s="62">
        <v>0.0</v>
      </c>
      <c r="R27" s="62">
        <v>12372.0</v>
      </c>
      <c r="S27" s="62">
        <v>0.0</v>
      </c>
      <c r="T27" s="62">
        <v>0.0</v>
      </c>
      <c r="U27" s="62">
        <v>0.0</v>
      </c>
      <c r="V27" s="62">
        <v>0.0</v>
      </c>
      <c r="W27" s="62">
        <v>0.0</v>
      </c>
      <c r="X27" s="62">
        <v>0.0</v>
      </c>
      <c r="Y27" s="62">
        <v>0.0</v>
      </c>
      <c r="Z27" s="62">
        <v>0.0</v>
      </c>
      <c r="AA27" s="62">
        <v>0.0</v>
      </c>
      <c r="AB27" s="62">
        <v>0.0</v>
      </c>
      <c r="AC27" s="62">
        <v>0.0</v>
      </c>
      <c r="AD27" s="62">
        <v>0.0</v>
      </c>
      <c r="AE27" s="62">
        <v>0.0</v>
      </c>
      <c r="AF27" s="62">
        <v>0.0</v>
      </c>
    </row>
    <row r="28">
      <c r="A28" s="68">
        <v>46153.0</v>
      </c>
      <c r="B28" s="62" t="s">
        <v>76</v>
      </c>
      <c r="C28" s="62" t="s">
        <v>165</v>
      </c>
      <c r="D28" s="62">
        <v>1.0</v>
      </c>
      <c r="E28" s="62">
        <v>20.0</v>
      </c>
      <c r="F28" s="62">
        <v>24.0</v>
      </c>
      <c r="G28" s="62">
        <v>25.0</v>
      </c>
      <c r="H28" s="62">
        <v>25.0</v>
      </c>
      <c r="I28" s="62">
        <v>0.0</v>
      </c>
      <c r="J28" s="62">
        <v>22.0</v>
      </c>
      <c r="K28" s="62">
        <v>1.0</v>
      </c>
      <c r="L28" s="62">
        <v>1.0</v>
      </c>
      <c r="M28" s="62">
        <v>18.0</v>
      </c>
      <c r="N28" s="62">
        <v>22.0</v>
      </c>
      <c r="O28" s="62">
        <v>6.0</v>
      </c>
      <c r="P28" s="62">
        <v>22.0</v>
      </c>
      <c r="Q28" s="62">
        <v>0.0</v>
      </c>
      <c r="R28" s="62">
        <v>3118.0</v>
      </c>
      <c r="S28" s="62">
        <v>61019.0</v>
      </c>
      <c r="T28" s="62">
        <v>7.54083333333333</v>
      </c>
      <c r="U28" s="62">
        <v>8.14583333333333</v>
      </c>
      <c r="V28" s="62">
        <v>8.54833333333333</v>
      </c>
      <c r="W28" s="62">
        <v>8.54833333333333</v>
      </c>
      <c r="X28" s="62">
        <v>0.0</v>
      </c>
      <c r="Y28" s="62">
        <v>7.39222222222222</v>
      </c>
      <c r="Z28" s="62">
        <v>0.273333333333333</v>
      </c>
      <c r="AA28" s="62">
        <v>0.273333333333333</v>
      </c>
      <c r="AB28" s="62">
        <v>6.14888888888888</v>
      </c>
      <c r="AC28" s="62">
        <v>7.39222222222222</v>
      </c>
      <c r="AD28" s="62">
        <v>1.38222222222222</v>
      </c>
      <c r="AE28" s="62">
        <v>7.39222222222222</v>
      </c>
      <c r="AF28" s="62">
        <v>22.0</v>
      </c>
    </row>
    <row r="29">
      <c r="A29" s="68">
        <v>46153.0</v>
      </c>
      <c r="B29" s="62" t="s">
        <v>104</v>
      </c>
      <c r="C29" s="62" t="s">
        <v>166</v>
      </c>
      <c r="D29" s="62">
        <v>23.0</v>
      </c>
      <c r="E29" s="62">
        <v>11.0</v>
      </c>
      <c r="F29" s="62">
        <v>0.0</v>
      </c>
      <c r="G29" s="62">
        <v>0.0</v>
      </c>
      <c r="H29" s="62">
        <v>0.0</v>
      </c>
      <c r="I29" s="62">
        <v>0.0</v>
      </c>
      <c r="J29" s="62">
        <v>0.0</v>
      </c>
      <c r="K29" s="62">
        <v>0.0</v>
      </c>
      <c r="L29" s="62">
        <v>0.0</v>
      </c>
      <c r="M29" s="62">
        <v>0.0</v>
      </c>
      <c r="N29" s="62">
        <v>0.0</v>
      </c>
      <c r="O29" s="62">
        <v>2.0</v>
      </c>
      <c r="P29" s="62">
        <v>0.0</v>
      </c>
      <c r="Q29" s="62">
        <v>0.0</v>
      </c>
      <c r="R29" s="62">
        <v>54232.0</v>
      </c>
      <c r="S29" s="62">
        <v>27515.0</v>
      </c>
      <c r="T29" s="62">
        <v>2.04027777777777</v>
      </c>
      <c r="U29" s="62">
        <v>0.0</v>
      </c>
      <c r="V29" s="62">
        <v>0.0</v>
      </c>
      <c r="W29" s="62">
        <v>0.0</v>
      </c>
      <c r="X29" s="62">
        <v>0.0</v>
      </c>
      <c r="Y29" s="62">
        <v>0.0</v>
      </c>
      <c r="Z29" s="62">
        <v>0.0</v>
      </c>
      <c r="AA29" s="62">
        <v>0.0</v>
      </c>
      <c r="AB29" s="62">
        <v>0.0</v>
      </c>
      <c r="AC29" s="62">
        <v>0.0</v>
      </c>
      <c r="AD29" s="62">
        <v>0.430555555555555</v>
      </c>
      <c r="AE29" s="62">
        <v>0.0</v>
      </c>
      <c r="AF29" s="62">
        <v>9.0</v>
      </c>
    </row>
    <row r="30">
      <c r="A30" s="68">
        <v>46153.0</v>
      </c>
      <c r="B30" s="62" t="s">
        <v>100</v>
      </c>
      <c r="C30" s="62" t="s">
        <v>167</v>
      </c>
      <c r="D30" s="62">
        <v>46.0</v>
      </c>
      <c r="E30" s="62">
        <v>31.0</v>
      </c>
      <c r="F30" s="62">
        <v>4.0</v>
      </c>
      <c r="G30" s="62">
        <v>6.0</v>
      </c>
      <c r="H30" s="62">
        <v>14.0</v>
      </c>
      <c r="I30" s="62">
        <v>8.0</v>
      </c>
      <c r="J30" s="62">
        <v>14.0</v>
      </c>
      <c r="K30" s="62">
        <v>8.0</v>
      </c>
      <c r="L30" s="62">
        <v>1.0</v>
      </c>
      <c r="M30" s="62">
        <v>10.0</v>
      </c>
      <c r="N30" s="62">
        <v>10.0</v>
      </c>
      <c r="O30" s="62">
        <v>7.0</v>
      </c>
      <c r="P30" s="62">
        <v>10.0</v>
      </c>
      <c r="Q30" s="62">
        <v>0.0</v>
      </c>
      <c r="R30" s="62">
        <v>109358.0</v>
      </c>
      <c r="S30" s="62">
        <v>71081.0</v>
      </c>
      <c r="T30" s="62">
        <v>3.11444444444444</v>
      </c>
      <c r="U30" s="62">
        <v>0.828333333333333</v>
      </c>
      <c r="V30" s="62">
        <v>1.3375</v>
      </c>
      <c r="W30" s="62">
        <v>3.00472222222222</v>
      </c>
      <c r="X30" s="62">
        <v>1.66722222222222</v>
      </c>
      <c r="Y30" s="62">
        <v>3.05388888888888</v>
      </c>
      <c r="Z30" s="62">
        <v>1.77416666666666</v>
      </c>
      <c r="AA30" s="62">
        <v>0.213333333333333</v>
      </c>
      <c r="AB30" s="62">
        <v>2.21222222222222</v>
      </c>
      <c r="AC30" s="62">
        <v>2.21222222222222</v>
      </c>
      <c r="AD30" s="62">
        <v>1.64222222222222</v>
      </c>
      <c r="AE30" s="62">
        <v>2.21222222222222</v>
      </c>
      <c r="AF30" s="62">
        <v>15.0</v>
      </c>
    </row>
    <row r="31">
      <c r="A31" s="68">
        <v>46153.0</v>
      </c>
      <c r="B31" s="62" t="s">
        <v>32</v>
      </c>
      <c r="C31" s="62" t="s">
        <v>168</v>
      </c>
      <c r="D31" s="62">
        <v>14.0</v>
      </c>
      <c r="E31" s="62">
        <v>24.0</v>
      </c>
      <c r="F31" s="62">
        <v>15.0</v>
      </c>
      <c r="G31" s="62">
        <v>0.0</v>
      </c>
      <c r="H31" s="62">
        <v>24.0</v>
      </c>
      <c r="I31" s="62">
        <v>7.0</v>
      </c>
      <c r="J31" s="62">
        <v>24.0</v>
      </c>
      <c r="K31" s="62">
        <v>3.0</v>
      </c>
      <c r="L31" s="62">
        <v>0.0</v>
      </c>
      <c r="M31" s="62">
        <v>24.0</v>
      </c>
      <c r="N31" s="62">
        <v>24.0</v>
      </c>
      <c r="O31" s="62">
        <v>7.0</v>
      </c>
      <c r="P31" s="62">
        <v>24.0</v>
      </c>
      <c r="Q31" s="62">
        <v>0.0</v>
      </c>
      <c r="R31" s="62">
        <v>33662.0</v>
      </c>
      <c r="S31" s="62">
        <v>57725.0</v>
      </c>
      <c r="T31" s="62">
        <v>5.73222222222222</v>
      </c>
      <c r="U31" s="62">
        <v>3.3025</v>
      </c>
      <c r="V31" s="62">
        <v>0.0</v>
      </c>
      <c r="W31" s="62">
        <v>5.34666666666666</v>
      </c>
      <c r="X31" s="62">
        <v>1.54555555555555</v>
      </c>
      <c r="Y31" s="62">
        <v>5.35499999999999</v>
      </c>
      <c r="Z31" s="62">
        <v>0.683055555555555</v>
      </c>
      <c r="AA31" s="62">
        <v>0.0</v>
      </c>
      <c r="AB31" s="62">
        <v>5.34833333333333</v>
      </c>
      <c r="AC31" s="62">
        <v>5.34833333333333</v>
      </c>
      <c r="AD31" s="62">
        <v>1.49333333333333</v>
      </c>
      <c r="AE31" s="62">
        <v>5.34833333333333</v>
      </c>
      <c r="AF31" s="62">
        <v>26.0</v>
      </c>
    </row>
    <row r="32">
      <c r="A32" s="68">
        <v>46153.0</v>
      </c>
      <c r="B32" s="62" t="s">
        <v>110</v>
      </c>
      <c r="C32" s="62" t="s">
        <v>169</v>
      </c>
      <c r="D32" s="62">
        <v>8.0</v>
      </c>
      <c r="E32" s="62">
        <v>15.0</v>
      </c>
      <c r="F32" s="62">
        <v>0.0</v>
      </c>
      <c r="G32" s="62">
        <v>0.0</v>
      </c>
      <c r="H32" s="62">
        <v>0.0</v>
      </c>
      <c r="I32" s="62">
        <v>0.0</v>
      </c>
      <c r="J32" s="62">
        <v>0.0</v>
      </c>
      <c r="K32" s="62">
        <v>0.0</v>
      </c>
      <c r="L32" s="62">
        <v>0.0</v>
      </c>
      <c r="M32" s="62">
        <v>0.0</v>
      </c>
      <c r="N32" s="62">
        <v>0.0</v>
      </c>
      <c r="O32" s="62">
        <v>0.0</v>
      </c>
      <c r="P32" s="62">
        <v>0.0</v>
      </c>
      <c r="Q32" s="62">
        <v>0.0</v>
      </c>
      <c r="R32" s="62">
        <v>19570.0</v>
      </c>
      <c r="S32" s="62">
        <v>32118.0</v>
      </c>
      <c r="T32" s="62">
        <v>1.18583333333333</v>
      </c>
      <c r="U32" s="62">
        <v>0.0</v>
      </c>
      <c r="V32" s="62">
        <v>0.0</v>
      </c>
      <c r="W32" s="62">
        <v>0.0</v>
      </c>
      <c r="X32" s="62">
        <v>0.0</v>
      </c>
      <c r="Y32" s="62">
        <v>0.0</v>
      </c>
      <c r="Z32" s="62">
        <v>0.0</v>
      </c>
      <c r="AA32" s="62">
        <v>0.0</v>
      </c>
      <c r="AB32" s="62">
        <v>0.0</v>
      </c>
      <c r="AC32" s="62">
        <v>0.0</v>
      </c>
      <c r="AD32" s="62">
        <v>0.0</v>
      </c>
      <c r="AE32" s="62">
        <v>0.0</v>
      </c>
      <c r="AF32" s="62">
        <v>5.0</v>
      </c>
    </row>
    <row r="33">
      <c r="A33" s="68">
        <v>46153.0</v>
      </c>
      <c r="B33" s="62" t="s">
        <v>102</v>
      </c>
      <c r="C33" s="62" t="s">
        <v>170</v>
      </c>
      <c r="D33" s="62">
        <v>30.0</v>
      </c>
      <c r="E33" s="62">
        <v>4.0</v>
      </c>
      <c r="F33" s="62">
        <v>0.0</v>
      </c>
      <c r="G33" s="62">
        <v>0.0</v>
      </c>
      <c r="H33" s="62">
        <v>0.0</v>
      </c>
      <c r="I33" s="62">
        <v>0.0</v>
      </c>
      <c r="J33" s="62">
        <v>0.0</v>
      </c>
      <c r="K33" s="62">
        <v>0.0</v>
      </c>
      <c r="L33" s="62">
        <v>0.0</v>
      </c>
      <c r="M33" s="62">
        <v>4.0</v>
      </c>
      <c r="N33" s="62">
        <v>3.0</v>
      </c>
      <c r="O33" s="62">
        <v>3.0</v>
      </c>
      <c r="P33" s="62">
        <v>3.0</v>
      </c>
      <c r="Q33" s="62">
        <v>0.0</v>
      </c>
      <c r="R33" s="62">
        <v>69830.0</v>
      </c>
      <c r="S33" s="62">
        <v>10052.0</v>
      </c>
      <c r="T33" s="62">
        <v>0.257222222222222</v>
      </c>
      <c r="U33" s="62">
        <v>0.0</v>
      </c>
      <c r="V33" s="62">
        <v>0.0</v>
      </c>
      <c r="W33" s="62">
        <v>0.0</v>
      </c>
      <c r="X33" s="62">
        <v>0.0</v>
      </c>
      <c r="Y33" s="62">
        <v>0.0</v>
      </c>
      <c r="Z33" s="62">
        <v>0.0</v>
      </c>
      <c r="AA33" s="62">
        <v>0.0</v>
      </c>
      <c r="AB33" s="62">
        <v>1.01638888888888</v>
      </c>
      <c r="AC33" s="62">
        <v>0.766944444444444</v>
      </c>
      <c r="AD33" s="62">
        <v>0.790833333333333</v>
      </c>
      <c r="AE33" s="62">
        <v>0.766944444444444</v>
      </c>
      <c r="AF33" s="62">
        <v>1.0</v>
      </c>
    </row>
    <row r="34">
      <c r="A34" s="68">
        <v>46153.0</v>
      </c>
      <c r="B34" s="62" t="s">
        <v>124</v>
      </c>
      <c r="C34" s="62" t="s">
        <v>171</v>
      </c>
      <c r="D34" s="62">
        <v>5.0</v>
      </c>
      <c r="E34" s="62">
        <v>0.0</v>
      </c>
      <c r="F34" s="62">
        <v>0.0</v>
      </c>
      <c r="G34" s="62">
        <v>0.0</v>
      </c>
      <c r="H34" s="62">
        <v>0.0</v>
      </c>
      <c r="I34" s="62">
        <v>0.0</v>
      </c>
      <c r="J34" s="62">
        <v>0.0</v>
      </c>
      <c r="K34" s="62">
        <v>0.0</v>
      </c>
      <c r="L34" s="62">
        <v>0.0</v>
      </c>
      <c r="M34" s="62">
        <v>0.0</v>
      </c>
      <c r="N34" s="62">
        <v>0.0</v>
      </c>
      <c r="O34" s="62">
        <v>0.0</v>
      </c>
      <c r="P34" s="62">
        <v>0.0</v>
      </c>
      <c r="Q34" s="62">
        <v>0.0</v>
      </c>
      <c r="R34" s="62">
        <v>12540.0</v>
      </c>
      <c r="S34" s="62">
        <v>0.0</v>
      </c>
      <c r="T34" s="62">
        <v>0.0</v>
      </c>
      <c r="U34" s="62">
        <v>0.0</v>
      </c>
      <c r="V34" s="62">
        <v>0.0</v>
      </c>
      <c r="W34" s="62">
        <v>0.0</v>
      </c>
      <c r="X34" s="62">
        <v>0.0</v>
      </c>
      <c r="Y34" s="62">
        <v>0.0</v>
      </c>
      <c r="Z34" s="62">
        <v>0.0</v>
      </c>
      <c r="AA34" s="62">
        <v>0.0</v>
      </c>
      <c r="AB34" s="62">
        <v>0.0</v>
      </c>
      <c r="AC34" s="62">
        <v>0.0</v>
      </c>
      <c r="AD34" s="62">
        <v>0.0</v>
      </c>
      <c r="AE34" s="62">
        <v>0.0</v>
      </c>
      <c r="AF34" s="62">
        <v>0.0</v>
      </c>
    </row>
    <row r="35">
      <c r="A35" s="68">
        <v>46153.0</v>
      </c>
      <c r="B35" s="62" t="s">
        <v>41</v>
      </c>
      <c r="C35" s="62" t="s">
        <v>172</v>
      </c>
      <c r="D35" s="62">
        <v>27.0</v>
      </c>
      <c r="E35" s="62">
        <v>31.0</v>
      </c>
      <c r="F35" s="62">
        <v>0.0</v>
      </c>
      <c r="G35" s="62">
        <v>0.0</v>
      </c>
      <c r="H35" s="62">
        <v>29.0</v>
      </c>
      <c r="I35" s="62">
        <v>25.0</v>
      </c>
      <c r="J35" s="62">
        <v>26.0</v>
      </c>
      <c r="K35" s="62">
        <v>21.0</v>
      </c>
      <c r="L35" s="62">
        <v>1.0</v>
      </c>
      <c r="M35" s="62">
        <v>21.0</v>
      </c>
      <c r="N35" s="62">
        <v>23.0</v>
      </c>
      <c r="O35" s="62">
        <v>7.0</v>
      </c>
      <c r="P35" s="62">
        <v>23.0</v>
      </c>
      <c r="Q35" s="62">
        <v>0.0</v>
      </c>
      <c r="R35" s="62">
        <v>78423.0</v>
      </c>
      <c r="S35" s="62">
        <v>88769.0</v>
      </c>
      <c r="T35" s="62">
        <v>7.22416666666666</v>
      </c>
      <c r="U35" s="62">
        <v>0.0</v>
      </c>
      <c r="V35" s="62">
        <v>0.0</v>
      </c>
      <c r="W35" s="62">
        <v>7.22611111111111</v>
      </c>
      <c r="X35" s="62">
        <v>6.12583333333333</v>
      </c>
      <c r="Y35" s="62">
        <v>6.30111111111111</v>
      </c>
      <c r="Z35" s="62">
        <v>5.17611111111111</v>
      </c>
      <c r="AA35" s="62">
        <v>0.24</v>
      </c>
      <c r="AB35" s="62">
        <v>4.88777777777777</v>
      </c>
      <c r="AC35" s="62">
        <v>5.40222222222222</v>
      </c>
      <c r="AD35" s="62">
        <v>1.63</v>
      </c>
      <c r="AE35" s="62">
        <v>5.40222222222222</v>
      </c>
      <c r="AF35" s="62">
        <v>29.0</v>
      </c>
    </row>
    <row r="36">
      <c r="A36" s="68">
        <v>46153.0</v>
      </c>
      <c r="B36" s="62" t="s">
        <v>65</v>
      </c>
      <c r="C36" s="62" t="s">
        <v>173</v>
      </c>
      <c r="D36" s="62">
        <v>50.0</v>
      </c>
      <c r="E36" s="62">
        <v>32.0</v>
      </c>
      <c r="F36" s="62">
        <v>0.0</v>
      </c>
      <c r="G36" s="62">
        <v>0.0</v>
      </c>
      <c r="H36" s="62">
        <v>21.0</v>
      </c>
      <c r="I36" s="62">
        <v>21.0</v>
      </c>
      <c r="J36" s="62">
        <v>21.0</v>
      </c>
      <c r="K36" s="62">
        <v>15.0</v>
      </c>
      <c r="L36" s="62">
        <v>4.0</v>
      </c>
      <c r="M36" s="62">
        <v>20.0</v>
      </c>
      <c r="N36" s="62">
        <v>20.0</v>
      </c>
      <c r="O36" s="62">
        <v>8.0</v>
      </c>
      <c r="P36" s="62">
        <v>20.0</v>
      </c>
      <c r="Q36" s="62">
        <v>0.0</v>
      </c>
      <c r="R36" s="62">
        <v>99981.0</v>
      </c>
      <c r="S36" s="62">
        <v>66164.0</v>
      </c>
      <c r="T36" s="62">
        <v>4.89888888888888</v>
      </c>
      <c r="U36" s="62">
        <v>0.0</v>
      </c>
      <c r="V36" s="62">
        <v>0.0</v>
      </c>
      <c r="W36" s="62">
        <v>4.57388888888888</v>
      </c>
      <c r="X36" s="62">
        <v>4.57388888888889</v>
      </c>
      <c r="Y36" s="62">
        <v>4.58694444444444</v>
      </c>
      <c r="Z36" s="62">
        <v>3.34972222222222</v>
      </c>
      <c r="AA36" s="62">
        <v>0.895555555555555</v>
      </c>
      <c r="AB36" s="62">
        <v>4.36472222222222</v>
      </c>
      <c r="AC36" s="62">
        <v>4.36472222222222</v>
      </c>
      <c r="AD36" s="62">
        <v>2.04194444444444</v>
      </c>
      <c r="AE36" s="62">
        <v>4.36472222222222</v>
      </c>
      <c r="AF36" s="62">
        <v>23.0</v>
      </c>
    </row>
    <row r="37">
      <c r="A37" s="68">
        <v>46153.0</v>
      </c>
      <c r="B37" s="62" t="s">
        <v>37</v>
      </c>
      <c r="C37" s="62" t="s">
        <v>174</v>
      </c>
      <c r="D37" s="62">
        <v>19.0</v>
      </c>
      <c r="E37" s="62">
        <v>17.0</v>
      </c>
      <c r="F37" s="62">
        <v>18.0</v>
      </c>
      <c r="G37" s="62">
        <v>16.0</v>
      </c>
      <c r="H37" s="62">
        <v>17.0</v>
      </c>
      <c r="I37" s="62">
        <v>1.0</v>
      </c>
      <c r="J37" s="62">
        <v>16.0</v>
      </c>
      <c r="K37" s="62">
        <v>2.0</v>
      </c>
      <c r="L37" s="62">
        <v>1.0</v>
      </c>
      <c r="M37" s="62">
        <v>16.0</v>
      </c>
      <c r="N37" s="62">
        <v>13.0</v>
      </c>
      <c r="O37" s="62">
        <v>6.0</v>
      </c>
      <c r="P37" s="62">
        <v>13.0</v>
      </c>
      <c r="Q37" s="62">
        <v>0.0</v>
      </c>
      <c r="R37" s="62">
        <v>45860.0</v>
      </c>
      <c r="S37" s="62">
        <v>41078.0</v>
      </c>
      <c r="T37" s="62">
        <v>3.805</v>
      </c>
      <c r="U37" s="62">
        <v>4.64194444444444</v>
      </c>
      <c r="V37" s="62">
        <v>4.19833333333333</v>
      </c>
      <c r="W37" s="62">
        <v>4.44722222222222</v>
      </c>
      <c r="X37" s="62">
        <v>0.248888888888888</v>
      </c>
      <c r="Y37" s="62">
        <v>4.19833333333333</v>
      </c>
      <c r="Z37" s="62">
        <v>0.486666666666666</v>
      </c>
      <c r="AA37" s="62">
        <v>0.246666666666666</v>
      </c>
      <c r="AB37" s="62">
        <v>4.19833333333333</v>
      </c>
      <c r="AC37" s="62">
        <v>3.42777777777777</v>
      </c>
      <c r="AD37" s="62">
        <v>1.79472222222222</v>
      </c>
      <c r="AE37" s="62">
        <v>3.42777777777777</v>
      </c>
      <c r="AF37" s="62">
        <v>15.0</v>
      </c>
    </row>
    <row r="38">
      <c r="A38" s="68">
        <v>46153.0</v>
      </c>
      <c r="B38" s="62" t="s">
        <v>108</v>
      </c>
      <c r="C38" s="62" t="s">
        <v>175</v>
      </c>
      <c r="D38" s="62">
        <v>8.0</v>
      </c>
      <c r="E38" s="62">
        <v>17.0</v>
      </c>
      <c r="F38" s="62">
        <v>13.0</v>
      </c>
      <c r="G38" s="62">
        <v>9.0</v>
      </c>
      <c r="H38" s="62">
        <v>21.0</v>
      </c>
      <c r="I38" s="62">
        <v>12.0</v>
      </c>
      <c r="J38" s="62">
        <v>19.0</v>
      </c>
      <c r="K38" s="62">
        <v>3.0</v>
      </c>
      <c r="L38" s="62">
        <v>1.0</v>
      </c>
      <c r="M38" s="62">
        <v>20.0</v>
      </c>
      <c r="N38" s="62">
        <v>20.0</v>
      </c>
      <c r="O38" s="62">
        <v>7.0</v>
      </c>
      <c r="P38" s="62">
        <v>20.0</v>
      </c>
      <c r="Q38" s="62">
        <v>0.0</v>
      </c>
      <c r="R38" s="62">
        <v>15847.0</v>
      </c>
      <c r="S38" s="62">
        <v>34023.0</v>
      </c>
      <c r="T38" s="62">
        <v>3.28055555555555</v>
      </c>
      <c r="U38" s="62">
        <v>2.7625</v>
      </c>
      <c r="V38" s="62">
        <v>1.93694444444444</v>
      </c>
      <c r="W38" s="62">
        <v>4.42916666666666</v>
      </c>
      <c r="X38" s="62">
        <v>2.49222222222222</v>
      </c>
      <c r="Y38" s="62">
        <v>4.11472222222222</v>
      </c>
      <c r="Z38" s="62">
        <v>0.714166666666666</v>
      </c>
      <c r="AA38" s="62">
        <v>0.249444444444444</v>
      </c>
      <c r="AB38" s="62">
        <v>4.39694444444444</v>
      </c>
      <c r="AC38" s="62">
        <v>4.39694444444444</v>
      </c>
      <c r="AD38" s="62">
        <v>1.32055555555555</v>
      </c>
      <c r="AE38" s="62">
        <v>4.39694444444444</v>
      </c>
      <c r="AF38" s="62">
        <v>17.0</v>
      </c>
    </row>
    <row r="39">
      <c r="A39" s="68">
        <v>46153.0</v>
      </c>
      <c r="B39" s="62" t="s">
        <v>56</v>
      </c>
      <c r="C39" s="62" t="s">
        <v>176</v>
      </c>
      <c r="D39" s="62">
        <v>51.0</v>
      </c>
      <c r="E39" s="62">
        <v>46.0</v>
      </c>
      <c r="F39" s="62">
        <v>31.0</v>
      </c>
      <c r="G39" s="62">
        <v>20.0</v>
      </c>
      <c r="H39" s="62">
        <v>20.0</v>
      </c>
      <c r="I39" s="62">
        <v>0.0</v>
      </c>
      <c r="J39" s="62">
        <v>20.0</v>
      </c>
      <c r="K39" s="62">
        <v>2.0</v>
      </c>
      <c r="L39" s="62">
        <v>1.0</v>
      </c>
      <c r="M39" s="62">
        <v>18.0</v>
      </c>
      <c r="N39" s="62">
        <v>18.0</v>
      </c>
      <c r="O39" s="62">
        <v>8.0</v>
      </c>
      <c r="P39" s="62">
        <v>18.0</v>
      </c>
      <c r="Q39" s="62">
        <v>0.0</v>
      </c>
      <c r="R39" s="62">
        <v>108419.0</v>
      </c>
      <c r="S39" s="62">
        <v>102313.0</v>
      </c>
      <c r="T39" s="62">
        <v>7.57249999999999</v>
      </c>
      <c r="U39" s="62">
        <v>7.80611111111111</v>
      </c>
      <c r="V39" s="62">
        <v>4.96166666666666</v>
      </c>
      <c r="W39" s="62">
        <v>4.96166666666666</v>
      </c>
      <c r="X39" s="62">
        <v>0.0</v>
      </c>
      <c r="Y39" s="62">
        <v>4.96166666666666</v>
      </c>
      <c r="Z39" s="62">
        <v>0.49</v>
      </c>
      <c r="AA39" s="62">
        <v>0.251111111111111</v>
      </c>
      <c r="AB39" s="62">
        <v>4.52527777777777</v>
      </c>
      <c r="AC39" s="62">
        <v>4.45638888888888</v>
      </c>
      <c r="AD39" s="62">
        <v>1.80416666666666</v>
      </c>
      <c r="AE39" s="62">
        <v>4.45638888888888</v>
      </c>
      <c r="AF39" s="62">
        <v>30.0</v>
      </c>
    </row>
    <row r="40">
      <c r="A40" s="68">
        <v>46153.0</v>
      </c>
      <c r="B40" s="62" t="s">
        <v>122</v>
      </c>
      <c r="C40" s="62" t="s">
        <v>177</v>
      </c>
      <c r="D40" s="62">
        <v>5.0</v>
      </c>
      <c r="E40" s="62">
        <v>0.0</v>
      </c>
      <c r="F40" s="62">
        <v>0.0</v>
      </c>
      <c r="G40" s="62">
        <v>0.0</v>
      </c>
      <c r="H40" s="62">
        <v>0.0</v>
      </c>
      <c r="I40" s="62">
        <v>0.0</v>
      </c>
      <c r="J40" s="62">
        <v>0.0</v>
      </c>
      <c r="K40" s="62">
        <v>0.0</v>
      </c>
      <c r="L40" s="62">
        <v>0.0</v>
      </c>
      <c r="M40" s="62">
        <v>0.0</v>
      </c>
      <c r="N40" s="62">
        <v>0.0</v>
      </c>
      <c r="O40" s="62">
        <v>0.0</v>
      </c>
      <c r="P40" s="62">
        <v>0.0</v>
      </c>
      <c r="Q40" s="62">
        <v>0.0</v>
      </c>
      <c r="R40" s="62">
        <v>11898.0</v>
      </c>
      <c r="S40" s="62">
        <v>0.0</v>
      </c>
      <c r="T40" s="62">
        <v>0.0</v>
      </c>
      <c r="U40" s="62">
        <v>0.0</v>
      </c>
      <c r="V40" s="62">
        <v>0.0</v>
      </c>
      <c r="W40" s="62">
        <v>0.0</v>
      </c>
      <c r="X40" s="62">
        <v>0.0</v>
      </c>
      <c r="Y40" s="62">
        <v>0.0</v>
      </c>
      <c r="Z40" s="62">
        <v>0.0</v>
      </c>
      <c r="AA40" s="62">
        <v>0.0</v>
      </c>
      <c r="AB40" s="62">
        <v>0.0</v>
      </c>
      <c r="AC40" s="62">
        <v>0.0</v>
      </c>
      <c r="AD40" s="62">
        <v>0.0</v>
      </c>
      <c r="AE40" s="62">
        <v>0.0</v>
      </c>
      <c r="AF40" s="62">
        <v>0.0</v>
      </c>
    </row>
    <row r="41">
      <c r="A41" s="68">
        <v>46153.0</v>
      </c>
      <c r="B41" s="62" t="s">
        <v>26</v>
      </c>
      <c r="C41" s="62" t="s">
        <v>178</v>
      </c>
      <c r="D41" s="62">
        <v>17.0</v>
      </c>
      <c r="E41" s="62">
        <v>70.0</v>
      </c>
      <c r="F41" s="62">
        <v>26.0</v>
      </c>
      <c r="G41" s="62">
        <v>27.0</v>
      </c>
      <c r="H41" s="62">
        <v>36.0</v>
      </c>
      <c r="I41" s="62">
        <v>9.0</v>
      </c>
      <c r="J41" s="62">
        <v>36.0</v>
      </c>
      <c r="K41" s="62">
        <v>3.0</v>
      </c>
      <c r="L41" s="62">
        <v>1.0</v>
      </c>
      <c r="M41" s="62">
        <v>29.0</v>
      </c>
      <c r="N41" s="62">
        <v>38.0</v>
      </c>
      <c r="O41" s="62">
        <v>6.0</v>
      </c>
      <c r="P41" s="62">
        <v>38.0</v>
      </c>
      <c r="Q41" s="62">
        <v>0.0</v>
      </c>
      <c r="R41" s="62">
        <v>40968.0</v>
      </c>
      <c r="S41" s="62">
        <v>153726.0</v>
      </c>
      <c r="T41" s="62">
        <v>6.13749999999999</v>
      </c>
      <c r="U41" s="62">
        <v>4.49027777777777</v>
      </c>
      <c r="V41" s="62">
        <v>4.72638888888888</v>
      </c>
      <c r="W41" s="62">
        <v>6.37361111111111</v>
      </c>
      <c r="X41" s="62">
        <v>1.64722222222222</v>
      </c>
      <c r="Y41" s="62">
        <v>6.38166666666666</v>
      </c>
      <c r="Z41" s="62">
        <v>0.5475</v>
      </c>
      <c r="AA41" s="62">
        <v>0.199722222222222</v>
      </c>
      <c r="AB41" s="62">
        <v>5.16527777777777</v>
      </c>
      <c r="AC41" s="62">
        <v>6.79722222222222</v>
      </c>
      <c r="AD41" s="62">
        <v>1.16166666666666</v>
      </c>
      <c r="AE41" s="62">
        <v>6.79722222222222</v>
      </c>
      <c r="AF41" s="62">
        <v>35.0</v>
      </c>
    </row>
    <row r="42">
      <c r="A42" s="68">
        <v>46153.0</v>
      </c>
      <c r="B42" s="62" t="s">
        <v>62</v>
      </c>
      <c r="C42" s="62" t="s">
        <v>63</v>
      </c>
      <c r="D42" s="62">
        <v>0.0</v>
      </c>
      <c r="E42" s="62">
        <v>13.0</v>
      </c>
      <c r="F42" s="62">
        <v>0.0</v>
      </c>
      <c r="G42" s="62">
        <v>0.0</v>
      </c>
      <c r="H42" s="62">
        <v>11.0</v>
      </c>
      <c r="I42" s="62">
        <v>11.0</v>
      </c>
      <c r="J42" s="62">
        <v>11.0</v>
      </c>
      <c r="K42" s="62">
        <v>7.0</v>
      </c>
      <c r="L42" s="62">
        <v>0.0</v>
      </c>
      <c r="M42" s="62">
        <v>9.0</v>
      </c>
      <c r="N42" s="62">
        <v>3.0</v>
      </c>
      <c r="O42" s="62">
        <v>5.0</v>
      </c>
      <c r="P42" s="62">
        <v>3.0</v>
      </c>
      <c r="Q42" s="62">
        <v>0.0</v>
      </c>
      <c r="R42" s="62">
        <v>0.0</v>
      </c>
      <c r="S42" s="62">
        <v>29835.0</v>
      </c>
      <c r="T42" s="62">
        <v>2.12388888888888</v>
      </c>
      <c r="U42" s="62">
        <v>0.0</v>
      </c>
      <c r="V42" s="62">
        <v>0.0</v>
      </c>
      <c r="W42" s="62">
        <v>2.12388888888888</v>
      </c>
      <c r="X42" s="62">
        <v>2.12388888888888</v>
      </c>
      <c r="Y42" s="62">
        <v>2.17972222222222</v>
      </c>
      <c r="Z42" s="62">
        <v>1.35527777777777</v>
      </c>
      <c r="AA42" s="62">
        <v>0.0</v>
      </c>
      <c r="AB42" s="62">
        <v>1.83083333333333</v>
      </c>
      <c r="AC42" s="62">
        <v>0.632777777777777</v>
      </c>
      <c r="AD42" s="62">
        <v>1.06861111111111</v>
      </c>
      <c r="AE42" s="62">
        <v>0.632777777777777</v>
      </c>
      <c r="AF42" s="62">
        <v>11.0</v>
      </c>
    </row>
    <row r="43">
      <c r="A43" s="68">
        <v>46153.0</v>
      </c>
      <c r="B43" s="62" t="s">
        <v>116</v>
      </c>
      <c r="C43" s="62" t="s">
        <v>179</v>
      </c>
      <c r="D43" s="62">
        <v>11.0</v>
      </c>
      <c r="E43" s="62">
        <v>0.0</v>
      </c>
      <c r="F43" s="62">
        <v>0.0</v>
      </c>
      <c r="G43" s="62">
        <v>0.0</v>
      </c>
      <c r="H43" s="62">
        <v>0.0</v>
      </c>
      <c r="I43" s="62">
        <v>0.0</v>
      </c>
      <c r="J43" s="62">
        <v>0.0</v>
      </c>
      <c r="K43" s="62">
        <v>0.0</v>
      </c>
      <c r="L43" s="62">
        <v>0.0</v>
      </c>
      <c r="M43" s="62">
        <v>0.0</v>
      </c>
      <c r="N43" s="62">
        <v>0.0</v>
      </c>
      <c r="O43" s="62">
        <v>0.0</v>
      </c>
      <c r="P43" s="62">
        <v>0.0</v>
      </c>
      <c r="Q43" s="62">
        <v>0.0</v>
      </c>
      <c r="R43" s="62">
        <v>25253.0</v>
      </c>
      <c r="S43" s="62">
        <v>0.0</v>
      </c>
      <c r="T43" s="62">
        <v>0.0</v>
      </c>
      <c r="U43" s="62">
        <v>0.0</v>
      </c>
      <c r="V43" s="62">
        <v>0.0</v>
      </c>
      <c r="W43" s="62">
        <v>0.0</v>
      </c>
      <c r="X43" s="62">
        <v>0.0</v>
      </c>
      <c r="Y43" s="62">
        <v>0.0</v>
      </c>
      <c r="Z43" s="62">
        <v>0.0</v>
      </c>
      <c r="AA43" s="62">
        <v>0.0</v>
      </c>
      <c r="AB43" s="62">
        <v>0.0</v>
      </c>
      <c r="AC43" s="62">
        <v>0.0</v>
      </c>
      <c r="AD43" s="62">
        <v>0.0</v>
      </c>
      <c r="AE43" s="62">
        <v>0.0</v>
      </c>
      <c r="AF43" s="62">
        <v>0.0</v>
      </c>
    </row>
    <row r="44">
      <c r="A44" s="68">
        <v>46153.0</v>
      </c>
      <c r="B44" s="62" t="s">
        <v>89</v>
      </c>
      <c r="C44" s="62" t="s">
        <v>180</v>
      </c>
      <c r="D44" s="62">
        <v>15.0</v>
      </c>
      <c r="E44" s="62">
        <v>5.0</v>
      </c>
      <c r="F44" s="62">
        <v>0.0</v>
      </c>
      <c r="G44" s="62">
        <v>0.0</v>
      </c>
      <c r="H44" s="62">
        <v>0.0</v>
      </c>
      <c r="I44" s="62">
        <v>0.0</v>
      </c>
      <c r="J44" s="62">
        <v>0.0</v>
      </c>
      <c r="K44" s="62">
        <v>0.0</v>
      </c>
      <c r="L44" s="62">
        <v>0.0</v>
      </c>
      <c r="M44" s="62">
        <v>4.0</v>
      </c>
      <c r="N44" s="62">
        <v>0.0</v>
      </c>
      <c r="O44" s="62">
        <v>4.0</v>
      </c>
      <c r="P44" s="62">
        <v>0.0</v>
      </c>
      <c r="Q44" s="62">
        <v>0.0</v>
      </c>
      <c r="R44" s="62">
        <v>32746.0</v>
      </c>
      <c r="S44" s="62">
        <v>11527.0</v>
      </c>
      <c r="T44" s="62">
        <v>1.35555555555555</v>
      </c>
      <c r="U44" s="62">
        <v>0.0</v>
      </c>
      <c r="V44" s="62">
        <v>0.0</v>
      </c>
      <c r="W44" s="62">
        <v>0.0</v>
      </c>
      <c r="X44" s="62">
        <v>0.0</v>
      </c>
      <c r="Y44" s="62">
        <v>0.0</v>
      </c>
      <c r="Z44" s="62">
        <v>0.0</v>
      </c>
      <c r="AA44" s="62">
        <v>0.0</v>
      </c>
      <c r="AB44" s="62">
        <v>1.09722222222222</v>
      </c>
      <c r="AC44" s="62">
        <v>0.0</v>
      </c>
      <c r="AD44" s="62">
        <v>0.8725</v>
      </c>
      <c r="AE44" s="62">
        <v>0.0</v>
      </c>
      <c r="AF44" s="62">
        <v>5.0</v>
      </c>
    </row>
    <row r="45">
      <c r="A45" s="68">
        <v>46146.0</v>
      </c>
      <c r="B45" s="62" t="s">
        <v>79</v>
      </c>
      <c r="C45" s="62" t="s">
        <v>162</v>
      </c>
      <c r="D45" s="62">
        <v>23.0</v>
      </c>
      <c r="E45" s="62">
        <v>14.0</v>
      </c>
      <c r="F45" s="62">
        <v>24.0</v>
      </c>
      <c r="G45" s="62">
        <v>22.0</v>
      </c>
      <c r="H45" s="62">
        <v>25.0</v>
      </c>
      <c r="I45" s="62">
        <v>3.0</v>
      </c>
      <c r="J45" s="62">
        <v>25.0</v>
      </c>
      <c r="K45" s="62">
        <v>20.0</v>
      </c>
      <c r="L45" s="62">
        <v>8.0</v>
      </c>
      <c r="M45" s="62">
        <v>31.0</v>
      </c>
      <c r="N45" s="62">
        <v>24.0</v>
      </c>
      <c r="O45" s="62">
        <v>7.0</v>
      </c>
      <c r="P45" s="62">
        <v>24.0</v>
      </c>
      <c r="Q45" s="62">
        <v>0.0</v>
      </c>
      <c r="R45" s="62">
        <v>56248.0</v>
      </c>
      <c r="S45" s="62">
        <v>34813.0</v>
      </c>
      <c r="T45" s="62">
        <v>3.86444444444444</v>
      </c>
      <c r="U45" s="62">
        <v>5.08833333333333</v>
      </c>
      <c r="V45" s="62">
        <v>4.67249999999999</v>
      </c>
      <c r="W45" s="62">
        <v>5.31361111111111</v>
      </c>
      <c r="X45" s="62">
        <v>0.641111111111111</v>
      </c>
      <c r="Y45" s="62">
        <v>5.31194444444444</v>
      </c>
      <c r="Z45" s="62">
        <v>4.155</v>
      </c>
      <c r="AA45" s="62">
        <v>1.62444444444444</v>
      </c>
      <c r="AB45" s="62">
        <v>6.43833333333333</v>
      </c>
      <c r="AC45" s="62">
        <v>4.91111111111111</v>
      </c>
      <c r="AD45" s="62">
        <v>1.47444444444444</v>
      </c>
      <c r="AE45" s="62">
        <v>4.91111111111111</v>
      </c>
      <c r="AF45" s="62">
        <v>18.0</v>
      </c>
    </row>
    <row r="46">
      <c r="A46" s="68">
        <v>46146.0</v>
      </c>
      <c r="B46" s="62" t="s">
        <v>96</v>
      </c>
      <c r="C46" s="62" t="s">
        <v>97</v>
      </c>
      <c r="D46" s="62">
        <v>15.0</v>
      </c>
      <c r="E46" s="62">
        <v>19.0</v>
      </c>
      <c r="F46" s="62">
        <v>0.0</v>
      </c>
      <c r="G46" s="62">
        <v>0.0</v>
      </c>
      <c r="H46" s="62">
        <v>8.0</v>
      </c>
      <c r="I46" s="62">
        <v>0.0</v>
      </c>
      <c r="J46" s="62">
        <v>8.0</v>
      </c>
      <c r="K46" s="62">
        <v>0.0</v>
      </c>
      <c r="L46" s="62">
        <v>0.0</v>
      </c>
      <c r="M46" s="62">
        <v>12.0</v>
      </c>
      <c r="N46" s="62">
        <v>21.0</v>
      </c>
      <c r="O46" s="62">
        <v>7.0</v>
      </c>
      <c r="P46" s="62">
        <v>21.0</v>
      </c>
      <c r="Q46" s="62">
        <v>0.0</v>
      </c>
      <c r="R46" s="62">
        <v>33622.0</v>
      </c>
      <c r="S46" s="62">
        <v>42500.0</v>
      </c>
      <c r="T46" s="62">
        <v>2.68194444444444</v>
      </c>
      <c r="U46" s="62">
        <v>0.0</v>
      </c>
      <c r="V46" s="62">
        <v>0.0</v>
      </c>
      <c r="W46" s="62">
        <v>1.81666666666666</v>
      </c>
      <c r="X46" s="62">
        <v>0.0</v>
      </c>
      <c r="Y46" s="62">
        <v>1.81666666666666</v>
      </c>
      <c r="Z46" s="62">
        <v>0.0</v>
      </c>
      <c r="AA46" s="62">
        <v>0.0</v>
      </c>
      <c r="AB46" s="62">
        <v>2.62611111111111</v>
      </c>
      <c r="AC46" s="62">
        <v>4.675</v>
      </c>
      <c r="AD46" s="62">
        <v>1.53833333333333</v>
      </c>
      <c r="AE46" s="62">
        <v>4.675</v>
      </c>
      <c r="AF46" s="62">
        <v>12.0</v>
      </c>
    </row>
    <row r="47">
      <c r="A47" s="68">
        <v>46146.0</v>
      </c>
      <c r="B47" s="62" t="s">
        <v>71</v>
      </c>
      <c r="C47" s="62" t="s">
        <v>163</v>
      </c>
      <c r="D47" s="62">
        <v>1.0</v>
      </c>
      <c r="E47" s="62">
        <v>1.0</v>
      </c>
      <c r="F47" s="62">
        <v>1.0</v>
      </c>
      <c r="G47" s="62">
        <v>4.0</v>
      </c>
      <c r="H47" s="62">
        <v>4.0</v>
      </c>
      <c r="I47" s="62">
        <v>0.0</v>
      </c>
      <c r="J47" s="62">
        <v>4.0</v>
      </c>
      <c r="K47" s="62">
        <v>1.0</v>
      </c>
      <c r="L47" s="62">
        <v>0.0</v>
      </c>
      <c r="M47" s="62">
        <v>4.0</v>
      </c>
      <c r="N47" s="62">
        <v>3.0</v>
      </c>
      <c r="O47" s="62">
        <v>6.0</v>
      </c>
      <c r="P47" s="62">
        <v>3.0</v>
      </c>
      <c r="Q47" s="62">
        <v>0.0</v>
      </c>
      <c r="R47" s="62">
        <v>2732.0</v>
      </c>
      <c r="S47" s="62">
        <v>2732.0</v>
      </c>
      <c r="T47" s="62">
        <v>0.274444444444444</v>
      </c>
      <c r="U47" s="62">
        <v>0.274444444444444</v>
      </c>
      <c r="V47" s="62">
        <v>0.960277777777777</v>
      </c>
      <c r="W47" s="62">
        <v>0.960277777777777</v>
      </c>
      <c r="X47" s="62">
        <v>0.0</v>
      </c>
      <c r="Y47" s="62">
        <v>0.960277777777777</v>
      </c>
      <c r="Z47" s="62">
        <v>0.274722222222222</v>
      </c>
      <c r="AA47" s="62">
        <v>0.0</v>
      </c>
      <c r="AB47" s="62">
        <v>0.960277777777777</v>
      </c>
      <c r="AC47" s="62">
        <v>0.685555555555555</v>
      </c>
      <c r="AD47" s="62">
        <v>1.67083333333333</v>
      </c>
      <c r="AE47" s="62">
        <v>0.685555555555555</v>
      </c>
      <c r="AF47" s="62">
        <v>1.0</v>
      </c>
    </row>
    <row r="48">
      <c r="A48" s="68">
        <v>46146.0</v>
      </c>
      <c r="B48" s="62" t="s">
        <v>76</v>
      </c>
      <c r="C48" s="62" t="s">
        <v>165</v>
      </c>
      <c r="D48" s="62">
        <v>354.0</v>
      </c>
      <c r="E48" s="62">
        <v>25.0</v>
      </c>
      <c r="F48" s="62">
        <v>20.0</v>
      </c>
      <c r="G48" s="62">
        <v>18.0</v>
      </c>
      <c r="H48" s="62">
        <v>18.0</v>
      </c>
      <c r="I48" s="62">
        <v>0.0</v>
      </c>
      <c r="J48" s="62">
        <v>17.0</v>
      </c>
      <c r="K48" s="62">
        <v>5.0</v>
      </c>
      <c r="L48" s="62">
        <v>4.0</v>
      </c>
      <c r="M48" s="62">
        <v>20.0</v>
      </c>
      <c r="N48" s="62">
        <v>20.0</v>
      </c>
      <c r="O48" s="62">
        <v>7.0</v>
      </c>
      <c r="P48" s="62">
        <v>20.0</v>
      </c>
      <c r="Q48" s="62">
        <v>0.0</v>
      </c>
      <c r="R48" s="62">
        <v>882175.0</v>
      </c>
      <c r="S48" s="62">
        <v>80398.0</v>
      </c>
      <c r="T48" s="62">
        <v>6.6575</v>
      </c>
      <c r="U48" s="62">
        <v>6.0525</v>
      </c>
      <c r="V48" s="62">
        <v>5.37361111111111</v>
      </c>
      <c r="W48" s="62">
        <v>5.37361111111111</v>
      </c>
      <c r="X48" s="62">
        <v>0.0</v>
      </c>
      <c r="Y48" s="62">
        <v>5.10027777777777</v>
      </c>
      <c r="Z48" s="62">
        <v>1.41166666666666</v>
      </c>
      <c r="AA48" s="62">
        <v>1.14527777777777</v>
      </c>
      <c r="AB48" s="62">
        <v>6.13055555555555</v>
      </c>
      <c r="AC48" s="62">
        <v>6.13055555555555</v>
      </c>
      <c r="AD48" s="62">
        <v>1.605</v>
      </c>
      <c r="AE48" s="62">
        <v>6.13055555555555</v>
      </c>
      <c r="AF48" s="62">
        <v>22.0</v>
      </c>
    </row>
    <row r="49">
      <c r="A49" s="68">
        <v>46146.0</v>
      </c>
      <c r="B49" s="62" t="s">
        <v>100</v>
      </c>
      <c r="C49" s="62" t="s">
        <v>167</v>
      </c>
      <c r="D49" s="62">
        <v>29.0</v>
      </c>
      <c r="E49" s="62">
        <v>11.0</v>
      </c>
      <c r="F49" s="62">
        <v>14.0</v>
      </c>
      <c r="G49" s="62">
        <v>14.0</v>
      </c>
      <c r="H49" s="62">
        <v>18.0</v>
      </c>
      <c r="I49" s="62">
        <v>4.0</v>
      </c>
      <c r="J49" s="62">
        <v>18.0</v>
      </c>
      <c r="K49" s="62">
        <v>9.0</v>
      </c>
      <c r="L49" s="62">
        <v>5.0</v>
      </c>
      <c r="M49" s="62">
        <v>19.0</v>
      </c>
      <c r="N49" s="62">
        <v>19.0</v>
      </c>
      <c r="O49" s="62">
        <v>5.0</v>
      </c>
      <c r="P49" s="62">
        <v>19.0</v>
      </c>
      <c r="Q49" s="62">
        <v>0.0</v>
      </c>
      <c r="R49" s="62">
        <v>68961.0</v>
      </c>
      <c r="S49" s="62">
        <v>26657.0</v>
      </c>
      <c r="T49" s="62">
        <v>2.215</v>
      </c>
      <c r="U49" s="62">
        <v>3.135</v>
      </c>
      <c r="V49" s="62">
        <v>3.20166666666666</v>
      </c>
      <c r="W49" s="62">
        <v>4.05944444444444</v>
      </c>
      <c r="X49" s="62">
        <v>0.857777777777777</v>
      </c>
      <c r="Y49" s="62">
        <v>4.085</v>
      </c>
      <c r="Z49" s="62">
        <v>2.05499999999999</v>
      </c>
      <c r="AA49" s="62">
        <v>1.13611111111111</v>
      </c>
      <c r="AB49" s="62">
        <v>4.32277777777777</v>
      </c>
      <c r="AC49" s="62">
        <v>4.32277777777777</v>
      </c>
      <c r="AD49" s="62">
        <v>1.18388888888888</v>
      </c>
      <c r="AE49" s="62">
        <v>4.32277777777777</v>
      </c>
      <c r="AF49" s="62">
        <v>10.0</v>
      </c>
    </row>
    <row r="50">
      <c r="A50" s="68">
        <v>46146.0</v>
      </c>
      <c r="B50" s="62" t="s">
        <v>32</v>
      </c>
      <c r="C50" s="62" t="s">
        <v>168</v>
      </c>
      <c r="D50" s="62">
        <v>15.0</v>
      </c>
      <c r="E50" s="62">
        <v>20.0</v>
      </c>
      <c r="F50" s="62">
        <v>17.0</v>
      </c>
      <c r="G50" s="62">
        <v>0.0</v>
      </c>
      <c r="H50" s="62">
        <v>23.0</v>
      </c>
      <c r="I50" s="62">
        <v>6.0</v>
      </c>
      <c r="J50" s="62">
        <v>24.0</v>
      </c>
      <c r="K50" s="62">
        <v>1.0</v>
      </c>
      <c r="L50" s="62">
        <v>0.0</v>
      </c>
      <c r="M50" s="62">
        <v>24.0</v>
      </c>
      <c r="N50" s="62">
        <v>24.0</v>
      </c>
      <c r="O50" s="62">
        <v>5.0</v>
      </c>
      <c r="P50" s="62">
        <v>24.0</v>
      </c>
      <c r="Q50" s="62">
        <v>0.0</v>
      </c>
      <c r="R50" s="62">
        <v>35933.0</v>
      </c>
      <c r="S50" s="62">
        <v>47528.0</v>
      </c>
      <c r="T50" s="62">
        <v>4.05111111111111</v>
      </c>
      <c r="U50" s="62">
        <v>3.83583333333333</v>
      </c>
      <c r="V50" s="62">
        <v>0.0</v>
      </c>
      <c r="W50" s="62">
        <v>5.18527777777777</v>
      </c>
      <c r="X50" s="62">
        <v>1.33027777777777</v>
      </c>
      <c r="Y50" s="62">
        <v>5.42222222222222</v>
      </c>
      <c r="Z50" s="62">
        <v>0.242777777777777</v>
      </c>
      <c r="AA50" s="62">
        <v>0.0</v>
      </c>
      <c r="AB50" s="62">
        <v>5.42222222222222</v>
      </c>
      <c r="AC50" s="62">
        <v>5.42222222222222</v>
      </c>
      <c r="AD50" s="62">
        <v>1.08777777777777</v>
      </c>
      <c r="AE50" s="62">
        <v>5.42222222222222</v>
      </c>
      <c r="AF50" s="62">
        <v>18.0</v>
      </c>
    </row>
    <row r="51">
      <c r="A51" s="68">
        <v>46146.0</v>
      </c>
      <c r="B51" s="62" t="s">
        <v>110</v>
      </c>
      <c r="C51" s="62" t="s">
        <v>169</v>
      </c>
      <c r="D51" s="62">
        <v>13.0</v>
      </c>
      <c r="E51" s="62">
        <v>0.0</v>
      </c>
      <c r="F51" s="62">
        <v>0.0</v>
      </c>
      <c r="G51" s="62">
        <v>0.0</v>
      </c>
      <c r="H51" s="62">
        <v>0.0</v>
      </c>
      <c r="I51" s="62">
        <v>0.0</v>
      </c>
      <c r="J51" s="62">
        <v>0.0</v>
      </c>
      <c r="K51" s="62">
        <v>0.0</v>
      </c>
      <c r="L51" s="62">
        <v>0.0</v>
      </c>
      <c r="M51" s="62">
        <v>0.0</v>
      </c>
      <c r="N51" s="62">
        <v>0.0</v>
      </c>
      <c r="O51" s="62">
        <v>0.0</v>
      </c>
      <c r="P51" s="62">
        <v>0.0</v>
      </c>
      <c r="Q51" s="62">
        <v>0.0</v>
      </c>
      <c r="R51" s="62">
        <v>30970.0</v>
      </c>
      <c r="S51" s="62">
        <v>0.0</v>
      </c>
      <c r="T51" s="62">
        <v>0.0</v>
      </c>
      <c r="U51" s="62">
        <v>0.0</v>
      </c>
      <c r="V51" s="62">
        <v>0.0</v>
      </c>
      <c r="W51" s="62">
        <v>0.0</v>
      </c>
      <c r="X51" s="62">
        <v>0.0</v>
      </c>
      <c r="Y51" s="62">
        <v>0.0</v>
      </c>
      <c r="Z51" s="62">
        <v>0.0</v>
      </c>
      <c r="AA51" s="62">
        <v>0.0</v>
      </c>
      <c r="AB51" s="62">
        <v>0.0</v>
      </c>
      <c r="AC51" s="62">
        <v>0.0</v>
      </c>
      <c r="AD51" s="62">
        <v>0.0</v>
      </c>
      <c r="AE51" s="62">
        <v>0.0</v>
      </c>
      <c r="AF51" s="62">
        <v>0.0</v>
      </c>
    </row>
    <row r="52">
      <c r="A52" s="68">
        <v>46146.0</v>
      </c>
      <c r="B52" s="62" t="s">
        <v>102</v>
      </c>
      <c r="C52" s="62" t="s">
        <v>170</v>
      </c>
      <c r="D52" s="62">
        <v>30.0</v>
      </c>
      <c r="E52" s="62">
        <v>5.0</v>
      </c>
      <c r="F52" s="62">
        <v>0.0</v>
      </c>
      <c r="G52" s="62">
        <v>0.0</v>
      </c>
      <c r="H52" s="62">
        <v>0.0</v>
      </c>
      <c r="I52" s="62">
        <v>0.0</v>
      </c>
      <c r="J52" s="62">
        <v>0.0</v>
      </c>
      <c r="K52" s="62">
        <v>0.0</v>
      </c>
      <c r="L52" s="62">
        <v>0.0</v>
      </c>
      <c r="M52" s="62">
        <v>5.0</v>
      </c>
      <c r="N52" s="62">
        <v>5.0</v>
      </c>
      <c r="O52" s="62">
        <v>3.0</v>
      </c>
      <c r="P52" s="62">
        <v>5.0</v>
      </c>
      <c r="Q52" s="62">
        <v>0.0</v>
      </c>
      <c r="R52" s="62">
        <v>72191.0</v>
      </c>
      <c r="S52" s="62">
        <v>12432.0</v>
      </c>
      <c r="T52" s="62">
        <v>0.275277777777777</v>
      </c>
      <c r="U52" s="62">
        <v>0.0</v>
      </c>
      <c r="V52" s="62">
        <v>0.0</v>
      </c>
      <c r="W52" s="62">
        <v>0.0</v>
      </c>
      <c r="X52" s="62">
        <v>0.0</v>
      </c>
      <c r="Y52" s="62">
        <v>0.0</v>
      </c>
      <c r="Z52" s="62">
        <v>0.0</v>
      </c>
      <c r="AA52" s="62">
        <v>0.0</v>
      </c>
      <c r="AB52" s="62">
        <v>1.29</v>
      </c>
      <c r="AC52" s="62">
        <v>1.29</v>
      </c>
      <c r="AD52" s="62">
        <v>0.777222222222222</v>
      </c>
      <c r="AE52" s="62">
        <v>1.29</v>
      </c>
      <c r="AF52" s="62">
        <v>1.0</v>
      </c>
    </row>
    <row r="53">
      <c r="A53" s="68">
        <v>46146.0</v>
      </c>
      <c r="B53" s="62" t="s">
        <v>93</v>
      </c>
      <c r="C53" s="62" t="s">
        <v>182</v>
      </c>
      <c r="D53" s="62">
        <v>0.0</v>
      </c>
      <c r="E53" s="62">
        <v>0.0</v>
      </c>
      <c r="F53" s="62">
        <v>0.0</v>
      </c>
      <c r="G53" s="62">
        <v>0.0</v>
      </c>
      <c r="H53" s="62">
        <v>0.0</v>
      </c>
      <c r="I53" s="62">
        <v>0.0</v>
      </c>
      <c r="J53" s="62">
        <v>1.0</v>
      </c>
      <c r="K53" s="62">
        <v>0.0</v>
      </c>
      <c r="L53" s="62">
        <v>0.0</v>
      </c>
      <c r="M53" s="62">
        <v>1.0</v>
      </c>
      <c r="N53" s="62">
        <v>1.0</v>
      </c>
      <c r="O53" s="62">
        <v>1.0</v>
      </c>
      <c r="P53" s="62">
        <v>1.0</v>
      </c>
      <c r="Q53" s="62">
        <v>0.0</v>
      </c>
      <c r="R53" s="62">
        <v>0.0</v>
      </c>
      <c r="S53" s="62">
        <v>0.0</v>
      </c>
      <c r="T53" s="62">
        <v>0.0</v>
      </c>
      <c r="U53" s="62">
        <v>0.0</v>
      </c>
      <c r="V53" s="62">
        <v>0.0</v>
      </c>
      <c r="W53" s="62">
        <v>0.0</v>
      </c>
      <c r="X53" s="62">
        <v>0.0</v>
      </c>
      <c r="Y53" s="62">
        <v>0.245833333333333</v>
      </c>
      <c r="Z53" s="62">
        <v>0.0</v>
      </c>
      <c r="AA53" s="62">
        <v>0.0</v>
      </c>
      <c r="AB53" s="62">
        <v>0.245833333333333</v>
      </c>
      <c r="AC53" s="62">
        <v>0.245833333333333</v>
      </c>
      <c r="AD53" s="62">
        <v>0.243888888888888</v>
      </c>
      <c r="AE53" s="62">
        <v>0.245833333333333</v>
      </c>
      <c r="AF53" s="62">
        <v>0.0</v>
      </c>
    </row>
    <row r="54">
      <c r="A54" s="68">
        <v>46146.0</v>
      </c>
      <c r="B54" s="62" t="s">
        <v>41</v>
      </c>
      <c r="C54" s="62" t="s">
        <v>172</v>
      </c>
      <c r="D54" s="62">
        <v>18.0</v>
      </c>
      <c r="E54" s="62">
        <v>22.0</v>
      </c>
      <c r="F54" s="62">
        <v>0.0</v>
      </c>
      <c r="G54" s="62">
        <v>0.0</v>
      </c>
      <c r="H54" s="62">
        <v>19.0</v>
      </c>
      <c r="I54" s="62">
        <v>19.0</v>
      </c>
      <c r="J54" s="62">
        <v>16.0</v>
      </c>
      <c r="K54" s="62">
        <v>11.0</v>
      </c>
      <c r="L54" s="62">
        <v>1.0</v>
      </c>
      <c r="M54" s="62">
        <v>15.0</v>
      </c>
      <c r="N54" s="62">
        <v>15.0</v>
      </c>
      <c r="O54" s="62">
        <v>6.0</v>
      </c>
      <c r="P54" s="62">
        <v>15.0</v>
      </c>
      <c r="Q54" s="62">
        <v>0.0</v>
      </c>
      <c r="R54" s="62">
        <v>45583.0</v>
      </c>
      <c r="S54" s="62">
        <v>50868.0</v>
      </c>
      <c r="T54" s="62">
        <v>3.70777777777777</v>
      </c>
      <c r="U54" s="62">
        <v>0.0</v>
      </c>
      <c r="V54" s="62">
        <v>0.0</v>
      </c>
      <c r="W54" s="62">
        <v>4.40944444444444</v>
      </c>
      <c r="X54" s="62">
        <v>4.40944444444444</v>
      </c>
      <c r="Y54" s="62">
        <v>3.6675</v>
      </c>
      <c r="Z54" s="62">
        <v>2.54361111111111</v>
      </c>
      <c r="AA54" s="62">
        <v>0.241388888888888</v>
      </c>
      <c r="AB54" s="62">
        <v>3.43888888888888</v>
      </c>
      <c r="AC54" s="62">
        <v>3.43888888888888</v>
      </c>
      <c r="AD54" s="62">
        <v>1.35694444444444</v>
      </c>
      <c r="AE54" s="62">
        <v>3.43888888888888</v>
      </c>
      <c r="AF54" s="62">
        <v>16.0</v>
      </c>
    </row>
    <row r="55">
      <c r="A55" s="68">
        <v>46146.0</v>
      </c>
      <c r="B55" s="62" t="s">
        <v>65</v>
      </c>
      <c r="C55" s="62" t="s">
        <v>173</v>
      </c>
      <c r="D55" s="62">
        <v>12.0</v>
      </c>
      <c r="E55" s="62">
        <v>13.0</v>
      </c>
      <c r="F55" s="62">
        <v>0.0</v>
      </c>
      <c r="G55" s="62">
        <v>0.0</v>
      </c>
      <c r="H55" s="62">
        <v>10.0</v>
      </c>
      <c r="I55" s="62">
        <v>7.0</v>
      </c>
      <c r="J55" s="62">
        <v>10.0</v>
      </c>
      <c r="K55" s="62">
        <v>8.0</v>
      </c>
      <c r="L55" s="62">
        <v>3.0</v>
      </c>
      <c r="M55" s="62">
        <v>11.0</v>
      </c>
      <c r="N55" s="62">
        <v>11.0</v>
      </c>
      <c r="O55" s="62">
        <v>6.0</v>
      </c>
      <c r="P55" s="62">
        <v>11.0</v>
      </c>
      <c r="Q55" s="62">
        <v>0.0</v>
      </c>
      <c r="R55" s="62">
        <v>24413.0</v>
      </c>
      <c r="S55" s="62">
        <v>25922.0</v>
      </c>
      <c r="T55" s="62">
        <v>1.94305555555555</v>
      </c>
      <c r="U55" s="62">
        <v>0.0</v>
      </c>
      <c r="V55" s="62">
        <v>0.0</v>
      </c>
      <c r="W55" s="62">
        <v>2.34861111111111</v>
      </c>
      <c r="X55" s="62">
        <v>1.59361111111111</v>
      </c>
      <c r="Y55" s="62">
        <v>2.35555555555555</v>
      </c>
      <c r="Z55" s="62">
        <v>1.84638888888888</v>
      </c>
      <c r="AA55" s="62">
        <v>0.775833333333333</v>
      </c>
      <c r="AB55" s="62">
        <v>2.5875</v>
      </c>
      <c r="AC55" s="62">
        <v>2.5875</v>
      </c>
      <c r="AD55" s="62">
        <v>1.30416666666666</v>
      </c>
      <c r="AE55" s="62">
        <v>2.5875</v>
      </c>
      <c r="AF55" s="62">
        <v>9.0</v>
      </c>
    </row>
    <row r="56">
      <c r="A56" s="68">
        <v>46146.0</v>
      </c>
      <c r="B56" s="62" t="s">
        <v>37</v>
      </c>
      <c r="C56" s="62" t="s">
        <v>174</v>
      </c>
      <c r="D56" s="62">
        <v>12.0</v>
      </c>
      <c r="E56" s="62">
        <v>13.0</v>
      </c>
      <c r="F56" s="62">
        <v>21.0</v>
      </c>
      <c r="G56" s="62">
        <v>16.0</v>
      </c>
      <c r="H56" s="62">
        <v>17.0</v>
      </c>
      <c r="I56" s="62">
        <v>2.0</v>
      </c>
      <c r="J56" s="62">
        <v>17.0</v>
      </c>
      <c r="K56" s="62">
        <v>15.0</v>
      </c>
      <c r="L56" s="62">
        <v>0.0</v>
      </c>
      <c r="M56" s="62">
        <v>17.0</v>
      </c>
      <c r="N56" s="62">
        <v>17.0</v>
      </c>
      <c r="O56" s="62">
        <v>5.0</v>
      </c>
      <c r="P56" s="62">
        <v>17.0</v>
      </c>
      <c r="Q56" s="62">
        <v>0.0</v>
      </c>
      <c r="R56" s="62">
        <v>28878.0</v>
      </c>
      <c r="S56" s="62">
        <v>30978.0</v>
      </c>
      <c r="T56" s="62">
        <v>4.18111111111111</v>
      </c>
      <c r="U56" s="62">
        <v>5.48527777777777</v>
      </c>
      <c r="V56" s="62">
        <v>4.18833333333333</v>
      </c>
      <c r="W56" s="62">
        <v>4.47388888888888</v>
      </c>
      <c r="X56" s="62">
        <v>0.568055555555555</v>
      </c>
      <c r="Y56" s="62">
        <v>4.47444444444444</v>
      </c>
      <c r="Z56" s="62">
        <v>3.92638888888888</v>
      </c>
      <c r="AA56" s="62">
        <v>0.0</v>
      </c>
      <c r="AB56" s="62">
        <v>4.47444444444444</v>
      </c>
      <c r="AC56" s="62">
        <v>4.47444444444444</v>
      </c>
      <c r="AD56" s="62">
        <v>1.41972222222222</v>
      </c>
      <c r="AE56" s="62">
        <v>4.47444444444444</v>
      </c>
      <c r="AF56" s="62">
        <v>16.0</v>
      </c>
    </row>
    <row r="57">
      <c r="A57" s="68">
        <v>46146.0</v>
      </c>
      <c r="B57" s="62" t="s">
        <v>108</v>
      </c>
      <c r="C57" s="62" t="s">
        <v>175</v>
      </c>
      <c r="D57" s="62">
        <v>20.0</v>
      </c>
      <c r="E57" s="62">
        <v>12.0</v>
      </c>
      <c r="F57" s="62">
        <v>12.0</v>
      </c>
      <c r="G57" s="62">
        <v>12.0</v>
      </c>
      <c r="H57" s="62">
        <v>15.0</v>
      </c>
      <c r="I57" s="62">
        <v>1.0</v>
      </c>
      <c r="J57" s="62">
        <v>17.0</v>
      </c>
      <c r="K57" s="62">
        <v>8.0</v>
      </c>
      <c r="L57" s="62">
        <v>1.0</v>
      </c>
      <c r="M57" s="62">
        <v>14.0</v>
      </c>
      <c r="N57" s="62">
        <v>14.0</v>
      </c>
      <c r="O57" s="62">
        <v>3.0</v>
      </c>
      <c r="P57" s="62">
        <v>14.0</v>
      </c>
      <c r="Q57" s="62">
        <v>0.0</v>
      </c>
      <c r="R57" s="62">
        <v>43065.0</v>
      </c>
      <c r="S57" s="62">
        <v>27495.0</v>
      </c>
      <c r="T57" s="62">
        <v>2.27444444444444</v>
      </c>
      <c r="U57" s="62">
        <v>2.30638888888888</v>
      </c>
      <c r="V57" s="62">
        <v>2.37</v>
      </c>
      <c r="W57" s="62">
        <v>2.99833333333333</v>
      </c>
      <c r="X57" s="62">
        <v>0.2225</v>
      </c>
      <c r="Y57" s="62">
        <v>3.48305555555555</v>
      </c>
      <c r="Z57" s="62">
        <v>1.76805555555555</v>
      </c>
      <c r="AA57" s="62">
        <v>0.222777777777777</v>
      </c>
      <c r="AB57" s="62">
        <v>2.77416666666666</v>
      </c>
      <c r="AC57" s="62">
        <v>2.77416666666666</v>
      </c>
      <c r="AD57" s="62">
        <v>0.679444444444444</v>
      </c>
      <c r="AE57" s="62">
        <v>2.77416666666666</v>
      </c>
      <c r="AF57" s="62">
        <v>10.0</v>
      </c>
    </row>
    <row r="58">
      <c r="A58" s="68">
        <v>46146.0</v>
      </c>
      <c r="B58" s="62" t="s">
        <v>56</v>
      </c>
      <c r="C58" s="62" t="s">
        <v>176</v>
      </c>
      <c r="D58" s="62">
        <v>30.0</v>
      </c>
      <c r="E58" s="62">
        <v>34.0</v>
      </c>
      <c r="F58" s="62">
        <v>32.0</v>
      </c>
      <c r="G58" s="62">
        <v>36.0</v>
      </c>
      <c r="H58" s="62">
        <v>36.0</v>
      </c>
      <c r="I58" s="62">
        <v>0.0</v>
      </c>
      <c r="J58" s="62">
        <v>36.0</v>
      </c>
      <c r="K58" s="62">
        <v>3.0</v>
      </c>
      <c r="L58" s="62">
        <v>1.0</v>
      </c>
      <c r="M58" s="62">
        <v>25.0</v>
      </c>
      <c r="N58" s="62">
        <v>32.0</v>
      </c>
      <c r="O58" s="62">
        <v>6.0</v>
      </c>
      <c r="P58" s="62">
        <v>32.0</v>
      </c>
      <c r="Q58" s="62">
        <v>0.0</v>
      </c>
      <c r="R58" s="62">
        <v>65086.0</v>
      </c>
      <c r="S58" s="62">
        <v>74141.0</v>
      </c>
      <c r="T58" s="62">
        <v>6.58416666666666</v>
      </c>
      <c r="U58" s="62">
        <v>7.67944444444444</v>
      </c>
      <c r="V58" s="62">
        <v>8.67777777777777</v>
      </c>
      <c r="W58" s="62">
        <v>8.67777777777777</v>
      </c>
      <c r="X58" s="62">
        <v>0.0</v>
      </c>
      <c r="Y58" s="62">
        <v>8.67777777777777</v>
      </c>
      <c r="Z58" s="62">
        <v>0.768611111111111</v>
      </c>
      <c r="AA58" s="62">
        <v>0.233888888888888</v>
      </c>
      <c r="AB58" s="62">
        <v>5.97555555555555</v>
      </c>
      <c r="AC58" s="62">
        <v>7.69555555555555</v>
      </c>
      <c r="AD58" s="62">
        <v>1.35083333333333</v>
      </c>
      <c r="AE58" s="62">
        <v>7.69555555555555</v>
      </c>
      <c r="AF58" s="62">
        <v>27.0</v>
      </c>
    </row>
    <row r="59">
      <c r="A59" s="68">
        <v>46146.0</v>
      </c>
      <c r="B59" s="62" t="s">
        <v>26</v>
      </c>
      <c r="C59" s="62" t="s">
        <v>178</v>
      </c>
      <c r="D59" s="62">
        <v>18.0</v>
      </c>
      <c r="E59" s="62">
        <v>28.0</v>
      </c>
      <c r="F59" s="62">
        <v>17.0</v>
      </c>
      <c r="G59" s="62">
        <v>20.0</v>
      </c>
      <c r="H59" s="62">
        <v>32.0</v>
      </c>
      <c r="I59" s="62">
        <v>12.0</v>
      </c>
      <c r="J59" s="62">
        <v>36.0</v>
      </c>
      <c r="K59" s="62">
        <v>8.0</v>
      </c>
      <c r="L59" s="62">
        <v>2.0</v>
      </c>
      <c r="M59" s="62">
        <v>38.0</v>
      </c>
      <c r="N59" s="62">
        <v>36.0</v>
      </c>
      <c r="O59" s="62">
        <v>5.0</v>
      </c>
      <c r="P59" s="62">
        <v>36.0</v>
      </c>
      <c r="Q59" s="62">
        <v>0.0</v>
      </c>
      <c r="R59" s="62">
        <v>41129.0</v>
      </c>
      <c r="S59" s="62">
        <v>58890.0</v>
      </c>
      <c r="T59" s="62">
        <v>5.63972222222222</v>
      </c>
      <c r="U59" s="62">
        <v>3.21138888888888</v>
      </c>
      <c r="V59" s="62">
        <v>3.71416666666666</v>
      </c>
      <c r="W59" s="62">
        <v>6.1425</v>
      </c>
      <c r="X59" s="62">
        <v>2.42833333333333</v>
      </c>
      <c r="Y59" s="62">
        <v>6.8375</v>
      </c>
      <c r="Z59" s="62">
        <v>1.44777777777777</v>
      </c>
      <c r="AA59" s="62">
        <v>0.334722222222222</v>
      </c>
      <c r="AB59" s="62">
        <v>7.19083333333333</v>
      </c>
      <c r="AC59" s="62">
        <v>6.77527777777777</v>
      </c>
      <c r="AD59" s="62">
        <v>0.988333333333333</v>
      </c>
      <c r="AE59" s="62">
        <v>6.77527777777777</v>
      </c>
      <c r="AF59" s="62">
        <v>29.0</v>
      </c>
    </row>
    <row r="60">
      <c r="A60" s="68">
        <v>46146.0</v>
      </c>
      <c r="B60" s="62" t="s">
        <v>62</v>
      </c>
      <c r="C60" s="62" t="s">
        <v>63</v>
      </c>
      <c r="D60" s="62">
        <v>0.0</v>
      </c>
      <c r="E60" s="62">
        <v>0.0</v>
      </c>
      <c r="F60" s="62">
        <v>0.0</v>
      </c>
      <c r="G60" s="62">
        <v>0.0</v>
      </c>
      <c r="H60" s="62">
        <v>12.0</v>
      </c>
      <c r="I60" s="62">
        <v>12.0</v>
      </c>
      <c r="J60" s="62">
        <v>12.0</v>
      </c>
      <c r="K60" s="62">
        <v>5.0</v>
      </c>
      <c r="L60" s="62">
        <v>0.0</v>
      </c>
      <c r="M60" s="62">
        <v>10.0</v>
      </c>
      <c r="N60" s="62">
        <v>8.0</v>
      </c>
      <c r="O60" s="62">
        <v>5.0</v>
      </c>
      <c r="P60" s="62">
        <v>8.0</v>
      </c>
      <c r="Q60" s="62">
        <v>0.0</v>
      </c>
      <c r="R60" s="62">
        <v>0.0</v>
      </c>
      <c r="S60" s="62">
        <v>0.0</v>
      </c>
      <c r="T60" s="62">
        <v>2.50361111111111</v>
      </c>
      <c r="U60" s="62">
        <v>0.0</v>
      </c>
      <c r="V60" s="62">
        <v>0.0</v>
      </c>
      <c r="W60" s="62">
        <v>2.50361111111111</v>
      </c>
      <c r="X60" s="62">
        <v>2.50361111111111</v>
      </c>
      <c r="Y60" s="62">
        <v>2.62305555555555</v>
      </c>
      <c r="Z60" s="62">
        <v>1.14333333333333</v>
      </c>
      <c r="AA60" s="62">
        <v>0.0</v>
      </c>
      <c r="AB60" s="62">
        <v>2.13888888888888</v>
      </c>
      <c r="AC60" s="62">
        <v>1.73361111111111</v>
      </c>
      <c r="AD60" s="62">
        <v>0.949722222222222</v>
      </c>
      <c r="AE60" s="62">
        <v>1.73361111111111</v>
      </c>
      <c r="AF60" s="62">
        <v>12.0</v>
      </c>
    </row>
    <row r="61">
      <c r="A61" s="68">
        <v>46146.0</v>
      </c>
      <c r="B61" s="62" t="s">
        <v>89</v>
      </c>
      <c r="C61" s="62" t="s">
        <v>180</v>
      </c>
      <c r="D61" s="62">
        <v>19.0</v>
      </c>
      <c r="E61" s="62">
        <v>0.0</v>
      </c>
      <c r="F61" s="62">
        <v>0.0</v>
      </c>
      <c r="G61" s="62">
        <v>0.0</v>
      </c>
      <c r="H61" s="62">
        <v>0.0</v>
      </c>
      <c r="I61" s="62">
        <v>0.0</v>
      </c>
      <c r="J61" s="62">
        <v>0.0</v>
      </c>
      <c r="K61" s="62">
        <v>0.0</v>
      </c>
      <c r="L61" s="62">
        <v>0.0</v>
      </c>
      <c r="M61" s="62">
        <v>0.0</v>
      </c>
      <c r="N61" s="62">
        <v>0.0</v>
      </c>
      <c r="O61" s="62">
        <v>1.0</v>
      </c>
      <c r="P61" s="62">
        <v>0.0</v>
      </c>
      <c r="Q61" s="62">
        <v>0.0</v>
      </c>
      <c r="R61" s="62">
        <v>41348.0</v>
      </c>
      <c r="S61" s="62">
        <v>0.0</v>
      </c>
      <c r="T61" s="62">
        <v>0.0</v>
      </c>
      <c r="U61" s="62">
        <v>0.0</v>
      </c>
      <c r="V61" s="62">
        <v>0.0</v>
      </c>
      <c r="W61" s="62">
        <v>0.0</v>
      </c>
      <c r="X61" s="62">
        <v>0.0</v>
      </c>
      <c r="Y61" s="62">
        <v>0.0</v>
      </c>
      <c r="Z61" s="62">
        <v>0.0</v>
      </c>
      <c r="AA61" s="62">
        <v>0.0</v>
      </c>
      <c r="AB61" s="62">
        <v>0.0</v>
      </c>
      <c r="AC61" s="62">
        <v>0.0</v>
      </c>
      <c r="AD61" s="62">
        <v>0.1975</v>
      </c>
      <c r="AE61" s="62">
        <v>0.0</v>
      </c>
      <c r="AF61" s="62">
        <v>0.0</v>
      </c>
    </row>
    <row r="62">
      <c r="A62" s="68">
        <v>46139.0</v>
      </c>
      <c r="B62" s="62" t="s">
        <v>79</v>
      </c>
      <c r="C62" s="62" t="s">
        <v>162</v>
      </c>
      <c r="D62" s="62">
        <v>19.0</v>
      </c>
      <c r="E62" s="62">
        <v>23.0</v>
      </c>
      <c r="F62" s="62">
        <v>19.0</v>
      </c>
      <c r="G62" s="62">
        <v>19.0</v>
      </c>
      <c r="H62" s="62">
        <v>20.0</v>
      </c>
      <c r="I62" s="62">
        <v>2.0</v>
      </c>
      <c r="J62" s="62">
        <v>20.0</v>
      </c>
      <c r="K62" s="62">
        <v>2.0</v>
      </c>
      <c r="L62" s="62">
        <v>1.0</v>
      </c>
      <c r="M62" s="62">
        <v>12.0</v>
      </c>
      <c r="N62" s="62">
        <v>10.0</v>
      </c>
      <c r="O62" s="62">
        <v>6.0</v>
      </c>
      <c r="P62" s="62">
        <v>10.0</v>
      </c>
      <c r="Q62" s="62">
        <v>0.0</v>
      </c>
      <c r="R62" s="62">
        <v>44751.0</v>
      </c>
      <c r="S62" s="62">
        <v>52302.0</v>
      </c>
      <c r="T62" s="62">
        <v>5.98555555555555</v>
      </c>
      <c r="U62" s="62">
        <v>3.92611111111111</v>
      </c>
      <c r="V62" s="62">
        <v>3.90055555555555</v>
      </c>
      <c r="W62" s="62">
        <v>4.09555555555555</v>
      </c>
      <c r="X62" s="62">
        <v>0.401388888888888</v>
      </c>
      <c r="Y62" s="62">
        <v>4.09472222222222</v>
      </c>
      <c r="Z62" s="62">
        <v>0.398333333333333</v>
      </c>
      <c r="AA62" s="62">
        <v>0.198888888888888</v>
      </c>
      <c r="AB62" s="62">
        <v>2.50833333333333</v>
      </c>
      <c r="AC62" s="62">
        <v>2.10777777777777</v>
      </c>
      <c r="AD62" s="62">
        <v>1.14305555555555</v>
      </c>
      <c r="AE62" s="62">
        <v>2.10777777777777</v>
      </c>
      <c r="AF62" s="62">
        <v>29.0</v>
      </c>
    </row>
    <row r="63">
      <c r="A63" s="68">
        <v>46139.0</v>
      </c>
      <c r="B63" s="62" t="s">
        <v>96</v>
      </c>
      <c r="C63" s="62" t="s">
        <v>97</v>
      </c>
      <c r="D63" s="62">
        <v>12.0</v>
      </c>
      <c r="E63" s="62">
        <v>25.0</v>
      </c>
      <c r="F63" s="62">
        <v>0.0</v>
      </c>
      <c r="G63" s="62">
        <v>0.0</v>
      </c>
      <c r="H63" s="62">
        <v>4.0</v>
      </c>
      <c r="I63" s="62">
        <v>0.0</v>
      </c>
      <c r="J63" s="62">
        <v>4.0</v>
      </c>
      <c r="K63" s="62">
        <v>0.0</v>
      </c>
      <c r="L63" s="62">
        <v>0.0</v>
      </c>
      <c r="M63" s="62">
        <v>16.0</v>
      </c>
      <c r="N63" s="62">
        <v>24.0</v>
      </c>
      <c r="O63" s="62">
        <v>5.0</v>
      </c>
      <c r="P63" s="62">
        <v>24.0</v>
      </c>
      <c r="Q63" s="62">
        <v>0.0</v>
      </c>
      <c r="R63" s="62">
        <v>26408.0</v>
      </c>
      <c r="S63" s="62">
        <v>55023.0</v>
      </c>
      <c r="T63" s="62">
        <v>0.0</v>
      </c>
      <c r="U63" s="62">
        <v>0.0</v>
      </c>
      <c r="V63" s="62">
        <v>0.0</v>
      </c>
      <c r="W63" s="62">
        <v>0.942777777777777</v>
      </c>
      <c r="X63" s="62">
        <v>0.0</v>
      </c>
      <c r="Y63" s="62">
        <v>0.942777777777777</v>
      </c>
      <c r="Z63" s="62">
        <v>0.0</v>
      </c>
      <c r="AA63" s="62">
        <v>0.0</v>
      </c>
      <c r="AB63" s="62">
        <v>3.70111111111111</v>
      </c>
      <c r="AC63" s="62">
        <v>5.59249999999999</v>
      </c>
      <c r="AD63" s="62">
        <v>1.01416666666666</v>
      </c>
      <c r="AE63" s="62">
        <v>5.59194444444444</v>
      </c>
      <c r="AF63" s="62">
        <v>0.0</v>
      </c>
    </row>
    <row r="64">
      <c r="A64" s="68">
        <v>46139.0</v>
      </c>
      <c r="B64" s="62" t="s">
        <v>106</v>
      </c>
      <c r="C64" s="62" t="s">
        <v>107</v>
      </c>
      <c r="D64" s="62">
        <v>0.0</v>
      </c>
      <c r="E64" s="62">
        <v>0.0</v>
      </c>
      <c r="F64" s="62">
        <v>0.0</v>
      </c>
      <c r="G64" s="62">
        <v>0.0</v>
      </c>
      <c r="H64" s="62">
        <v>0.0</v>
      </c>
      <c r="I64" s="62">
        <v>0.0</v>
      </c>
      <c r="J64" s="62">
        <v>0.0</v>
      </c>
      <c r="K64" s="62">
        <v>0.0</v>
      </c>
      <c r="L64" s="62">
        <v>0.0</v>
      </c>
      <c r="M64" s="62">
        <v>0.0</v>
      </c>
      <c r="N64" s="62">
        <v>8.0</v>
      </c>
      <c r="O64" s="62">
        <v>0.0</v>
      </c>
      <c r="P64" s="62">
        <v>8.0</v>
      </c>
      <c r="Q64" s="62">
        <v>0.0</v>
      </c>
      <c r="R64" s="62">
        <v>0.0</v>
      </c>
      <c r="S64" s="62">
        <v>0.0</v>
      </c>
      <c r="T64" s="62">
        <v>0.0</v>
      </c>
      <c r="U64" s="62">
        <v>0.0</v>
      </c>
      <c r="V64" s="62">
        <v>0.0</v>
      </c>
      <c r="W64" s="62">
        <v>0.0</v>
      </c>
      <c r="X64" s="62">
        <v>0.0</v>
      </c>
      <c r="Y64" s="62">
        <v>0.0</v>
      </c>
      <c r="Z64" s="62">
        <v>0.0</v>
      </c>
      <c r="AA64" s="62">
        <v>0.0</v>
      </c>
      <c r="AB64" s="62">
        <v>0.0</v>
      </c>
      <c r="AC64" s="62">
        <v>1.16138888888888</v>
      </c>
      <c r="AD64" s="62">
        <v>0.0</v>
      </c>
      <c r="AE64" s="62">
        <v>1.16138888888888</v>
      </c>
      <c r="AF64" s="62">
        <v>0.0</v>
      </c>
    </row>
    <row r="65">
      <c r="A65" s="68">
        <v>46139.0</v>
      </c>
      <c r="B65" s="62" t="s">
        <v>98</v>
      </c>
      <c r="C65" s="62" t="s">
        <v>183</v>
      </c>
      <c r="D65" s="62">
        <v>0.0</v>
      </c>
      <c r="E65" s="62">
        <v>0.0</v>
      </c>
      <c r="F65" s="62">
        <v>0.0</v>
      </c>
      <c r="G65" s="62">
        <v>1.0</v>
      </c>
      <c r="H65" s="62">
        <v>1.0</v>
      </c>
      <c r="I65" s="62">
        <v>0.0</v>
      </c>
      <c r="J65" s="62">
        <v>1.0</v>
      </c>
      <c r="K65" s="62">
        <v>0.0</v>
      </c>
      <c r="L65" s="62">
        <v>0.0</v>
      </c>
      <c r="M65" s="62">
        <v>2.0</v>
      </c>
      <c r="N65" s="62">
        <v>4.0</v>
      </c>
      <c r="O65" s="62">
        <v>1.0</v>
      </c>
      <c r="P65" s="62">
        <v>4.0</v>
      </c>
      <c r="Q65" s="62">
        <v>0.0</v>
      </c>
      <c r="R65" s="62">
        <v>0.0</v>
      </c>
      <c r="S65" s="62">
        <v>0.0</v>
      </c>
      <c r="T65" s="62">
        <v>0.0</v>
      </c>
      <c r="U65" s="62">
        <v>0.0</v>
      </c>
      <c r="V65" s="62">
        <v>0.224166666666666</v>
      </c>
      <c r="W65" s="62">
        <v>0.224166666666666</v>
      </c>
      <c r="X65" s="62">
        <v>0.0</v>
      </c>
      <c r="Y65" s="62">
        <v>0.224166666666666</v>
      </c>
      <c r="Z65" s="62">
        <v>0.0</v>
      </c>
      <c r="AA65" s="62">
        <v>0.0</v>
      </c>
      <c r="AB65" s="62">
        <v>0.424444444444444</v>
      </c>
      <c r="AC65" s="62">
        <v>0.842222222222222</v>
      </c>
      <c r="AD65" s="62">
        <v>0.231944444444444</v>
      </c>
      <c r="AE65" s="62">
        <v>0.842222222222222</v>
      </c>
      <c r="AF65" s="62">
        <v>0.0</v>
      </c>
    </row>
    <row r="66">
      <c r="A66" s="68">
        <v>46139.0</v>
      </c>
      <c r="B66" s="62" t="s">
        <v>71</v>
      </c>
      <c r="C66" s="62" t="s">
        <v>163</v>
      </c>
      <c r="D66" s="62">
        <v>2.0</v>
      </c>
      <c r="E66" s="62">
        <v>3.0</v>
      </c>
      <c r="F66" s="62">
        <v>3.0</v>
      </c>
      <c r="G66" s="62">
        <v>0.0</v>
      </c>
      <c r="H66" s="62">
        <v>1.0</v>
      </c>
      <c r="I66" s="62">
        <v>1.0</v>
      </c>
      <c r="J66" s="62">
        <v>1.0</v>
      </c>
      <c r="K66" s="62">
        <v>0.0</v>
      </c>
      <c r="L66" s="62">
        <v>0.0</v>
      </c>
      <c r="M66" s="62">
        <v>1.0</v>
      </c>
      <c r="N66" s="62">
        <v>6.0</v>
      </c>
      <c r="O66" s="62">
        <v>5.0</v>
      </c>
      <c r="P66" s="62">
        <v>6.0</v>
      </c>
      <c r="Q66" s="62">
        <v>0.0</v>
      </c>
      <c r="R66" s="62">
        <v>4819.0</v>
      </c>
      <c r="S66" s="62">
        <v>6986.0</v>
      </c>
      <c r="T66" s="62">
        <v>0.901388888888888</v>
      </c>
      <c r="U66" s="62">
        <v>0.683333333333333</v>
      </c>
      <c r="V66" s="62">
        <v>0.0</v>
      </c>
      <c r="W66" s="62">
        <v>0.218055555555555</v>
      </c>
      <c r="X66" s="62">
        <v>0.218055555555555</v>
      </c>
      <c r="Y66" s="62">
        <v>0.218611111111111</v>
      </c>
      <c r="Z66" s="62">
        <v>0.0</v>
      </c>
      <c r="AA66" s="62">
        <v>0.0</v>
      </c>
      <c r="AB66" s="62">
        <v>0.218611111111111</v>
      </c>
      <c r="AC66" s="62">
        <v>1.36361111111111</v>
      </c>
      <c r="AD66" s="62">
        <v>1.375</v>
      </c>
      <c r="AE66" s="62">
        <v>1.36361111111111</v>
      </c>
      <c r="AF66" s="62">
        <v>4.0</v>
      </c>
    </row>
    <row r="67">
      <c r="A67" s="68">
        <v>46139.0</v>
      </c>
      <c r="B67" s="62" t="s">
        <v>76</v>
      </c>
      <c r="C67" s="62" t="s">
        <v>165</v>
      </c>
      <c r="D67" s="62">
        <v>19.0</v>
      </c>
      <c r="E67" s="62">
        <v>12.0</v>
      </c>
      <c r="F67" s="62">
        <v>16.0</v>
      </c>
      <c r="G67" s="62">
        <v>16.0</v>
      </c>
      <c r="H67" s="62">
        <v>18.0</v>
      </c>
      <c r="I67" s="62">
        <v>2.0</v>
      </c>
      <c r="J67" s="62">
        <v>18.0</v>
      </c>
      <c r="K67" s="62">
        <v>2.0</v>
      </c>
      <c r="L67" s="62">
        <v>2.0</v>
      </c>
      <c r="M67" s="62">
        <v>15.0</v>
      </c>
      <c r="N67" s="62">
        <v>15.0</v>
      </c>
      <c r="O67" s="62">
        <v>7.0</v>
      </c>
      <c r="P67" s="62">
        <v>15.0</v>
      </c>
      <c r="Q67" s="62">
        <v>0.0</v>
      </c>
      <c r="R67" s="62">
        <v>46062.0</v>
      </c>
      <c r="S67" s="62">
        <v>36646.0</v>
      </c>
      <c r="T67" s="62">
        <v>5.54138888888888</v>
      </c>
      <c r="U67" s="62">
        <v>5.25888888888888</v>
      </c>
      <c r="V67" s="62">
        <v>5.28305555555555</v>
      </c>
      <c r="W67" s="62">
        <v>5.85777777777777</v>
      </c>
      <c r="X67" s="62">
        <v>0.574722222222222</v>
      </c>
      <c r="Y67" s="62">
        <v>5.85888888888888</v>
      </c>
      <c r="Z67" s="62">
        <v>0.654722222222222</v>
      </c>
      <c r="AA67" s="62">
        <v>0.656111111111111</v>
      </c>
      <c r="AB67" s="62">
        <v>4.83</v>
      </c>
      <c r="AC67" s="62">
        <v>4.83</v>
      </c>
      <c r="AD67" s="62">
        <v>1.62527777777777</v>
      </c>
      <c r="AE67" s="62">
        <v>4.83</v>
      </c>
      <c r="AF67" s="62">
        <v>17.0</v>
      </c>
    </row>
    <row r="68">
      <c r="A68" s="68">
        <v>46139.0</v>
      </c>
      <c r="B68" s="62" t="s">
        <v>100</v>
      </c>
      <c r="C68" s="62" t="s">
        <v>167</v>
      </c>
      <c r="D68" s="62">
        <v>0.0</v>
      </c>
      <c r="E68" s="62">
        <v>19.0</v>
      </c>
      <c r="F68" s="62">
        <v>14.0</v>
      </c>
      <c r="G68" s="62">
        <v>11.0</v>
      </c>
      <c r="H68" s="62">
        <v>15.0</v>
      </c>
      <c r="I68" s="62">
        <v>4.0</v>
      </c>
      <c r="J68" s="62">
        <v>15.0</v>
      </c>
      <c r="K68" s="62">
        <v>15.0</v>
      </c>
      <c r="L68" s="62">
        <v>4.0</v>
      </c>
      <c r="M68" s="62">
        <v>16.0</v>
      </c>
      <c r="N68" s="62">
        <v>22.0</v>
      </c>
      <c r="O68" s="62">
        <v>5.0</v>
      </c>
      <c r="P68" s="62">
        <v>22.0</v>
      </c>
      <c r="Q68" s="62">
        <v>0.0</v>
      </c>
      <c r="R68" s="62">
        <v>0.0</v>
      </c>
      <c r="S68" s="62">
        <v>46590.0</v>
      </c>
      <c r="T68" s="62">
        <v>3.76138888888888</v>
      </c>
      <c r="U68" s="62">
        <v>3.18638888888888</v>
      </c>
      <c r="V68" s="62">
        <v>2.62888888888888</v>
      </c>
      <c r="W68" s="62">
        <v>3.46083333333333</v>
      </c>
      <c r="X68" s="62">
        <v>0.831944444444444</v>
      </c>
      <c r="Y68" s="62">
        <v>3.49444444444444</v>
      </c>
      <c r="Z68" s="62">
        <v>3.53277777777777</v>
      </c>
      <c r="AA68" s="62">
        <v>0.96</v>
      </c>
      <c r="AB68" s="62">
        <v>3.735</v>
      </c>
      <c r="AC68" s="62">
        <v>5.15416666666666</v>
      </c>
      <c r="AD68" s="62">
        <v>1.17361111111111</v>
      </c>
      <c r="AE68" s="62">
        <v>5.15416666666666</v>
      </c>
      <c r="AF68" s="62">
        <v>17.0</v>
      </c>
    </row>
    <row r="69">
      <c r="A69" s="68">
        <v>46139.0</v>
      </c>
      <c r="B69" s="62" t="s">
        <v>32</v>
      </c>
      <c r="C69" s="62" t="s">
        <v>168</v>
      </c>
      <c r="D69" s="62">
        <v>13.0</v>
      </c>
      <c r="E69" s="62">
        <v>16.0</v>
      </c>
      <c r="F69" s="62">
        <v>9.0</v>
      </c>
      <c r="G69" s="62">
        <v>0.0</v>
      </c>
      <c r="H69" s="62">
        <v>17.0</v>
      </c>
      <c r="I69" s="62">
        <v>7.0</v>
      </c>
      <c r="J69" s="62">
        <v>16.0</v>
      </c>
      <c r="K69" s="62">
        <v>1.0</v>
      </c>
      <c r="L69" s="62">
        <v>0.0</v>
      </c>
      <c r="M69" s="62">
        <v>19.0</v>
      </c>
      <c r="N69" s="62">
        <v>19.0</v>
      </c>
      <c r="O69" s="62">
        <v>6.0</v>
      </c>
      <c r="P69" s="62">
        <v>19.0</v>
      </c>
      <c r="Q69" s="62">
        <v>0.0</v>
      </c>
      <c r="R69" s="62">
        <v>28426.0</v>
      </c>
      <c r="S69" s="62">
        <v>38503.0</v>
      </c>
      <c r="T69" s="62">
        <v>4.86166666666666</v>
      </c>
      <c r="U69" s="62">
        <v>2.00027777777777</v>
      </c>
      <c r="V69" s="62">
        <v>0.0</v>
      </c>
      <c r="W69" s="62">
        <v>3.75472222222222</v>
      </c>
      <c r="X69" s="62">
        <v>1.53166666666666</v>
      </c>
      <c r="Y69" s="62">
        <v>3.52916666666666</v>
      </c>
      <c r="Z69" s="62">
        <v>0.217222222222222</v>
      </c>
      <c r="AA69" s="62">
        <v>0.0</v>
      </c>
      <c r="AB69" s="62">
        <v>4.18888888888888</v>
      </c>
      <c r="AC69" s="62">
        <v>4.18888888888888</v>
      </c>
      <c r="AD69" s="62">
        <v>1.26888888888888</v>
      </c>
      <c r="AE69" s="62">
        <v>4.18888888888888</v>
      </c>
      <c r="AF69" s="62">
        <v>22.0</v>
      </c>
    </row>
    <row r="70">
      <c r="A70" s="68">
        <v>46139.0</v>
      </c>
      <c r="B70" s="62" t="s">
        <v>110</v>
      </c>
      <c r="C70" s="62" t="s">
        <v>169</v>
      </c>
      <c r="D70" s="62">
        <v>12.0</v>
      </c>
      <c r="E70" s="62">
        <v>0.0</v>
      </c>
      <c r="F70" s="62">
        <v>0.0</v>
      </c>
      <c r="G70" s="62">
        <v>0.0</v>
      </c>
      <c r="H70" s="62">
        <v>0.0</v>
      </c>
      <c r="I70" s="62">
        <v>0.0</v>
      </c>
      <c r="J70" s="62">
        <v>0.0</v>
      </c>
      <c r="K70" s="62">
        <v>0.0</v>
      </c>
      <c r="L70" s="62">
        <v>0.0</v>
      </c>
      <c r="M70" s="62">
        <v>0.0</v>
      </c>
      <c r="N70" s="62">
        <v>0.0</v>
      </c>
      <c r="O70" s="62">
        <v>0.0</v>
      </c>
      <c r="P70" s="62">
        <v>0.0</v>
      </c>
      <c r="Q70" s="62">
        <v>0.0</v>
      </c>
      <c r="R70" s="62">
        <v>26987.0</v>
      </c>
      <c r="S70" s="62">
        <v>0.0</v>
      </c>
      <c r="T70" s="62">
        <v>0.0</v>
      </c>
      <c r="U70" s="62">
        <v>0.0</v>
      </c>
      <c r="V70" s="62">
        <v>0.0</v>
      </c>
      <c r="W70" s="62">
        <v>0.0</v>
      </c>
      <c r="X70" s="62">
        <v>0.0</v>
      </c>
      <c r="Y70" s="62">
        <v>0.0</v>
      </c>
      <c r="Z70" s="62">
        <v>0.0</v>
      </c>
      <c r="AA70" s="62">
        <v>0.0</v>
      </c>
      <c r="AB70" s="62">
        <v>0.0</v>
      </c>
      <c r="AC70" s="62">
        <v>0.0</v>
      </c>
      <c r="AD70" s="62">
        <v>0.0</v>
      </c>
      <c r="AE70" s="62">
        <v>0.0</v>
      </c>
      <c r="AF70" s="62">
        <v>0.0</v>
      </c>
    </row>
    <row r="71">
      <c r="A71" s="68">
        <v>46139.0</v>
      </c>
      <c r="B71" s="62" t="s">
        <v>102</v>
      </c>
      <c r="C71" s="62" t="s">
        <v>170</v>
      </c>
      <c r="D71" s="62">
        <v>13.0</v>
      </c>
      <c r="E71" s="62">
        <v>13.0</v>
      </c>
      <c r="F71" s="62">
        <v>0.0</v>
      </c>
      <c r="G71" s="62">
        <v>0.0</v>
      </c>
      <c r="H71" s="62">
        <v>0.0</v>
      </c>
      <c r="I71" s="62">
        <v>0.0</v>
      </c>
      <c r="J71" s="62">
        <v>0.0</v>
      </c>
      <c r="K71" s="62">
        <v>0.0</v>
      </c>
      <c r="L71" s="62">
        <v>0.0</v>
      </c>
      <c r="M71" s="62">
        <v>0.0</v>
      </c>
      <c r="N71" s="62">
        <v>13.0</v>
      </c>
      <c r="O71" s="62">
        <v>5.0</v>
      </c>
      <c r="P71" s="62">
        <v>13.0</v>
      </c>
      <c r="Q71" s="62">
        <v>0.0</v>
      </c>
      <c r="R71" s="62">
        <v>31676.0</v>
      </c>
      <c r="S71" s="62">
        <v>31497.0</v>
      </c>
      <c r="T71" s="62">
        <v>1.83111111111111</v>
      </c>
      <c r="U71" s="62">
        <v>0.0</v>
      </c>
      <c r="V71" s="62">
        <v>0.0</v>
      </c>
      <c r="W71" s="62">
        <v>0.0</v>
      </c>
      <c r="X71" s="62">
        <v>0.0</v>
      </c>
      <c r="Y71" s="62">
        <v>0.0</v>
      </c>
      <c r="Z71" s="62">
        <v>0.0</v>
      </c>
      <c r="AA71" s="62">
        <v>0.0</v>
      </c>
      <c r="AB71" s="62">
        <v>0.0</v>
      </c>
      <c r="AC71" s="62">
        <v>3.37444444444444</v>
      </c>
      <c r="AD71" s="62">
        <v>1.33361111111111</v>
      </c>
      <c r="AE71" s="62">
        <v>3.37444444444444</v>
      </c>
      <c r="AF71" s="62">
        <v>7.0</v>
      </c>
    </row>
    <row r="72">
      <c r="A72" s="68">
        <v>46139.0</v>
      </c>
      <c r="B72" s="62" t="s">
        <v>93</v>
      </c>
      <c r="C72" s="62" t="s">
        <v>182</v>
      </c>
      <c r="D72" s="62">
        <v>8.0</v>
      </c>
      <c r="E72" s="62">
        <v>10.0</v>
      </c>
      <c r="F72" s="62">
        <v>4.0</v>
      </c>
      <c r="G72" s="62">
        <v>4.0</v>
      </c>
      <c r="H72" s="62">
        <v>4.0</v>
      </c>
      <c r="I72" s="62">
        <v>2.0</v>
      </c>
      <c r="J72" s="62">
        <v>3.0</v>
      </c>
      <c r="K72" s="62">
        <v>0.0</v>
      </c>
      <c r="L72" s="62">
        <v>0.0</v>
      </c>
      <c r="M72" s="62">
        <v>3.0</v>
      </c>
      <c r="N72" s="62">
        <v>3.0</v>
      </c>
      <c r="O72" s="62">
        <v>5.0</v>
      </c>
      <c r="P72" s="62">
        <v>3.0</v>
      </c>
      <c r="Q72" s="62">
        <v>0.0</v>
      </c>
      <c r="R72" s="62">
        <v>17824.0</v>
      </c>
      <c r="S72" s="62">
        <v>22201.0</v>
      </c>
      <c r="T72" s="62">
        <v>1.10444444444444</v>
      </c>
      <c r="U72" s="62">
        <v>1.10444444444444</v>
      </c>
      <c r="V72" s="62">
        <v>1.01861111111111</v>
      </c>
      <c r="W72" s="62">
        <v>1.05222222222222</v>
      </c>
      <c r="X72" s="62">
        <v>0.5525</v>
      </c>
      <c r="Y72" s="62">
        <v>0.772777777777777</v>
      </c>
      <c r="Z72" s="62">
        <v>0.0</v>
      </c>
      <c r="AA72" s="62">
        <v>0.0</v>
      </c>
      <c r="AB72" s="62">
        <v>0.772777777777777</v>
      </c>
      <c r="AC72" s="62">
        <v>0.772777777777777</v>
      </c>
      <c r="AD72" s="62">
        <v>1.22638888888888</v>
      </c>
      <c r="AE72" s="62">
        <v>0.772777777777777</v>
      </c>
      <c r="AF72" s="62">
        <v>4.0</v>
      </c>
    </row>
    <row r="73">
      <c r="A73" s="68">
        <v>46139.0</v>
      </c>
      <c r="B73" s="62" t="s">
        <v>41</v>
      </c>
      <c r="C73" s="62" t="s">
        <v>172</v>
      </c>
      <c r="D73" s="62">
        <v>12.0</v>
      </c>
      <c r="E73" s="62">
        <v>13.0</v>
      </c>
      <c r="F73" s="62">
        <v>0.0</v>
      </c>
      <c r="G73" s="62">
        <v>0.0</v>
      </c>
      <c r="H73" s="62">
        <v>13.0</v>
      </c>
      <c r="I73" s="62">
        <v>13.0</v>
      </c>
      <c r="J73" s="62">
        <v>12.0</v>
      </c>
      <c r="K73" s="62">
        <v>9.0</v>
      </c>
      <c r="L73" s="62">
        <v>0.0</v>
      </c>
      <c r="M73" s="62">
        <v>11.0</v>
      </c>
      <c r="N73" s="62">
        <v>11.0</v>
      </c>
      <c r="O73" s="62">
        <v>5.0</v>
      </c>
      <c r="P73" s="62">
        <v>11.0</v>
      </c>
      <c r="Q73" s="62">
        <v>0.0</v>
      </c>
      <c r="R73" s="62">
        <v>26988.0</v>
      </c>
      <c r="S73" s="62">
        <v>31887.0</v>
      </c>
      <c r="T73" s="62">
        <v>3.69888888888888</v>
      </c>
      <c r="U73" s="62">
        <v>0.0</v>
      </c>
      <c r="V73" s="62">
        <v>0.0</v>
      </c>
      <c r="W73" s="62">
        <v>2.99722222222222</v>
      </c>
      <c r="X73" s="62">
        <v>2.99722222222222</v>
      </c>
      <c r="Y73" s="62">
        <v>2.77694444444444</v>
      </c>
      <c r="Z73" s="62">
        <v>2.09194444444444</v>
      </c>
      <c r="AA73" s="62">
        <v>0.0</v>
      </c>
      <c r="AB73" s="62">
        <v>2.54777777777777</v>
      </c>
      <c r="AC73" s="62">
        <v>2.54777777777777</v>
      </c>
      <c r="AD73" s="62">
        <v>1.0975</v>
      </c>
      <c r="AE73" s="62">
        <v>2.54777777777777</v>
      </c>
      <c r="AF73" s="62">
        <v>16.0</v>
      </c>
    </row>
    <row r="74">
      <c r="A74" s="68">
        <v>46139.0</v>
      </c>
      <c r="B74" s="62" t="s">
        <v>65</v>
      </c>
      <c r="C74" s="62" t="s">
        <v>173</v>
      </c>
      <c r="D74" s="62">
        <v>8.0</v>
      </c>
      <c r="E74" s="62">
        <v>10.0</v>
      </c>
      <c r="F74" s="62">
        <v>0.0</v>
      </c>
      <c r="G74" s="62">
        <v>0.0</v>
      </c>
      <c r="H74" s="62">
        <v>4.0</v>
      </c>
      <c r="I74" s="62">
        <v>4.0</v>
      </c>
      <c r="J74" s="62">
        <v>4.0</v>
      </c>
      <c r="K74" s="62">
        <v>4.0</v>
      </c>
      <c r="L74" s="62">
        <v>8.0</v>
      </c>
      <c r="M74" s="62">
        <v>11.0</v>
      </c>
      <c r="N74" s="62">
        <v>16.0</v>
      </c>
      <c r="O74" s="62">
        <v>6.0</v>
      </c>
      <c r="P74" s="62">
        <v>16.0</v>
      </c>
      <c r="Q74" s="62">
        <v>0.0</v>
      </c>
      <c r="R74" s="62">
        <v>16424.0</v>
      </c>
      <c r="S74" s="62">
        <v>21959.0</v>
      </c>
      <c r="T74" s="62">
        <v>2.38083333333333</v>
      </c>
      <c r="U74" s="62">
        <v>0.0</v>
      </c>
      <c r="V74" s="62">
        <v>0.0</v>
      </c>
      <c r="W74" s="62">
        <v>0.907777777777777</v>
      </c>
      <c r="X74" s="62">
        <v>0.907777777777777</v>
      </c>
      <c r="Y74" s="62">
        <v>0.9075</v>
      </c>
      <c r="Z74" s="62">
        <v>0.9075</v>
      </c>
      <c r="AA74" s="62">
        <v>1.96972222222222</v>
      </c>
      <c r="AB74" s="62">
        <v>2.71472222222222</v>
      </c>
      <c r="AC74" s="62">
        <v>3.81611111111111</v>
      </c>
      <c r="AD74" s="62">
        <v>1.39222222222222</v>
      </c>
      <c r="AE74" s="62">
        <v>3.81611111111111</v>
      </c>
      <c r="AF74" s="62">
        <v>10.0</v>
      </c>
    </row>
    <row r="75">
      <c r="A75" s="68">
        <v>46139.0</v>
      </c>
      <c r="B75" s="62" t="s">
        <v>37</v>
      </c>
      <c r="C75" s="62" t="s">
        <v>174</v>
      </c>
      <c r="D75" s="62">
        <v>10.0</v>
      </c>
      <c r="E75" s="62">
        <v>13.0</v>
      </c>
      <c r="F75" s="62">
        <v>4.0</v>
      </c>
      <c r="G75" s="62">
        <v>5.0</v>
      </c>
      <c r="H75" s="62">
        <v>5.0</v>
      </c>
      <c r="I75" s="62">
        <v>0.0</v>
      </c>
      <c r="J75" s="62">
        <v>6.0</v>
      </c>
      <c r="K75" s="62">
        <v>6.0</v>
      </c>
      <c r="L75" s="62">
        <v>5.0</v>
      </c>
      <c r="M75" s="62">
        <v>9.0</v>
      </c>
      <c r="N75" s="62">
        <v>9.0</v>
      </c>
      <c r="O75" s="62">
        <v>5.0</v>
      </c>
      <c r="P75" s="62">
        <v>9.0</v>
      </c>
      <c r="Q75" s="62">
        <v>0.0</v>
      </c>
      <c r="R75" s="62">
        <v>23532.0</v>
      </c>
      <c r="S75" s="62">
        <v>30032.0</v>
      </c>
      <c r="T75" s="62">
        <v>2.67611111111111</v>
      </c>
      <c r="U75" s="62">
        <v>1.01416666666666</v>
      </c>
      <c r="V75" s="62">
        <v>1.24583333333333</v>
      </c>
      <c r="W75" s="62">
        <v>1.24583333333333</v>
      </c>
      <c r="X75" s="62">
        <v>0.0</v>
      </c>
      <c r="Y75" s="62">
        <v>1.47361111111111</v>
      </c>
      <c r="Z75" s="62">
        <v>1.46472222222222</v>
      </c>
      <c r="AA75" s="62">
        <v>1.21416666666666</v>
      </c>
      <c r="AB75" s="62">
        <v>2.20083333333333</v>
      </c>
      <c r="AC75" s="62">
        <v>2.20083333333333</v>
      </c>
      <c r="AD75" s="62">
        <v>1.37777777777777</v>
      </c>
      <c r="AE75" s="62">
        <v>2.20083333333333</v>
      </c>
      <c r="AF75" s="62">
        <v>10.0</v>
      </c>
    </row>
    <row r="76">
      <c r="A76" s="68">
        <v>46139.0</v>
      </c>
      <c r="B76" s="62" t="s">
        <v>108</v>
      </c>
      <c r="C76" s="62" t="s">
        <v>175</v>
      </c>
      <c r="D76" s="62">
        <v>12.0</v>
      </c>
      <c r="E76" s="62">
        <v>11.0</v>
      </c>
      <c r="F76" s="62">
        <v>5.0</v>
      </c>
      <c r="G76" s="62">
        <v>1.0</v>
      </c>
      <c r="H76" s="62">
        <v>2.0</v>
      </c>
      <c r="I76" s="62">
        <v>1.0</v>
      </c>
      <c r="J76" s="62">
        <v>0.0</v>
      </c>
      <c r="K76" s="62">
        <v>0.0</v>
      </c>
      <c r="L76" s="62">
        <v>0.0</v>
      </c>
      <c r="M76" s="62">
        <v>0.0</v>
      </c>
      <c r="N76" s="62">
        <v>0.0</v>
      </c>
      <c r="O76" s="62">
        <v>0.0</v>
      </c>
      <c r="P76" s="62">
        <v>0.0</v>
      </c>
      <c r="Q76" s="62">
        <v>0.0</v>
      </c>
      <c r="R76" s="62">
        <v>24840.0</v>
      </c>
      <c r="S76" s="62">
        <v>22234.0</v>
      </c>
      <c r="T76" s="62">
        <v>2.66611111111111</v>
      </c>
      <c r="U76" s="62">
        <v>0.999722222222222</v>
      </c>
      <c r="V76" s="62">
        <v>0.0025</v>
      </c>
      <c r="W76" s="62">
        <v>0.223888888888888</v>
      </c>
      <c r="X76" s="62">
        <v>0.221388888888888</v>
      </c>
      <c r="Y76" s="62">
        <v>0.0</v>
      </c>
      <c r="Z76" s="62">
        <v>0.0</v>
      </c>
      <c r="AA76" s="62">
        <v>0.0</v>
      </c>
      <c r="AB76" s="62">
        <v>0.0</v>
      </c>
      <c r="AC76" s="62">
        <v>0.0</v>
      </c>
      <c r="AD76" s="62">
        <v>0.0</v>
      </c>
      <c r="AE76" s="62">
        <v>0.0</v>
      </c>
      <c r="AF76" s="62">
        <v>14.0</v>
      </c>
    </row>
    <row r="77">
      <c r="A77" s="68">
        <v>46139.0</v>
      </c>
      <c r="B77" s="62" t="s">
        <v>56</v>
      </c>
      <c r="C77" s="62" t="s">
        <v>176</v>
      </c>
      <c r="D77" s="62">
        <v>24.0</v>
      </c>
      <c r="E77" s="62">
        <v>19.0</v>
      </c>
      <c r="F77" s="62">
        <v>23.0</v>
      </c>
      <c r="G77" s="62">
        <v>13.0</v>
      </c>
      <c r="H77" s="62">
        <v>18.0</v>
      </c>
      <c r="I77" s="62">
        <v>0.0</v>
      </c>
      <c r="J77" s="62">
        <v>20.0</v>
      </c>
      <c r="K77" s="62">
        <v>12.0</v>
      </c>
      <c r="L77" s="62">
        <v>6.0</v>
      </c>
      <c r="M77" s="62">
        <v>20.0</v>
      </c>
      <c r="N77" s="62">
        <v>27.0</v>
      </c>
      <c r="O77" s="62">
        <v>7.0</v>
      </c>
      <c r="P77" s="62">
        <v>27.0</v>
      </c>
      <c r="Q77" s="62">
        <v>0.0</v>
      </c>
      <c r="R77" s="62">
        <v>53158.0</v>
      </c>
      <c r="S77" s="62">
        <v>42501.0</v>
      </c>
      <c r="T77" s="62">
        <v>7.23138888888888</v>
      </c>
      <c r="U77" s="62">
        <v>5.87111111111111</v>
      </c>
      <c r="V77" s="62">
        <v>3.29111111111111</v>
      </c>
      <c r="W77" s="62">
        <v>4.42305555555555</v>
      </c>
      <c r="X77" s="62">
        <v>0.0</v>
      </c>
      <c r="Y77" s="62">
        <v>4.86388888888888</v>
      </c>
      <c r="Z77" s="62">
        <v>2.85555555555555</v>
      </c>
      <c r="AA77" s="62">
        <v>1.41138888888888</v>
      </c>
      <c r="AB77" s="62">
        <v>4.83583333333333</v>
      </c>
      <c r="AC77" s="62">
        <v>6.42277777777777</v>
      </c>
      <c r="AD77" s="62">
        <v>1.67472222222222</v>
      </c>
      <c r="AE77" s="62">
        <v>6.42277777777777</v>
      </c>
      <c r="AF77" s="62">
        <v>29.0</v>
      </c>
    </row>
    <row r="78">
      <c r="A78" s="68">
        <v>46139.0</v>
      </c>
      <c r="B78" s="62" t="s">
        <v>91</v>
      </c>
      <c r="C78" s="62" t="s">
        <v>184</v>
      </c>
      <c r="D78" s="62">
        <v>0.0</v>
      </c>
      <c r="E78" s="62">
        <v>0.0</v>
      </c>
      <c r="F78" s="62">
        <v>0.0</v>
      </c>
      <c r="G78" s="62">
        <v>0.0</v>
      </c>
      <c r="H78" s="62">
        <v>0.0</v>
      </c>
      <c r="I78" s="62">
        <v>0.0</v>
      </c>
      <c r="J78" s="62">
        <v>0.0</v>
      </c>
      <c r="K78" s="62">
        <v>0.0</v>
      </c>
      <c r="L78" s="62">
        <v>0.0</v>
      </c>
      <c r="M78" s="62">
        <v>1.0</v>
      </c>
      <c r="N78" s="62">
        <v>2.0</v>
      </c>
      <c r="O78" s="62">
        <v>1.0</v>
      </c>
      <c r="P78" s="62">
        <v>2.0</v>
      </c>
      <c r="Q78" s="62">
        <v>0.0</v>
      </c>
      <c r="R78" s="62">
        <v>0.0</v>
      </c>
      <c r="S78" s="62">
        <v>0.0</v>
      </c>
      <c r="T78" s="62">
        <v>0.0</v>
      </c>
      <c r="U78" s="62">
        <v>0.0</v>
      </c>
      <c r="V78" s="62">
        <v>0.0</v>
      </c>
      <c r="W78" s="62">
        <v>0.0</v>
      </c>
      <c r="X78" s="62">
        <v>0.0</v>
      </c>
      <c r="Y78" s="62">
        <v>0.0</v>
      </c>
      <c r="Z78" s="62">
        <v>0.0</v>
      </c>
      <c r="AA78" s="62">
        <v>0.0</v>
      </c>
      <c r="AB78" s="62">
        <v>0.239722222222222</v>
      </c>
      <c r="AC78" s="62">
        <v>0.452222222222222</v>
      </c>
      <c r="AD78" s="62">
        <v>0.198888888888888</v>
      </c>
      <c r="AE78" s="62">
        <v>0.452222222222222</v>
      </c>
      <c r="AF78" s="62">
        <v>0.0</v>
      </c>
    </row>
    <row r="79">
      <c r="A79" s="68">
        <v>46139.0</v>
      </c>
      <c r="B79" s="62" t="s">
        <v>26</v>
      </c>
      <c r="C79" s="62" t="s">
        <v>178</v>
      </c>
      <c r="D79" s="62">
        <v>16.0</v>
      </c>
      <c r="E79" s="62">
        <v>30.0</v>
      </c>
      <c r="F79" s="62">
        <v>21.0</v>
      </c>
      <c r="G79" s="62">
        <v>17.0</v>
      </c>
      <c r="H79" s="62">
        <v>31.0</v>
      </c>
      <c r="I79" s="62">
        <v>16.0</v>
      </c>
      <c r="J79" s="62">
        <v>28.0</v>
      </c>
      <c r="K79" s="62">
        <v>11.0</v>
      </c>
      <c r="L79" s="62">
        <v>4.0</v>
      </c>
      <c r="M79" s="62">
        <v>29.0</v>
      </c>
      <c r="N79" s="62">
        <v>29.0</v>
      </c>
      <c r="O79" s="62">
        <v>5.0</v>
      </c>
      <c r="P79" s="62">
        <v>29.0</v>
      </c>
      <c r="Q79" s="62">
        <v>0.0</v>
      </c>
      <c r="R79" s="62">
        <v>36491.0</v>
      </c>
      <c r="S79" s="62">
        <v>67327.0</v>
      </c>
      <c r="T79" s="62">
        <v>6.28194444444444</v>
      </c>
      <c r="U79" s="62">
        <v>3.72305555555555</v>
      </c>
      <c r="V79" s="62">
        <v>3.04722222222222</v>
      </c>
      <c r="W79" s="62">
        <v>5.60444444444444</v>
      </c>
      <c r="X79" s="62">
        <v>2.90222222222222</v>
      </c>
      <c r="Y79" s="62">
        <v>5.15055555555555</v>
      </c>
      <c r="Z79" s="62">
        <v>1.94499999999999</v>
      </c>
      <c r="AA79" s="62">
        <v>0.732777777777777</v>
      </c>
      <c r="AB79" s="62">
        <v>5.34055555555555</v>
      </c>
      <c r="AC79" s="62">
        <v>5.34055555555555</v>
      </c>
      <c r="AD79" s="62">
        <v>0.948888888888888</v>
      </c>
      <c r="AE79" s="62">
        <v>5.34055555555555</v>
      </c>
      <c r="AF79" s="62">
        <v>35.0</v>
      </c>
    </row>
    <row r="80">
      <c r="A80" s="68">
        <v>46139.0</v>
      </c>
      <c r="B80" s="62" t="s">
        <v>62</v>
      </c>
      <c r="C80" s="62" t="s">
        <v>63</v>
      </c>
      <c r="D80" s="62">
        <v>12.0</v>
      </c>
      <c r="E80" s="62">
        <v>7.0</v>
      </c>
      <c r="F80" s="62">
        <v>0.0</v>
      </c>
      <c r="G80" s="62">
        <v>0.0</v>
      </c>
      <c r="H80" s="62">
        <v>12.0</v>
      </c>
      <c r="I80" s="62">
        <v>12.0</v>
      </c>
      <c r="J80" s="62">
        <v>12.0</v>
      </c>
      <c r="K80" s="62">
        <v>3.0</v>
      </c>
      <c r="L80" s="62">
        <v>0.0</v>
      </c>
      <c r="M80" s="62">
        <v>15.0</v>
      </c>
      <c r="N80" s="62">
        <v>15.0</v>
      </c>
      <c r="O80" s="62">
        <v>4.0</v>
      </c>
      <c r="P80" s="62">
        <v>15.0</v>
      </c>
      <c r="Q80" s="62">
        <v>0.0</v>
      </c>
      <c r="R80" s="62">
        <v>30331.0</v>
      </c>
      <c r="S80" s="62">
        <v>15108.0</v>
      </c>
      <c r="T80" s="62">
        <v>1.9175</v>
      </c>
      <c r="U80" s="62">
        <v>0.0</v>
      </c>
      <c r="V80" s="62">
        <v>0.0</v>
      </c>
      <c r="W80" s="62">
        <v>2.55611111111111</v>
      </c>
      <c r="X80" s="62">
        <v>2.55611111111111</v>
      </c>
      <c r="Y80" s="62">
        <v>2.59805555555555</v>
      </c>
      <c r="Z80" s="62">
        <v>0.633333333333333</v>
      </c>
      <c r="AA80" s="62">
        <v>0.0</v>
      </c>
      <c r="AB80" s="62">
        <v>3.27694444444444</v>
      </c>
      <c r="AC80" s="62">
        <v>3.27694444444444</v>
      </c>
      <c r="AD80" s="62">
        <v>0.877777777777777</v>
      </c>
      <c r="AE80" s="62">
        <v>3.27694444444444</v>
      </c>
      <c r="AF80" s="62">
        <v>9.0</v>
      </c>
    </row>
    <row r="81">
      <c r="A81" s="68">
        <v>46139.0</v>
      </c>
      <c r="B81" s="62" t="s">
        <v>89</v>
      </c>
      <c r="C81" s="62" t="s">
        <v>180</v>
      </c>
      <c r="D81" s="62">
        <v>46.0</v>
      </c>
      <c r="E81" s="62">
        <v>46.0</v>
      </c>
      <c r="F81" s="62">
        <v>0.0</v>
      </c>
      <c r="G81" s="62">
        <v>0.0</v>
      </c>
      <c r="H81" s="62">
        <v>0.0</v>
      </c>
      <c r="I81" s="62">
        <v>0.0</v>
      </c>
      <c r="J81" s="62">
        <v>0.0</v>
      </c>
      <c r="K81" s="62">
        <v>0.0</v>
      </c>
      <c r="L81" s="62">
        <v>0.0</v>
      </c>
      <c r="M81" s="62">
        <v>1.0</v>
      </c>
      <c r="N81" s="62">
        <v>47.0</v>
      </c>
      <c r="O81" s="62">
        <v>4.0</v>
      </c>
      <c r="P81" s="62">
        <v>47.0</v>
      </c>
      <c r="Q81" s="62">
        <v>0.0</v>
      </c>
      <c r="R81" s="62">
        <v>77827.0</v>
      </c>
      <c r="S81" s="62">
        <v>77827.0</v>
      </c>
      <c r="T81" s="62">
        <v>1.71166666666666</v>
      </c>
      <c r="U81" s="62">
        <v>0.0</v>
      </c>
      <c r="V81" s="62">
        <v>0.0</v>
      </c>
      <c r="W81" s="62">
        <v>0.0</v>
      </c>
      <c r="X81" s="62">
        <v>0.0</v>
      </c>
      <c r="Y81" s="62">
        <v>0.0</v>
      </c>
      <c r="Z81" s="62">
        <v>0.0</v>
      </c>
      <c r="AA81" s="62">
        <v>0.0</v>
      </c>
      <c r="AB81" s="62">
        <v>0.195</v>
      </c>
      <c r="AC81" s="62">
        <v>9.91</v>
      </c>
      <c r="AD81" s="62">
        <v>1.05333333333333</v>
      </c>
      <c r="AE81" s="62">
        <v>9.90833333333333</v>
      </c>
      <c r="AF81" s="62">
        <v>7.0</v>
      </c>
    </row>
    <row r="82">
      <c r="A82" s="68">
        <v>46132.0</v>
      </c>
      <c r="B82" s="62" t="s">
        <v>79</v>
      </c>
      <c r="C82" s="62" t="s">
        <v>162</v>
      </c>
      <c r="D82" s="62">
        <v>26.0</v>
      </c>
      <c r="E82" s="62">
        <v>10.0</v>
      </c>
      <c r="F82" s="62">
        <v>0.0</v>
      </c>
      <c r="G82" s="62">
        <v>0.0</v>
      </c>
      <c r="H82" s="62">
        <v>0.0</v>
      </c>
      <c r="I82" s="62">
        <v>0.0</v>
      </c>
      <c r="J82" s="62">
        <v>0.0</v>
      </c>
      <c r="K82" s="62">
        <v>0.0</v>
      </c>
      <c r="L82" s="62">
        <v>0.0</v>
      </c>
      <c r="M82" s="62">
        <v>0.0</v>
      </c>
      <c r="N82" s="62">
        <v>0.0</v>
      </c>
      <c r="O82" s="62">
        <v>4.0</v>
      </c>
      <c r="P82" s="62">
        <v>0.0</v>
      </c>
      <c r="Q82" s="62">
        <v>0.0</v>
      </c>
      <c r="R82" s="62">
        <v>61334.0</v>
      </c>
      <c r="S82" s="62">
        <v>23918.0</v>
      </c>
      <c r="T82" s="62">
        <v>0.0</v>
      </c>
      <c r="U82" s="62">
        <v>0.0</v>
      </c>
      <c r="V82" s="62">
        <v>0.0</v>
      </c>
      <c r="W82" s="62">
        <v>0.0</v>
      </c>
      <c r="X82" s="62">
        <v>0.0</v>
      </c>
      <c r="Y82" s="62">
        <v>0.0</v>
      </c>
      <c r="Z82" s="62">
        <v>0.0</v>
      </c>
      <c r="AA82" s="62">
        <v>0.0</v>
      </c>
      <c r="AB82" s="62">
        <v>0.0</v>
      </c>
      <c r="AC82" s="62">
        <v>0.0</v>
      </c>
      <c r="AD82" s="62">
        <v>0.788611111111111</v>
      </c>
      <c r="AE82" s="62">
        <v>0.0</v>
      </c>
      <c r="AF82" s="62">
        <v>0.0</v>
      </c>
    </row>
    <row r="83">
      <c r="A83" s="68">
        <v>46132.0</v>
      </c>
      <c r="B83" s="62" t="s">
        <v>96</v>
      </c>
      <c r="C83" s="62" t="s">
        <v>97</v>
      </c>
      <c r="D83" s="62">
        <v>37.0</v>
      </c>
      <c r="E83" s="62">
        <v>35.0</v>
      </c>
      <c r="F83" s="62">
        <v>0.0</v>
      </c>
      <c r="G83" s="62">
        <v>0.0</v>
      </c>
      <c r="H83" s="62">
        <v>6.0</v>
      </c>
      <c r="I83" s="62">
        <v>0.0</v>
      </c>
      <c r="J83" s="62">
        <v>6.0</v>
      </c>
      <c r="K83" s="62">
        <v>0.0</v>
      </c>
      <c r="L83" s="62">
        <v>0.0</v>
      </c>
      <c r="M83" s="62">
        <v>16.0</v>
      </c>
      <c r="N83" s="62">
        <v>20.0</v>
      </c>
      <c r="O83" s="62">
        <v>5.0</v>
      </c>
      <c r="P83" s="62">
        <v>20.0</v>
      </c>
      <c r="Q83" s="62">
        <v>0.0</v>
      </c>
      <c r="R83" s="62">
        <v>81338.0</v>
      </c>
      <c r="S83" s="62">
        <v>74759.0</v>
      </c>
      <c r="T83" s="62">
        <v>0.519722222222222</v>
      </c>
      <c r="U83" s="62">
        <v>0.0</v>
      </c>
      <c r="V83" s="62">
        <v>0.0</v>
      </c>
      <c r="W83" s="62">
        <v>1.25944444444444</v>
      </c>
      <c r="X83" s="62">
        <v>0.0</v>
      </c>
      <c r="Y83" s="62">
        <v>1.25944444444444</v>
      </c>
      <c r="Z83" s="62">
        <v>0.0</v>
      </c>
      <c r="AA83" s="62">
        <v>0.0</v>
      </c>
      <c r="AB83" s="62">
        <v>3.44</v>
      </c>
      <c r="AC83" s="62">
        <v>4.47666666666666</v>
      </c>
      <c r="AD83" s="62">
        <v>1.27999999999999</v>
      </c>
      <c r="AE83" s="62">
        <v>4.47666666666666</v>
      </c>
      <c r="AF83" s="62">
        <v>2.0</v>
      </c>
    </row>
    <row r="84">
      <c r="A84" s="68">
        <v>46132.0</v>
      </c>
      <c r="B84" s="62" t="s">
        <v>106</v>
      </c>
      <c r="C84" s="62" t="s">
        <v>107</v>
      </c>
      <c r="D84" s="62">
        <v>0.0</v>
      </c>
      <c r="E84" s="62">
        <v>0.0</v>
      </c>
      <c r="F84" s="62">
        <v>0.0</v>
      </c>
      <c r="G84" s="62">
        <v>0.0</v>
      </c>
      <c r="H84" s="62">
        <v>0.0</v>
      </c>
      <c r="I84" s="62">
        <v>0.0</v>
      </c>
      <c r="J84" s="62">
        <v>0.0</v>
      </c>
      <c r="K84" s="62">
        <v>1.0</v>
      </c>
      <c r="L84" s="62">
        <v>7.0</v>
      </c>
      <c r="M84" s="62">
        <v>8.0</v>
      </c>
      <c r="N84" s="62">
        <v>0.0</v>
      </c>
      <c r="O84" s="62">
        <v>0.0</v>
      </c>
      <c r="P84" s="62">
        <v>0.0</v>
      </c>
      <c r="Q84" s="62">
        <v>0.0</v>
      </c>
      <c r="R84" s="62">
        <v>0.0</v>
      </c>
      <c r="S84" s="62">
        <v>0.0</v>
      </c>
      <c r="T84" s="62">
        <v>0.0</v>
      </c>
      <c r="U84" s="62">
        <v>0.0</v>
      </c>
      <c r="V84" s="62">
        <v>0.0</v>
      </c>
      <c r="W84" s="62">
        <v>0.0</v>
      </c>
      <c r="X84" s="62">
        <v>0.0</v>
      </c>
      <c r="Y84" s="62">
        <v>0.0</v>
      </c>
      <c r="Z84" s="62">
        <v>0.128888888888888</v>
      </c>
      <c r="AA84" s="62">
        <v>1.02833333333333</v>
      </c>
      <c r="AB84" s="62">
        <v>1.16361111111111</v>
      </c>
      <c r="AC84" s="62">
        <v>0.0</v>
      </c>
      <c r="AD84" s="62">
        <v>0.0</v>
      </c>
      <c r="AE84" s="62">
        <v>0.0</v>
      </c>
      <c r="AF84" s="62">
        <v>0.0</v>
      </c>
    </row>
    <row r="85">
      <c r="A85" s="68">
        <v>46132.0</v>
      </c>
      <c r="B85" s="62" t="s">
        <v>98</v>
      </c>
      <c r="C85" s="62" t="s">
        <v>183</v>
      </c>
      <c r="D85" s="62">
        <v>6.0</v>
      </c>
      <c r="E85" s="62">
        <v>12.0</v>
      </c>
      <c r="F85" s="62">
        <v>9.0</v>
      </c>
      <c r="G85" s="62">
        <v>8.0</v>
      </c>
      <c r="H85" s="62">
        <v>12.0</v>
      </c>
      <c r="I85" s="62">
        <v>4.0</v>
      </c>
      <c r="J85" s="62">
        <v>12.0</v>
      </c>
      <c r="K85" s="62">
        <v>1.0</v>
      </c>
      <c r="L85" s="62">
        <v>1.0</v>
      </c>
      <c r="M85" s="62">
        <v>12.0</v>
      </c>
      <c r="N85" s="62">
        <v>11.0</v>
      </c>
      <c r="O85" s="62">
        <v>5.0</v>
      </c>
      <c r="P85" s="62">
        <v>11.0</v>
      </c>
      <c r="Q85" s="62">
        <v>0.0</v>
      </c>
      <c r="R85" s="62">
        <v>13041.0</v>
      </c>
      <c r="S85" s="62">
        <v>26566.0</v>
      </c>
      <c r="T85" s="62">
        <v>1.71749999999999</v>
      </c>
      <c r="U85" s="62">
        <v>1.93416666666666</v>
      </c>
      <c r="V85" s="62">
        <v>1.71138888888888</v>
      </c>
      <c r="W85" s="62">
        <v>2.56388888888888</v>
      </c>
      <c r="X85" s="62">
        <v>0.852499999999999</v>
      </c>
      <c r="Y85" s="62">
        <v>2.56277777777777</v>
      </c>
      <c r="Z85" s="62">
        <v>0.211944444444444</v>
      </c>
      <c r="AA85" s="62">
        <v>0.211944444444444</v>
      </c>
      <c r="AB85" s="62">
        <v>2.56222222222222</v>
      </c>
      <c r="AC85" s="62">
        <v>2.35777777777777</v>
      </c>
      <c r="AD85" s="62">
        <v>1.12833333333333</v>
      </c>
      <c r="AE85" s="62">
        <v>2.35777777777777</v>
      </c>
      <c r="AF85" s="62">
        <v>8.0</v>
      </c>
    </row>
    <row r="86">
      <c r="A86" s="68">
        <v>46132.0</v>
      </c>
      <c r="B86" s="62" t="s">
        <v>71</v>
      </c>
      <c r="C86" s="62" t="s">
        <v>163</v>
      </c>
      <c r="D86" s="62">
        <v>3.0</v>
      </c>
      <c r="E86" s="62">
        <v>4.0</v>
      </c>
      <c r="F86" s="62">
        <v>3.0</v>
      </c>
      <c r="G86" s="62">
        <v>3.0</v>
      </c>
      <c r="H86" s="62">
        <v>5.0</v>
      </c>
      <c r="I86" s="62">
        <v>2.0</v>
      </c>
      <c r="J86" s="62">
        <v>5.0</v>
      </c>
      <c r="K86" s="62">
        <v>5.0</v>
      </c>
      <c r="L86" s="62">
        <v>0.0</v>
      </c>
      <c r="M86" s="62">
        <v>4.0</v>
      </c>
      <c r="N86" s="62">
        <v>0.0</v>
      </c>
      <c r="O86" s="62">
        <v>5.0</v>
      </c>
      <c r="P86" s="62">
        <v>0.0</v>
      </c>
      <c r="Q86" s="62">
        <v>0.0</v>
      </c>
      <c r="R86" s="62">
        <v>7000.0</v>
      </c>
      <c r="S86" s="62">
        <v>9086.0</v>
      </c>
      <c r="T86" s="62">
        <v>1.14194444444444</v>
      </c>
      <c r="U86" s="62">
        <v>0.688888888888888</v>
      </c>
      <c r="V86" s="62">
        <v>0.690555555555555</v>
      </c>
      <c r="W86" s="62">
        <v>1.14361111111111</v>
      </c>
      <c r="X86" s="62">
        <v>0.453055555555555</v>
      </c>
      <c r="Y86" s="62">
        <v>1.145</v>
      </c>
      <c r="Z86" s="62">
        <v>1.145</v>
      </c>
      <c r="AA86" s="62">
        <v>0.0</v>
      </c>
      <c r="AB86" s="62">
        <v>0.890277777777777</v>
      </c>
      <c r="AC86" s="62">
        <v>0.0</v>
      </c>
      <c r="AD86" s="62">
        <v>1.3375</v>
      </c>
      <c r="AE86" s="62">
        <v>0.0</v>
      </c>
      <c r="AF86" s="62">
        <v>5.0</v>
      </c>
    </row>
    <row r="87">
      <c r="A87" s="68">
        <v>46132.0</v>
      </c>
      <c r="B87" s="62" t="s">
        <v>46</v>
      </c>
      <c r="C87" s="62" t="s">
        <v>185</v>
      </c>
      <c r="D87" s="62">
        <v>7.0</v>
      </c>
      <c r="E87" s="62">
        <v>7.0</v>
      </c>
      <c r="F87" s="62">
        <v>0.0</v>
      </c>
      <c r="G87" s="62">
        <v>0.0</v>
      </c>
      <c r="H87" s="62">
        <v>1.0</v>
      </c>
      <c r="I87" s="62">
        <v>0.0</v>
      </c>
      <c r="J87" s="62">
        <v>1.0</v>
      </c>
      <c r="K87" s="62">
        <v>2.0</v>
      </c>
      <c r="L87" s="62">
        <v>0.0</v>
      </c>
      <c r="M87" s="62">
        <v>0.0</v>
      </c>
      <c r="N87" s="62">
        <v>7.0</v>
      </c>
      <c r="O87" s="62">
        <v>0.0</v>
      </c>
      <c r="P87" s="62">
        <v>7.0</v>
      </c>
      <c r="Q87" s="62">
        <v>0.0</v>
      </c>
      <c r="R87" s="62">
        <v>13628.0</v>
      </c>
      <c r="S87" s="62">
        <v>13628.0</v>
      </c>
      <c r="T87" s="62">
        <v>0.0</v>
      </c>
      <c r="U87" s="62">
        <v>0.0</v>
      </c>
      <c r="V87" s="62">
        <v>0.0</v>
      </c>
      <c r="W87" s="62">
        <v>0.197777777777777</v>
      </c>
      <c r="X87" s="62">
        <v>0.0</v>
      </c>
      <c r="Y87" s="62">
        <v>0.197777777777777</v>
      </c>
      <c r="Z87" s="62">
        <v>0.393888888888888</v>
      </c>
      <c r="AA87" s="62">
        <v>0.0</v>
      </c>
      <c r="AB87" s="62">
        <v>0.0</v>
      </c>
      <c r="AC87" s="62">
        <v>1.34611111111111</v>
      </c>
      <c r="AD87" s="62">
        <v>0.0</v>
      </c>
      <c r="AE87" s="62">
        <v>1.34611111111111</v>
      </c>
      <c r="AF87" s="62">
        <v>0.0</v>
      </c>
    </row>
    <row r="88">
      <c r="A88" s="68">
        <v>46132.0</v>
      </c>
      <c r="B88" s="62" t="s">
        <v>76</v>
      </c>
      <c r="C88" s="62" t="s">
        <v>165</v>
      </c>
      <c r="D88" s="62">
        <v>27.0</v>
      </c>
      <c r="E88" s="62">
        <v>23.0</v>
      </c>
      <c r="F88" s="62">
        <v>22.0</v>
      </c>
      <c r="G88" s="62">
        <v>22.0</v>
      </c>
      <c r="H88" s="62">
        <v>22.0</v>
      </c>
      <c r="I88" s="62">
        <v>0.0</v>
      </c>
      <c r="J88" s="62">
        <v>23.0</v>
      </c>
      <c r="K88" s="62">
        <v>4.0</v>
      </c>
      <c r="L88" s="62">
        <v>4.0</v>
      </c>
      <c r="M88" s="62">
        <v>17.0</v>
      </c>
      <c r="N88" s="62">
        <v>25.0</v>
      </c>
      <c r="O88" s="62">
        <v>7.0</v>
      </c>
      <c r="P88" s="62">
        <v>25.0</v>
      </c>
      <c r="Q88" s="62">
        <v>0.0</v>
      </c>
      <c r="R88" s="62">
        <v>76018.0</v>
      </c>
      <c r="S88" s="62">
        <v>70885.0</v>
      </c>
      <c r="T88" s="62">
        <v>5.83027777777777</v>
      </c>
      <c r="U88" s="62">
        <v>6.42499999999999</v>
      </c>
      <c r="V88" s="62">
        <v>6.41083333333333</v>
      </c>
      <c r="W88" s="62">
        <v>6.41083333333333</v>
      </c>
      <c r="X88" s="62">
        <v>0.0</v>
      </c>
      <c r="Y88" s="62">
        <v>6.74277777777777</v>
      </c>
      <c r="Z88" s="62">
        <v>1.26805555555555</v>
      </c>
      <c r="AA88" s="62">
        <v>1.26805555555555</v>
      </c>
      <c r="AB88" s="62">
        <v>5.09111111111111</v>
      </c>
      <c r="AC88" s="62">
        <v>7.34888888888888</v>
      </c>
      <c r="AD88" s="62">
        <v>1.63166666666666</v>
      </c>
      <c r="AE88" s="62">
        <v>7.34888888888888</v>
      </c>
      <c r="AF88" s="62">
        <v>20.0</v>
      </c>
    </row>
    <row r="89">
      <c r="A89" s="68">
        <v>46132.0</v>
      </c>
      <c r="B89" s="62" t="s">
        <v>100</v>
      </c>
      <c r="C89" s="62" t="s">
        <v>167</v>
      </c>
      <c r="D89" s="62">
        <v>36.0</v>
      </c>
      <c r="E89" s="62">
        <v>20.0</v>
      </c>
      <c r="F89" s="62">
        <v>5.0</v>
      </c>
      <c r="G89" s="62">
        <v>7.0</v>
      </c>
      <c r="H89" s="62">
        <v>11.0</v>
      </c>
      <c r="I89" s="62">
        <v>4.0</v>
      </c>
      <c r="J89" s="62">
        <v>11.0</v>
      </c>
      <c r="K89" s="62">
        <v>9.0</v>
      </c>
      <c r="L89" s="62">
        <v>3.0</v>
      </c>
      <c r="M89" s="62">
        <v>10.0</v>
      </c>
      <c r="N89" s="62">
        <v>5.0</v>
      </c>
      <c r="O89" s="62">
        <v>4.0</v>
      </c>
      <c r="P89" s="62">
        <v>5.0</v>
      </c>
      <c r="Q89" s="62">
        <v>0.0</v>
      </c>
      <c r="R89" s="62">
        <v>87457.0</v>
      </c>
      <c r="S89" s="62">
        <v>47855.0</v>
      </c>
      <c r="T89" s="62">
        <v>4.06888888888888</v>
      </c>
      <c r="U89" s="62">
        <v>1.1375</v>
      </c>
      <c r="V89" s="62">
        <v>1.61361111111111</v>
      </c>
      <c r="W89" s="62">
        <v>2.51027777777777</v>
      </c>
      <c r="X89" s="62">
        <v>0.896666666666666</v>
      </c>
      <c r="Y89" s="62">
        <v>2.55027777777777</v>
      </c>
      <c r="Z89" s="62">
        <v>2.05777777777777</v>
      </c>
      <c r="AA89" s="62">
        <v>0.6525</v>
      </c>
      <c r="AB89" s="62">
        <v>2.27277777777777</v>
      </c>
      <c r="AC89" s="62">
        <v>1.08805555555555</v>
      </c>
      <c r="AD89" s="62">
        <v>0.878888888888888</v>
      </c>
      <c r="AE89" s="62">
        <v>1.08805555555555</v>
      </c>
      <c r="AF89" s="62">
        <v>18.0</v>
      </c>
    </row>
    <row r="90">
      <c r="A90" s="68">
        <v>46132.0</v>
      </c>
      <c r="B90" s="62" t="s">
        <v>32</v>
      </c>
      <c r="C90" s="62" t="s">
        <v>168</v>
      </c>
      <c r="D90" s="62">
        <v>13.0</v>
      </c>
      <c r="E90" s="62">
        <v>18.0</v>
      </c>
      <c r="F90" s="62">
        <v>16.0</v>
      </c>
      <c r="G90" s="62">
        <v>0.0</v>
      </c>
      <c r="H90" s="62">
        <v>23.0</v>
      </c>
      <c r="I90" s="62">
        <v>9.0</v>
      </c>
      <c r="J90" s="62">
        <v>25.0</v>
      </c>
      <c r="K90" s="62">
        <v>2.0</v>
      </c>
      <c r="L90" s="62">
        <v>0.0</v>
      </c>
      <c r="M90" s="62">
        <v>22.0</v>
      </c>
      <c r="N90" s="62">
        <v>22.0</v>
      </c>
      <c r="O90" s="62">
        <v>5.0</v>
      </c>
      <c r="P90" s="62">
        <v>22.0</v>
      </c>
      <c r="Q90" s="62">
        <v>0.0</v>
      </c>
      <c r="R90" s="62">
        <v>31061.0</v>
      </c>
      <c r="S90" s="62">
        <v>42836.0</v>
      </c>
      <c r="T90" s="62">
        <v>5.58083333333333</v>
      </c>
      <c r="U90" s="62">
        <v>3.60611111111111</v>
      </c>
      <c r="V90" s="62">
        <v>0.0</v>
      </c>
      <c r="W90" s="62">
        <v>5.1125</v>
      </c>
      <c r="X90" s="62">
        <v>1.97472222222222</v>
      </c>
      <c r="Y90" s="62">
        <v>5.53027777777777</v>
      </c>
      <c r="Z90" s="62">
        <v>0.464444444444444</v>
      </c>
      <c r="AA90" s="62">
        <v>0.0</v>
      </c>
      <c r="AB90" s="62">
        <v>4.87055555555555</v>
      </c>
      <c r="AC90" s="62">
        <v>4.87055555555555</v>
      </c>
      <c r="AD90" s="62">
        <v>1.02861111111111</v>
      </c>
      <c r="AE90" s="62">
        <v>4.87055555555555</v>
      </c>
      <c r="AF90" s="62">
        <v>25.0</v>
      </c>
    </row>
    <row r="91">
      <c r="A91" s="68">
        <v>46132.0</v>
      </c>
      <c r="B91" s="62" t="s">
        <v>110</v>
      </c>
      <c r="C91" s="62" t="s">
        <v>169</v>
      </c>
      <c r="D91" s="62">
        <v>11.0</v>
      </c>
      <c r="E91" s="62">
        <v>0.0</v>
      </c>
      <c r="F91" s="62">
        <v>0.0</v>
      </c>
      <c r="G91" s="62">
        <v>0.0</v>
      </c>
      <c r="H91" s="62">
        <v>0.0</v>
      </c>
      <c r="I91" s="62">
        <v>0.0</v>
      </c>
      <c r="J91" s="62">
        <v>0.0</v>
      </c>
      <c r="K91" s="62">
        <v>0.0</v>
      </c>
      <c r="L91" s="62">
        <v>0.0</v>
      </c>
      <c r="M91" s="62">
        <v>0.0</v>
      </c>
      <c r="N91" s="62">
        <v>0.0</v>
      </c>
      <c r="O91" s="62">
        <v>0.0</v>
      </c>
      <c r="P91" s="62">
        <v>0.0</v>
      </c>
      <c r="Q91" s="62">
        <v>0.0</v>
      </c>
      <c r="R91" s="62">
        <v>23053.0</v>
      </c>
      <c r="S91" s="62">
        <v>0.0</v>
      </c>
      <c r="T91" s="62">
        <v>0.0</v>
      </c>
      <c r="U91" s="62">
        <v>0.0</v>
      </c>
      <c r="V91" s="62">
        <v>0.0</v>
      </c>
      <c r="W91" s="62">
        <v>0.0</v>
      </c>
      <c r="X91" s="62">
        <v>0.0</v>
      </c>
      <c r="Y91" s="62">
        <v>0.0</v>
      </c>
      <c r="Z91" s="62">
        <v>0.0</v>
      </c>
      <c r="AA91" s="62">
        <v>0.0</v>
      </c>
      <c r="AB91" s="62">
        <v>0.0</v>
      </c>
      <c r="AC91" s="62">
        <v>0.0</v>
      </c>
      <c r="AD91" s="62">
        <v>0.0</v>
      </c>
      <c r="AE91" s="62">
        <v>0.0</v>
      </c>
      <c r="AF91" s="62">
        <v>0.0</v>
      </c>
    </row>
    <row r="92">
      <c r="A92" s="68">
        <v>46132.0</v>
      </c>
      <c r="B92" s="62" t="s">
        <v>93</v>
      </c>
      <c r="C92" s="62" t="s">
        <v>182</v>
      </c>
      <c r="D92" s="62">
        <v>5.0</v>
      </c>
      <c r="E92" s="62">
        <v>3.0</v>
      </c>
      <c r="F92" s="62">
        <v>0.0</v>
      </c>
      <c r="G92" s="62">
        <v>0.0</v>
      </c>
      <c r="H92" s="62">
        <v>0.0</v>
      </c>
      <c r="I92" s="62">
        <v>0.0</v>
      </c>
      <c r="J92" s="62">
        <v>0.0</v>
      </c>
      <c r="K92" s="62">
        <v>1.0</v>
      </c>
      <c r="L92" s="62">
        <v>0.0</v>
      </c>
      <c r="M92" s="62">
        <v>1.0</v>
      </c>
      <c r="N92" s="62">
        <v>1.0</v>
      </c>
      <c r="O92" s="62">
        <v>6.0</v>
      </c>
      <c r="P92" s="62">
        <v>1.0</v>
      </c>
      <c r="Q92" s="62">
        <v>0.0</v>
      </c>
      <c r="R92" s="62">
        <v>11364.0</v>
      </c>
      <c r="S92" s="62">
        <v>6987.0</v>
      </c>
      <c r="T92" s="62">
        <v>0.0</v>
      </c>
      <c r="U92" s="62">
        <v>0.0</v>
      </c>
      <c r="V92" s="62">
        <v>0.0</v>
      </c>
      <c r="W92" s="62">
        <v>0.0</v>
      </c>
      <c r="X92" s="62">
        <v>0.0</v>
      </c>
      <c r="Y92" s="62">
        <v>0.0</v>
      </c>
      <c r="Z92" s="62">
        <v>0.223333333333333</v>
      </c>
      <c r="AA92" s="62">
        <v>0.0</v>
      </c>
      <c r="AB92" s="62">
        <v>0.223333333333333</v>
      </c>
      <c r="AC92" s="62">
        <v>0.223333333333333</v>
      </c>
      <c r="AD92" s="62">
        <v>1.45555555555555</v>
      </c>
      <c r="AE92" s="62">
        <v>0.223333333333333</v>
      </c>
      <c r="AF92" s="62">
        <v>0.0</v>
      </c>
    </row>
    <row r="93">
      <c r="A93" s="68">
        <v>46132.0</v>
      </c>
      <c r="B93" s="62" t="s">
        <v>41</v>
      </c>
      <c r="C93" s="62" t="s">
        <v>172</v>
      </c>
      <c r="D93" s="62">
        <v>45.0</v>
      </c>
      <c r="E93" s="62">
        <v>32.0</v>
      </c>
      <c r="F93" s="62">
        <v>1.0</v>
      </c>
      <c r="G93" s="62">
        <v>0.0</v>
      </c>
      <c r="H93" s="62">
        <v>6.0</v>
      </c>
      <c r="I93" s="62">
        <v>6.0</v>
      </c>
      <c r="J93" s="62">
        <v>6.0</v>
      </c>
      <c r="K93" s="62">
        <v>8.0</v>
      </c>
      <c r="L93" s="62">
        <v>1.0</v>
      </c>
      <c r="M93" s="62">
        <v>11.0</v>
      </c>
      <c r="N93" s="62">
        <v>25.0</v>
      </c>
      <c r="O93" s="62">
        <v>2.0</v>
      </c>
      <c r="P93" s="62">
        <v>25.0</v>
      </c>
      <c r="Q93" s="62">
        <v>0.0</v>
      </c>
      <c r="R93" s="62">
        <v>100523.0</v>
      </c>
      <c r="S93" s="62">
        <v>76006.0</v>
      </c>
      <c r="T93" s="62">
        <v>3.14722222222222</v>
      </c>
      <c r="U93" s="62">
        <v>0.218888888888888</v>
      </c>
      <c r="V93" s="62">
        <v>0.0</v>
      </c>
      <c r="W93" s="62">
        <v>1.35111111111111</v>
      </c>
      <c r="X93" s="62">
        <v>1.35111111111111</v>
      </c>
      <c r="Y93" s="62">
        <v>1.35527777777777</v>
      </c>
      <c r="Z93" s="62">
        <v>1.79805555555555</v>
      </c>
      <c r="AA93" s="62">
        <v>0.226388888888888</v>
      </c>
      <c r="AB93" s="62">
        <v>2.45166666666666</v>
      </c>
      <c r="AC93" s="62">
        <v>5.75916666666666</v>
      </c>
      <c r="AD93" s="62">
        <v>0.477222222222222</v>
      </c>
      <c r="AE93" s="62">
        <v>5.75916666666666</v>
      </c>
      <c r="AF93" s="62">
        <v>14.0</v>
      </c>
    </row>
    <row r="94">
      <c r="A94" s="68">
        <v>46132.0</v>
      </c>
      <c r="B94" s="62" t="s">
        <v>65</v>
      </c>
      <c r="C94" s="62" t="s">
        <v>173</v>
      </c>
      <c r="D94" s="62">
        <v>8.0</v>
      </c>
      <c r="E94" s="62">
        <v>3.0</v>
      </c>
      <c r="F94" s="62">
        <v>0.0</v>
      </c>
      <c r="G94" s="62">
        <v>0.0</v>
      </c>
      <c r="H94" s="62">
        <v>5.0</v>
      </c>
      <c r="I94" s="62">
        <v>5.0</v>
      </c>
      <c r="J94" s="62">
        <v>9.0</v>
      </c>
      <c r="K94" s="62">
        <v>9.0</v>
      </c>
      <c r="L94" s="62">
        <v>4.0</v>
      </c>
      <c r="M94" s="62">
        <v>5.0</v>
      </c>
      <c r="N94" s="62">
        <v>0.0</v>
      </c>
      <c r="O94" s="62">
        <v>7.0</v>
      </c>
      <c r="P94" s="62">
        <v>0.0</v>
      </c>
      <c r="Q94" s="62">
        <v>0.0</v>
      </c>
      <c r="R94" s="62">
        <v>17862.0</v>
      </c>
      <c r="S94" s="62">
        <v>6052.0</v>
      </c>
      <c r="T94" s="62">
        <v>1.72944444444444</v>
      </c>
      <c r="U94" s="62">
        <v>0.0</v>
      </c>
      <c r="V94" s="62">
        <v>0.0</v>
      </c>
      <c r="W94" s="62">
        <v>1.30972222222222</v>
      </c>
      <c r="X94" s="62">
        <v>1.30972222222222</v>
      </c>
      <c r="Y94" s="62">
        <v>2.24249999999999</v>
      </c>
      <c r="Z94" s="62">
        <v>2.2425</v>
      </c>
      <c r="AA94" s="62">
        <v>0.867222222222222</v>
      </c>
      <c r="AB94" s="62">
        <v>1.10138888888888</v>
      </c>
      <c r="AC94" s="62">
        <v>0.0</v>
      </c>
      <c r="AD94" s="62">
        <v>1.71722222222222</v>
      </c>
      <c r="AE94" s="62">
        <v>0.0</v>
      </c>
      <c r="AF94" s="62">
        <v>7.0</v>
      </c>
    </row>
    <row r="95">
      <c r="A95" s="68">
        <v>46132.0</v>
      </c>
      <c r="B95" s="62" t="s">
        <v>37</v>
      </c>
      <c r="C95" s="62" t="s">
        <v>174</v>
      </c>
      <c r="D95" s="62">
        <v>15.0</v>
      </c>
      <c r="E95" s="62">
        <v>16.0</v>
      </c>
      <c r="F95" s="62">
        <v>8.0</v>
      </c>
      <c r="G95" s="62">
        <v>12.0</v>
      </c>
      <c r="H95" s="62">
        <v>13.0</v>
      </c>
      <c r="I95" s="62">
        <v>1.0</v>
      </c>
      <c r="J95" s="62">
        <v>15.0</v>
      </c>
      <c r="K95" s="62">
        <v>11.0</v>
      </c>
      <c r="L95" s="62">
        <v>3.0</v>
      </c>
      <c r="M95" s="62">
        <v>15.0</v>
      </c>
      <c r="N95" s="62">
        <v>15.0</v>
      </c>
      <c r="O95" s="62">
        <v>6.0</v>
      </c>
      <c r="P95" s="62">
        <v>15.0</v>
      </c>
      <c r="Q95" s="62">
        <v>0.0</v>
      </c>
      <c r="R95" s="62">
        <v>32348.0</v>
      </c>
      <c r="S95" s="62">
        <v>35021.0</v>
      </c>
      <c r="T95" s="62">
        <v>3.23194444444444</v>
      </c>
      <c r="U95" s="62">
        <v>1.99</v>
      </c>
      <c r="V95" s="62">
        <v>3.00555555555555</v>
      </c>
      <c r="W95" s="62">
        <v>3.23333333333333</v>
      </c>
      <c r="X95" s="62">
        <v>0.227777777777777</v>
      </c>
      <c r="Y95" s="62">
        <v>3.74611111111111</v>
      </c>
      <c r="Z95" s="62">
        <v>2.78861111111111</v>
      </c>
      <c r="AA95" s="62">
        <v>0.768611111111111</v>
      </c>
      <c r="AB95" s="62">
        <v>3.78222222222222</v>
      </c>
      <c r="AC95" s="62">
        <v>3.78222222222222</v>
      </c>
      <c r="AD95" s="62">
        <v>1.85944444444444</v>
      </c>
      <c r="AE95" s="62">
        <v>3.78222222222222</v>
      </c>
      <c r="AF95" s="62">
        <v>13.0</v>
      </c>
    </row>
    <row r="96">
      <c r="A96" s="68">
        <v>46132.0</v>
      </c>
      <c r="B96" s="62" t="s">
        <v>108</v>
      </c>
      <c r="C96" s="62" t="s">
        <v>175</v>
      </c>
      <c r="D96" s="62">
        <v>3.0</v>
      </c>
      <c r="E96" s="62">
        <v>3.0</v>
      </c>
      <c r="F96" s="62">
        <v>0.0</v>
      </c>
      <c r="G96" s="62">
        <v>0.0</v>
      </c>
      <c r="H96" s="62">
        <v>0.0</v>
      </c>
      <c r="I96" s="62">
        <v>0.0</v>
      </c>
      <c r="J96" s="62">
        <v>0.0</v>
      </c>
      <c r="K96" s="62">
        <v>0.0</v>
      </c>
      <c r="L96" s="62">
        <v>0.0</v>
      </c>
      <c r="M96" s="62">
        <v>0.0</v>
      </c>
      <c r="N96" s="62">
        <v>0.0</v>
      </c>
      <c r="O96" s="62">
        <v>0.0</v>
      </c>
      <c r="P96" s="62">
        <v>0.0</v>
      </c>
      <c r="Q96" s="62">
        <v>0.0</v>
      </c>
      <c r="R96" s="62">
        <v>6889.0</v>
      </c>
      <c r="S96" s="62">
        <v>6889.0</v>
      </c>
      <c r="T96" s="62">
        <v>0.0</v>
      </c>
      <c r="U96" s="62">
        <v>0.0</v>
      </c>
      <c r="V96" s="62">
        <v>0.0</v>
      </c>
      <c r="W96" s="62">
        <v>0.0</v>
      </c>
      <c r="X96" s="62">
        <v>0.0</v>
      </c>
      <c r="Y96" s="62">
        <v>0.0</v>
      </c>
      <c r="Z96" s="62">
        <v>0.0</v>
      </c>
      <c r="AA96" s="62">
        <v>0.0</v>
      </c>
      <c r="AB96" s="62">
        <v>0.0</v>
      </c>
      <c r="AC96" s="62">
        <v>0.0</v>
      </c>
      <c r="AD96" s="62">
        <v>0.0</v>
      </c>
      <c r="AE96" s="62">
        <v>0.0</v>
      </c>
      <c r="AF96" s="62">
        <v>0.0</v>
      </c>
    </row>
    <row r="97">
      <c r="A97" s="68">
        <v>46132.0</v>
      </c>
      <c r="B97" s="62" t="s">
        <v>56</v>
      </c>
      <c r="C97" s="62" t="s">
        <v>176</v>
      </c>
      <c r="D97" s="62">
        <v>6.0</v>
      </c>
      <c r="E97" s="62">
        <v>15.0</v>
      </c>
      <c r="F97" s="62">
        <v>11.0</v>
      </c>
      <c r="G97" s="62">
        <v>6.0</v>
      </c>
      <c r="H97" s="62">
        <v>11.0</v>
      </c>
      <c r="I97" s="62">
        <v>4.0</v>
      </c>
      <c r="J97" s="62">
        <v>12.0</v>
      </c>
      <c r="K97" s="62">
        <v>16.0</v>
      </c>
      <c r="L97" s="62">
        <v>1.0</v>
      </c>
      <c r="M97" s="62">
        <v>14.0</v>
      </c>
      <c r="N97" s="62">
        <v>9.0</v>
      </c>
      <c r="O97" s="62">
        <v>1.0</v>
      </c>
      <c r="P97" s="62">
        <v>9.0</v>
      </c>
      <c r="Q97" s="62">
        <v>0.0</v>
      </c>
      <c r="R97" s="62">
        <v>14799.0</v>
      </c>
      <c r="S97" s="62">
        <v>34820.0</v>
      </c>
      <c r="T97" s="62">
        <v>2.93083333333333</v>
      </c>
      <c r="U97" s="62">
        <v>2.50472222222222</v>
      </c>
      <c r="V97" s="62">
        <v>1.36666666666666</v>
      </c>
      <c r="W97" s="62">
        <v>2.49111111111111</v>
      </c>
      <c r="X97" s="62">
        <v>0.879444444444444</v>
      </c>
      <c r="Y97" s="62">
        <v>2.78527777777777</v>
      </c>
      <c r="Z97" s="62">
        <v>3.70333333333333</v>
      </c>
      <c r="AA97" s="62">
        <v>0.217777777777777</v>
      </c>
      <c r="AB97" s="62">
        <v>3.25194444444444</v>
      </c>
      <c r="AC97" s="62">
        <v>2.14305555555555</v>
      </c>
      <c r="AD97" s="62">
        <v>0.223333333333333</v>
      </c>
      <c r="AE97" s="62">
        <v>2.14305555555555</v>
      </c>
      <c r="AF97" s="62">
        <v>13.0</v>
      </c>
    </row>
    <row r="98">
      <c r="A98" s="68">
        <v>46132.0</v>
      </c>
      <c r="B98" s="62" t="s">
        <v>91</v>
      </c>
      <c r="C98" s="62" t="s">
        <v>184</v>
      </c>
      <c r="D98" s="62">
        <v>0.0</v>
      </c>
      <c r="E98" s="62">
        <v>5.0</v>
      </c>
      <c r="F98" s="62">
        <v>0.0</v>
      </c>
      <c r="G98" s="62">
        <v>0.0</v>
      </c>
      <c r="H98" s="62">
        <v>5.0</v>
      </c>
      <c r="I98" s="62">
        <v>5.0</v>
      </c>
      <c r="J98" s="62">
        <v>10.0</v>
      </c>
      <c r="K98" s="62">
        <v>10.0</v>
      </c>
      <c r="L98" s="62">
        <v>10.0</v>
      </c>
      <c r="M98" s="62">
        <v>13.0</v>
      </c>
      <c r="N98" s="62">
        <v>12.0</v>
      </c>
      <c r="O98" s="62">
        <v>5.0</v>
      </c>
      <c r="P98" s="62">
        <v>12.0</v>
      </c>
      <c r="Q98" s="62">
        <v>0.0</v>
      </c>
      <c r="R98" s="62">
        <v>0.0</v>
      </c>
      <c r="S98" s="62">
        <v>12433.0</v>
      </c>
      <c r="T98" s="62">
        <v>1.1075</v>
      </c>
      <c r="U98" s="62">
        <v>0.0</v>
      </c>
      <c r="V98" s="62">
        <v>0.0</v>
      </c>
      <c r="W98" s="62">
        <v>1.10416666666666</v>
      </c>
      <c r="X98" s="62">
        <v>1.10416666666666</v>
      </c>
      <c r="Y98" s="62">
        <v>2.11194444444444</v>
      </c>
      <c r="Z98" s="62">
        <v>2.07027777777777</v>
      </c>
      <c r="AA98" s="62">
        <v>2.07</v>
      </c>
      <c r="AB98" s="62">
        <v>2.66694444444444</v>
      </c>
      <c r="AC98" s="62">
        <v>2.45444444444444</v>
      </c>
      <c r="AD98" s="62">
        <v>0.766944444444444</v>
      </c>
      <c r="AE98" s="62">
        <v>2.45444444444444</v>
      </c>
      <c r="AF98" s="62">
        <v>5.0</v>
      </c>
    </row>
    <row r="99">
      <c r="A99" s="68">
        <v>46132.0</v>
      </c>
      <c r="B99" s="62" t="s">
        <v>26</v>
      </c>
      <c r="C99" s="62" t="s">
        <v>178</v>
      </c>
      <c r="D99" s="62">
        <v>30.0</v>
      </c>
      <c r="E99" s="62">
        <v>30.0</v>
      </c>
      <c r="F99" s="62">
        <v>11.0</v>
      </c>
      <c r="G99" s="62">
        <v>12.0</v>
      </c>
      <c r="H99" s="62">
        <v>35.0</v>
      </c>
      <c r="I99" s="62">
        <v>25.0</v>
      </c>
      <c r="J99" s="62">
        <v>37.0</v>
      </c>
      <c r="K99" s="62">
        <v>16.0</v>
      </c>
      <c r="L99" s="62">
        <v>2.0</v>
      </c>
      <c r="M99" s="62">
        <v>35.0</v>
      </c>
      <c r="N99" s="62">
        <v>35.0</v>
      </c>
      <c r="O99" s="62">
        <v>6.0</v>
      </c>
      <c r="P99" s="62">
        <v>35.0</v>
      </c>
      <c r="Q99" s="62">
        <v>0.0</v>
      </c>
      <c r="R99" s="62">
        <v>69991.0</v>
      </c>
      <c r="S99" s="62">
        <v>65522.0</v>
      </c>
      <c r="T99" s="62">
        <v>6.53972222222222</v>
      </c>
      <c r="U99" s="62">
        <v>2.03083333333333</v>
      </c>
      <c r="V99" s="62">
        <v>2.24583333333333</v>
      </c>
      <c r="W99" s="62">
        <v>6.55027777777777</v>
      </c>
      <c r="X99" s="62">
        <v>4.69055555555555</v>
      </c>
      <c r="Y99" s="62">
        <v>6.93555555555555</v>
      </c>
      <c r="Z99" s="62">
        <v>2.79388888888888</v>
      </c>
      <c r="AA99" s="62">
        <v>0.363611111111111</v>
      </c>
      <c r="AB99" s="62">
        <v>6.58888888888888</v>
      </c>
      <c r="AC99" s="62">
        <v>6.58888888888888</v>
      </c>
      <c r="AD99" s="62">
        <v>1.09555555555555</v>
      </c>
      <c r="AE99" s="62">
        <v>6.58888888888888</v>
      </c>
      <c r="AF99" s="62">
        <v>35.0</v>
      </c>
    </row>
    <row r="100">
      <c r="A100" s="68">
        <v>46132.0</v>
      </c>
      <c r="B100" s="62" t="s">
        <v>62</v>
      </c>
      <c r="C100" s="62" t="s">
        <v>63</v>
      </c>
      <c r="D100" s="62">
        <v>15.0</v>
      </c>
      <c r="E100" s="62">
        <v>16.0</v>
      </c>
      <c r="F100" s="62">
        <v>0.0</v>
      </c>
      <c r="G100" s="62">
        <v>0.0</v>
      </c>
      <c r="H100" s="62">
        <v>5.0</v>
      </c>
      <c r="I100" s="62">
        <v>5.0</v>
      </c>
      <c r="J100" s="62">
        <v>5.0</v>
      </c>
      <c r="K100" s="62">
        <v>4.0</v>
      </c>
      <c r="L100" s="62">
        <v>0.0</v>
      </c>
      <c r="M100" s="62">
        <v>2.0</v>
      </c>
      <c r="N100" s="62">
        <v>2.0</v>
      </c>
      <c r="O100" s="62">
        <v>6.0</v>
      </c>
      <c r="P100" s="62">
        <v>2.0</v>
      </c>
      <c r="Q100" s="62">
        <v>0.0</v>
      </c>
      <c r="R100" s="62">
        <v>33375.0</v>
      </c>
      <c r="S100" s="62">
        <v>37052.0</v>
      </c>
      <c r="T100" s="62">
        <v>1.31083333333333</v>
      </c>
      <c r="U100" s="62">
        <v>0.0</v>
      </c>
      <c r="V100" s="62">
        <v>0.0</v>
      </c>
      <c r="W100" s="62">
        <v>1.085</v>
      </c>
      <c r="X100" s="62">
        <v>1.085</v>
      </c>
      <c r="Y100" s="62">
        <v>1.09666666666666</v>
      </c>
      <c r="Z100" s="62">
        <v>0.870833333333333</v>
      </c>
      <c r="AA100" s="62">
        <v>0.0</v>
      </c>
      <c r="AB100" s="62">
        <v>0.424722222222222</v>
      </c>
      <c r="AC100" s="62">
        <v>0.424722222222222</v>
      </c>
      <c r="AD100" s="62">
        <v>1.26416666666666</v>
      </c>
      <c r="AE100" s="62">
        <v>0.424722222222222</v>
      </c>
      <c r="AF100" s="62">
        <v>6.0</v>
      </c>
    </row>
    <row r="101">
      <c r="A101" s="68">
        <v>46125.0</v>
      </c>
      <c r="B101" s="62" t="s">
        <v>106</v>
      </c>
      <c r="C101" s="62" t="s">
        <v>107</v>
      </c>
      <c r="D101" s="62">
        <v>0.0</v>
      </c>
      <c r="E101" s="62">
        <v>0.0</v>
      </c>
      <c r="F101" s="62">
        <v>0.0</v>
      </c>
      <c r="G101" s="62">
        <v>0.0</v>
      </c>
      <c r="H101" s="62">
        <v>8.0</v>
      </c>
      <c r="I101" s="62">
        <v>8.0</v>
      </c>
      <c r="J101" s="62">
        <v>8.0</v>
      </c>
      <c r="K101" s="62">
        <v>7.0</v>
      </c>
      <c r="L101" s="62">
        <v>0.0</v>
      </c>
      <c r="M101" s="62">
        <v>0.0</v>
      </c>
      <c r="N101" s="62">
        <v>0.0</v>
      </c>
      <c r="O101" s="62">
        <v>0.0</v>
      </c>
      <c r="P101" s="62">
        <v>0.0</v>
      </c>
      <c r="Q101" s="62">
        <v>0.0</v>
      </c>
      <c r="R101" s="62">
        <v>0.0</v>
      </c>
      <c r="S101" s="62">
        <v>0.0</v>
      </c>
      <c r="T101" s="62">
        <v>0.0</v>
      </c>
      <c r="U101" s="62">
        <v>0.0</v>
      </c>
      <c r="V101" s="62">
        <v>0.0</v>
      </c>
      <c r="W101" s="62">
        <v>1.15472222222222</v>
      </c>
      <c r="X101" s="62">
        <v>1.15472222222222</v>
      </c>
      <c r="Y101" s="62">
        <v>1.16055555555555</v>
      </c>
      <c r="Z101" s="62">
        <v>1.03166666666666</v>
      </c>
      <c r="AA101" s="62">
        <v>0.0</v>
      </c>
      <c r="AB101" s="62">
        <v>0.0</v>
      </c>
      <c r="AC101" s="62">
        <v>0.0</v>
      </c>
      <c r="AD101" s="62">
        <v>0.0</v>
      </c>
      <c r="AE101" s="62">
        <v>0.0</v>
      </c>
      <c r="AF101" s="62">
        <v>0.0</v>
      </c>
    </row>
    <row r="102">
      <c r="A102" s="68">
        <v>46125.0</v>
      </c>
      <c r="B102" s="62" t="s">
        <v>98</v>
      </c>
      <c r="C102" s="62" t="s">
        <v>183</v>
      </c>
      <c r="D102" s="62">
        <v>12.0</v>
      </c>
      <c r="E102" s="62">
        <v>10.0</v>
      </c>
      <c r="F102" s="62">
        <v>3.0</v>
      </c>
      <c r="G102" s="62">
        <v>2.0</v>
      </c>
      <c r="H102" s="62">
        <v>9.0</v>
      </c>
      <c r="I102" s="62">
        <v>7.0</v>
      </c>
      <c r="J102" s="62">
        <v>9.0</v>
      </c>
      <c r="K102" s="62">
        <v>2.0</v>
      </c>
      <c r="L102" s="62">
        <v>2.0</v>
      </c>
      <c r="M102" s="62">
        <v>8.0</v>
      </c>
      <c r="N102" s="62">
        <v>7.0</v>
      </c>
      <c r="O102" s="62">
        <v>7.0</v>
      </c>
      <c r="P102" s="62">
        <v>7.0</v>
      </c>
      <c r="Q102" s="62">
        <v>0.0</v>
      </c>
      <c r="R102" s="62">
        <v>26877.0</v>
      </c>
      <c r="S102" s="62">
        <v>22131.0</v>
      </c>
      <c r="T102" s="62">
        <v>2.98444444444444</v>
      </c>
      <c r="U102" s="62">
        <v>0.629444444444444</v>
      </c>
      <c r="V102" s="62">
        <v>0.426388888888888</v>
      </c>
      <c r="W102" s="62">
        <v>1.92361111111111</v>
      </c>
      <c r="X102" s="62">
        <v>1.49722222222222</v>
      </c>
      <c r="Y102" s="62">
        <v>1.92555555555555</v>
      </c>
      <c r="Z102" s="62">
        <v>0.437222222222222</v>
      </c>
      <c r="AA102" s="62">
        <v>0.435555555555555</v>
      </c>
      <c r="AB102" s="62">
        <v>1.71194444444444</v>
      </c>
      <c r="AC102" s="62">
        <v>1.49861111111111</v>
      </c>
      <c r="AD102" s="62">
        <v>1.48944444444444</v>
      </c>
      <c r="AE102" s="62">
        <v>1.49861111111111</v>
      </c>
      <c r="AF102" s="62">
        <v>14.0</v>
      </c>
    </row>
    <row r="103">
      <c r="A103" s="68">
        <v>46125.0</v>
      </c>
      <c r="B103" s="62" t="s">
        <v>71</v>
      </c>
      <c r="C103" s="62" t="s">
        <v>163</v>
      </c>
      <c r="D103" s="62">
        <v>4.0</v>
      </c>
      <c r="E103" s="62">
        <v>2.0</v>
      </c>
      <c r="F103" s="62">
        <v>4.0</v>
      </c>
      <c r="G103" s="62">
        <v>7.0</v>
      </c>
      <c r="H103" s="62">
        <v>7.0</v>
      </c>
      <c r="I103" s="62">
        <v>0.0</v>
      </c>
      <c r="J103" s="62">
        <v>7.0</v>
      </c>
      <c r="K103" s="62">
        <v>5.0</v>
      </c>
      <c r="L103" s="62">
        <v>1.0</v>
      </c>
      <c r="M103" s="62">
        <v>7.0</v>
      </c>
      <c r="N103" s="62">
        <v>7.0</v>
      </c>
      <c r="O103" s="62">
        <v>6.0</v>
      </c>
      <c r="P103" s="62">
        <v>7.0</v>
      </c>
      <c r="Q103" s="62">
        <v>0.0</v>
      </c>
      <c r="R103" s="62">
        <v>8681.0</v>
      </c>
      <c r="S103" s="62">
        <v>4428.0</v>
      </c>
      <c r="T103" s="62">
        <v>1.00527777777777</v>
      </c>
      <c r="U103" s="62">
        <v>1.00527777777777</v>
      </c>
      <c r="V103" s="62">
        <v>1.80555555555555</v>
      </c>
      <c r="W103" s="62">
        <v>1.80555555555555</v>
      </c>
      <c r="X103" s="62">
        <v>0.0</v>
      </c>
      <c r="Y103" s="62">
        <v>1.80555555555555</v>
      </c>
      <c r="Z103" s="62">
        <v>1.33611111111111</v>
      </c>
      <c r="AA103" s="62">
        <v>0.252777777777777</v>
      </c>
      <c r="AB103" s="62">
        <v>1.80555555555555</v>
      </c>
      <c r="AC103" s="62">
        <v>1.80555555555555</v>
      </c>
      <c r="AD103" s="62">
        <v>1.53666666666666</v>
      </c>
      <c r="AE103" s="62">
        <v>1.80555555555555</v>
      </c>
      <c r="AF103" s="62">
        <v>4.0</v>
      </c>
    </row>
    <row r="104">
      <c r="A104" s="68">
        <v>46125.0</v>
      </c>
      <c r="B104" s="62" t="s">
        <v>46</v>
      </c>
      <c r="C104" s="62" t="s">
        <v>185</v>
      </c>
      <c r="D104" s="62">
        <v>5.0</v>
      </c>
      <c r="E104" s="62">
        <v>446.0</v>
      </c>
      <c r="F104" s="62">
        <v>0.0</v>
      </c>
      <c r="G104" s="62">
        <v>0.0</v>
      </c>
      <c r="H104" s="62">
        <v>0.0</v>
      </c>
      <c r="I104" s="62">
        <v>0.0</v>
      </c>
      <c r="J104" s="62">
        <v>0.0</v>
      </c>
      <c r="K104" s="62">
        <v>0.0</v>
      </c>
      <c r="L104" s="62">
        <v>0.0</v>
      </c>
      <c r="M104" s="62">
        <v>0.0</v>
      </c>
      <c r="N104" s="62">
        <v>2.0</v>
      </c>
      <c r="O104" s="62">
        <v>0.0</v>
      </c>
      <c r="P104" s="62">
        <v>446.0</v>
      </c>
      <c r="Q104" s="62">
        <v>0.0</v>
      </c>
      <c r="R104" s="62">
        <v>9334.0</v>
      </c>
      <c r="S104" s="62">
        <v>642974.0</v>
      </c>
      <c r="T104" s="62">
        <v>0.0</v>
      </c>
      <c r="U104" s="62">
        <v>0.0</v>
      </c>
      <c r="V104" s="62">
        <v>0.0</v>
      </c>
      <c r="W104" s="62">
        <v>0.0</v>
      </c>
      <c r="X104" s="62">
        <v>0.0</v>
      </c>
      <c r="Y104" s="62">
        <v>0.0</v>
      </c>
      <c r="Z104" s="62">
        <v>0.0</v>
      </c>
      <c r="AA104" s="62">
        <v>0.0</v>
      </c>
      <c r="AB104" s="62">
        <v>0.0</v>
      </c>
      <c r="AC104" s="62">
        <v>0.384444444444444</v>
      </c>
      <c r="AD104" s="62">
        <v>0.0</v>
      </c>
      <c r="AE104" s="62">
        <v>90.3094444444444</v>
      </c>
      <c r="AF104" s="62">
        <v>0.0</v>
      </c>
    </row>
    <row r="105">
      <c r="A105" s="68">
        <v>46125.0</v>
      </c>
      <c r="B105" s="62" t="s">
        <v>76</v>
      </c>
      <c r="C105" s="62" t="s">
        <v>165</v>
      </c>
      <c r="D105" s="62">
        <v>12.0</v>
      </c>
      <c r="E105" s="62">
        <v>19.0</v>
      </c>
      <c r="F105" s="62">
        <v>18.0</v>
      </c>
      <c r="G105" s="62">
        <v>19.0</v>
      </c>
      <c r="H105" s="62">
        <v>20.0</v>
      </c>
      <c r="I105" s="62">
        <v>2.0</v>
      </c>
      <c r="J105" s="62">
        <v>21.0</v>
      </c>
      <c r="K105" s="62">
        <v>9.0</v>
      </c>
      <c r="L105" s="62">
        <v>4.0</v>
      </c>
      <c r="M105" s="62">
        <v>24.0</v>
      </c>
      <c r="N105" s="62">
        <v>22.0</v>
      </c>
      <c r="O105" s="62">
        <v>7.0</v>
      </c>
      <c r="P105" s="62">
        <v>22.0</v>
      </c>
      <c r="Q105" s="62">
        <v>0.0</v>
      </c>
      <c r="R105" s="62">
        <v>31387.0</v>
      </c>
      <c r="S105" s="62">
        <v>54784.0</v>
      </c>
      <c r="T105" s="62">
        <v>6.52472222222222</v>
      </c>
      <c r="U105" s="62">
        <v>5.69666666666666</v>
      </c>
      <c r="V105" s="62">
        <v>6.23083333333333</v>
      </c>
      <c r="W105" s="62">
        <v>6.46333333333333</v>
      </c>
      <c r="X105" s="62">
        <v>0.541944444444444</v>
      </c>
      <c r="Y105" s="62">
        <v>6.65833333333333</v>
      </c>
      <c r="Z105" s="62">
        <v>2.88416666666666</v>
      </c>
      <c r="AA105" s="62">
        <v>1.28</v>
      </c>
      <c r="AB105" s="62">
        <v>7.55472222222222</v>
      </c>
      <c r="AC105" s="62">
        <v>6.94861111111111</v>
      </c>
      <c r="AD105" s="62">
        <v>1.61666666666666</v>
      </c>
      <c r="AE105" s="62">
        <v>6.94861111111111</v>
      </c>
      <c r="AF105" s="62">
        <v>21.0</v>
      </c>
    </row>
    <row r="106">
      <c r="A106" s="68">
        <v>46125.0</v>
      </c>
      <c r="B106" s="62" t="s">
        <v>104</v>
      </c>
      <c r="C106" s="62" t="s">
        <v>166</v>
      </c>
      <c r="D106" s="62">
        <v>0.0</v>
      </c>
      <c r="E106" s="62">
        <v>0.0</v>
      </c>
      <c r="F106" s="62">
        <v>0.0</v>
      </c>
      <c r="G106" s="62">
        <v>6.0</v>
      </c>
      <c r="H106" s="62">
        <v>0.0</v>
      </c>
      <c r="I106" s="62">
        <v>0.0</v>
      </c>
      <c r="J106" s="62">
        <v>9.0</v>
      </c>
      <c r="K106" s="62">
        <v>2.0</v>
      </c>
      <c r="L106" s="62">
        <v>2.0</v>
      </c>
      <c r="M106" s="62">
        <v>9.0</v>
      </c>
      <c r="N106" s="62">
        <v>10.0</v>
      </c>
      <c r="O106" s="62">
        <v>5.0</v>
      </c>
      <c r="P106" s="62">
        <v>10.0</v>
      </c>
      <c r="Q106" s="62">
        <v>0.0</v>
      </c>
      <c r="R106" s="62">
        <v>0.0</v>
      </c>
      <c r="S106" s="62">
        <v>0.0</v>
      </c>
      <c r="T106" s="62">
        <v>0.0</v>
      </c>
      <c r="U106" s="62">
        <v>0.0</v>
      </c>
      <c r="V106" s="62">
        <v>1.25805555555555</v>
      </c>
      <c r="W106" s="62">
        <v>0.0</v>
      </c>
      <c r="X106" s="62">
        <v>0.0</v>
      </c>
      <c r="Y106" s="62">
        <v>1.89361111111111</v>
      </c>
      <c r="Z106" s="62">
        <v>0.411666666666666</v>
      </c>
      <c r="AA106" s="62">
        <v>0.411666666666666</v>
      </c>
      <c r="AB106" s="62">
        <v>1.89361111111111</v>
      </c>
      <c r="AC106" s="62">
        <v>2.08027777777777</v>
      </c>
      <c r="AD106" s="62">
        <v>1.03861111111111</v>
      </c>
      <c r="AE106" s="62">
        <v>2.08027777777777</v>
      </c>
      <c r="AF106" s="62">
        <v>0.0</v>
      </c>
    </row>
    <row r="107">
      <c r="A107" s="68">
        <v>46125.0</v>
      </c>
      <c r="B107" s="62" t="s">
        <v>100</v>
      </c>
      <c r="C107" s="62" t="s">
        <v>167</v>
      </c>
      <c r="D107" s="62">
        <v>13.0</v>
      </c>
      <c r="E107" s="62">
        <v>4.0</v>
      </c>
      <c r="F107" s="62">
        <v>3.0</v>
      </c>
      <c r="G107" s="62">
        <v>1.0</v>
      </c>
      <c r="H107" s="62">
        <v>3.0</v>
      </c>
      <c r="I107" s="62">
        <v>2.0</v>
      </c>
      <c r="J107" s="62">
        <v>3.0</v>
      </c>
      <c r="K107" s="62">
        <v>1.0</v>
      </c>
      <c r="L107" s="62">
        <v>0.0</v>
      </c>
      <c r="M107" s="62">
        <v>1.0</v>
      </c>
      <c r="N107" s="62">
        <v>0.0</v>
      </c>
      <c r="O107" s="62">
        <v>0.0</v>
      </c>
      <c r="P107" s="62">
        <v>0.0</v>
      </c>
      <c r="Q107" s="62">
        <v>0.0</v>
      </c>
      <c r="R107" s="62">
        <v>30452.0</v>
      </c>
      <c r="S107" s="62">
        <v>8851.0</v>
      </c>
      <c r="T107" s="62">
        <v>1.09138888888888</v>
      </c>
      <c r="U107" s="62">
        <v>0.661111111111111</v>
      </c>
      <c r="V107" s="62">
        <v>0.234444444444444</v>
      </c>
      <c r="W107" s="62">
        <v>0.664722222222222</v>
      </c>
      <c r="X107" s="62">
        <v>0.430277777777777</v>
      </c>
      <c r="Y107" s="62">
        <v>0.663888888888888</v>
      </c>
      <c r="Z107" s="62">
        <v>0.234444444444444</v>
      </c>
      <c r="AA107" s="62">
        <v>0.0</v>
      </c>
      <c r="AB107" s="62">
        <v>0.234444444444444</v>
      </c>
      <c r="AC107" s="62">
        <v>0.0</v>
      </c>
      <c r="AD107" s="62">
        <v>0.0</v>
      </c>
      <c r="AE107" s="62">
        <v>0.0</v>
      </c>
      <c r="AF107" s="62">
        <v>5.0</v>
      </c>
    </row>
    <row r="108">
      <c r="A108" s="68">
        <v>46125.0</v>
      </c>
      <c r="B108" s="62" t="s">
        <v>32</v>
      </c>
      <c r="C108" s="62" t="s">
        <v>168</v>
      </c>
      <c r="D108" s="62">
        <v>12.0</v>
      </c>
      <c r="E108" s="62">
        <v>22.0</v>
      </c>
      <c r="F108" s="62">
        <v>9.0</v>
      </c>
      <c r="G108" s="62">
        <v>1.0</v>
      </c>
      <c r="H108" s="62">
        <v>27.0</v>
      </c>
      <c r="I108" s="62">
        <v>17.0</v>
      </c>
      <c r="J108" s="62">
        <v>25.0</v>
      </c>
      <c r="K108" s="62">
        <v>5.0</v>
      </c>
      <c r="L108" s="62">
        <v>0.0</v>
      </c>
      <c r="M108" s="62">
        <v>25.0</v>
      </c>
      <c r="N108" s="62">
        <v>25.0</v>
      </c>
      <c r="O108" s="62">
        <v>6.0</v>
      </c>
      <c r="P108" s="62">
        <v>25.0</v>
      </c>
      <c r="Q108" s="62">
        <v>0.0</v>
      </c>
      <c r="R108" s="62">
        <v>28907.0</v>
      </c>
      <c r="S108" s="62">
        <v>50078.0</v>
      </c>
      <c r="T108" s="62">
        <v>5.90194444444444</v>
      </c>
      <c r="U108" s="62">
        <v>2.07555555555555</v>
      </c>
      <c r="V108" s="62">
        <v>0.220833333333333</v>
      </c>
      <c r="W108" s="62">
        <v>6.14361111111111</v>
      </c>
      <c r="X108" s="62">
        <v>3.82277777777777</v>
      </c>
      <c r="Y108" s="62">
        <v>5.70861111111111</v>
      </c>
      <c r="Z108" s="62">
        <v>1.19777777777777</v>
      </c>
      <c r="AA108" s="62">
        <v>0.0</v>
      </c>
      <c r="AB108" s="62">
        <v>5.70861111111111</v>
      </c>
      <c r="AC108" s="62">
        <v>5.70861111111111</v>
      </c>
      <c r="AD108" s="62">
        <v>1.18111111111111</v>
      </c>
      <c r="AE108" s="62">
        <v>5.70861111111111</v>
      </c>
      <c r="AF108" s="62">
        <v>26.0</v>
      </c>
    </row>
    <row r="109">
      <c r="A109" s="68">
        <v>46125.0</v>
      </c>
      <c r="B109" s="62" t="s">
        <v>102</v>
      </c>
      <c r="C109" s="62" t="s">
        <v>170</v>
      </c>
      <c r="D109" s="62">
        <v>12.0</v>
      </c>
      <c r="E109" s="62">
        <v>0.0</v>
      </c>
      <c r="F109" s="62">
        <v>0.0</v>
      </c>
      <c r="G109" s="62">
        <v>0.0</v>
      </c>
      <c r="H109" s="62">
        <v>0.0</v>
      </c>
      <c r="I109" s="62">
        <v>0.0</v>
      </c>
      <c r="J109" s="62">
        <v>0.0</v>
      </c>
      <c r="K109" s="62">
        <v>0.0</v>
      </c>
      <c r="L109" s="62">
        <v>0.0</v>
      </c>
      <c r="M109" s="62">
        <v>0.0</v>
      </c>
      <c r="N109" s="62">
        <v>0.0</v>
      </c>
      <c r="O109" s="62">
        <v>0.0</v>
      </c>
      <c r="P109" s="62">
        <v>0.0</v>
      </c>
      <c r="Q109" s="62">
        <v>0.0</v>
      </c>
      <c r="R109" s="62">
        <v>29129.0</v>
      </c>
      <c r="S109" s="62">
        <v>0.0</v>
      </c>
      <c r="T109" s="62">
        <v>0.0</v>
      </c>
      <c r="U109" s="62">
        <v>0.0</v>
      </c>
      <c r="V109" s="62">
        <v>0.0</v>
      </c>
      <c r="W109" s="62">
        <v>0.0</v>
      </c>
      <c r="X109" s="62">
        <v>0.0</v>
      </c>
      <c r="Y109" s="62">
        <v>0.0</v>
      </c>
      <c r="Z109" s="62">
        <v>0.0</v>
      </c>
      <c r="AA109" s="62">
        <v>0.0</v>
      </c>
      <c r="AB109" s="62">
        <v>0.0</v>
      </c>
      <c r="AC109" s="62">
        <v>0.0</v>
      </c>
      <c r="AD109" s="62">
        <v>0.0</v>
      </c>
      <c r="AE109" s="62">
        <v>0.0</v>
      </c>
      <c r="AF109" s="62">
        <v>0.0</v>
      </c>
    </row>
    <row r="110">
      <c r="A110" s="68">
        <v>46125.0</v>
      </c>
      <c r="B110" s="62" t="s">
        <v>93</v>
      </c>
      <c r="C110" s="62" t="s">
        <v>182</v>
      </c>
      <c r="D110" s="62">
        <v>0.0</v>
      </c>
      <c r="E110" s="62">
        <v>5.0</v>
      </c>
      <c r="F110" s="62">
        <v>12.0</v>
      </c>
      <c r="G110" s="62">
        <v>15.0</v>
      </c>
      <c r="H110" s="62">
        <v>15.0</v>
      </c>
      <c r="I110" s="62">
        <v>0.0</v>
      </c>
      <c r="J110" s="62">
        <v>15.0</v>
      </c>
      <c r="K110" s="62">
        <v>9.0</v>
      </c>
      <c r="L110" s="62">
        <v>5.0</v>
      </c>
      <c r="M110" s="62">
        <v>14.0</v>
      </c>
      <c r="N110" s="62">
        <v>14.0</v>
      </c>
      <c r="O110" s="62">
        <v>6.0</v>
      </c>
      <c r="P110" s="62">
        <v>14.0</v>
      </c>
      <c r="Q110" s="62">
        <v>0.0</v>
      </c>
      <c r="R110" s="62">
        <v>0.0</v>
      </c>
      <c r="S110" s="62">
        <v>10439.0</v>
      </c>
      <c r="T110" s="62">
        <v>3.06555555555555</v>
      </c>
      <c r="U110" s="62">
        <v>3.06555555555555</v>
      </c>
      <c r="V110" s="62">
        <v>3.59527777777777</v>
      </c>
      <c r="W110" s="62">
        <v>3.59527777777777</v>
      </c>
      <c r="X110" s="62">
        <v>0.0</v>
      </c>
      <c r="Y110" s="62">
        <v>3.59527777777777</v>
      </c>
      <c r="Z110" s="62">
        <v>2.17638888888888</v>
      </c>
      <c r="AA110" s="62">
        <v>1.20055555555555</v>
      </c>
      <c r="AB110" s="62">
        <v>3.37194444444444</v>
      </c>
      <c r="AC110" s="62">
        <v>3.37194444444444</v>
      </c>
      <c r="AD110" s="62">
        <v>1.42277777777777</v>
      </c>
      <c r="AE110" s="62">
        <v>3.37194444444444</v>
      </c>
      <c r="AF110" s="62">
        <v>12.0</v>
      </c>
    </row>
    <row r="111">
      <c r="A111" s="68">
        <v>46125.0</v>
      </c>
      <c r="B111" s="62" t="s">
        <v>41</v>
      </c>
      <c r="C111" s="62" t="s">
        <v>172</v>
      </c>
      <c r="D111" s="62">
        <v>0.0</v>
      </c>
      <c r="E111" s="62">
        <v>967.0</v>
      </c>
      <c r="F111" s="62">
        <v>0.0</v>
      </c>
      <c r="G111" s="62">
        <v>0.0</v>
      </c>
      <c r="H111" s="62">
        <v>0.0</v>
      </c>
      <c r="I111" s="62">
        <v>0.0</v>
      </c>
      <c r="J111" s="62">
        <v>0.0</v>
      </c>
      <c r="K111" s="62">
        <v>0.0</v>
      </c>
      <c r="L111" s="62">
        <v>0.0</v>
      </c>
      <c r="M111" s="62">
        <v>0.0</v>
      </c>
      <c r="N111" s="62">
        <v>0.0</v>
      </c>
      <c r="O111" s="62">
        <v>0.0</v>
      </c>
      <c r="P111" s="62">
        <v>967.0</v>
      </c>
      <c r="Q111" s="62">
        <v>0.0</v>
      </c>
      <c r="R111" s="62">
        <v>0.0</v>
      </c>
      <c r="S111" s="62">
        <v>961183.0</v>
      </c>
      <c r="T111" s="62">
        <v>0.0</v>
      </c>
      <c r="U111" s="62">
        <v>0.0</v>
      </c>
      <c r="V111" s="62">
        <v>0.0</v>
      </c>
      <c r="W111" s="62">
        <v>0.0</v>
      </c>
      <c r="X111" s="62">
        <v>0.0</v>
      </c>
      <c r="Y111" s="62">
        <v>0.0</v>
      </c>
      <c r="Z111" s="62">
        <v>0.0</v>
      </c>
      <c r="AA111" s="62">
        <v>0.0</v>
      </c>
      <c r="AB111" s="62">
        <v>0.0</v>
      </c>
      <c r="AC111" s="62">
        <v>0.0</v>
      </c>
      <c r="AD111" s="62">
        <v>0.0</v>
      </c>
      <c r="AE111" s="62">
        <v>222.504444444444</v>
      </c>
      <c r="AF111" s="62">
        <v>0.0</v>
      </c>
    </row>
    <row r="112">
      <c r="A112" s="68">
        <v>46125.0</v>
      </c>
      <c r="B112" s="62" t="s">
        <v>65</v>
      </c>
      <c r="C112" s="62" t="s">
        <v>173</v>
      </c>
      <c r="D112" s="62">
        <v>10.0</v>
      </c>
      <c r="E112" s="62">
        <v>12.0</v>
      </c>
      <c r="F112" s="62">
        <v>0.0</v>
      </c>
      <c r="G112" s="62">
        <v>0.0</v>
      </c>
      <c r="H112" s="62">
        <v>13.0</v>
      </c>
      <c r="I112" s="62">
        <v>13.0</v>
      </c>
      <c r="J112" s="62">
        <v>9.0</v>
      </c>
      <c r="K112" s="62">
        <v>9.0</v>
      </c>
      <c r="L112" s="62">
        <v>6.0</v>
      </c>
      <c r="M112" s="62">
        <v>10.0</v>
      </c>
      <c r="N112" s="62">
        <v>10.0</v>
      </c>
      <c r="O112" s="62">
        <v>7.0</v>
      </c>
      <c r="P112" s="62">
        <v>10.0</v>
      </c>
      <c r="Q112" s="62">
        <v>0.0</v>
      </c>
      <c r="R112" s="62">
        <v>21916.0</v>
      </c>
      <c r="S112" s="62">
        <v>26064.0</v>
      </c>
      <c r="T112" s="62">
        <v>2.24611111111111</v>
      </c>
      <c r="U112" s="62">
        <v>0.0</v>
      </c>
      <c r="V112" s="62">
        <v>0.0</v>
      </c>
      <c r="W112" s="62">
        <v>2.97166666666666</v>
      </c>
      <c r="X112" s="62">
        <v>2.97166666666666</v>
      </c>
      <c r="Y112" s="62">
        <v>2.06861111111111</v>
      </c>
      <c r="Z112" s="62">
        <v>2.08166666666666</v>
      </c>
      <c r="AA112" s="62">
        <v>1.40249999999999</v>
      </c>
      <c r="AB112" s="62">
        <v>2.30027777777777</v>
      </c>
      <c r="AC112" s="62">
        <v>2.30027777777777</v>
      </c>
      <c r="AD112" s="62">
        <v>1.73361111111111</v>
      </c>
      <c r="AE112" s="62">
        <v>2.30027777777777</v>
      </c>
      <c r="AF112" s="62">
        <v>10.0</v>
      </c>
    </row>
    <row r="113">
      <c r="A113" s="68">
        <v>46125.0</v>
      </c>
      <c r="B113" s="62" t="s">
        <v>37</v>
      </c>
      <c r="C113" s="62" t="s">
        <v>174</v>
      </c>
      <c r="D113" s="62">
        <v>17.0</v>
      </c>
      <c r="E113" s="62">
        <v>12.0</v>
      </c>
      <c r="F113" s="62">
        <v>15.0</v>
      </c>
      <c r="G113" s="62">
        <v>13.0</v>
      </c>
      <c r="H113" s="62">
        <v>17.0</v>
      </c>
      <c r="I113" s="62">
        <v>5.0</v>
      </c>
      <c r="J113" s="62">
        <v>15.0</v>
      </c>
      <c r="K113" s="62">
        <v>3.0</v>
      </c>
      <c r="L113" s="62">
        <v>3.0</v>
      </c>
      <c r="M113" s="62">
        <v>12.0</v>
      </c>
      <c r="N113" s="62">
        <v>12.0</v>
      </c>
      <c r="O113" s="62">
        <v>6.0</v>
      </c>
      <c r="P113" s="62">
        <v>12.0</v>
      </c>
      <c r="Q113" s="62">
        <v>0.0</v>
      </c>
      <c r="R113" s="62">
        <v>39873.0</v>
      </c>
      <c r="S113" s="62">
        <v>27721.0</v>
      </c>
      <c r="T113" s="62">
        <v>3.225</v>
      </c>
      <c r="U113" s="62">
        <v>3.83055555555555</v>
      </c>
      <c r="V113" s="62">
        <v>3.425</v>
      </c>
      <c r="W113" s="62">
        <v>4.4225</v>
      </c>
      <c r="X113" s="62">
        <v>1.22916666666666</v>
      </c>
      <c r="Y113" s="62">
        <v>3.95333333333333</v>
      </c>
      <c r="Z113" s="62">
        <v>0.745</v>
      </c>
      <c r="AA113" s="62">
        <v>0.745</v>
      </c>
      <c r="AB113" s="62">
        <v>3.19</v>
      </c>
      <c r="AC113" s="62">
        <v>3.19</v>
      </c>
      <c r="AD113" s="62">
        <v>1.76444444444444</v>
      </c>
      <c r="AE113" s="62">
        <v>3.19</v>
      </c>
      <c r="AF113" s="62">
        <v>13.0</v>
      </c>
    </row>
    <row r="114">
      <c r="A114" s="68">
        <v>46125.0</v>
      </c>
      <c r="B114" s="62" t="s">
        <v>56</v>
      </c>
      <c r="C114" s="62" t="s">
        <v>176</v>
      </c>
      <c r="D114" s="62">
        <v>13.0</v>
      </c>
      <c r="E114" s="62">
        <v>12.0</v>
      </c>
      <c r="F114" s="62">
        <v>3.0</v>
      </c>
      <c r="G114" s="62">
        <v>0.0</v>
      </c>
      <c r="H114" s="62">
        <v>7.0</v>
      </c>
      <c r="I114" s="62">
        <v>5.0</v>
      </c>
      <c r="J114" s="62">
        <v>4.0</v>
      </c>
      <c r="K114" s="62">
        <v>0.0</v>
      </c>
      <c r="L114" s="62">
        <v>0.0</v>
      </c>
      <c r="M114" s="62">
        <v>0.0</v>
      </c>
      <c r="N114" s="62">
        <v>0.0</v>
      </c>
      <c r="O114" s="62">
        <v>0.0</v>
      </c>
      <c r="P114" s="62">
        <v>0.0</v>
      </c>
      <c r="Q114" s="62">
        <v>0.0</v>
      </c>
      <c r="R114" s="62">
        <v>30347.0</v>
      </c>
      <c r="S114" s="62">
        <v>24826.0</v>
      </c>
      <c r="T114" s="62">
        <v>2.59444444444444</v>
      </c>
      <c r="U114" s="62">
        <v>0.723333333333333</v>
      </c>
      <c r="V114" s="62">
        <v>0.0</v>
      </c>
      <c r="W114" s="62">
        <v>1.65611111111111</v>
      </c>
      <c r="X114" s="62">
        <v>1.1825</v>
      </c>
      <c r="Y114" s="62">
        <v>0.938611111111111</v>
      </c>
      <c r="Z114" s="62">
        <v>0.0</v>
      </c>
      <c r="AA114" s="62">
        <v>0.0</v>
      </c>
      <c r="AB114" s="62">
        <v>0.0</v>
      </c>
      <c r="AC114" s="62">
        <v>0.0</v>
      </c>
      <c r="AD114" s="62">
        <v>0.0</v>
      </c>
      <c r="AE114" s="62">
        <v>0.0</v>
      </c>
      <c r="AF114" s="62">
        <v>11.0</v>
      </c>
    </row>
    <row r="115">
      <c r="A115" s="68">
        <v>46125.0</v>
      </c>
      <c r="B115" s="62" t="s">
        <v>91</v>
      </c>
      <c r="C115" s="62" t="s">
        <v>184</v>
      </c>
      <c r="D115" s="62">
        <v>9.0</v>
      </c>
      <c r="E115" s="62">
        <v>9.0</v>
      </c>
      <c r="F115" s="62">
        <v>0.0</v>
      </c>
      <c r="G115" s="62">
        <v>2.0</v>
      </c>
      <c r="H115" s="62">
        <v>16.0</v>
      </c>
      <c r="I115" s="62">
        <v>16.0</v>
      </c>
      <c r="J115" s="62">
        <v>15.0</v>
      </c>
      <c r="K115" s="62">
        <v>12.0</v>
      </c>
      <c r="L115" s="62">
        <v>10.0</v>
      </c>
      <c r="M115" s="62">
        <v>14.0</v>
      </c>
      <c r="N115" s="62">
        <v>15.0</v>
      </c>
      <c r="O115" s="62">
        <v>7.0</v>
      </c>
      <c r="P115" s="62">
        <v>15.0</v>
      </c>
      <c r="Q115" s="62">
        <v>0.0</v>
      </c>
      <c r="R115" s="62">
        <v>22238.0</v>
      </c>
      <c r="S115" s="62">
        <v>21216.0</v>
      </c>
      <c r="T115" s="62">
        <v>1.84611111111111</v>
      </c>
      <c r="U115" s="62">
        <v>0.0</v>
      </c>
      <c r="V115" s="62">
        <v>0.419444444444444</v>
      </c>
      <c r="W115" s="62">
        <v>3.3175</v>
      </c>
      <c r="X115" s="62">
        <v>3.3175</v>
      </c>
      <c r="Y115" s="62">
        <v>3.01722222222222</v>
      </c>
      <c r="Z115" s="62">
        <v>2.41611111111111</v>
      </c>
      <c r="AA115" s="62">
        <v>2.03027777777777</v>
      </c>
      <c r="AB115" s="62">
        <v>2.79555555555555</v>
      </c>
      <c r="AC115" s="62">
        <v>3.01555555555555</v>
      </c>
      <c r="AD115" s="62">
        <v>1.03277777777777</v>
      </c>
      <c r="AE115" s="62">
        <v>3.01555555555555</v>
      </c>
      <c r="AF115" s="62">
        <v>9.0</v>
      </c>
    </row>
    <row r="116">
      <c r="A116" s="68">
        <v>46125.0</v>
      </c>
      <c r="B116" s="62" t="s">
        <v>26</v>
      </c>
      <c r="C116" s="62" t="s">
        <v>178</v>
      </c>
      <c r="D116" s="62">
        <v>35.0</v>
      </c>
      <c r="E116" s="62">
        <v>30.0</v>
      </c>
      <c r="F116" s="62">
        <v>9.0</v>
      </c>
      <c r="G116" s="62">
        <v>8.0</v>
      </c>
      <c r="H116" s="62">
        <v>32.0</v>
      </c>
      <c r="I116" s="62">
        <v>24.0</v>
      </c>
      <c r="J116" s="62">
        <v>37.0</v>
      </c>
      <c r="K116" s="62">
        <v>8.0</v>
      </c>
      <c r="L116" s="62">
        <v>1.0</v>
      </c>
      <c r="M116" s="62">
        <v>37.0</v>
      </c>
      <c r="N116" s="62">
        <v>37.0</v>
      </c>
      <c r="O116" s="62">
        <v>6.0</v>
      </c>
      <c r="P116" s="62">
        <v>37.0</v>
      </c>
      <c r="Q116" s="62">
        <v>0.0</v>
      </c>
      <c r="R116" s="62">
        <v>79499.0</v>
      </c>
      <c r="S116" s="62">
        <v>64598.0</v>
      </c>
      <c r="T116" s="62">
        <v>5.79249999999999</v>
      </c>
      <c r="U116" s="62">
        <v>1.7525</v>
      </c>
      <c r="V116" s="62">
        <v>1.55888888888888</v>
      </c>
      <c r="W116" s="62">
        <v>6.17861111111111</v>
      </c>
      <c r="X116" s="62">
        <v>4.61972222222222</v>
      </c>
      <c r="Y116" s="62">
        <v>7.27194444444444</v>
      </c>
      <c r="Z116" s="62">
        <v>1.44777777777777</v>
      </c>
      <c r="AA116" s="62">
        <v>0.198888888888888</v>
      </c>
      <c r="AB116" s="62">
        <v>7.29</v>
      </c>
      <c r="AC116" s="62">
        <v>7.29</v>
      </c>
      <c r="AD116" s="62">
        <v>1.14694444444444</v>
      </c>
      <c r="AE116" s="62">
        <v>7.28999999999999</v>
      </c>
      <c r="AF116" s="62">
        <v>30.0</v>
      </c>
    </row>
    <row r="117">
      <c r="A117" s="68">
        <v>46125.0</v>
      </c>
      <c r="B117" s="62" t="s">
        <v>62</v>
      </c>
      <c r="C117" s="62" t="s">
        <v>63</v>
      </c>
      <c r="D117" s="62">
        <v>16.0</v>
      </c>
      <c r="E117" s="62">
        <v>35.0</v>
      </c>
      <c r="F117" s="62">
        <v>0.0</v>
      </c>
      <c r="G117" s="62">
        <v>0.0</v>
      </c>
      <c r="H117" s="62">
        <v>13.0</v>
      </c>
      <c r="I117" s="62">
        <v>13.0</v>
      </c>
      <c r="J117" s="62">
        <v>13.0</v>
      </c>
      <c r="K117" s="62">
        <v>3.0</v>
      </c>
      <c r="L117" s="62">
        <v>0.0</v>
      </c>
      <c r="M117" s="62">
        <v>13.0</v>
      </c>
      <c r="N117" s="62">
        <v>13.0</v>
      </c>
      <c r="O117" s="62">
        <v>6.0</v>
      </c>
      <c r="P117" s="62">
        <v>13.0</v>
      </c>
      <c r="Q117" s="62">
        <v>0.0</v>
      </c>
      <c r="R117" s="62">
        <v>37310.0</v>
      </c>
      <c r="S117" s="62">
        <v>85422.0</v>
      </c>
      <c r="T117" s="62">
        <v>2.25055555555555</v>
      </c>
      <c r="U117" s="62">
        <v>0.0</v>
      </c>
      <c r="V117" s="62">
        <v>0.0</v>
      </c>
      <c r="W117" s="62">
        <v>2.6725</v>
      </c>
      <c r="X117" s="62">
        <v>2.6725</v>
      </c>
      <c r="Y117" s="62">
        <v>2.72333333333333</v>
      </c>
      <c r="Z117" s="62">
        <v>0.602222222222222</v>
      </c>
      <c r="AA117" s="62">
        <v>0.0</v>
      </c>
      <c r="AB117" s="62">
        <v>2.72444444444444</v>
      </c>
      <c r="AC117" s="62">
        <v>2.72444444444444</v>
      </c>
      <c r="AD117" s="62">
        <v>1.20166666666666</v>
      </c>
      <c r="AE117" s="62">
        <v>2.72444444444444</v>
      </c>
      <c r="AF117" s="62">
        <v>11.0</v>
      </c>
    </row>
    <row r="118">
      <c r="A118" s="68">
        <v>46118.0</v>
      </c>
      <c r="B118" s="62" t="s">
        <v>106</v>
      </c>
      <c r="C118" s="62" t="s">
        <v>107</v>
      </c>
      <c r="D118" s="62">
        <v>8.0</v>
      </c>
      <c r="E118" s="62">
        <v>8.0</v>
      </c>
      <c r="F118" s="62">
        <v>0.0</v>
      </c>
      <c r="G118" s="62">
        <v>0.0</v>
      </c>
      <c r="H118" s="62">
        <v>0.0</v>
      </c>
      <c r="I118" s="62">
        <v>0.0</v>
      </c>
      <c r="J118" s="62">
        <v>0.0</v>
      </c>
      <c r="K118" s="62">
        <v>0.0</v>
      </c>
      <c r="L118" s="62">
        <v>0.0</v>
      </c>
      <c r="M118" s="62">
        <v>0.0</v>
      </c>
      <c r="N118" s="62">
        <v>0.0</v>
      </c>
      <c r="O118" s="62">
        <v>0.0</v>
      </c>
      <c r="P118" s="62">
        <v>0.0</v>
      </c>
      <c r="Q118" s="62">
        <v>0.0</v>
      </c>
      <c r="R118" s="62">
        <v>10921.0</v>
      </c>
      <c r="S118" s="62">
        <v>10921.0</v>
      </c>
      <c r="T118" s="62">
        <v>1.15472222222222</v>
      </c>
      <c r="U118" s="62">
        <v>0.0</v>
      </c>
      <c r="V118" s="62">
        <v>0.0</v>
      </c>
      <c r="W118" s="62">
        <v>0.0</v>
      </c>
      <c r="X118" s="62">
        <v>0.0</v>
      </c>
      <c r="Y118" s="62">
        <v>0.0</v>
      </c>
      <c r="Z118" s="62">
        <v>0.0</v>
      </c>
      <c r="AA118" s="62">
        <v>0.0</v>
      </c>
      <c r="AB118" s="62">
        <v>0.0</v>
      </c>
      <c r="AC118" s="62">
        <v>0.0</v>
      </c>
      <c r="AD118" s="62">
        <v>0.0</v>
      </c>
      <c r="AE118" s="62">
        <v>0.0</v>
      </c>
      <c r="AF118" s="62">
        <v>8.0</v>
      </c>
    </row>
    <row r="119">
      <c r="A119" s="68">
        <v>46118.0</v>
      </c>
      <c r="B119" s="62" t="s">
        <v>98</v>
      </c>
      <c r="C119" s="62" t="s">
        <v>183</v>
      </c>
      <c r="D119" s="62">
        <v>12.0</v>
      </c>
      <c r="E119" s="62">
        <v>9.0</v>
      </c>
      <c r="F119" s="62">
        <v>7.0</v>
      </c>
      <c r="G119" s="62">
        <v>7.0</v>
      </c>
      <c r="H119" s="62">
        <v>15.0</v>
      </c>
      <c r="I119" s="62">
        <v>8.0</v>
      </c>
      <c r="J119" s="62">
        <v>19.0</v>
      </c>
      <c r="K119" s="62">
        <v>8.0</v>
      </c>
      <c r="L119" s="62">
        <v>7.0</v>
      </c>
      <c r="M119" s="62">
        <v>14.0</v>
      </c>
      <c r="N119" s="62">
        <v>23.0</v>
      </c>
      <c r="O119" s="62">
        <v>3.0</v>
      </c>
      <c r="P119" s="62">
        <v>23.0</v>
      </c>
      <c r="Q119" s="62">
        <v>0.0</v>
      </c>
      <c r="R119" s="62">
        <v>27025.0</v>
      </c>
      <c r="S119" s="62">
        <v>20429.0</v>
      </c>
      <c r="T119" s="62">
        <v>3.31805555555555</v>
      </c>
      <c r="U119" s="62">
        <v>1.55</v>
      </c>
      <c r="V119" s="62">
        <v>1.55277777777777</v>
      </c>
      <c r="W119" s="62">
        <v>3.32083333333333</v>
      </c>
      <c r="X119" s="62">
        <v>1.76805555555555</v>
      </c>
      <c r="Y119" s="62">
        <v>4.23777777777777</v>
      </c>
      <c r="Z119" s="62">
        <v>1.79388888888888</v>
      </c>
      <c r="AA119" s="62">
        <v>1.55444444444444</v>
      </c>
      <c r="AB119" s="62">
        <v>3.08305555555555</v>
      </c>
      <c r="AC119" s="62">
        <v>5.1025</v>
      </c>
      <c r="AD119" s="62">
        <v>0.688611111111111</v>
      </c>
      <c r="AE119" s="62">
        <v>5.1025</v>
      </c>
      <c r="AF119" s="62">
        <v>15.0</v>
      </c>
    </row>
    <row r="120">
      <c r="A120" s="68">
        <v>46118.0</v>
      </c>
      <c r="B120" s="62" t="s">
        <v>71</v>
      </c>
      <c r="C120" s="62" t="s">
        <v>163</v>
      </c>
      <c r="D120" s="62">
        <v>9.0</v>
      </c>
      <c r="E120" s="62">
        <v>9.0</v>
      </c>
      <c r="F120" s="62">
        <v>6.0</v>
      </c>
      <c r="G120" s="62">
        <v>9.0</v>
      </c>
      <c r="H120" s="62">
        <v>9.0</v>
      </c>
      <c r="I120" s="62">
        <v>0.0</v>
      </c>
      <c r="J120" s="62">
        <v>9.0</v>
      </c>
      <c r="K120" s="62">
        <v>8.0</v>
      </c>
      <c r="L120" s="62">
        <v>2.0</v>
      </c>
      <c r="M120" s="62">
        <v>12.0</v>
      </c>
      <c r="N120" s="62">
        <v>13.0</v>
      </c>
      <c r="O120" s="62">
        <v>5.0</v>
      </c>
      <c r="P120" s="62">
        <v>13.0</v>
      </c>
      <c r="Q120" s="62">
        <v>0.0</v>
      </c>
      <c r="R120" s="62">
        <v>24119.0</v>
      </c>
      <c r="S120" s="62">
        <v>24119.0</v>
      </c>
      <c r="T120" s="62">
        <v>1.57999999999999</v>
      </c>
      <c r="U120" s="62">
        <v>1.57999999999999</v>
      </c>
      <c r="V120" s="62">
        <v>2.27638888888888</v>
      </c>
      <c r="W120" s="62">
        <v>2.27638888888888</v>
      </c>
      <c r="X120" s="62">
        <v>0.0</v>
      </c>
      <c r="Y120" s="62">
        <v>2.27638888888888</v>
      </c>
      <c r="Z120" s="62">
        <v>1.99083333333333</v>
      </c>
      <c r="AA120" s="62">
        <v>0.479166666666666</v>
      </c>
      <c r="AB120" s="62">
        <v>3.01472222222222</v>
      </c>
      <c r="AC120" s="62">
        <v>3.24999999999999</v>
      </c>
      <c r="AD120" s="62">
        <v>1.36972222222222</v>
      </c>
      <c r="AE120" s="62">
        <v>3.24999999999999</v>
      </c>
      <c r="AF120" s="62">
        <v>6.0</v>
      </c>
    </row>
    <row r="121">
      <c r="A121" s="68">
        <v>46118.0</v>
      </c>
      <c r="B121" s="62" t="s">
        <v>76</v>
      </c>
      <c r="C121" s="62" t="s">
        <v>165</v>
      </c>
      <c r="D121" s="62">
        <v>21.0</v>
      </c>
      <c r="E121" s="62">
        <v>19.0</v>
      </c>
      <c r="F121" s="62">
        <v>14.0</v>
      </c>
      <c r="G121" s="62">
        <v>19.0</v>
      </c>
      <c r="H121" s="62">
        <v>24.0</v>
      </c>
      <c r="I121" s="62">
        <v>6.0</v>
      </c>
      <c r="J121" s="62">
        <v>22.0</v>
      </c>
      <c r="K121" s="62">
        <v>9.0</v>
      </c>
      <c r="L121" s="62">
        <v>1.0</v>
      </c>
      <c r="M121" s="62">
        <v>23.0</v>
      </c>
      <c r="N121" s="62">
        <v>24.0</v>
      </c>
      <c r="O121" s="62">
        <v>7.0</v>
      </c>
      <c r="P121" s="62">
        <v>24.0</v>
      </c>
      <c r="Q121" s="62">
        <v>0.0</v>
      </c>
      <c r="R121" s="62">
        <v>62437.0</v>
      </c>
      <c r="S121" s="62">
        <v>58951.0</v>
      </c>
      <c r="T121" s="62">
        <v>5.71861111111111</v>
      </c>
      <c r="U121" s="62">
        <v>4.30611111111111</v>
      </c>
      <c r="V121" s="62">
        <v>5.61027777777777</v>
      </c>
      <c r="W121" s="62">
        <v>7.02194444444444</v>
      </c>
      <c r="X121" s="62">
        <v>1.70972222222222</v>
      </c>
      <c r="Y121" s="62">
        <v>6.50083333333333</v>
      </c>
      <c r="Z121" s="62">
        <v>2.52222222222222</v>
      </c>
      <c r="AA121" s="62">
        <v>0.286944444444444</v>
      </c>
      <c r="AB121" s="62">
        <v>6.77166666666666</v>
      </c>
      <c r="AC121" s="62">
        <v>7.04111111111111</v>
      </c>
      <c r="AD121" s="62">
        <v>1.68583333333333</v>
      </c>
      <c r="AE121" s="62">
        <v>7.04111111111111</v>
      </c>
      <c r="AF121" s="62">
        <v>19.0</v>
      </c>
    </row>
    <row r="122">
      <c r="A122" s="68">
        <v>46118.0</v>
      </c>
      <c r="B122" s="62" t="s">
        <v>104</v>
      </c>
      <c r="C122" s="62" t="s">
        <v>166</v>
      </c>
      <c r="D122" s="62">
        <v>0.0</v>
      </c>
      <c r="E122" s="62">
        <v>7.0</v>
      </c>
      <c r="F122" s="62">
        <v>5.0</v>
      </c>
      <c r="G122" s="62">
        <v>10.0</v>
      </c>
      <c r="H122" s="62">
        <v>19.0</v>
      </c>
      <c r="I122" s="62">
        <v>13.0</v>
      </c>
      <c r="J122" s="62">
        <v>13.0</v>
      </c>
      <c r="K122" s="62">
        <v>3.0</v>
      </c>
      <c r="L122" s="62">
        <v>2.0</v>
      </c>
      <c r="M122" s="62">
        <v>16.0</v>
      </c>
      <c r="N122" s="62">
        <v>15.0</v>
      </c>
      <c r="O122" s="62">
        <v>7.0</v>
      </c>
      <c r="P122" s="62">
        <v>15.0</v>
      </c>
      <c r="Q122" s="62">
        <v>0.0</v>
      </c>
      <c r="R122" s="62">
        <v>0.0</v>
      </c>
      <c r="S122" s="62">
        <v>16950.0</v>
      </c>
      <c r="T122" s="62">
        <v>1.05361111111111</v>
      </c>
      <c r="U122" s="62">
        <v>1.05361111111111</v>
      </c>
      <c r="V122" s="62">
        <v>1.91222222222222</v>
      </c>
      <c r="W122" s="62">
        <v>3.70277777777777</v>
      </c>
      <c r="X122" s="62">
        <v>2.61277777777777</v>
      </c>
      <c r="Y122" s="62">
        <v>2.36916666666666</v>
      </c>
      <c r="Z122" s="62">
        <v>0.554166666666666</v>
      </c>
      <c r="AA122" s="62">
        <v>0.360277777777777</v>
      </c>
      <c r="AB122" s="62">
        <v>2.96416666666666</v>
      </c>
      <c r="AC122" s="62">
        <v>2.7775</v>
      </c>
      <c r="AD122" s="62">
        <v>1.52083333333333</v>
      </c>
      <c r="AE122" s="62">
        <v>2.7775</v>
      </c>
      <c r="AF122" s="62">
        <v>5.0</v>
      </c>
    </row>
    <row r="123">
      <c r="A123" s="68">
        <v>46118.0</v>
      </c>
      <c r="B123" s="62" t="s">
        <v>32</v>
      </c>
      <c r="C123" s="62" t="s">
        <v>168</v>
      </c>
      <c r="D123" s="62">
        <v>32.0</v>
      </c>
      <c r="E123" s="62">
        <v>34.0</v>
      </c>
      <c r="F123" s="62">
        <v>6.0</v>
      </c>
      <c r="G123" s="62">
        <v>0.0</v>
      </c>
      <c r="H123" s="62">
        <v>20.0</v>
      </c>
      <c r="I123" s="62">
        <v>15.0</v>
      </c>
      <c r="J123" s="62">
        <v>20.0</v>
      </c>
      <c r="K123" s="62">
        <v>4.0</v>
      </c>
      <c r="L123" s="62">
        <v>0.0</v>
      </c>
      <c r="M123" s="62">
        <v>22.0</v>
      </c>
      <c r="N123" s="62">
        <v>22.0</v>
      </c>
      <c r="O123" s="62">
        <v>6.0</v>
      </c>
      <c r="P123" s="62">
        <v>22.0</v>
      </c>
      <c r="Q123" s="62">
        <v>0.0</v>
      </c>
      <c r="R123" s="62">
        <v>71804.0</v>
      </c>
      <c r="S123" s="62">
        <v>76453.0</v>
      </c>
      <c r="T123" s="62">
        <v>4.07</v>
      </c>
      <c r="U123" s="62">
        <v>1.4025</v>
      </c>
      <c r="V123" s="62">
        <v>0.0</v>
      </c>
      <c r="W123" s="62">
        <v>4.5225</v>
      </c>
      <c r="X123" s="62">
        <v>3.37166666666666</v>
      </c>
      <c r="Y123" s="62">
        <v>4.54138888888888</v>
      </c>
      <c r="Z123" s="62">
        <v>0.926666666666666</v>
      </c>
      <c r="AA123" s="62">
        <v>0.0</v>
      </c>
      <c r="AB123" s="62">
        <v>4.98055555555555</v>
      </c>
      <c r="AC123" s="62">
        <v>4.98055555555555</v>
      </c>
      <c r="AD123" s="62">
        <v>1.25861111111111</v>
      </c>
      <c r="AE123" s="62">
        <v>4.98055555555555</v>
      </c>
      <c r="AF123" s="62">
        <v>18.0</v>
      </c>
    </row>
    <row r="124">
      <c r="A124" s="68">
        <v>46118.0</v>
      </c>
      <c r="B124" s="62" t="s">
        <v>93</v>
      </c>
      <c r="C124" s="62" t="s">
        <v>182</v>
      </c>
      <c r="D124" s="62">
        <v>0.0</v>
      </c>
      <c r="E124" s="62">
        <v>10.0</v>
      </c>
      <c r="F124" s="62">
        <v>14.0</v>
      </c>
      <c r="G124" s="62">
        <v>21.0</v>
      </c>
      <c r="H124" s="62">
        <v>21.0</v>
      </c>
      <c r="I124" s="62">
        <v>0.0</v>
      </c>
      <c r="J124" s="62">
        <v>21.0</v>
      </c>
      <c r="K124" s="62">
        <v>4.0</v>
      </c>
      <c r="L124" s="62">
        <v>3.0</v>
      </c>
      <c r="M124" s="62">
        <v>11.0</v>
      </c>
      <c r="N124" s="62">
        <v>21.0</v>
      </c>
      <c r="O124" s="62">
        <v>3.0</v>
      </c>
      <c r="P124" s="62">
        <v>21.0</v>
      </c>
      <c r="Q124" s="62">
        <v>0.0</v>
      </c>
      <c r="R124" s="62">
        <v>0.0</v>
      </c>
      <c r="S124" s="62">
        <v>20635.0</v>
      </c>
      <c r="T124" s="62">
        <v>3.71611111111111</v>
      </c>
      <c r="U124" s="62">
        <v>3.71611111111111</v>
      </c>
      <c r="V124" s="62">
        <v>5.34722222222222</v>
      </c>
      <c r="W124" s="62">
        <v>5.34722222222222</v>
      </c>
      <c r="X124" s="62">
        <v>0.0</v>
      </c>
      <c r="Y124" s="62">
        <v>5.35305555555555</v>
      </c>
      <c r="Z124" s="62">
        <v>0.998333333333333</v>
      </c>
      <c r="AA124" s="62">
        <v>0.682222222222222</v>
      </c>
      <c r="AB124" s="62">
        <v>2.91305555555555</v>
      </c>
      <c r="AC124" s="62">
        <v>5.32805555555555</v>
      </c>
      <c r="AD124" s="62">
        <v>0.916111111111111</v>
      </c>
      <c r="AE124" s="62">
        <v>5.32805555555555</v>
      </c>
      <c r="AF124" s="62">
        <v>14.0</v>
      </c>
    </row>
    <row r="125">
      <c r="A125" s="68">
        <v>46118.0</v>
      </c>
      <c r="B125" s="62" t="s">
        <v>65</v>
      </c>
      <c r="C125" s="62" t="s">
        <v>173</v>
      </c>
      <c r="D125" s="62">
        <v>11.0</v>
      </c>
      <c r="E125" s="62">
        <v>8.0</v>
      </c>
      <c r="F125" s="62">
        <v>3.0</v>
      </c>
      <c r="G125" s="62">
        <v>0.0</v>
      </c>
      <c r="H125" s="62">
        <v>5.0</v>
      </c>
      <c r="I125" s="62">
        <v>5.0</v>
      </c>
      <c r="J125" s="62">
        <v>5.0</v>
      </c>
      <c r="K125" s="62">
        <v>1.0</v>
      </c>
      <c r="L125" s="62">
        <v>0.0</v>
      </c>
      <c r="M125" s="62">
        <v>1.0</v>
      </c>
      <c r="N125" s="62">
        <v>1.0</v>
      </c>
      <c r="O125" s="62">
        <v>7.0</v>
      </c>
      <c r="P125" s="62">
        <v>1.0</v>
      </c>
      <c r="Q125" s="62">
        <v>0.0</v>
      </c>
      <c r="R125" s="62">
        <v>23106.0</v>
      </c>
      <c r="S125" s="62">
        <v>17385.0</v>
      </c>
      <c r="T125" s="62">
        <v>1.83388888888888</v>
      </c>
      <c r="U125" s="62">
        <v>0.67</v>
      </c>
      <c r="V125" s="62">
        <v>0.0</v>
      </c>
      <c r="W125" s="62">
        <v>1.10833333333333</v>
      </c>
      <c r="X125" s="62">
        <v>1.10833333333333</v>
      </c>
      <c r="Y125" s="62">
        <v>1.115</v>
      </c>
      <c r="Z125" s="62">
        <v>0.223055555555555</v>
      </c>
      <c r="AA125" s="62">
        <v>0.0</v>
      </c>
      <c r="AB125" s="62">
        <v>0.2175</v>
      </c>
      <c r="AC125" s="62">
        <v>0.2175</v>
      </c>
      <c r="AD125" s="62">
        <v>1.77916666666666</v>
      </c>
      <c r="AE125" s="62">
        <v>0.2175</v>
      </c>
      <c r="AF125" s="62">
        <v>8.0</v>
      </c>
    </row>
    <row r="126">
      <c r="A126" s="68">
        <v>46118.0</v>
      </c>
      <c r="B126" s="62" t="s">
        <v>37</v>
      </c>
      <c r="C126" s="62" t="s">
        <v>174</v>
      </c>
      <c r="D126" s="62">
        <v>10.0</v>
      </c>
      <c r="E126" s="62">
        <v>9.0</v>
      </c>
      <c r="F126" s="62">
        <v>16.0</v>
      </c>
      <c r="G126" s="62">
        <v>15.0</v>
      </c>
      <c r="H126" s="62">
        <v>16.0</v>
      </c>
      <c r="I126" s="62">
        <v>1.0</v>
      </c>
      <c r="J126" s="62">
        <v>15.0</v>
      </c>
      <c r="K126" s="62">
        <v>17.0</v>
      </c>
      <c r="L126" s="62">
        <v>3.0</v>
      </c>
      <c r="M126" s="62">
        <v>21.0</v>
      </c>
      <c r="N126" s="62">
        <v>21.0</v>
      </c>
      <c r="O126" s="62">
        <v>7.0</v>
      </c>
      <c r="P126" s="62">
        <v>21.0</v>
      </c>
      <c r="Q126" s="62">
        <v>0.0</v>
      </c>
      <c r="R126" s="62">
        <v>23022.0</v>
      </c>
      <c r="S126" s="62">
        <v>21107.0</v>
      </c>
      <c r="T126" s="62">
        <v>3.23305555555555</v>
      </c>
      <c r="U126" s="62">
        <v>4.51083333333333</v>
      </c>
      <c r="V126" s="62">
        <v>4.22166666666666</v>
      </c>
      <c r="W126" s="62">
        <v>4.49388888888888</v>
      </c>
      <c r="X126" s="62">
        <v>0.272222222222222</v>
      </c>
      <c r="Y126" s="62">
        <v>4.22388888888888</v>
      </c>
      <c r="Z126" s="62">
        <v>4.88083333333333</v>
      </c>
      <c r="AA126" s="62">
        <v>0.846666666666666</v>
      </c>
      <c r="AB126" s="62">
        <v>6.00138888888888</v>
      </c>
      <c r="AC126" s="62">
        <v>6.00138888888888</v>
      </c>
      <c r="AD126" s="62">
        <v>1.94388888888888</v>
      </c>
      <c r="AE126" s="62">
        <v>6.00138888888888</v>
      </c>
      <c r="AF126" s="62">
        <v>12.0</v>
      </c>
    </row>
    <row r="127">
      <c r="A127" s="68">
        <v>46118.0</v>
      </c>
      <c r="B127" s="62" t="s">
        <v>56</v>
      </c>
      <c r="C127" s="62" t="s">
        <v>176</v>
      </c>
      <c r="D127" s="62">
        <v>14.0</v>
      </c>
      <c r="E127" s="62">
        <v>11.0</v>
      </c>
      <c r="F127" s="62">
        <v>0.0</v>
      </c>
      <c r="G127" s="62">
        <v>0.0</v>
      </c>
      <c r="H127" s="62">
        <v>0.0</v>
      </c>
      <c r="I127" s="62">
        <v>0.0</v>
      </c>
      <c r="J127" s="62">
        <v>0.0</v>
      </c>
      <c r="K127" s="62">
        <v>0.0</v>
      </c>
      <c r="L127" s="62">
        <v>0.0</v>
      </c>
      <c r="M127" s="62">
        <v>0.0</v>
      </c>
      <c r="N127" s="62">
        <v>0.0</v>
      </c>
      <c r="O127" s="62">
        <v>0.0</v>
      </c>
      <c r="P127" s="62">
        <v>0.0</v>
      </c>
      <c r="Q127" s="62">
        <v>0.0</v>
      </c>
      <c r="R127" s="62">
        <v>30293.0</v>
      </c>
      <c r="S127" s="62">
        <v>22759.0</v>
      </c>
      <c r="T127" s="62">
        <v>0.0</v>
      </c>
      <c r="U127" s="62">
        <v>0.0</v>
      </c>
      <c r="V127" s="62">
        <v>0.0</v>
      </c>
      <c r="W127" s="62">
        <v>0.0</v>
      </c>
      <c r="X127" s="62">
        <v>0.0</v>
      </c>
      <c r="Y127" s="62">
        <v>0.0</v>
      </c>
      <c r="Z127" s="62">
        <v>0.0</v>
      </c>
      <c r="AA127" s="62">
        <v>0.0</v>
      </c>
      <c r="AB127" s="62">
        <v>0.0</v>
      </c>
      <c r="AC127" s="62">
        <v>0.0</v>
      </c>
      <c r="AD127" s="62">
        <v>0.0</v>
      </c>
      <c r="AE127" s="62">
        <v>0.0</v>
      </c>
      <c r="AF127" s="62">
        <v>0.0</v>
      </c>
    </row>
    <row r="128">
      <c r="A128" s="68">
        <v>46118.0</v>
      </c>
      <c r="B128" s="62" t="s">
        <v>91</v>
      </c>
      <c r="C128" s="62" t="s">
        <v>184</v>
      </c>
      <c r="D128" s="62">
        <v>0.0</v>
      </c>
      <c r="E128" s="62">
        <v>12.0</v>
      </c>
      <c r="F128" s="62">
        <v>11.0</v>
      </c>
      <c r="G128" s="62">
        <v>12.0</v>
      </c>
      <c r="H128" s="62">
        <v>20.0</v>
      </c>
      <c r="I128" s="62">
        <v>10.0</v>
      </c>
      <c r="J128" s="62">
        <v>18.0</v>
      </c>
      <c r="K128" s="62">
        <v>14.0</v>
      </c>
      <c r="L128" s="62">
        <v>10.0</v>
      </c>
      <c r="M128" s="62">
        <v>20.0</v>
      </c>
      <c r="N128" s="62">
        <v>19.0</v>
      </c>
      <c r="O128" s="62">
        <v>7.0</v>
      </c>
      <c r="P128" s="62">
        <v>19.0</v>
      </c>
      <c r="Q128" s="62">
        <v>0.0</v>
      </c>
      <c r="R128" s="62">
        <v>0.0</v>
      </c>
      <c r="S128" s="62">
        <v>27665.0</v>
      </c>
      <c r="T128" s="62">
        <v>2.41972222222222</v>
      </c>
      <c r="U128" s="62">
        <v>2.12805555555555</v>
      </c>
      <c r="V128" s="62">
        <v>2.03</v>
      </c>
      <c r="W128" s="62">
        <v>3.62166666666666</v>
      </c>
      <c r="X128" s="62">
        <v>2.03749999999999</v>
      </c>
      <c r="Y128" s="62">
        <v>3.10888888888888</v>
      </c>
      <c r="Z128" s="62">
        <v>2.26333333333333</v>
      </c>
      <c r="AA128" s="62">
        <v>1.59583333333333</v>
      </c>
      <c r="AB128" s="62">
        <v>3.29944444444444</v>
      </c>
      <c r="AC128" s="62">
        <v>3.07944444444444</v>
      </c>
      <c r="AD128" s="62">
        <v>1.11833333333333</v>
      </c>
      <c r="AE128" s="62">
        <v>3.07944444444444</v>
      </c>
      <c r="AF128" s="62">
        <v>12.0</v>
      </c>
    </row>
    <row r="129">
      <c r="A129" s="68">
        <v>46118.0</v>
      </c>
      <c r="B129" s="62" t="s">
        <v>84</v>
      </c>
      <c r="C129" s="62" t="s">
        <v>186</v>
      </c>
      <c r="D129" s="62">
        <v>0.0</v>
      </c>
      <c r="E129" s="62">
        <v>0.0</v>
      </c>
      <c r="F129" s="62">
        <v>3.0</v>
      </c>
      <c r="G129" s="62">
        <v>4.0</v>
      </c>
      <c r="H129" s="62">
        <v>5.0</v>
      </c>
      <c r="I129" s="62">
        <v>1.0</v>
      </c>
      <c r="J129" s="62">
        <v>5.0</v>
      </c>
      <c r="K129" s="62">
        <v>4.0</v>
      </c>
      <c r="L129" s="62">
        <v>2.0</v>
      </c>
      <c r="M129" s="62">
        <v>5.0</v>
      </c>
      <c r="N129" s="62">
        <v>5.0</v>
      </c>
      <c r="O129" s="62">
        <v>5.0</v>
      </c>
      <c r="P129" s="62">
        <v>5.0</v>
      </c>
      <c r="Q129" s="62">
        <v>0.0</v>
      </c>
      <c r="R129" s="62">
        <v>0.0</v>
      </c>
      <c r="S129" s="62">
        <v>0.0</v>
      </c>
      <c r="T129" s="62">
        <v>0.943333333333333</v>
      </c>
      <c r="U129" s="62">
        <v>0.685</v>
      </c>
      <c r="V129" s="62">
        <v>0.929722222222222</v>
      </c>
      <c r="W129" s="62">
        <v>1.18805555555555</v>
      </c>
      <c r="X129" s="62">
        <v>0.258333333333333</v>
      </c>
      <c r="Y129" s="62">
        <v>1.18805555555555</v>
      </c>
      <c r="Z129" s="62">
        <v>0.979722222222222</v>
      </c>
      <c r="AA129" s="62">
        <v>0.472777777777777</v>
      </c>
      <c r="AB129" s="62">
        <v>1.18888888888888</v>
      </c>
      <c r="AC129" s="62">
        <v>1.18888888888888</v>
      </c>
      <c r="AD129" s="62">
        <v>1.19361111111111</v>
      </c>
      <c r="AE129" s="62">
        <v>1.18888888888888</v>
      </c>
      <c r="AF129" s="62">
        <v>4.0</v>
      </c>
    </row>
    <row r="130">
      <c r="A130" s="68">
        <v>46118.0</v>
      </c>
      <c r="B130" s="62" t="s">
        <v>26</v>
      </c>
      <c r="C130" s="62" t="s">
        <v>178</v>
      </c>
      <c r="D130" s="62">
        <v>30.0</v>
      </c>
      <c r="E130" s="62">
        <v>26.0</v>
      </c>
      <c r="F130" s="62">
        <v>6.0</v>
      </c>
      <c r="G130" s="62">
        <v>9.0</v>
      </c>
      <c r="H130" s="62">
        <v>31.0</v>
      </c>
      <c r="I130" s="62">
        <v>23.0</v>
      </c>
      <c r="J130" s="62">
        <v>30.0</v>
      </c>
      <c r="K130" s="62">
        <v>2.0</v>
      </c>
      <c r="L130" s="62">
        <v>2.0</v>
      </c>
      <c r="M130" s="62">
        <v>31.0</v>
      </c>
      <c r="N130" s="62">
        <v>36.0</v>
      </c>
      <c r="O130" s="62">
        <v>5.0</v>
      </c>
      <c r="P130" s="62">
        <v>36.0</v>
      </c>
      <c r="Q130" s="62">
        <v>0.0</v>
      </c>
      <c r="R130" s="62">
        <v>65075.0</v>
      </c>
      <c r="S130" s="62">
        <v>57888.0</v>
      </c>
      <c r="T130" s="62">
        <v>5.83416666666666</v>
      </c>
      <c r="U130" s="62">
        <v>1.13694444444444</v>
      </c>
      <c r="V130" s="62">
        <v>1.76333333333333</v>
      </c>
      <c r="W130" s="62">
        <v>6.08222222222222</v>
      </c>
      <c r="X130" s="62">
        <v>4.48777777777777</v>
      </c>
      <c r="Y130" s="62">
        <v>5.87277777777777</v>
      </c>
      <c r="Z130" s="62">
        <v>0.375</v>
      </c>
      <c r="AA130" s="62">
        <v>0.375</v>
      </c>
      <c r="AB130" s="62">
        <v>6.03277777777777</v>
      </c>
      <c r="AC130" s="62">
        <v>6.98444444444444</v>
      </c>
      <c r="AD130" s="62">
        <v>0.943333333333333</v>
      </c>
      <c r="AE130" s="62">
        <v>6.98444444444444</v>
      </c>
      <c r="AF130" s="62">
        <v>30.0</v>
      </c>
    </row>
    <row r="131">
      <c r="A131" s="68">
        <v>46118.0</v>
      </c>
      <c r="B131" s="62" t="s">
        <v>62</v>
      </c>
      <c r="C131" s="62" t="s">
        <v>63</v>
      </c>
      <c r="D131" s="62">
        <v>18.0</v>
      </c>
      <c r="E131" s="62">
        <v>3.0</v>
      </c>
      <c r="F131" s="62">
        <v>0.0</v>
      </c>
      <c r="G131" s="62">
        <v>0.0</v>
      </c>
      <c r="H131" s="62">
        <v>14.0</v>
      </c>
      <c r="I131" s="62">
        <v>13.0</v>
      </c>
      <c r="J131" s="62">
        <v>15.0</v>
      </c>
      <c r="K131" s="62">
        <v>3.0</v>
      </c>
      <c r="L131" s="62">
        <v>0.0</v>
      </c>
      <c r="M131" s="62">
        <v>17.0</v>
      </c>
      <c r="N131" s="62">
        <v>17.0</v>
      </c>
      <c r="O131" s="62">
        <v>7.0</v>
      </c>
      <c r="P131" s="62">
        <v>17.0</v>
      </c>
      <c r="Q131" s="62">
        <v>0.0</v>
      </c>
      <c r="R131" s="62">
        <v>43531.0</v>
      </c>
      <c r="S131" s="62">
        <v>6380.0</v>
      </c>
      <c r="T131" s="62">
        <v>3.45222222222222</v>
      </c>
      <c r="U131" s="62">
        <v>0.0</v>
      </c>
      <c r="V131" s="62">
        <v>0.0</v>
      </c>
      <c r="W131" s="62">
        <v>3.03</v>
      </c>
      <c r="X131" s="62">
        <v>2.81055555555555</v>
      </c>
      <c r="Y131" s="62">
        <v>3.25888888888888</v>
      </c>
      <c r="Z131" s="62">
        <v>0.693611111111111</v>
      </c>
      <c r="AA131" s="62">
        <v>0.0</v>
      </c>
      <c r="AB131" s="62">
        <v>3.72138888888888</v>
      </c>
      <c r="AC131" s="62">
        <v>3.72138888888888</v>
      </c>
      <c r="AD131" s="62">
        <v>1.49361111111111</v>
      </c>
      <c r="AE131" s="62">
        <v>3.72138888888888</v>
      </c>
      <c r="AF131" s="62">
        <v>16.0</v>
      </c>
    </row>
    <row r="132">
      <c r="A132" s="68">
        <v>46111.0</v>
      </c>
      <c r="B132" s="62" t="s">
        <v>98</v>
      </c>
      <c r="C132" s="62" t="s">
        <v>183</v>
      </c>
      <c r="D132" s="62">
        <v>11.0</v>
      </c>
      <c r="E132" s="62">
        <v>10.0</v>
      </c>
      <c r="F132" s="62">
        <v>4.0</v>
      </c>
      <c r="G132" s="62">
        <v>4.0</v>
      </c>
      <c r="H132" s="62">
        <v>9.0</v>
      </c>
      <c r="I132" s="62">
        <v>5.0</v>
      </c>
      <c r="J132" s="62">
        <v>5.0</v>
      </c>
      <c r="K132" s="62">
        <v>1.0</v>
      </c>
      <c r="L132" s="62">
        <v>0.0</v>
      </c>
      <c r="M132" s="62">
        <v>1.0</v>
      </c>
      <c r="N132" s="62">
        <v>1.0</v>
      </c>
      <c r="O132" s="62">
        <v>1.0</v>
      </c>
      <c r="P132" s="62">
        <v>1.0</v>
      </c>
      <c r="Q132" s="62">
        <v>0.0</v>
      </c>
      <c r="R132" s="62">
        <v>24207.0</v>
      </c>
      <c r="S132" s="62">
        <v>22024.0</v>
      </c>
      <c r="T132" s="62">
        <v>1.77277777777777</v>
      </c>
      <c r="U132" s="62">
        <v>0.971388888888889</v>
      </c>
      <c r="V132" s="62">
        <v>0.975833333333333</v>
      </c>
      <c r="W132" s="62">
        <v>2.03444444444444</v>
      </c>
      <c r="X132" s="62">
        <v>1.05861111111111</v>
      </c>
      <c r="Y132" s="62">
        <v>1.13</v>
      </c>
      <c r="Z132" s="62">
        <v>0.264444444444444</v>
      </c>
      <c r="AA132" s="62">
        <v>0.0</v>
      </c>
      <c r="AB132" s="62">
        <v>0.264444444444444</v>
      </c>
      <c r="AC132" s="62">
        <v>0.264444444444444</v>
      </c>
      <c r="AD132" s="62">
        <v>0.264444444444444</v>
      </c>
      <c r="AE132" s="62">
        <v>0.264444444444444</v>
      </c>
      <c r="AF132" s="62">
        <v>8.0</v>
      </c>
    </row>
    <row r="133">
      <c r="A133" s="68">
        <v>46111.0</v>
      </c>
      <c r="B133" s="62" t="s">
        <v>71</v>
      </c>
      <c r="C133" s="62" t="s">
        <v>163</v>
      </c>
      <c r="D133" s="62">
        <v>5.0</v>
      </c>
      <c r="E133" s="62">
        <v>7.0</v>
      </c>
      <c r="F133" s="62">
        <v>15.0</v>
      </c>
      <c r="G133" s="62">
        <v>14.0</v>
      </c>
      <c r="H133" s="62">
        <v>14.0</v>
      </c>
      <c r="I133" s="62">
        <v>0.0</v>
      </c>
      <c r="J133" s="62">
        <v>14.0</v>
      </c>
      <c r="K133" s="62">
        <v>9.0</v>
      </c>
      <c r="L133" s="62">
        <v>2.0</v>
      </c>
      <c r="M133" s="62">
        <v>12.0</v>
      </c>
      <c r="N133" s="62">
        <v>11.0</v>
      </c>
      <c r="O133" s="62">
        <v>5.0</v>
      </c>
      <c r="P133" s="62">
        <v>11.0</v>
      </c>
      <c r="Q133" s="62">
        <v>0.0</v>
      </c>
      <c r="R133" s="62">
        <v>13460.0</v>
      </c>
      <c r="S133" s="62">
        <v>18774.0</v>
      </c>
      <c r="T133" s="62">
        <v>3.68611111111111</v>
      </c>
      <c r="U133" s="62">
        <v>3.68611111111111</v>
      </c>
      <c r="V133" s="62">
        <v>3.45361111111111</v>
      </c>
      <c r="W133" s="62">
        <v>3.45361111111111</v>
      </c>
      <c r="X133" s="62">
        <v>0.0</v>
      </c>
      <c r="Y133" s="62">
        <v>3.45888888888888</v>
      </c>
      <c r="Z133" s="62">
        <v>2.23083333333333</v>
      </c>
      <c r="AA133" s="62">
        <v>0.494166666666666</v>
      </c>
      <c r="AB133" s="62">
        <v>2.95555555555555</v>
      </c>
      <c r="AC133" s="62">
        <v>2.72027777777777</v>
      </c>
      <c r="AD133" s="62">
        <v>1.46583333333333</v>
      </c>
      <c r="AE133" s="62">
        <v>2.72027777777777</v>
      </c>
      <c r="AF133" s="62">
        <v>15.0</v>
      </c>
    </row>
    <row r="134">
      <c r="A134" s="68">
        <v>46111.0</v>
      </c>
      <c r="B134" s="62" t="s">
        <v>76</v>
      </c>
      <c r="C134" s="62" t="s">
        <v>165</v>
      </c>
      <c r="D134" s="62">
        <v>22.0</v>
      </c>
      <c r="E134" s="62">
        <v>26.0</v>
      </c>
      <c r="F134" s="62">
        <v>20.0</v>
      </c>
      <c r="G134" s="62">
        <v>16.0</v>
      </c>
      <c r="H134" s="62">
        <v>16.0</v>
      </c>
      <c r="I134" s="62">
        <v>1.0</v>
      </c>
      <c r="J134" s="62">
        <v>22.0</v>
      </c>
      <c r="K134" s="62">
        <v>6.0</v>
      </c>
      <c r="L134" s="62">
        <v>5.0</v>
      </c>
      <c r="M134" s="62">
        <v>20.0</v>
      </c>
      <c r="N134" s="62">
        <v>19.0</v>
      </c>
      <c r="O134" s="62">
        <v>6.0</v>
      </c>
      <c r="P134" s="62">
        <v>19.0</v>
      </c>
      <c r="Q134" s="62">
        <v>0.0</v>
      </c>
      <c r="R134" s="62">
        <v>63173.0</v>
      </c>
      <c r="S134" s="62">
        <v>75712.0</v>
      </c>
      <c r="T134" s="62">
        <v>5.98777777777777</v>
      </c>
      <c r="U134" s="62">
        <v>5.71916666666666</v>
      </c>
      <c r="V134" s="62">
        <v>4.36333333333333</v>
      </c>
      <c r="W134" s="62">
        <v>4.35388888888888</v>
      </c>
      <c r="X134" s="62">
        <v>0.268611111111111</v>
      </c>
      <c r="Y134" s="62">
        <v>6.00222222222222</v>
      </c>
      <c r="Z134" s="62">
        <v>1.69833333333333</v>
      </c>
      <c r="AA134" s="62">
        <v>1.41916666666666</v>
      </c>
      <c r="AB134" s="62">
        <v>5.43</v>
      </c>
      <c r="AC134" s="62">
        <v>5.16055555555555</v>
      </c>
      <c r="AD134" s="62">
        <v>1.41805555555555</v>
      </c>
      <c r="AE134" s="62">
        <v>5.16055555555555</v>
      </c>
      <c r="AF134" s="62">
        <v>21.0</v>
      </c>
    </row>
    <row r="135">
      <c r="A135" s="68">
        <v>46111.0</v>
      </c>
      <c r="B135" s="62" t="s">
        <v>104</v>
      </c>
      <c r="C135" s="62" t="s">
        <v>166</v>
      </c>
      <c r="D135" s="62">
        <v>7.0</v>
      </c>
      <c r="E135" s="62">
        <v>14.0</v>
      </c>
      <c r="F135" s="62">
        <v>15.0</v>
      </c>
      <c r="G135" s="62">
        <v>6.0</v>
      </c>
      <c r="H135" s="62">
        <v>9.0</v>
      </c>
      <c r="I135" s="62">
        <v>3.0</v>
      </c>
      <c r="J135" s="62">
        <v>16.0</v>
      </c>
      <c r="K135" s="62">
        <v>2.0</v>
      </c>
      <c r="L135" s="62">
        <v>0.0</v>
      </c>
      <c r="M135" s="62">
        <v>15.0</v>
      </c>
      <c r="N135" s="62">
        <v>15.0</v>
      </c>
      <c r="O135" s="62">
        <v>5.0</v>
      </c>
      <c r="P135" s="62">
        <v>15.0</v>
      </c>
      <c r="Q135" s="62">
        <v>0.0</v>
      </c>
      <c r="R135" s="62">
        <v>16950.0</v>
      </c>
      <c r="S135" s="62">
        <v>30476.0</v>
      </c>
      <c r="T135" s="62">
        <v>2.64361111111111</v>
      </c>
      <c r="U135" s="62">
        <v>2.83916666666666</v>
      </c>
      <c r="V135" s="62">
        <v>1.31833333333333</v>
      </c>
      <c r="W135" s="62">
        <v>1.82222222222222</v>
      </c>
      <c r="X135" s="62">
        <v>0.533055555555555</v>
      </c>
      <c r="Y135" s="62">
        <v>3.40333333333333</v>
      </c>
      <c r="Z135" s="62">
        <v>0.434166666666666</v>
      </c>
      <c r="AA135" s="62">
        <v>0.0</v>
      </c>
      <c r="AB135" s="62">
        <v>3.18333333333333</v>
      </c>
      <c r="AC135" s="62">
        <v>3.18333333333333</v>
      </c>
      <c r="AD135" s="62">
        <v>1.02805555555555</v>
      </c>
      <c r="AE135" s="62">
        <v>3.18333333333333</v>
      </c>
      <c r="AF135" s="62">
        <v>14.0</v>
      </c>
    </row>
    <row r="136">
      <c r="A136" s="68">
        <v>46111.0</v>
      </c>
      <c r="B136" s="62" t="s">
        <v>100</v>
      </c>
      <c r="C136" s="62" t="s">
        <v>167</v>
      </c>
      <c r="D136" s="62">
        <v>1.0</v>
      </c>
      <c r="E136" s="62">
        <v>1.0</v>
      </c>
      <c r="F136" s="62">
        <v>0.0</v>
      </c>
      <c r="G136" s="62">
        <v>0.0</v>
      </c>
      <c r="H136" s="62">
        <v>0.0</v>
      </c>
      <c r="I136" s="62">
        <v>0.0</v>
      </c>
      <c r="J136" s="62">
        <v>0.0</v>
      </c>
      <c r="K136" s="62">
        <v>0.0</v>
      </c>
      <c r="L136" s="62">
        <v>0.0</v>
      </c>
      <c r="M136" s="62">
        <v>0.0</v>
      </c>
      <c r="N136" s="62">
        <v>0.0</v>
      </c>
      <c r="O136" s="62">
        <v>0.0</v>
      </c>
      <c r="P136" s="62">
        <v>0.0</v>
      </c>
      <c r="Q136" s="62">
        <v>0.0</v>
      </c>
      <c r="R136" s="62">
        <v>2454.0</v>
      </c>
      <c r="S136" s="62">
        <v>2454.0</v>
      </c>
      <c r="T136" s="62">
        <v>0.0</v>
      </c>
      <c r="U136" s="62">
        <v>0.0</v>
      </c>
      <c r="V136" s="62">
        <v>0.0</v>
      </c>
      <c r="W136" s="62">
        <v>0.0</v>
      </c>
      <c r="X136" s="62">
        <v>0.0</v>
      </c>
      <c r="Y136" s="62">
        <v>0.0</v>
      </c>
      <c r="Z136" s="62">
        <v>0.0</v>
      </c>
      <c r="AA136" s="62">
        <v>0.0</v>
      </c>
      <c r="AB136" s="62">
        <v>0.0</v>
      </c>
      <c r="AC136" s="62">
        <v>0.0</v>
      </c>
      <c r="AD136" s="62">
        <v>0.0</v>
      </c>
      <c r="AE136" s="62">
        <v>0.0</v>
      </c>
      <c r="AF136" s="62">
        <v>0.0</v>
      </c>
    </row>
    <row r="137">
      <c r="A137" s="68">
        <v>46111.0</v>
      </c>
      <c r="B137" s="62" t="s">
        <v>32</v>
      </c>
      <c r="C137" s="62" t="s">
        <v>168</v>
      </c>
      <c r="D137" s="62">
        <v>21.0</v>
      </c>
      <c r="E137" s="62">
        <v>11.0</v>
      </c>
      <c r="F137" s="62">
        <v>7.0</v>
      </c>
      <c r="G137" s="62">
        <v>0.0</v>
      </c>
      <c r="H137" s="62">
        <v>18.0</v>
      </c>
      <c r="I137" s="62">
        <v>11.0</v>
      </c>
      <c r="J137" s="62">
        <v>19.0</v>
      </c>
      <c r="K137" s="62">
        <v>4.0</v>
      </c>
      <c r="L137" s="62">
        <v>0.0</v>
      </c>
      <c r="M137" s="62">
        <v>17.0</v>
      </c>
      <c r="N137" s="62">
        <v>17.0</v>
      </c>
      <c r="O137" s="62">
        <v>6.0</v>
      </c>
      <c r="P137" s="62">
        <v>17.0</v>
      </c>
      <c r="Q137" s="62">
        <v>0.0</v>
      </c>
      <c r="R137" s="62">
        <v>46898.0</v>
      </c>
      <c r="S137" s="62">
        <v>25837.0</v>
      </c>
      <c r="T137" s="62">
        <v>4.83777777777777</v>
      </c>
      <c r="U137" s="62">
        <v>1.62694444444444</v>
      </c>
      <c r="V137" s="62">
        <v>0.0</v>
      </c>
      <c r="W137" s="62">
        <v>4.13861111111111</v>
      </c>
      <c r="X137" s="62">
        <v>2.51444444444444</v>
      </c>
      <c r="Y137" s="62">
        <v>4.38972222222222</v>
      </c>
      <c r="Z137" s="62">
        <v>0.920555555555555</v>
      </c>
      <c r="AA137" s="62">
        <v>0.0</v>
      </c>
      <c r="AB137" s="62">
        <v>3.94277777777777</v>
      </c>
      <c r="AC137" s="62">
        <v>3.94277777777777</v>
      </c>
      <c r="AD137" s="62">
        <v>1.34861111111111</v>
      </c>
      <c r="AE137" s="62">
        <v>3.94277777777777</v>
      </c>
      <c r="AF137" s="62">
        <v>21.0</v>
      </c>
    </row>
    <row r="138">
      <c r="A138" s="68">
        <v>46111.0</v>
      </c>
      <c r="B138" s="62" t="s">
        <v>93</v>
      </c>
      <c r="C138" s="62" t="s">
        <v>182</v>
      </c>
      <c r="D138" s="62">
        <v>4.0</v>
      </c>
      <c r="E138" s="62">
        <v>17.0</v>
      </c>
      <c r="F138" s="62">
        <v>10.0</v>
      </c>
      <c r="G138" s="62">
        <v>0.0</v>
      </c>
      <c r="H138" s="62">
        <v>1.0</v>
      </c>
      <c r="I138" s="62">
        <v>0.0</v>
      </c>
      <c r="J138" s="62">
        <v>1.0</v>
      </c>
      <c r="K138" s="62">
        <v>0.0</v>
      </c>
      <c r="L138" s="62">
        <v>0.0</v>
      </c>
      <c r="M138" s="62">
        <v>1.0</v>
      </c>
      <c r="N138" s="62">
        <v>1.0</v>
      </c>
      <c r="O138" s="62">
        <v>1.0</v>
      </c>
      <c r="P138" s="62">
        <v>1.0</v>
      </c>
      <c r="Q138" s="62">
        <v>0.0</v>
      </c>
      <c r="R138" s="62">
        <v>8289.0</v>
      </c>
      <c r="S138" s="62">
        <v>35448.0</v>
      </c>
      <c r="T138" s="62">
        <v>2.89777777777777</v>
      </c>
      <c r="U138" s="62">
        <v>2.89777777777777</v>
      </c>
      <c r="V138" s="62">
        <v>0.0</v>
      </c>
      <c r="W138" s="62">
        <v>0.25</v>
      </c>
      <c r="X138" s="62">
        <v>0.0</v>
      </c>
      <c r="Y138" s="62">
        <v>0.25</v>
      </c>
      <c r="Z138" s="62">
        <v>0.0</v>
      </c>
      <c r="AA138" s="62">
        <v>0.0</v>
      </c>
      <c r="AB138" s="62">
        <v>0.25</v>
      </c>
      <c r="AC138" s="62">
        <v>0.25</v>
      </c>
      <c r="AD138" s="62">
        <v>0.25</v>
      </c>
      <c r="AE138" s="62">
        <v>0.25</v>
      </c>
      <c r="AF138" s="62">
        <v>10.0</v>
      </c>
    </row>
    <row r="139">
      <c r="A139" s="68">
        <v>46111.0</v>
      </c>
      <c r="B139" s="62" t="s">
        <v>65</v>
      </c>
      <c r="C139" s="62" t="s">
        <v>173</v>
      </c>
      <c r="D139" s="62">
        <v>4.0</v>
      </c>
      <c r="E139" s="62">
        <v>2.0</v>
      </c>
      <c r="F139" s="62">
        <v>0.0</v>
      </c>
      <c r="G139" s="62">
        <v>1.0</v>
      </c>
      <c r="H139" s="62">
        <v>1.0</v>
      </c>
      <c r="I139" s="62">
        <v>0.0</v>
      </c>
      <c r="J139" s="62">
        <v>3.0</v>
      </c>
      <c r="K139" s="62">
        <v>5.0</v>
      </c>
      <c r="L139" s="62">
        <v>3.0</v>
      </c>
      <c r="M139" s="62">
        <v>9.0</v>
      </c>
      <c r="N139" s="62">
        <v>10.0</v>
      </c>
      <c r="O139" s="62">
        <v>5.0</v>
      </c>
      <c r="P139" s="62">
        <v>10.0</v>
      </c>
      <c r="Q139" s="62">
        <v>0.0</v>
      </c>
      <c r="R139" s="62">
        <v>8814.0</v>
      </c>
      <c r="S139" s="62">
        <v>4335.0</v>
      </c>
      <c r="T139" s="62">
        <v>0.0</v>
      </c>
      <c r="U139" s="62">
        <v>0.0</v>
      </c>
      <c r="V139" s="62">
        <v>0.233888888888888</v>
      </c>
      <c r="W139" s="62">
        <v>0.233888888888888</v>
      </c>
      <c r="X139" s="62">
        <v>0.0</v>
      </c>
      <c r="Y139" s="62">
        <v>0.736944444444444</v>
      </c>
      <c r="Z139" s="62">
        <v>1.26805555555555</v>
      </c>
      <c r="AA139" s="62">
        <v>0.779444444444444</v>
      </c>
      <c r="AB139" s="62">
        <v>2.23083333333333</v>
      </c>
      <c r="AC139" s="62">
        <v>2.47138888888888</v>
      </c>
      <c r="AD139" s="62">
        <v>1.24472222222222</v>
      </c>
      <c r="AE139" s="62">
        <v>2.47138888888888</v>
      </c>
      <c r="AF139" s="62">
        <v>0.0</v>
      </c>
    </row>
    <row r="140">
      <c r="A140" s="68">
        <v>46111.0</v>
      </c>
      <c r="B140" s="62" t="s">
        <v>37</v>
      </c>
      <c r="C140" s="62" t="s">
        <v>174</v>
      </c>
      <c r="D140" s="62">
        <v>15.0</v>
      </c>
      <c r="E140" s="62">
        <v>21.0</v>
      </c>
      <c r="F140" s="62">
        <v>16.0</v>
      </c>
      <c r="G140" s="62">
        <v>14.0</v>
      </c>
      <c r="H140" s="62">
        <v>15.0</v>
      </c>
      <c r="I140" s="62">
        <v>1.0</v>
      </c>
      <c r="J140" s="62">
        <v>15.0</v>
      </c>
      <c r="K140" s="62">
        <v>8.0</v>
      </c>
      <c r="L140" s="62">
        <v>3.0</v>
      </c>
      <c r="M140" s="62">
        <v>9.0</v>
      </c>
      <c r="N140" s="62">
        <v>10.0</v>
      </c>
      <c r="O140" s="62">
        <v>6.0</v>
      </c>
      <c r="P140" s="62">
        <v>10.0</v>
      </c>
      <c r="Q140" s="62">
        <v>0.0</v>
      </c>
      <c r="R140" s="62">
        <v>32906.0</v>
      </c>
      <c r="S140" s="62">
        <v>48614.0</v>
      </c>
      <c r="T140" s="62">
        <v>6.92083333333333</v>
      </c>
      <c r="U140" s="62">
        <v>4.56722222222222</v>
      </c>
      <c r="V140" s="62">
        <v>4.00638888888888</v>
      </c>
      <c r="W140" s="62">
        <v>4.30138888888888</v>
      </c>
      <c r="X140" s="62">
        <v>0.295</v>
      </c>
      <c r="Y140" s="62">
        <v>4.30138888888888</v>
      </c>
      <c r="Z140" s="62">
        <v>2.215</v>
      </c>
      <c r="AA140" s="62">
        <v>0.861388888888888</v>
      </c>
      <c r="AB140" s="62">
        <v>2.52388888888888</v>
      </c>
      <c r="AC140" s="62">
        <v>2.81833333333333</v>
      </c>
      <c r="AD140" s="62">
        <v>1.69944444444444</v>
      </c>
      <c r="AE140" s="62">
        <v>2.81833333333333</v>
      </c>
      <c r="AF140" s="62">
        <v>24.0</v>
      </c>
    </row>
    <row r="141">
      <c r="A141" s="68">
        <v>46111.0</v>
      </c>
      <c r="B141" s="62" t="s">
        <v>56</v>
      </c>
      <c r="C141" s="62" t="s">
        <v>176</v>
      </c>
      <c r="D141" s="62">
        <v>5.0</v>
      </c>
      <c r="E141" s="62">
        <v>0.0</v>
      </c>
      <c r="F141" s="62">
        <v>0.0</v>
      </c>
      <c r="G141" s="62">
        <v>0.0</v>
      </c>
      <c r="H141" s="62">
        <v>0.0</v>
      </c>
      <c r="I141" s="62">
        <v>0.0</v>
      </c>
      <c r="J141" s="62">
        <v>0.0</v>
      </c>
      <c r="K141" s="62">
        <v>0.0</v>
      </c>
      <c r="L141" s="62">
        <v>0.0</v>
      </c>
      <c r="M141" s="62">
        <v>0.0</v>
      </c>
      <c r="N141" s="62">
        <v>0.0</v>
      </c>
      <c r="O141" s="62">
        <v>0.0</v>
      </c>
      <c r="P141" s="62">
        <v>0.0</v>
      </c>
      <c r="Q141" s="62">
        <v>0.0</v>
      </c>
      <c r="R141" s="62">
        <v>10462.0</v>
      </c>
      <c r="S141" s="62">
        <v>0.0</v>
      </c>
      <c r="T141" s="62">
        <v>0.0</v>
      </c>
      <c r="U141" s="62">
        <v>0.0</v>
      </c>
      <c r="V141" s="62">
        <v>0.0</v>
      </c>
      <c r="W141" s="62">
        <v>0.0</v>
      </c>
      <c r="X141" s="62">
        <v>0.0</v>
      </c>
      <c r="Y141" s="62">
        <v>0.0</v>
      </c>
      <c r="Z141" s="62">
        <v>0.0</v>
      </c>
      <c r="AA141" s="62">
        <v>0.0</v>
      </c>
      <c r="AB141" s="62">
        <v>0.0</v>
      </c>
      <c r="AC141" s="62">
        <v>0.0</v>
      </c>
      <c r="AD141" s="62">
        <v>0.0</v>
      </c>
      <c r="AE141" s="62">
        <v>0.0</v>
      </c>
      <c r="AF141" s="62">
        <v>0.0</v>
      </c>
    </row>
    <row r="142">
      <c r="A142" s="68">
        <v>46111.0</v>
      </c>
      <c r="B142" s="62" t="s">
        <v>91</v>
      </c>
      <c r="C142" s="62" t="s">
        <v>184</v>
      </c>
      <c r="D142" s="62">
        <v>20.0</v>
      </c>
      <c r="E142" s="62">
        <v>15.0</v>
      </c>
      <c r="F142" s="62">
        <v>16.0</v>
      </c>
      <c r="G142" s="62">
        <v>12.0</v>
      </c>
      <c r="H142" s="62">
        <v>14.0</v>
      </c>
      <c r="I142" s="62">
        <v>2.0</v>
      </c>
      <c r="J142" s="62">
        <v>12.0</v>
      </c>
      <c r="K142" s="62">
        <v>7.0</v>
      </c>
      <c r="L142" s="62">
        <v>7.0</v>
      </c>
      <c r="M142" s="62">
        <v>7.0</v>
      </c>
      <c r="N142" s="62">
        <v>8.0</v>
      </c>
      <c r="O142" s="62">
        <v>3.0</v>
      </c>
      <c r="P142" s="62">
        <v>8.0</v>
      </c>
      <c r="Q142" s="62">
        <v>0.0</v>
      </c>
      <c r="R142" s="62">
        <v>41492.0</v>
      </c>
      <c r="S142" s="62">
        <v>30309.0</v>
      </c>
      <c r="T142" s="62">
        <v>2.69972222222222</v>
      </c>
      <c r="U142" s="62">
        <v>2.47111111111111</v>
      </c>
      <c r="V142" s="62">
        <v>1.88138888888888</v>
      </c>
      <c r="W142" s="62">
        <v>2.23527777777777</v>
      </c>
      <c r="X142" s="62">
        <v>0.353888888888888</v>
      </c>
      <c r="Y142" s="62">
        <v>1.92611111111111</v>
      </c>
      <c r="Z142" s="62">
        <v>1.16388888888888</v>
      </c>
      <c r="AA142" s="62">
        <v>1.16388888888888</v>
      </c>
      <c r="AB142" s="62">
        <v>1.16388888888888</v>
      </c>
      <c r="AC142" s="62">
        <v>1.38916666666666</v>
      </c>
      <c r="AD142" s="62">
        <v>0.569166666666666</v>
      </c>
      <c r="AE142" s="62">
        <v>1.38916666666666</v>
      </c>
      <c r="AF142" s="62">
        <v>15.0</v>
      </c>
    </row>
    <row r="143">
      <c r="A143" s="68">
        <v>46111.0</v>
      </c>
      <c r="B143" s="62" t="s">
        <v>84</v>
      </c>
      <c r="C143" s="62" t="s">
        <v>186</v>
      </c>
      <c r="D143" s="62">
        <v>8.0</v>
      </c>
      <c r="E143" s="62">
        <v>5.0</v>
      </c>
      <c r="F143" s="62">
        <v>7.0</v>
      </c>
      <c r="G143" s="62">
        <v>6.0</v>
      </c>
      <c r="H143" s="62">
        <v>6.0</v>
      </c>
      <c r="I143" s="62">
        <v>0.0</v>
      </c>
      <c r="J143" s="62">
        <v>6.0</v>
      </c>
      <c r="K143" s="62">
        <v>0.0</v>
      </c>
      <c r="L143" s="62">
        <v>0.0</v>
      </c>
      <c r="M143" s="62">
        <v>10.0</v>
      </c>
      <c r="N143" s="62">
        <v>10.0</v>
      </c>
      <c r="O143" s="62">
        <v>5.0</v>
      </c>
      <c r="P143" s="62">
        <v>10.0</v>
      </c>
      <c r="Q143" s="62">
        <v>0.0</v>
      </c>
      <c r="R143" s="62">
        <v>18803.0</v>
      </c>
      <c r="S143" s="62">
        <v>11309.0</v>
      </c>
      <c r="T143" s="62">
        <v>1.87722222222222</v>
      </c>
      <c r="U143" s="62">
        <v>1.87722222222222</v>
      </c>
      <c r="V143" s="62">
        <v>1.62944444444444</v>
      </c>
      <c r="W143" s="62">
        <v>1.62944444444444</v>
      </c>
      <c r="X143" s="62">
        <v>0.0</v>
      </c>
      <c r="Y143" s="62">
        <v>1.62944444444444</v>
      </c>
      <c r="Z143" s="62">
        <v>0.0</v>
      </c>
      <c r="AA143" s="62">
        <v>0.0</v>
      </c>
      <c r="AB143" s="62">
        <v>2.62444444444444</v>
      </c>
      <c r="AC143" s="62">
        <v>2.62444444444444</v>
      </c>
      <c r="AD143" s="62">
        <v>1.365</v>
      </c>
      <c r="AE143" s="62">
        <v>2.62444444444444</v>
      </c>
      <c r="AF143" s="62">
        <v>7.0</v>
      </c>
    </row>
    <row r="144">
      <c r="A144" s="68">
        <v>46111.0</v>
      </c>
      <c r="B144" s="62" t="s">
        <v>26</v>
      </c>
      <c r="C144" s="62" t="s">
        <v>178</v>
      </c>
      <c r="D144" s="62">
        <v>30.0</v>
      </c>
      <c r="E144" s="62">
        <v>34.0</v>
      </c>
      <c r="F144" s="62">
        <v>8.0</v>
      </c>
      <c r="G144" s="62">
        <v>9.0</v>
      </c>
      <c r="H144" s="62">
        <v>31.0</v>
      </c>
      <c r="I144" s="62">
        <v>22.0</v>
      </c>
      <c r="J144" s="62">
        <v>31.0</v>
      </c>
      <c r="K144" s="62">
        <v>3.0</v>
      </c>
      <c r="L144" s="62">
        <v>3.0</v>
      </c>
      <c r="M144" s="62">
        <v>28.0</v>
      </c>
      <c r="N144" s="62">
        <v>28.0</v>
      </c>
      <c r="O144" s="62">
        <v>7.0</v>
      </c>
      <c r="P144" s="62">
        <v>28.0</v>
      </c>
      <c r="Q144" s="62">
        <v>0.0</v>
      </c>
      <c r="R144" s="62">
        <v>67365.0</v>
      </c>
      <c r="S144" s="62">
        <v>76860.0</v>
      </c>
      <c r="T144" s="62">
        <v>5.92722222222222</v>
      </c>
      <c r="U144" s="62">
        <v>1.56166666666666</v>
      </c>
      <c r="V144" s="62">
        <v>1.79166666666666</v>
      </c>
      <c r="W144" s="62">
        <v>6.20722222222222</v>
      </c>
      <c r="X144" s="62">
        <v>4.41555555555555</v>
      </c>
      <c r="Y144" s="62">
        <v>6.27305555555555</v>
      </c>
      <c r="Z144" s="62">
        <v>0.608333333333333</v>
      </c>
      <c r="AA144" s="62">
        <v>0.608333333333333</v>
      </c>
      <c r="AB144" s="62">
        <v>5.66694444444444</v>
      </c>
      <c r="AC144" s="62">
        <v>5.66694444444444</v>
      </c>
      <c r="AD144" s="62">
        <v>1.39361111111111</v>
      </c>
      <c r="AE144" s="62">
        <v>5.66694444444444</v>
      </c>
      <c r="AF144" s="62">
        <v>30.0</v>
      </c>
    </row>
    <row r="145">
      <c r="A145" s="68">
        <v>46111.0</v>
      </c>
      <c r="B145" s="62" t="s">
        <v>62</v>
      </c>
      <c r="C145" s="62" t="s">
        <v>63</v>
      </c>
      <c r="D145" s="62">
        <v>14.0</v>
      </c>
      <c r="E145" s="62">
        <v>22.0</v>
      </c>
      <c r="F145" s="62">
        <v>0.0</v>
      </c>
      <c r="G145" s="62">
        <v>0.0</v>
      </c>
      <c r="H145" s="62">
        <v>13.0</v>
      </c>
      <c r="I145" s="62">
        <v>13.0</v>
      </c>
      <c r="J145" s="62">
        <v>14.0</v>
      </c>
      <c r="K145" s="62">
        <v>4.0</v>
      </c>
      <c r="L145" s="62">
        <v>0.0</v>
      </c>
      <c r="M145" s="62">
        <v>13.0</v>
      </c>
      <c r="N145" s="62">
        <v>13.0</v>
      </c>
      <c r="O145" s="62">
        <v>6.0</v>
      </c>
      <c r="P145" s="62">
        <v>13.0</v>
      </c>
      <c r="Q145" s="62">
        <v>0.0</v>
      </c>
      <c r="R145" s="62">
        <v>35431.0</v>
      </c>
      <c r="S145" s="62">
        <v>50038.0</v>
      </c>
      <c r="T145" s="62">
        <v>3.32388888888888</v>
      </c>
      <c r="U145" s="62">
        <v>0.0</v>
      </c>
      <c r="V145" s="62">
        <v>0.0</v>
      </c>
      <c r="W145" s="62">
        <v>2.91472222222222</v>
      </c>
      <c r="X145" s="62">
        <v>2.91472222222222</v>
      </c>
      <c r="Y145" s="62">
        <v>3.14333333333333</v>
      </c>
      <c r="Z145" s="62">
        <v>0.867777777777777</v>
      </c>
      <c r="AA145" s="62">
        <v>0.0</v>
      </c>
      <c r="AB145" s="62">
        <v>2.8975</v>
      </c>
      <c r="AC145" s="62">
        <v>2.8975</v>
      </c>
      <c r="AD145" s="62">
        <v>1.46333333333333</v>
      </c>
      <c r="AE145" s="62">
        <v>2.8975</v>
      </c>
      <c r="AF145" s="62">
        <v>15.0</v>
      </c>
    </row>
    <row r="146">
      <c r="A146" s="68">
        <v>46111.0</v>
      </c>
      <c r="B146" s="62" t="s">
        <v>89</v>
      </c>
      <c r="C146" s="62" t="s">
        <v>180</v>
      </c>
      <c r="D146" s="62">
        <v>1.0</v>
      </c>
      <c r="E146" s="62">
        <v>1.0</v>
      </c>
      <c r="F146" s="62">
        <v>0.0</v>
      </c>
      <c r="G146" s="62">
        <v>0.0</v>
      </c>
      <c r="H146" s="62">
        <v>0.0</v>
      </c>
      <c r="I146" s="62">
        <v>0.0</v>
      </c>
      <c r="J146" s="62">
        <v>0.0</v>
      </c>
      <c r="K146" s="62">
        <v>0.0</v>
      </c>
      <c r="L146" s="62">
        <v>0.0</v>
      </c>
      <c r="M146" s="62">
        <v>0.0</v>
      </c>
      <c r="N146" s="62">
        <v>0.0</v>
      </c>
      <c r="O146" s="62">
        <v>0.0</v>
      </c>
      <c r="P146" s="62">
        <v>0.0</v>
      </c>
      <c r="Q146" s="62">
        <v>0.0</v>
      </c>
      <c r="R146" s="62">
        <v>3317.0</v>
      </c>
      <c r="S146" s="62">
        <v>3317.0</v>
      </c>
      <c r="T146" s="62">
        <v>0.0</v>
      </c>
      <c r="U146" s="62">
        <v>0.0</v>
      </c>
      <c r="V146" s="62">
        <v>0.0</v>
      </c>
      <c r="W146" s="62">
        <v>0.0</v>
      </c>
      <c r="X146" s="62">
        <v>0.0</v>
      </c>
      <c r="Y146" s="62">
        <v>0.0</v>
      </c>
      <c r="Z146" s="62">
        <v>0.0</v>
      </c>
      <c r="AA146" s="62">
        <v>0.0</v>
      </c>
      <c r="AB146" s="62">
        <v>0.0</v>
      </c>
      <c r="AC146" s="62">
        <v>0.0</v>
      </c>
      <c r="AD146" s="62">
        <v>0.0</v>
      </c>
      <c r="AE146" s="62">
        <v>0.0</v>
      </c>
      <c r="AF146" s="62">
        <v>0.0</v>
      </c>
    </row>
    <row r="147">
      <c r="A147" s="68">
        <v>46104.0</v>
      </c>
      <c r="B147" s="62" t="s">
        <v>79</v>
      </c>
      <c r="C147" s="62" t="s">
        <v>162</v>
      </c>
      <c r="D147" s="62">
        <v>0.0</v>
      </c>
      <c r="E147" s="62">
        <v>0.0</v>
      </c>
      <c r="F147" s="62">
        <v>3.0</v>
      </c>
      <c r="G147" s="62">
        <v>3.0</v>
      </c>
      <c r="H147" s="62">
        <v>4.0</v>
      </c>
      <c r="I147" s="62">
        <v>1.0</v>
      </c>
      <c r="J147" s="62">
        <v>4.0</v>
      </c>
      <c r="K147" s="62">
        <v>8.0</v>
      </c>
      <c r="L147" s="62">
        <v>8.0</v>
      </c>
      <c r="M147" s="62">
        <v>8.0</v>
      </c>
      <c r="N147" s="62">
        <v>8.0</v>
      </c>
      <c r="O147" s="62">
        <v>4.0</v>
      </c>
      <c r="P147" s="62">
        <v>8.0</v>
      </c>
      <c r="Q147" s="62">
        <v>0.0</v>
      </c>
      <c r="R147" s="62">
        <v>0.0</v>
      </c>
      <c r="S147" s="62">
        <v>0.0</v>
      </c>
      <c r="T147" s="62">
        <v>0.376944444444444</v>
      </c>
      <c r="U147" s="62">
        <v>0.552777777777777</v>
      </c>
      <c r="V147" s="62">
        <v>0.548055555555555</v>
      </c>
      <c r="W147" s="62">
        <v>0.743055555555555</v>
      </c>
      <c r="X147" s="62">
        <v>0.195</v>
      </c>
      <c r="Y147" s="62">
        <v>0.742222222222222</v>
      </c>
      <c r="Z147" s="62">
        <v>1.45555555555555</v>
      </c>
      <c r="AA147" s="62">
        <v>1.45555555555555</v>
      </c>
      <c r="AB147" s="62">
        <v>1.45555555555555</v>
      </c>
      <c r="AC147" s="62">
        <v>1.45555555555555</v>
      </c>
      <c r="AD147" s="62">
        <v>0.801666666666666</v>
      </c>
      <c r="AE147" s="62">
        <v>1.45555555555555</v>
      </c>
      <c r="AF147" s="62">
        <v>2.0</v>
      </c>
    </row>
    <row r="148">
      <c r="A148" s="68">
        <v>46104.0</v>
      </c>
      <c r="B148" s="62" t="s">
        <v>98</v>
      </c>
      <c r="C148" s="62" t="s">
        <v>183</v>
      </c>
      <c r="D148" s="62">
        <v>9.0</v>
      </c>
      <c r="E148" s="62">
        <v>9.0</v>
      </c>
      <c r="F148" s="62">
        <v>0.0</v>
      </c>
      <c r="G148" s="62">
        <v>0.0</v>
      </c>
      <c r="H148" s="62">
        <v>0.0</v>
      </c>
      <c r="I148" s="62">
        <v>0.0</v>
      </c>
      <c r="J148" s="62">
        <v>0.0</v>
      </c>
      <c r="K148" s="62">
        <v>0.0</v>
      </c>
      <c r="L148" s="62">
        <v>0.0</v>
      </c>
      <c r="M148" s="62">
        <v>0.0</v>
      </c>
      <c r="N148" s="62">
        <v>0.0</v>
      </c>
      <c r="O148" s="62">
        <v>0.0</v>
      </c>
      <c r="P148" s="62">
        <v>0.0</v>
      </c>
      <c r="Q148" s="62">
        <v>0.0</v>
      </c>
      <c r="R148" s="62">
        <v>19275.0</v>
      </c>
      <c r="S148" s="62">
        <v>19275.0</v>
      </c>
      <c r="T148" s="62">
        <v>0.257222222222222</v>
      </c>
      <c r="U148" s="62">
        <v>0.0</v>
      </c>
      <c r="V148" s="62">
        <v>0.0</v>
      </c>
      <c r="W148" s="62">
        <v>0.0</v>
      </c>
      <c r="X148" s="62">
        <v>0.0</v>
      </c>
      <c r="Y148" s="62">
        <v>0.0</v>
      </c>
      <c r="Z148" s="62">
        <v>0.0</v>
      </c>
      <c r="AA148" s="62">
        <v>0.0</v>
      </c>
      <c r="AB148" s="62">
        <v>0.0</v>
      </c>
      <c r="AC148" s="62">
        <v>0.0</v>
      </c>
      <c r="AD148" s="62">
        <v>0.0</v>
      </c>
      <c r="AE148" s="62">
        <v>0.0</v>
      </c>
      <c r="AF148" s="62">
        <v>1.0</v>
      </c>
    </row>
    <row r="149">
      <c r="A149" s="68">
        <v>46104.0</v>
      </c>
      <c r="B149" s="62" t="s">
        <v>71</v>
      </c>
      <c r="C149" s="62" t="s">
        <v>163</v>
      </c>
      <c r="D149" s="62">
        <v>11.0</v>
      </c>
      <c r="E149" s="62">
        <v>14.0</v>
      </c>
      <c r="F149" s="62">
        <v>15.0</v>
      </c>
      <c r="G149" s="62">
        <v>10.0</v>
      </c>
      <c r="H149" s="62">
        <v>13.0</v>
      </c>
      <c r="I149" s="62">
        <v>2.0</v>
      </c>
      <c r="J149" s="62">
        <v>12.0</v>
      </c>
      <c r="K149" s="62">
        <v>10.0</v>
      </c>
      <c r="L149" s="62">
        <v>1.0</v>
      </c>
      <c r="M149" s="62">
        <v>13.0</v>
      </c>
      <c r="N149" s="62">
        <v>14.0</v>
      </c>
      <c r="O149" s="62">
        <v>7.0</v>
      </c>
      <c r="P149" s="62">
        <v>14.0</v>
      </c>
      <c r="Q149" s="62">
        <v>0.0</v>
      </c>
      <c r="R149" s="62">
        <v>29462.0</v>
      </c>
      <c r="S149" s="62">
        <v>37711.0</v>
      </c>
      <c r="T149" s="62">
        <v>4.2825</v>
      </c>
      <c r="U149" s="62">
        <v>3.79944444444444</v>
      </c>
      <c r="V149" s="62">
        <v>2.53805555555555</v>
      </c>
      <c r="W149" s="62">
        <v>3.26805555555555</v>
      </c>
      <c r="X149" s="62">
        <v>0.483055555555555</v>
      </c>
      <c r="Y149" s="62">
        <v>3.02861111111111</v>
      </c>
      <c r="Z149" s="62">
        <v>2.54472222222222</v>
      </c>
      <c r="AA149" s="62">
        <v>0.2675</v>
      </c>
      <c r="AB149" s="62">
        <v>3.26666666666666</v>
      </c>
      <c r="AC149" s="62">
        <v>3.51361111111111</v>
      </c>
      <c r="AD149" s="62">
        <v>1.92861111111111</v>
      </c>
      <c r="AE149" s="62">
        <v>3.51361111111111</v>
      </c>
      <c r="AF149" s="62">
        <v>17.0</v>
      </c>
    </row>
    <row r="150">
      <c r="A150" s="68">
        <v>46104.0</v>
      </c>
      <c r="B150" s="62" t="s">
        <v>76</v>
      </c>
      <c r="C150" s="62" t="s">
        <v>165</v>
      </c>
      <c r="D150" s="62">
        <v>20.0</v>
      </c>
      <c r="E150" s="62">
        <v>13.0</v>
      </c>
      <c r="F150" s="62">
        <v>19.0</v>
      </c>
      <c r="G150" s="62">
        <v>18.0</v>
      </c>
      <c r="H150" s="62">
        <v>21.0</v>
      </c>
      <c r="I150" s="62">
        <v>3.0</v>
      </c>
      <c r="J150" s="62">
        <v>15.0</v>
      </c>
      <c r="K150" s="62">
        <v>13.0</v>
      </c>
      <c r="L150" s="62">
        <v>10.0</v>
      </c>
      <c r="M150" s="62">
        <v>20.0</v>
      </c>
      <c r="N150" s="62">
        <v>23.0</v>
      </c>
      <c r="O150" s="62">
        <v>6.0</v>
      </c>
      <c r="P150" s="62">
        <v>23.0</v>
      </c>
      <c r="Q150" s="62">
        <v>0.0</v>
      </c>
      <c r="R150" s="62">
        <v>55299.0</v>
      </c>
      <c r="S150" s="62">
        <v>34641.0</v>
      </c>
      <c r="T150" s="62">
        <v>5.91638888888888</v>
      </c>
      <c r="U150" s="62">
        <v>5.29694444444444</v>
      </c>
      <c r="V150" s="62">
        <v>5.05805555555555</v>
      </c>
      <c r="W150" s="62">
        <v>5.95472222222222</v>
      </c>
      <c r="X150" s="62">
        <v>0.896666666666666</v>
      </c>
      <c r="Y150" s="62">
        <v>4.30888888888888</v>
      </c>
      <c r="Z150" s="62">
        <v>3.59749999999999</v>
      </c>
      <c r="AA150" s="62">
        <v>2.82166666666666</v>
      </c>
      <c r="AB150" s="62">
        <v>5.54305555555555</v>
      </c>
      <c r="AC150" s="62">
        <v>6.34916666666666</v>
      </c>
      <c r="AD150" s="62">
        <v>1.43222222222222</v>
      </c>
      <c r="AE150" s="62">
        <v>6.34916666666666</v>
      </c>
      <c r="AF150" s="62">
        <v>21.0</v>
      </c>
    </row>
    <row r="151">
      <c r="A151" s="68">
        <v>46104.0</v>
      </c>
      <c r="B151" s="62" t="s">
        <v>104</v>
      </c>
      <c r="C151" s="62" t="s">
        <v>166</v>
      </c>
      <c r="D151" s="62">
        <v>16.0</v>
      </c>
      <c r="E151" s="62">
        <v>20.0</v>
      </c>
      <c r="F151" s="62">
        <v>6.0</v>
      </c>
      <c r="G151" s="62">
        <v>4.0</v>
      </c>
      <c r="H151" s="62">
        <v>21.0</v>
      </c>
      <c r="I151" s="62">
        <v>11.0</v>
      </c>
      <c r="J151" s="62">
        <v>12.0</v>
      </c>
      <c r="K151" s="62">
        <v>5.0</v>
      </c>
      <c r="L151" s="62">
        <v>3.0</v>
      </c>
      <c r="M151" s="62">
        <v>10.0</v>
      </c>
      <c r="N151" s="62">
        <v>10.0</v>
      </c>
      <c r="O151" s="62">
        <v>5.0</v>
      </c>
      <c r="P151" s="62">
        <v>10.0</v>
      </c>
      <c r="Q151" s="62">
        <v>0.0</v>
      </c>
      <c r="R151" s="62">
        <v>34964.0</v>
      </c>
      <c r="S151" s="62">
        <v>46431.0</v>
      </c>
      <c r="T151" s="62">
        <v>4.06305555555555</v>
      </c>
      <c r="U151" s="62">
        <v>1.30888888888888</v>
      </c>
      <c r="V151" s="62">
        <v>0.854166666666666</v>
      </c>
      <c r="W151" s="62">
        <v>4.33666666666666</v>
      </c>
      <c r="X151" s="62">
        <v>2.25249999999999</v>
      </c>
      <c r="Y151" s="62">
        <v>2.5225</v>
      </c>
      <c r="Z151" s="62">
        <v>0.997499999999999</v>
      </c>
      <c r="AA151" s="62">
        <v>0.589166666666666</v>
      </c>
      <c r="AB151" s="62">
        <v>2.08361111111111</v>
      </c>
      <c r="AC151" s="62">
        <v>2.08361111111111</v>
      </c>
      <c r="AD151" s="62">
        <v>1.05555555555555</v>
      </c>
      <c r="AE151" s="62">
        <v>2.08361111111111</v>
      </c>
      <c r="AF151" s="62">
        <v>20.0</v>
      </c>
    </row>
    <row r="152">
      <c r="A152" s="68">
        <v>46104.0</v>
      </c>
      <c r="B152" s="62" t="s">
        <v>32</v>
      </c>
      <c r="C152" s="62" t="s">
        <v>168</v>
      </c>
      <c r="D152" s="62">
        <v>34.0</v>
      </c>
      <c r="E152" s="62">
        <v>24.0</v>
      </c>
      <c r="F152" s="62">
        <v>7.0</v>
      </c>
      <c r="G152" s="62">
        <v>0.0</v>
      </c>
      <c r="H152" s="62">
        <v>20.0</v>
      </c>
      <c r="I152" s="62">
        <v>13.0</v>
      </c>
      <c r="J152" s="62">
        <v>20.0</v>
      </c>
      <c r="K152" s="62">
        <v>2.0</v>
      </c>
      <c r="L152" s="62">
        <v>0.0</v>
      </c>
      <c r="M152" s="62">
        <v>20.0</v>
      </c>
      <c r="N152" s="62">
        <v>20.0</v>
      </c>
      <c r="O152" s="62">
        <v>5.0</v>
      </c>
      <c r="P152" s="62">
        <v>20.0</v>
      </c>
      <c r="Q152" s="62">
        <v>0.0</v>
      </c>
      <c r="R152" s="62">
        <v>79712.0</v>
      </c>
      <c r="S152" s="62">
        <v>58047.0</v>
      </c>
      <c r="T152" s="62">
        <v>4.72194444444444</v>
      </c>
      <c r="U152" s="62">
        <v>1.645</v>
      </c>
      <c r="V152" s="62">
        <v>0.0</v>
      </c>
      <c r="W152" s="62">
        <v>4.70805555555555</v>
      </c>
      <c r="X152" s="62">
        <v>3.06527777777777</v>
      </c>
      <c r="Y152" s="62">
        <v>4.70611111111111</v>
      </c>
      <c r="Z152" s="62">
        <v>0.501388888888888</v>
      </c>
      <c r="AA152" s="62">
        <v>0.0</v>
      </c>
      <c r="AB152" s="62">
        <v>4.69472222222222</v>
      </c>
      <c r="AC152" s="62">
        <v>4.69472222222222</v>
      </c>
      <c r="AD152" s="62">
        <v>1.03666666666666</v>
      </c>
      <c r="AE152" s="62">
        <v>4.69472222222222</v>
      </c>
      <c r="AF152" s="62">
        <v>20.0</v>
      </c>
    </row>
    <row r="153">
      <c r="A153" s="68">
        <v>46104.0</v>
      </c>
      <c r="B153" s="62" t="s">
        <v>93</v>
      </c>
      <c r="C153" s="62" t="s">
        <v>182</v>
      </c>
      <c r="D153" s="62">
        <v>8.0</v>
      </c>
      <c r="E153" s="62">
        <v>0.0</v>
      </c>
      <c r="F153" s="62">
        <v>1.0</v>
      </c>
      <c r="G153" s="62">
        <v>0.0</v>
      </c>
      <c r="H153" s="62">
        <v>0.0</v>
      </c>
      <c r="I153" s="62">
        <v>0.0</v>
      </c>
      <c r="J153" s="62">
        <v>0.0</v>
      </c>
      <c r="K153" s="62">
        <v>0.0</v>
      </c>
      <c r="L153" s="62">
        <v>0.0</v>
      </c>
      <c r="M153" s="62">
        <v>0.0</v>
      </c>
      <c r="N153" s="62">
        <v>0.0</v>
      </c>
      <c r="O153" s="62">
        <v>0.0</v>
      </c>
      <c r="P153" s="62">
        <v>0.0</v>
      </c>
      <c r="Q153" s="62">
        <v>0.0</v>
      </c>
      <c r="R153" s="62">
        <v>16701.0</v>
      </c>
      <c r="S153" s="62">
        <v>0.0</v>
      </c>
      <c r="T153" s="62">
        <v>0.271388888888888</v>
      </c>
      <c r="U153" s="62">
        <v>0.271388888888888</v>
      </c>
      <c r="V153" s="62">
        <v>0.0</v>
      </c>
      <c r="W153" s="62">
        <v>0.0</v>
      </c>
      <c r="X153" s="62">
        <v>0.0</v>
      </c>
      <c r="Y153" s="62">
        <v>0.0</v>
      </c>
      <c r="Z153" s="62">
        <v>0.0</v>
      </c>
      <c r="AA153" s="62">
        <v>0.0</v>
      </c>
      <c r="AB153" s="62">
        <v>0.0</v>
      </c>
      <c r="AC153" s="62">
        <v>0.0</v>
      </c>
      <c r="AD153" s="62">
        <v>0.0</v>
      </c>
      <c r="AE153" s="62">
        <v>0.0</v>
      </c>
      <c r="AF153" s="62">
        <v>1.0</v>
      </c>
    </row>
    <row r="154">
      <c r="A154" s="68">
        <v>46104.0</v>
      </c>
      <c r="B154" s="62" t="s">
        <v>65</v>
      </c>
      <c r="C154" s="62" t="s">
        <v>173</v>
      </c>
      <c r="D154" s="62">
        <v>0.0</v>
      </c>
      <c r="E154" s="62">
        <v>0.0</v>
      </c>
      <c r="F154" s="62">
        <v>7.0</v>
      </c>
      <c r="G154" s="62">
        <v>7.0</v>
      </c>
      <c r="H154" s="62">
        <v>17.0</v>
      </c>
      <c r="I154" s="62">
        <v>7.0</v>
      </c>
      <c r="J154" s="62">
        <v>15.0</v>
      </c>
      <c r="K154" s="62">
        <v>17.0</v>
      </c>
      <c r="L154" s="62">
        <v>9.0</v>
      </c>
      <c r="M154" s="62">
        <v>15.0</v>
      </c>
      <c r="N154" s="62">
        <v>14.0</v>
      </c>
      <c r="O154" s="62">
        <v>7.0</v>
      </c>
      <c r="P154" s="62">
        <v>14.0</v>
      </c>
      <c r="Q154" s="62">
        <v>0.0</v>
      </c>
      <c r="R154" s="62">
        <v>0.0</v>
      </c>
      <c r="S154" s="62">
        <v>0.0</v>
      </c>
      <c r="T154" s="62">
        <v>2.71</v>
      </c>
      <c r="U154" s="62">
        <v>1.82861111111111</v>
      </c>
      <c r="V154" s="62">
        <v>1.75916666666666</v>
      </c>
      <c r="W154" s="62">
        <v>4.25611111111111</v>
      </c>
      <c r="X154" s="62">
        <v>1.70055555555555</v>
      </c>
      <c r="Y154" s="62">
        <v>3.76222222222222</v>
      </c>
      <c r="Z154" s="62">
        <v>4.30194444444444</v>
      </c>
      <c r="AA154" s="62">
        <v>2.32583333333333</v>
      </c>
      <c r="AB154" s="62">
        <v>3.80944444444444</v>
      </c>
      <c r="AC154" s="62">
        <v>3.56888888888888</v>
      </c>
      <c r="AD154" s="62">
        <v>2.10861111111111</v>
      </c>
      <c r="AE154" s="62">
        <v>3.56888888888888</v>
      </c>
      <c r="AF154" s="62">
        <v>11.0</v>
      </c>
    </row>
    <row r="155">
      <c r="A155" s="68">
        <v>46104.0</v>
      </c>
      <c r="B155" s="62" t="s">
        <v>37</v>
      </c>
      <c r="C155" s="62" t="s">
        <v>174</v>
      </c>
      <c r="D155" s="62">
        <v>15.0</v>
      </c>
      <c r="E155" s="62">
        <v>18.0</v>
      </c>
      <c r="F155" s="62">
        <v>8.0</v>
      </c>
      <c r="G155" s="62">
        <v>8.0</v>
      </c>
      <c r="H155" s="62">
        <v>9.0</v>
      </c>
      <c r="I155" s="62">
        <v>1.0</v>
      </c>
      <c r="J155" s="62">
        <v>11.0</v>
      </c>
      <c r="K155" s="62">
        <v>9.0</v>
      </c>
      <c r="L155" s="62">
        <v>2.0</v>
      </c>
      <c r="M155" s="62">
        <v>14.0</v>
      </c>
      <c r="N155" s="62">
        <v>13.0</v>
      </c>
      <c r="O155" s="62">
        <v>6.0</v>
      </c>
      <c r="P155" s="62">
        <v>13.0</v>
      </c>
      <c r="Q155" s="62">
        <v>0.0</v>
      </c>
      <c r="R155" s="62">
        <v>37186.0</v>
      </c>
      <c r="S155" s="62">
        <v>44989.0</v>
      </c>
      <c r="T155" s="62">
        <v>3.46472222222222</v>
      </c>
      <c r="U155" s="62">
        <v>2.40222222222222</v>
      </c>
      <c r="V155" s="62">
        <v>2.36666666666666</v>
      </c>
      <c r="W155" s="62">
        <v>2.66111111111111</v>
      </c>
      <c r="X155" s="62">
        <v>0.294444444444444</v>
      </c>
      <c r="Y155" s="62">
        <v>3.18916666666666</v>
      </c>
      <c r="Z155" s="62">
        <v>2.66111111111111</v>
      </c>
      <c r="AA155" s="62">
        <v>0.626111111111111</v>
      </c>
      <c r="AB155" s="62">
        <v>4.03833333333333</v>
      </c>
      <c r="AC155" s="62">
        <v>3.74388888888888</v>
      </c>
      <c r="AD155" s="62">
        <v>1.61333333333333</v>
      </c>
      <c r="AE155" s="62">
        <v>3.74388888888888</v>
      </c>
      <c r="AF155" s="62">
        <v>12.0</v>
      </c>
    </row>
    <row r="156">
      <c r="A156" s="68">
        <v>46104.0</v>
      </c>
      <c r="B156" s="62" t="s">
        <v>91</v>
      </c>
      <c r="C156" s="62" t="s">
        <v>184</v>
      </c>
      <c r="D156" s="62">
        <v>0.0</v>
      </c>
      <c r="E156" s="62">
        <v>7.0</v>
      </c>
      <c r="F156" s="62">
        <v>0.0</v>
      </c>
      <c r="G156" s="62">
        <v>0.0</v>
      </c>
      <c r="H156" s="62">
        <v>1.0</v>
      </c>
      <c r="I156" s="62">
        <v>1.0</v>
      </c>
      <c r="J156" s="62">
        <v>1.0</v>
      </c>
      <c r="K156" s="62">
        <v>1.0</v>
      </c>
      <c r="L156" s="62">
        <v>1.0</v>
      </c>
      <c r="M156" s="62">
        <v>1.0</v>
      </c>
      <c r="N156" s="62">
        <v>0.0</v>
      </c>
      <c r="O156" s="62">
        <v>0.0</v>
      </c>
      <c r="P156" s="62">
        <v>0.0</v>
      </c>
      <c r="Q156" s="62">
        <v>0.0</v>
      </c>
      <c r="R156" s="62">
        <v>0.0</v>
      </c>
      <c r="S156" s="62">
        <v>12307.0</v>
      </c>
      <c r="T156" s="62">
        <v>2.47527777777777</v>
      </c>
      <c r="U156" s="62">
        <v>0.0</v>
      </c>
      <c r="V156" s="62">
        <v>0.0</v>
      </c>
      <c r="W156" s="62">
        <v>0.221944444444444</v>
      </c>
      <c r="X156" s="62">
        <v>0.221944444444444</v>
      </c>
      <c r="Y156" s="62">
        <v>0.223611111111111</v>
      </c>
      <c r="Z156" s="62">
        <v>0.223611111111111</v>
      </c>
      <c r="AA156" s="62">
        <v>0.223611111111111</v>
      </c>
      <c r="AB156" s="62">
        <v>0.225277777777777</v>
      </c>
      <c r="AC156" s="62">
        <v>0.0</v>
      </c>
      <c r="AD156" s="62">
        <v>0.0</v>
      </c>
      <c r="AE156" s="62">
        <v>0.0</v>
      </c>
      <c r="AF156" s="62">
        <v>15.0</v>
      </c>
    </row>
    <row r="157">
      <c r="A157" s="68">
        <v>46104.0</v>
      </c>
      <c r="B157" s="62" t="s">
        <v>84</v>
      </c>
      <c r="C157" s="62" t="s">
        <v>186</v>
      </c>
      <c r="D157" s="62">
        <v>10.0</v>
      </c>
      <c r="E157" s="62">
        <v>9.0</v>
      </c>
      <c r="F157" s="62">
        <v>14.0</v>
      </c>
      <c r="G157" s="62">
        <v>14.0</v>
      </c>
      <c r="H157" s="62">
        <v>14.0</v>
      </c>
      <c r="I157" s="62">
        <v>1.0</v>
      </c>
      <c r="J157" s="62">
        <v>14.0</v>
      </c>
      <c r="K157" s="62">
        <v>2.0</v>
      </c>
      <c r="L157" s="62">
        <v>1.0</v>
      </c>
      <c r="M157" s="62">
        <v>14.0</v>
      </c>
      <c r="N157" s="62">
        <v>14.0</v>
      </c>
      <c r="O157" s="62">
        <v>7.0</v>
      </c>
      <c r="P157" s="62">
        <v>14.0</v>
      </c>
      <c r="Q157" s="62">
        <v>0.0</v>
      </c>
      <c r="R157" s="62">
        <v>23340.0</v>
      </c>
      <c r="S157" s="62">
        <v>21172.0</v>
      </c>
      <c r="T157" s="62">
        <v>2.03111111111111</v>
      </c>
      <c r="U157" s="62">
        <v>3.46666666666666</v>
      </c>
      <c r="V157" s="62">
        <v>3.40444444444444</v>
      </c>
      <c r="W157" s="62">
        <v>3.40444444444444</v>
      </c>
      <c r="X157" s="62">
        <v>0.236111111111111</v>
      </c>
      <c r="Y157" s="62">
        <v>3.39916666666666</v>
      </c>
      <c r="Z157" s="62">
        <v>0.503055555555555</v>
      </c>
      <c r="AA157" s="62">
        <v>0.246111111111111</v>
      </c>
      <c r="AB157" s="62">
        <v>3.52305555555555</v>
      </c>
      <c r="AC157" s="62">
        <v>3.52305555555555</v>
      </c>
      <c r="AD157" s="62">
        <v>2.00361111111111</v>
      </c>
      <c r="AE157" s="62">
        <v>3.52305555555555</v>
      </c>
      <c r="AF157" s="62">
        <v>8.0</v>
      </c>
    </row>
    <row r="158">
      <c r="A158" s="68">
        <v>46104.0</v>
      </c>
      <c r="B158" s="62" t="s">
        <v>26</v>
      </c>
      <c r="C158" s="62" t="s">
        <v>178</v>
      </c>
      <c r="D158" s="62">
        <v>30.0</v>
      </c>
      <c r="E158" s="62">
        <v>30.0</v>
      </c>
      <c r="F158" s="62">
        <v>14.0</v>
      </c>
      <c r="G158" s="62">
        <v>13.0</v>
      </c>
      <c r="H158" s="62">
        <v>31.0</v>
      </c>
      <c r="I158" s="62">
        <v>19.0</v>
      </c>
      <c r="J158" s="62">
        <v>28.0</v>
      </c>
      <c r="K158" s="62">
        <v>2.0</v>
      </c>
      <c r="L158" s="62">
        <v>1.0</v>
      </c>
      <c r="M158" s="62">
        <v>30.0</v>
      </c>
      <c r="N158" s="62">
        <v>30.0</v>
      </c>
      <c r="O158" s="62">
        <v>6.0</v>
      </c>
      <c r="P158" s="62">
        <v>30.0</v>
      </c>
      <c r="Q158" s="62">
        <v>0.0</v>
      </c>
      <c r="R158" s="62">
        <v>64247.0</v>
      </c>
      <c r="S158" s="62">
        <v>68039.0</v>
      </c>
      <c r="T158" s="62">
        <v>6.13861111111111</v>
      </c>
      <c r="U158" s="62">
        <v>2.88888888888888</v>
      </c>
      <c r="V158" s="62">
        <v>2.79416666666666</v>
      </c>
      <c r="W158" s="62">
        <v>6.56472222222222</v>
      </c>
      <c r="X158" s="62">
        <v>3.98527777777777</v>
      </c>
      <c r="Y158" s="62">
        <v>6.07666666666666</v>
      </c>
      <c r="Z158" s="62">
        <v>0.39</v>
      </c>
      <c r="AA158" s="62">
        <v>0.214722222222222</v>
      </c>
      <c r="AB158" s="62">
        <v>6.59027777777777</v>
      </c>
      <c r="AC158" s="62">
        <v>6.59027777777777</v>
      </c>
      <c r="AD158" s="62">
        <v>1.22333333333333</v>
      </c>
      <c r="AE158" s="62">
        <v>6.59027777777777</v>
      </c>
      <c r="AF158" s="62">
        <v>30.0</v>
      </c>
    </row>
    <row r="159">
      <c r="A159" s="68">
        <v>46104.0</v>
      </c>
      <c r="B159" s="62" t="s">
        <v>62</v>
      </c>
      <c r="C159" s="62" t="s">
        <v>63</v>
      </c>
      <c r="D159" s="62">
        <v>14.0</v>
      </c>
      <c r="E159" s="62">
        <v>14.0</v>
      </c>
      <c r="F159" s="62">
        <v>0.0</v>
      </c>
      <c r="G159" s="62">
        <v>0.0</v>
      </c>
      <c r="H159" s="62">
        <v>12.0</v>
      </c>
      <c r="I159" s="62">
        <v>12.0</v>
      </c>
      <c r="J159" s="62">
        <v>13.0</v>
      </c>
      <c r="K159" s="62">
        <v>4.0</v>
      </c>
      <c r="L159" s="62">
        <v>0.0</v>
      </c>
      <c r="M159" s="62">
        <v>12.0</v>
      </c>
      <c r="N159" s="62">
        <v>12.0</v>
      </c>
      <c r="O159" s="62">
        <v>6.0</v>
      </c>
      <c r="P159" s="62">
        <v>12.0</v>
      </c>
      <c r="Q159" s="62">
        <v>0.0</v>
      </c>
      <c r="R159" s="62">
        <v>30796.0</v>
      </c>
      <c r="S159" s="62">
        <v>33967.0</v>
      </c>
      <c r="T159" s="62">
        <v>1.70916666666666</v>
      </c>
      <c r="U159" s="62">
        <v>0.0</v>
      </c>
      <c r="V159" s="62">
        <v>0.0</v>
      </c>
      <c r="W159" s="62">
        <v>2.55777777777777</v>
      </c>
      <c r="X159" s="62">
        <v>2.55777777777777</v>
      </c>
      <c r="Y159" s="62">
        <v>2.83055555555555</v>
      </c>
      <c r="Z159" s="62">
        <v>0.866944444444444</v>
      </c>
      <c r="AA159" s="62">
        <v>0.0</v>
      </c>
      <c r="AB159" s="62">
        <v>2.61444444444444</v>
      </c>
      <c r="AC159" s="62">
        <v>2.61444444444444</v>
      </c>
      <c r="AD159" s="62">
        <v>1.40027777777777</v>
      </c>
      <c r="AE159" s="62">
        <v>2.61444444444444</v>
      </c>
      <c r="AF159" s="62">
        <v>8.0</v>
      </c>
    </row>
    <row r="160">
      <c r="A160" s="68">
        <v>46097.0</v>
      </c>
      <c r="B160" s="62" t="s">
        <v>79</v>
      </c>
      <c r="C160" s="62" t="s">
        <v>162</v>
      </c>
      <c r="D160" s="62">
        <v>0.0</v>
      </c>
      <c r="E160" s="62">
        <v>3.0</v>
      </c>
      <c r="F160" s="62">
        <v>10.0</v>
      </c>
      <c r="G160" s="62">
        <v>11.0</v>
      </c>
      <c r="H160" s="62">
        <v>13.0</v>
      </c>
      <c r="I160" s="62">
        <v>2.0</v>
      </c>
      <c r="J160" s="62">
        <v>13.0</v>
      </c>
      <c r="K160" s="62">
        <v>10.0</v>
      </c>
      <c r="L160" s="62">
        <v>10.0</v>
      </c>
      <c r="M160" s="62">
        <v>14.0</v>
      </c>
      <c r="N160" s="62">
        <v>14.0</v>
      </c>
      <c r="O160" s="62">
        <v>6.0</v>
      </c>
      <c r="P160" s="62">
        <v>14.0</v>
      </c>
      <c r="Q160" s="62">
        <v>0.0</v>
      </c>
      <c r="R160" s="62">
        <v>0.0</v>
      </c>
      <c r="S160" s="62">
        <v>6557.0</v>
      </c>
      <c r="T160" s="62">
        <v>2.69833333333333</v>
      </c>
      <c r="U160" s="62">
        <v>1.90194444444444</v>
      </c>
      <c r="V160" s="62">
        <v>2.06333333333333</v>
      </c>
      <c r="W160" s="62">
        <v>2.48888888888888</v>
      </c>
      <c r="X160" s="62">
        <v>0.425555555555555</v>
      </c>
      <c r="Y160" s="62">
        <v>2.48694444444444</v>
      </c>
      <c r="Z160" s="62">
        <v>1.85</v>
      </c>
      <c r="AA160" s="62">
        <v>1.84999999999999</v>
      </c>
      <c r="AB160" s="62">
        <v>2.67388888888888</v>
      </c>
      <c r="AC160" s="62">
        <v>2.67388888888888</v>
      </c>
      <c r="AD160" s="62">
        <v>1.11972222222222</v>
      </c>
      <c r="AE160" s="62">
        <v>2.67388888888888</v>
      </c>
      <c r="AF160" s="62">
        <v>14.0</v>
      </c>
    </row>
    <row r="161">
      <c r="A161" s="68">
        <v>46097.0</v>
      </c>
      <c r="B161" s="62" t="s">
        <v>71</v>
      </c>
      <c r="C161" s="62" t="s">
        <v>163</v>
      </c>
      <c r="D161" s="62">
        <v>7.0</v>
      </c>
      <c r="E161" s="62">
        <v>13.0</v>
      </c>
      <c r="F161" s="62">
        <v>9.0</v>
      </c>
      <c r="G161" s="62">
        <v>10.0</v>
      </c>
      <c r="H161" s="62">
        <v>15.0</v>
      </c>
      <c r="I161" s="62">
        <v>3.0</v>
      </c>
      <c r="J161" s="62">
        <v>15.0</v>
      </c>
      <c r="K161" s="62">
        <v>4.0</v>
      </c>
      <c r="L161" s="62">
        <v>3.0</v>
      </c>
      <c r="M161" s="62">
        <v>14.0</v>
      </c>
      <c r="N161" s="62">
        <v>14.0</v>
      </c>
      <c r="O161" s="62">
        <v>6.0</v>
      </c>
      <c r="P161" s="62">
        <v>14.0</v>
      </c>
      <c r="Q161" s="62">
        <v>0.0</v>
      </c>
      <c r="R161" s="62">
        <v>19157.0</v>
      </c>
      <c r="S161" s="62">
        <v>35056.0</v>
      </c>
      <c r="T161" s="62">
        <v>3.11361111111111</v>
      </c>
      <c r="U161" s="62">
        <v>2.36611111111111</v>
      </c>
      <c r="V161" s="62">
        <v>2.71</v>
      </c>
      <c r="W161" s="62">
        <v>4.005</v>
      </c>
      <c r="X161" s="62">
        <v>0.734166666666666</v>
      </c>
      <c r="Y161" s="62">
        <v>4.00722222222222</v>
      </c>
      <c r="Z161" s="62">
        <v>1.03305555555555</v>
      </c>
      <c r="AA161" s="62">
        <v>0.747222222222222</v>
      </c>
      <c r="AB161" s="62">
        <v>3.78833333333333</v>
      </c>
      <c r="AC161" s="62">
        <v>3.78833333333333</v>
      </c>
      <c r="AD161" s="62">
        <v>1.75666666666666</v>
      </c>
      <c r="AE161" s="62">
        <v>3.78833333333333</v>
      </c>
      <c r="AF161" s="62">
        <v>12.0</v>
      </c>
    </row>
    <row r="162">
      <c r="A162" s="68">
        <v>46097.0</v>
      </c>
      <c r="B162" s="62" t="s">
        <v>76</v>
      </c>
      <c r="C162" s="62" t="s">
        <v>165</v>
      </c>
      <c r="D162" s="62">
        <v>18.0</v>
      </c>
      <c r="E162" s="62">
        <v>18.0</v>
      </c>
      <c r="F162" s="62">
        <v>19.0</v>
      </c>
      <c r="G162" s="62">
        <v>17.0</v>
      </c>
      <c r="H162" s="62">
        <v>18.0</v>
      </c>
      <c r="I162" s="62">
        <v>2.0</v>
      </c>
      <c r="J162" s="62">
        <v>18.0</v>
      </c>
      <c r="K162" s="62">
        <v>3.0</v>
      </c>
      <c r="L162" s="62">
        <v>2.0</v>
      </c>
      <c r="M162" s="62">
        <v>13.0</v>
      </c>
      <c r="N162" s="62">
        <v>10.0</v>
      </c>
      <c r="O162" s="62">
        <v>7.0</v>
      </c>
      <c r="P162" s="62">
        <v>10.0</v>
      </c>
      <c r="Q162" s="62">
        <v>0.0</v>
      </c>
      <c r="R162" s="62">
        <v>49276.0</v>
      </c>
      <c r="S162" s="62">
        <v>51085.0</v>
      </c>
      <c r="T162" s="62">
        <v>5.59888888888888</v>
      </c>
      <c r="U162" s="62">
        <v>5.33777777777777</v>
      </c>
      <c r="V162" s="62">
        <v>4.76472222222222</v>
      </c>
      <c r="W162" s="62">
        <v>5.02527777777777</v>
      </c>
      <c r="X162" s="62">
        <v>0.563333333333333</v>
      </c>
      <c r="Y162" s="62">
        <v>5.02666666666666</v>
      </c>
      <c r="Z162" s="62">
        <v>0.911111111111111</v>
      </c>
      <c r="AA162" s="62">
        <v>0.635277777777777</v>
      </c>
      <c r="AB162" s="62">
        <v>3.795</v>
      </c>
      <c r="AC162" s="62">
        <v>2.98888888888888</v>
      </c>
      <c r="AD162" s="62">
        <v>1.74</v>
      </c>
      <c r="AE162" s="62">
        <v>2.98888888888888</v>
      </c>
      <c r="AF162" s="62">
        <v>20.0</v>
      </c>
    </row>
    <row r="163">
      <c r="A163" s="68">
        <v>46097.0</v>
      </c>
      <c r="B163" s="62" t="s">
        <v>104</v>
      </c>
      <c r="C163" s="62" t="s">
        <v>166</v>
      </c>
      <c r="D163" s="62">
        <v>13.0</v>
      </c>
      <c r="E163" s="62">
        <v>6.0</v>
      </c>
      <c r="F163" s="62">
        <v>10.0</v>
      </c>
      <c r="G163" s="62">
        <v>0.0</v>
      </c>
      <c r="H163" s="62">
        <v>1.0</v>
      </c>
      <c r="I163" s="62">
        <v>1.0</v>
      </c>
      <c r="J163" s="62">
        <v>0.0</v>
      </c>
      <c r="K163" s="62">
        <v>0.0</v>
      </c>
      <c r="L163" s="62">
        <v>0.0</v>
      </c>
      <c r="M163" s="62">
        <v>0.0</v>
      </c>
      <c r="N163" s="62">
        <v>0.0</v>
      </c>
      <c r="O163" s="62">
        <v>0.0</v>
      </c>
      <c r="P163" s="62">
        <v>0.0</v>
      </c>
      <c r="Q163" s="62">
        <v>0.0</v>
      </c>
      <c r="R163" s="62">
        <v>29587.0</v>
      </c>
      <c r="S163" s="62">
        <v>14473.0</v>
      </c>
      <c r="T163" s="62">
        <v>2.28388888888888</v>
      </c>
      <c r="U163" s="62">
        <v>2.06305555555555</v>
      </c>
      <c r="V163" s="62">
        <v>0.0</v>
      </c>
      <c r="W163" s="62">
        <v>0.220833333333333</v>
      </c>
      <c r="X163" s="62">
        <v>0.220833333333333</v>
      </c>
      <c r="Y163" s="62">
        <v>0.0</v>
      </c>
      <c r="Z163" s="62">
        <v>0.0</v>
      </c>
      <c r="AA163" s="62">
        <v>0.0</v>
      </c>
      <c r="AB163" s="62">
        <v>0.0</v>
      </c>
      <c r="AC163" s="62">
        <v>0.0</v>
      </c>
      <c r="AD163" s="62">
        <v>0.0</v>
      </c>
      <c r="AE163" s="62">
        <v>0.0</v>
      </c>
      <c r="AF163" s="62">
        <v>11.0</v>
      </c>
    </row>
    <row r="164">
      <c r="A164" s="68">
        <v>46097.0</v>
      </c>
      <c r="B164" s="62" t="s">
        <v>32</v>
      </c>
      <c r="C164" s="62" t="s">
        <v>168</v>
      </c>
      <c r="D164" s="62">
        <v>28.0</v>
      </c>
      <c r="E164" s="62">
        <v>19.0</v>
      </c>
      <c r="F164" s="62">
        <v>7.0</v>
      </c>
      <c r="G164" s="62">
        <v>0.0</v>
      </c>
      <c r="H164" s="62">
        <v>16.0</v>
      </c>
      <c r="I164" s="62">
        <v>9.0</v>
      </c>
      <c r="J164" s="62">
        <v>16.0</v>
      </c>
      <c r="K164" s="62">
        <v>4.0</v>
      </c>
      <c r="L164" s="62">
        <v>0.0</v>
      </c>
      <c r="M164" s="62">
        <v>16.0</v>
      </c>
      <c r="N164" s="62">
        <v>16.0</v>
      </c>
      <c r="O164" s="62">
        <v>5.0</v>
      </c>
      <c r="P164" s="62">
        <v>16.0</v>
      </c>
      <c r="Q164" s="62">
        <v>0.0</v>
      </c>
      <c r="R164" s="62">
        <v>63339.0</v>
      </c>
      <c r="S164" s="62">
        <v>44352.0</v>
      </c>
      <c r="T164" s="62">
        <v>3.66583333333333</v>
      </c>
      <c r="U164" s="62">
        <v>1.5875</v>
      </c>
      <c r="V164" s="62">
        <v>0.0</v>
      </c>
      <c r="W164" s="62">
        <v>3.66194444444444</v>
      </c>
      <c r="X164" s="62">
        <v>2.07833333333333</v>
      </c>
      <c r="Y164" s="62">
        <v>3.67222222222222</v>
      </c>
      <c r="Z164" s="62">
        <v>0.88</v>
      </c>
      <c r="AA164" s="62">
        <v>0.0</v>
      </c>
      <c r="AB164" s="62">
        <v>3.67222222222222</v>
      </c>
      <c r="AC164" s="62">
        <v>3.67222222222222</v>
      </c>
      <c r="AD164" s="62">
        <v>1.09888888888888</v>
      </c>
      <c r="AE164" s="62">
        <v>3.67222222222222</v>
      </c>
      <c r="AF164" s="62">
        <v>16.0</v>
      </c>
    </row>
    <row r="165">
      <c r="A165" s="68">
        <v>46097.0</v>
      </c>
      <c r="B165" s="62" t="s">
        <v>93</v>
      </c>
      <c r="C165" s="62" t="s">
        <v>182</v>
      </c>
      <c r="D165" s="62">
        <v>20.0</v>
      </c>
      <c r="E165" s="62">
        <v>5.0</v>
      </c>
      <c r="F165" s="62">
        <v>0.0</v>
      </c>
      <c r="G165" s="62">
        <v>0.0</v>
      </c>
      <c r="H165" s="62">
        <v>0.0</v>
      </c>
      <c r="I165" s="62">
        <v>0.0</v>
      </c>
      <c r="J165" s="62">
        <v>0.0</v>
      </c>
      <c r="K165" s="62">
        <v>0.0</v>
      </c>
      <c r="L165" s="62">
        <v>0.0</v>
      </c>
      <c r="M165" s="62">
        <v>0.0</v>
      </c>
      <c r="N165" s="62">
        <v>0.0</v>
      </c>
      <c r="O165" s="62">
        <v>0.0</v>
      </c>
      <c r="P165" s="62">
        <v>0.0</v>
      </c>
      <c r="Q165" s="62">
        <v>0.0</v>
      </c>
      <c r="R165" s="62">
        <v>41532.0</v>
      </c>
      <c r="S165" s="62">
        <v>12151.0</v>
      </c>
      <c r="T165" s="62">
        <v>0.0</v>
      </c>
      <c r="U165" s="62">
        <v>0.0</v>
      </c>
      <c r="V165" s="62">
        <v>0.0</v>
      </c>
      <c r="W165" s="62">
        <v>0.0</v>
      </c>
      <c r="X165" s="62">
        <v>0.0</v>
      </c>
      <c r="Y165" s="62">
        <v>0.0</v>
      </c>
      <c r="Z165" s="62">
        <v>0.0</v>
      </c>
      <c r="AA165" s="62">
        <v>0.0</v>
      </c>
      <c r="AB165" s="62">
        <v>0.0</v>
      </c>
      <c r="AC165" s="62">
        <v>0.0</v>
      </c>
      <c r="AD165" s="62">
        <v>0.0</v>
      </c>
      <c r="AE165" s="62">
        <v>0.0</v>
      </c>
      <c r="AF165" s="62">
        <v>0.0</v>
      </c>
    </row>
    <row r="166">
      <c r="A166" s="68">
        <v>46097.0</v>
      </c>
      <c r="B166" s="62" t="s">
        <v>65</v>
      </c>
      <c r="C166" s="62" t="s">
        <v>173</v>
      </c>
      <c r="D166" s="62">
        <v>0.0</v>
      </c>
      <c r="E166" s="62">
        <v>15.0</v>
      </c>
      <c r="F166" s="62">
        <v>15.0</v>
      </c>
      <c r="G166" s="62">
        <v>9.0</v>
      </c>
      <c r="H166" s="62">
        <v>9.0</v>
      </c>
      <c r="I166" s="62">
        <v>4.0</v>
      </c>
      <c r="J166" s="62">
        <v>9.0</v>
      </c>
      <c r="K166" s="62">
        <v>5.0</v>
      </c>
      <c r="L166" s="62">
        <v>10.0</v>
      </c>
      <c r="M166" s="62">
        <v>15.0</v>
      </c>
      <c r="N166" s="62">
        <v>16.0</v>
      </c>
      <c r="O166" s="62">
        <v>6.0</v>
      </c>
      <c r="P166" s="62">
        <v>16.0</v>
      </c>
      <c r="Q166" s="62">
        <v>0.0</v>
      </c>
      <c r="R166" s="62">
        <v>0.0</v>
      </c>
      <c r="S166" s="62">
        <v>36681.0</v>
      </c>
      <c r="T166" s="62">
        <v>4.015</v>
      </c>
      <c r="U166" s="62">
        <v>3.91833333333333</v>
      </c>
      <c r="V166" s="62">
        <v>2.46805555555555</v>
      </c>
      <c r="W166" s="62">
        <v>2.27222222222222</v>
      </c>
      <c r="X166" s="62">
        <v>1.02888888888888</v>
      </c>
      <c r="Y166" s="62">
        <v>2.27305555555555</v>
      </c>
      <c r="Z166" s="62">
        <v>1.44638888888888</v>
      </c>
      <c r="AA166" s="62">
        <v>2.59166666666666</v>
      </c>
      <c r="AB166" s="62">
        <v>4.07138888888888</v>
      </c>
      <c r="AC166" s="62">
        <v>4.35055555555555</v>
      </c>
      <c r="AD166" s="62">
        <v>1.5125</v>
      </c>
      <c r="AE166" s="62">
        <v>4.35055555555555</v>
      </c>
      <c r="AF166" s="62">
        <v>16.0</v>
      </c>
    </row>
    <row r="167">
      <c r="A167" s="68">
        <v>46097.0</v>
      </c>
      <c r="B167" s="62" t="s">
        <v>37</v>
      </c>
      <c r="C167" s="62" t="s">
        <v>174</v>
      </c>
      <c r="D167" s="62">
        <v>12.0</v>
      </c>
      <c r="E167" s="62">
        <v>10.0</v>
      </c>
      <c r="F167" s="62">
        <v>7.0</v>
      </c>
      <c r="G167" s="62">
        <v>15.0</v>
      </c>
      <c r="H167" s="62">
        <v>17.0</v>
      </c>
      <c r="I167" s="62">
        <v>2.0</v>
      </c>
      <c r="J167" s="62">
        <v>16.0</v>
      </c>
      <c r="K167" s="62">
        <v>2.0</v>
      </c>
      <c r="L167" s="62">
        <v>1.0</v>
      </c>
      <c r="M167" s="62">
        <v>16.0</v>
      </c>
      <c r="N167" s="62">
        <v>16.0</v>
      </c>
      <c r="O167" s="62">
        <v>5.0</v>
      </c>
      <c r="P167" s="62">
        <v>16.0</v>
      </c>
      <c r="Q167" s="62">
        <v>0.0</v>
      </c>
      <c r="R167" s="62">
        <v>29498.0</v>
      </c>
      <c r="S167" s="62">
        <v>25147.0</v>
      </c>
      <c r="T167" s="62">
        <v>2.50583333333333</v>
      </c>
      <c r="U167" s="62">
        <v>1.9775</v>
      </c>
      <c r="V167" s="62">
        <v>4.33749999999999</v>
      </c>
      <c r="W167" s="62">
        <v>4.86583333333333</v>
      </c>
      <c r="X167" s="62">
        <v>0.528333333333333</v>
      </c>
      <c r="Y167" s="62">
        <v>4.63861111111111</v>
      </c>
      <c r="Z167" s="62">
        <v>0.587777777777777</v>
      </c>
      <c r="AA167" s="62">
        <v>0.315</v>
      </c>
      <c r="AB167" s="62">
        <v>4.71777777777777</v>
      </c>
      <c r="AC167" s="62">
        <v>4.71694444444444</v>
      </c>
      <c r="AD167" s="62">
        <v>1.37416666666666</v>
      </c>
      <c r="AE167" s="62">
        <v>4.71694444444444</v>
      </c>
      <c r="AF167" s="62">
        <v>9.0</v>
      </c>
    </row>
    <row r="168">
      <c r="A168" s="68">
        <v>46097.0</v>
      </c>
      <c r="B168" s="62" t="s">
        <v>91</v>
      </c>
      <c r="C168" s="62" t="s">
        <v>184</v>
      </c>
      <c r="D168" s="62">
        <v>22.0</v>
      </c>
      <c r="E168" s="62">
        <v>8.0</v>
      </c>
      <c r="F168" s="62">
        <v>0.0</v>
      </c>
      <c r="G168" s="62">
        <v>0.0</v>
      </c>
      <c r="H168" s="62">
        <v>0.0</v>
      </c>
      <c r="I168" s="62">
        <v>0.0</v>
      </c>
      <c r="J168" s="62">
        <v>0.0</v>
      </c>
      <c r="K168" s="62">
        <v>0.0</v>
      </c>
      <c r="L168" s="62">
        <v>0.0</v>
      </c>
      <c r="M168" s="62">
        <v>0.0</v>
      </c>
      <c r="N168" s="62">
        <v>0.0</v>
      </c>
      <c r="O168" s="62">
        <v>0.0</v>
      </c>
      <c r="P168" s="62">
        <v>0.0</v>
      </c>
      <c r="Q168" s="62">
        <v>0.0</v>
      </c>
      <c r="R168" s="62">
        <v>43469.0</v>
      </c>
      <c r="S168" s="62">
        <v>15879.0</v>
      </c>
      <c r="T168" s="62">
        <v>0.0</v>
      </c>
      <c r="U168" s="62">
        <v>0.0</v>
      </c>
      <c r="V168" s="62">
        <v>0.0</v>
      </c>
      <c r="W168" s="62">
        <v>0.0</v>
      </c>
      <c r="X168" s="62">
        <v>0.0</v>
      </c>
      <c r="Y168" s="62">
        <v>0.0</v>
      </c>
      <c r="Z168" s="62">
        <v>0.0</v>
      </c>
      <c r="AA168" s="62">
        <v>0.0</v>
      </c>
      <c r="AB168" s="62">
        <v>0.0</v>
      </c>
      <c r="AC168" s="62">
        <v>0.0</v>
      </c>
      <c r="AD168" s="62">
        <v>0.0</v>
      </c>
      <c r="AE168" s="62">
        <v>0.0</v>
      </c>
      <c r="AF168" s="62">
        <v>0.0</v>
      </c>
    </row>
    <row r="169">
      <c r="A169" s="68">
        <v>46097.0</v>
      </c>
      <c r="B169" s="62" t="s">
        <v>84</v>
      </c>
      <c r="C169" s="62" t="s">
        <v>186</v>
      </c>
      <c r="D169" s="62">
        <v>5.0</v>
      </c>
      <c r="E169" s="62">
        <v>9.0</v>
      </c>
      <c r="F169" s="62">
        <v>11.0</v>
      </c>
      <c r="G169" s="62">
        <v>12.0</v>
      </c>
      <c r="H169" s="62">
        <v>12.0</v>
      </c>
      <c r="I169" s="62">
        <v>0.0</v>
      </c>
      <c r="J169" s="62">
        <v>12.0</v>
      </c>
      <c r="K169" s="62">
        <v>5.0</v>
      </c>
      <c r="L169" s="62">
        <v>5.0</v>
      </c>
      <c r="M169" s="62">
        <v>10.0</v>
      </c>
      <c r="N169" s="62">
        <v>13.0</v>
      </c>
      <c r="O169" s="62">
        <v>6.0</v>
      </c>
      <c r="P169" s="62">
        <v>13.0</v>
      </c>
      <c r="Q169" s="62">
        <v>0.0</v>
      </c>
      <c r="R169" s="62">
        <v>11407.0</v>
      </c>
      <c r="S169" s="62">
        <v>20420.0</v>
      </c>
      <c r="T169" s="62">
        <v>2.8975</v>
      </c>
      <c r="U169" s="62">
        <v>3.16638888888888</v>
      </c>
      <c r="V169" s="62">
        <v>3.39777777777777</v>
      </c>
      <c r="W169" s="62">
        <v>3.39777777777777</v>
      </c>
      <c r="X169" s="62">
        <v>0.0</v>
      </c>
      <c r="Y169" s="62">
        <v>3.3975</v>
      </c>
      <c r="Z169" s="62">
        <v>1.3425</v>
      </c>
      <c r="AA169" s="62">
        <v>1.34583333333333</v>
      </c>
      <c r="AB169" s="62">
        <v>2.78805555555555</v>
      </c>
      <c r="AC169" s="62">
        <v>3.65472222222222</v>
      </c>
      <c r="AD169" s="62">
        <v>1.65111111111111</v>
      </c>
      <c r="AE169" s="62">
        <v>3.65472222222222</v>
      </c>
      <c r="AF169" s="62">
        <v>11.0</v>
      </c>
    </row>
    <row r="170">
      <c r="A170" s="68">
        <v>46097.0</v>
      </c>
      <c r="B170" s="62" t="s">
        <v>26</v>
      </c>
      <c r="C170" s="62" t="s">
        <v>178</v>
      </c>
      <c r="D170" s="62">
        <v>22.0</v>
      </c>
      <c r="E170" s="62">
        <v>30.0</v>
      </c>
      <c r="F170" s="62">
        <v>10.0</v>
      </c>
      <c r="G170" s="62">
        <v>10.0</v>
      </c>
      <c r="H170" s="62">
        <v>28.0</v>
      </c>
      <c r="I170" s="62">
        <v>18.0</v>
      </c>
      <c r="J170" s="62">
        <v>25.0</v>
      </c>
      <c r="K170" s="62">
        <v>5.0</v>
      </c>
      <c r="L170" s="62">
        <v>5.0</v>
      </c>
      <c r="M170" s="62">
        <v>30.0</v>
      </c>
      <c r="N170" s="62">
        <v>36.0</v>
      </c>
      <c r="O170" s="62">
        <v>6.0</v>
      </c>
      <c r="P170" s="62">
        <v>36.0</v>
      </c>
      <c r="Q170" s="62">
        <v>0.0</v>
      </c>
      <c r="R170" s="62">
        <v>47145.0</v>
      </c>
      <c r="S170" s="62">
        <v>71015.0</v>
      </c>
      <c r="T170" s="62">
        <v>6.51138888888888</v>
      </c>
      <c r="U170" s="62">
        <v>2.19833333333333</v>
      </c>
      <c r="V170" s="62">
        <v>2.0825</v>
      </c>
      <c r="W170" s="62">
        <v>5.875</v>
      </c>
      <c r="X170" s="62">
        <v>3.79249999999999</v>
      </c>
      <c r="Y170" s="62">
        <v>5.13138888888888</v>
      </c>
      <c r="Z170" s="62">
        <v>0.980277777777777</v>
      </c>
      <c r="AA170" s="62">
        <v>0.980277777777777</v>
      </c>
      <c r="AB170" s="62">
        <v>6.1125</v>
      </c>
      <c r="AC170" s="62">
        <v>7.43722222222222</v>
      </c>
      <c r="AD170" s="62">
        <v>1.19555555555555</v>
      </c>
      <c r="AE170" s="62">
        <v>7.43722222222222</v>
      </c>
      <c r="AF170" s="62">
        <v>30.0</v>
      </c>
    </row>
    <row r="171">
      <c r="A171" s="68">
        <v>46097.0</v>
      </c>
      <c r="B171" s="62" t="s">
        <v>62</v>
      </c>
      <c r="C171" s="62" t="s">
        <v>63</v>
      </c>
      <c r="D171" s="62">
        <v>22.0</v>
      </c>
      <c r="E171" s="62">
        <v>2.0</v>
      </c>
      <c r="F171" s="62">
        <v>0.0</v>
      </c>
      <c r="G171" s="62">
        <v>0.0</v>
      </c>
      <c r="H171" s="62">
        <v>14.0</v>
      </c>
      <c r="I171" s="62">
        <v>13.0</v>
      </c>
      <c r="J171" s="62">
        <v>11.0</v>
      </c>
      <c r="K171" s="62">
        <v>3.0</v>
      </c>
      <c r="L171" s="62">
        <v>0.0</v>
      </c>
      <c r="M171" s="62">
        <v>11.0</v>
      </c>
      <c r="N171" s="62">
        <v>13.0</v>
      </c>
      <c r="O171" s="62">
        <v>7.0</v>
      </c>
      <c r="P171" s="62">
        <v>13.0</v>
      </c>
      <c r="Q171" s="62">
        <v>0.0</v>
      </c>
      <c r="R171" s="62">
        <v>51401.0</v>
      </c>
      <c r="S171" s="62">
        <v>4881.0</v>
      </c>
      <c r="T171" s="62">
        <v>3.21833333333333</v>
      </c>
      <c r="U171" s="62">
        <v>0.0</v>
      </c>
      <c r="V171" s="62">
        <v>0.0</v>
      </c>
      <c r="W171" s="62">
        <v>2.78222222222222</v>
      </c>
      <c r="X171" s="62">
        <v>2.60027777777777</v>
      </c>
      <c r="Y171" s="62">
        <v>2.16444444444444</v>
      </c>
      <c r="Z171" s="62">
        <v>0.593333333333333</v>
      </c>
      <c r="AA171" s="62">
        <v>0.0</v>
      </c>
      <c r="AB171" s="62">
        <v>2.16416666666666</v>
      </c>
      <c r="AC171" s="62">
        <v>2.63527777777777</v>
      </c>
      <c r="AD171" s="62">
        <v>1.63944444444444</v>
      </c>
      <c r="AE171" s="62">
        <v>2.63527777777777</v>
      </c>
      <c r="AF171" s="62">
        <v>16.0</v>
      </c>
    </row>
    <row r="172">
      <c r="A172" s="68">
        <v>46090.0</v>
      </c>
      <c r="B172" s="62" t="s">
        <v>79</v>
      </c>
      <c r="C172" s="62" t="s">
        <v>162</v>
      </c>
      <c r="D172" s="62">
        <v>0.0</v>
      </c>
      <c r="E172" s="62">
        <v>2.0</v>
      </c>
      <c r="F172" s="62">
        <v>9.0</v>
      </c>
      <c r="G172" s="62">
        <v>10.0</v>
      </c>
      <c r="H172" s="62">
        <v>17.0</v>
      </c>
      <c r="I172" s="62">
        <v>7.0</v>
      </c>
      <c r="J172" s="62">
        <v>17.0</v>
      </c>
      <c r="K172" s="62">
        <v>10.0</v>
      </c>
      <c r="L172" s="62">
        <v>10.0</v>
      </c>
      <c r="M172" s="62">
        <v>12.0</v>
      </c>
      <c r="N172" s="62">
        <v>12.0</v>
      </c>
      <c r="O172" s="62">
        <v>7.0</v>
      </c>
      <c r="P172" s="62">
        <v>12.0</v>
      </c>
      <c r="Q172" s="62">
        <v>0.0</v>
      </c>
      <c r="R172" s="62">
        <v>0.0</v>
      </c>
      <c r="S172" s="62">
        <v>4052.0</v>
      </c>
      <c r="T172" s="62">
        <v>2.08055555555555</v>
      </c>
      <c r="U172" s="62">
        <v>1.75222222222222</v>
      </c>
      <c r="V172" s="62">
        <v>1.86333333333333</v>
      </c>
      <c r="W172" s="62">
        <v>3.1125</v>
      </c>
      <c r="X172" s="62">
        <v>1.24916666666666</v>
      </c>
      <c r="Y172" s="62">
        <v>3.10916666666666</v>
      </c>
      <c r="Z172" s="62">
        <v>1.89527777777777</v>
      </c>
      <c r="AA172" s="62">
        <v>1.89527777777777</v>
      </c>
      <c r="AB172" s="62">
        <v>2.20888888888888</v>
      </c>
      <c r="AC172" s="62">
        <v>2.20888888888888</v>
      </c>
      <c r="AD172" s="62">
        <v>1.32527777777777</v>
      </c>
      <c r="AE172" s="62">
        <v>2.20888888888888</v>
      </c>
      <c r="AF172" s="62">
        <v>11.0</v>
      </c>
    </row>
    <row r="173">
      <c r="A173" s="68">
        <v>46090.0</v>
      </c>
      <c r="B173" s="62" t="s">
        <v>71</v>
      </c>
      <c r="C173" s="62" t="s">
        <v>163</v>
      </c>
      <c r="D173" s="62">
        <v>7.0</v>
      </c>
      <c r="E173" s="62">
        <v>14.0</v>
      </c>
      <c r="F173" s="62">
        <v>15.0</v>
      </c>
      <c r="G173" s="62">
        <v>15.0</v>
      </c>
      <c r="H173" s="62">
        <v>17.0</v>
      </c>
      <c r="I173" s="62">
        <v>3.0</v>
      </c>
      <c r="J173" s="62">
        <v>18.0</v>
      </c>
      <c r="K173" s="62">
        <v>1.0</v>
      </c>
      <c r="L173" s="62">
        <v>1.0</v>
      </c>
      <c r="M173" s="62">
        <v>17.0</v>
      </c>
      <c r="N173" s="62">
        <v>17.0</v>
      </c>
      <c r="O173" s="62">
        <v>6.0</v>
      </c>
      <c r="P173" s="62">
        <v>17.0</v>
      </c>
      <c r="Q173" s="62">
        <v>0.0</v>
      </c>
      <c r="R173" s="62">
        <v>18779.0</v>
      </c>
      <c r="S173" s="62">
        <v>40461.0</v>
      </c>
      <c r="T173" s="62">
        <v>4.79527777777777</v>
      </c>
      <c r="U173" s="62">
        <v>4.2525</v>
      </c>
      <c r="V173" s="62">
        <v>4.17944444444444</v>
      </c>
      <c r="W173" s="62">
        <v>4.72138888888888</v>
      </c>
      <c r="X173" s="62">
        <v>0.815</v>
      </c>
      <c r="Y173" s="62">
        <v>5.00277777777777</v>
      </c>
      <c r="Z173" s="62">
        <v>0.271111111111111</v>
      </c>
      <c r="AA173" s="62">
        <v>0.278888888888888</v>
      </c>
      <c r="AB173" s="62">
        <v>4.73583333333333</v>
      </c>
      <c r="AC173" s="62">
        <v>4.73583333333333</v>
      </c>
      <c r="AD173" s="62">
        <v>1.64</v>
      </c>
      <c r="AE173" s="62">
        <v>4.73583333333333</v>
      </c>
      <c r="AF173" s="62">
        <v>17.0</v>
      </c>
    </row>
    <row r="174">
      <c r="A174" s="68">
        <v>46090.0</v>
      </c>
      <c r="B174" s="62" t="s">
        <v>76</v>
      </c>
      <c r="C174" s="62" t="s">
        <v>165</v>
      </c>
      <c r="D174" s="62">
        <v>20.0</v>
      </c>
      <c r="E174" s="62">
        <v>18.0</v>
      </c>
      <c r="F174" s="62">
        <v>14.0</v>
      </c>
      <c r="G174" s="62">
        <v>18.0</v>
      </c>
      <c r="H174" s="62">
        <v>20.0</v>
      </c>
      <c r="I174" s="62">
        <v>3.0</v>
      </c>
      <c r="J174" s="62">
        <v>20.0</v>
      </c>
      <c r="K174" s="62">
        <v>5.0</v>
      </c>
      <c r="L174" s="62">
        <v>2.0</v>
      </c>
      <c r="M174" s="62">
        <v>18.0</v>
      </c>
      <c r="N174" s="62">
        <v>18.0</v>
      </c>
      <c r="O174" s="62">
        <v>6.0</v>
      </c>
      <c r="P174" s="62">
        <v>18.0</v>
      </c>
      <c r="Q174" s="62">
        <v>0.0</v>
      </c>
      <c r="R174" s="62">
        <v>57331.0</v>
      </c>
      <c r="S174" s="62">
        <v>51682.0</v>
      </c>
      <c r="T174" s="62">
        <v>4.27222222222222</v>
      </c>
      <c r="U174" s="62">
        <v>3.74361111111111</v>
      </c>
      <c r="V174" s="62">
        <v>4.73861111111111</v>
      </c>
      <c r="W174" s="62">
        <v>5.26666666666666</v>
      </c>
      <c r="X174" s="62">
        <v>0.809444444444444</v>
      </c>
      <c r="Y174" s="62">
        <v>5.26861111111111</v>
      </c>
      <c r="Z174" s="62">
        <v>1.34111111111111</v>
      </c>
      <c r="AA174" s="62">
        <v>0.536111111111111</v>
      </c>
      <c r="AB174" s="62">
        <v>4.67166666666666</v>
      </c>
      <c r="AC174" s="62">
        <v>4.67166666666666</v>
      </c>
      <c r="AD174" s="62">
        <v>1.60583333333333</v>
      </c>
      <c r="AE174" s="62">
        <v>4.67166666666666</v>
      </c>
      <c r="AF174" s="62">
        <v>16.0</v>
      </c>
    </row>
    <row r="175">
      <c r="A175" s="68">
        <v>46090.0</v>
      </c>
      <c r="B175" s="62" t="s">
        <v>104</v>
      </c>
      <c r="C175" s="62" t="s">
        <v>166</v>
      </c>
      <c r="D175" s="62">
        <v>12.0</v>
      </c>
      <c r="E175" s="62">
        <v>5.0</v>
      </c>
      <c r="F175" s="62">
        <v>0.0</v>
      </c>
      <c r="G175" s="62">
        <v>0.0</v>
      </c>
      <c r="H175" s="62">
        <v>0.0</v>
      </c>
      <c r="I175" s="62">
        <v>0.0</v>
      </c>
      <c r="J175" s="62">
        <v>0.0</v>
      </c>
      <c r="K175" s="62">
        <v>0.0</v>
      </c>
      <c r="L175" s="62">
        <v>0.0</v>
      </c>
      <c r="M175" s="62">
        <v>0.0</v>
      </c>
      <c r="N175" s="62">
        <v>0.0</v>
      </c>
      <c r="O175" s="62">
        <v>0.0</v>
      </c>
      <c r="P175" s="62">
        <v>0.0</v>
      </c>
      <c r="Q175" s="62">
        <v>0.0</v>
      </c>
      <c r="R175" s="62">
        <v>29449.0</v>
      </c>
      <c r="S175" s="62">
        <v>12222.0</v>
      </c>
      <c r="T175" s="62">
        <v>0.0</v>
      </c>
      <c r="U175" s="62">
        <v>0.0</v>
      </c>
      <c r="V175" s="62">
        <v>0.0</v>
      </c>
      <c r="W175" s="62">
        <v>0.0</v>
      </c>
      <c r="X175" s="62">
        <v>0.0</v>
      </c>
      <c r="Y175" s="62">
        <v>0.0</v>
      </c>
      <c r="Z175" s="62">
        <v>0.0</v>
      </c>
      <c r="AA175" s="62">
        <v>0.0</v>
      </c>
      <c r="AB175" s="62">
        <v>0.0</v>
      </c>
      <c r="AC175" s="62">
        <v>0.0</v>
      </c>
      <c r="AD175" s="62">
        <v>0.0</v>
      </c>
      <c r="AE175" s="62">
        <v>0.0</v>
      </c>
      <c r="AF175" s="62">
        <v>0.0</v>
      </c>
    </row>
    <row r="176">
      <c r="A176" s="68">
        <v>46090.0</v>
      </c>
      <c r="B176" s="62" t="s">
        <v>32</v>
      </c>
      <c r="C176" s="62" t="s">
        <v>168</v>
      </c>
      <c r="D176" s="62">
        <v>29.0</v>
      </c>
      <c r="E176" s="62">
        <v>20.0</v>
      </c>
      <c r="F176" s="62">
        <v>12.0</v>
      </c>
      <c r="G176" s="62">
        <v>3.0</v>
      </c>
      <c r="H176" s="62">
        <v>16.0</v>
      </c>
      <c r="I176" s="62">
        <v>6.0</v>
      </c>
      <c r="J176" s="62">
        <v>15.0</v>
      </c>
      <c r="K176" s="62">
        <v>1.0</v>
      </c>
      <c r="L176" s="62">
        <v>0.0</v>
      </c>
      <c r="M176" s="62">
        <v>16.0</v>
      </c>
      <c r="N176" s="62">
        <v>16.0</v>
      </c>
      <c r="O176" s="62">
        <v>5.0</v>
      </c>
      <c r="P176" s="62">
        <v>16.0</v>
      </c>
      <c r="Q176" s="62">
        <v>0.0</v>
      </c>
      <c r="R176" s="62">
        <v>71031.0</v>
      </c>
      <c r="S176" s="62">
        <v>49519.0</v>
      </c>
      <c r="T176" s="62">
        <v>3.73555555555555</v>
      </c>
      <c r="U176" s="62">
        <v>2.80416666666666</v>
      </c>
      <c r="V176" s="62">
        <v>0.706944444444444</v>
      </c>
      <c r="W176" s="62">
        <v>3.74666666666666</v>
      </c>
      <c r="X176" s="62">
        <v>1.40083333333333</v>
      </c>
      <c r="Y176" s="62">
        <v>3.50444444444444</v>
      </c>
      <c r="Z176" s="62">
        <v>0.228888888888888</v>
      </c>
      <c r="AA176" s="62">
        <v>0.0</v>
      </c>
      <c r="AB176" s="62">
        <v>3.74</v>
      </c>
      <c r="AC176" s="62">
        <v>3.74</v>
      </c>
      <c r="AD176" s="62">
        <v>1.09027777777777</v>
      </c>
      <c r="AE176" s="62">
        <v>3.74</v>
      </c>
      <c r="AF176" s="62">
        <v>16.0</v>
      </c>
    </row>
    <row r="177">
      <c r="A177" s="68">
        <v>46090.0</v>
      </c>
      <c r="B177" s="62" t="s">
        <v>93</v>
      </c>
      <c r="C177" s="62" t="s">
        <v>182</v>
      </c>
      <c r="D177" s="62">
        <v>2.0</v>
      </c>
      <c r="E177" s="62">
        <v>0.0</v>
      </c>
      <c r="F177" s="62">
        <v>0.0</v>
      </c>
      <c r="G177" s="62">
        <v>0.0</v>
      </c>
      <c r="H177" s="62">
        <v>0.0</v>
      </c>
      <c r="I177" s="62">
        <v>0.0</v>
      </c>
      <c r="J177" s="62">
        <v>0.0</v>
      </c>
      <c r="K177" s="62">
        <v>0.0</v>
      </c>
      <c r="L177" s="62">
        <v>0.0</v>
      </c>
      <c r="M177" s="62">
        <v>0.0</v>
      </c>
      <c r="N177" s="62">
        <v>0.0</v>
      </c>
      <c r="O177" s="62">
        <v>0.0</v>
      </c>
      <c r="P177" s="62">
        <v>0.0</v>
      </c>
      <c r="Q177" s="62">
        <v>0.0</v>
      </c>
      <c r="R177" s="62">
        <v>5075.0</v>
      </c>
      <c r="S177" s="62">
        <v>0.0</v>
      </c>
      <c r="T177" s="62">
        <v>0.0</v>
      </c>
      <c r="U177" s="62">
        <v>0.0</v>
      </c>
      <c r="V177" s="62">
        <v>0.0</v>
      </c>
      <c r="W177" s="62">
        <v>0.0</v>
      </c>
      <c r="X177" s="62">
        <v>0.0</v>
      </c>
      <c r="Y177" s="62">
        <v>0.0</v>
      </c>
      <c r="Z177" s="62">
        <v>0.0</v>
      </c>
      <c r="AA177" s="62">
        <v>0.0</v>
      </c>
      <c r="AB177" s="62">
        <v>0.0</v>
      </c>
      <c r="AC177" s="62">
        <v>0.0</v>
      </c>
      <c r="AD177" s="62">
        <v>0.0</v>
      </c>
      <c r="AE177" s="62">
        <v>0.0</v>
      </c>
      <c r="AF177" s="62">
        <v>0.0</v>
      </c>
    </row>
    <row r="178">
      <c r="A178" s="68">
        <v>46090.0</v>
      </c>
      <c r="B178" s="62" t="s">
        <v>65</v>
      </c>
      <c r="C178" s="62" t="s">
        <v>173</v>
      </c>
      <c r="D178" s="62">
        <v>25.0</v>
      </c>
      <c r="E178" s="62">
        <v>25.0</v>
      </c>
      <c r="F178" s="62">
        <v>4.0</v>
      </c>
      <c r="G178" s="62">
        <v>5.0</v>
      </c>
      <c r="H178" s="62">
        <v>9.0</v>
      </c>
      <c r="I178" s="62">
        <v>3.0</v>
      </c>
      <c r="J178" s="62">
        <v>11.0</v>
      </c>
      <c r="K178" s="62">
        <v>9.0</v>
      </c>
      <c r="L178" s="62">
        <v>0.0</v>
      </c>
      <c r="M178" s="62">
        <v>1.0</v>
      </c>
      <c r="N178" s="62">
        <v>0.0</v>
      </c>
      <c r="O178" s="62">
        <v>0.0</v>
      </c>
      <c r="P178" s="62">
        <v>0.0</v>
      </c>
      <c r="Q178" s="62">
        <v>0.0</v>
      </c>
      <c r="R178" s="62">
        <v>62271.0</v>
      </c>
      <c r="S178" s="62">
        <v>59336.0</v>
      </c>
      <c r="T178" s="62">
        <v>0.827777777777778</v>
      </c>
      <c r="U178" s="62">
        <v>1.09694444444444</v>
      </c>
      <c r="V178" s="62">
        <v>1.40027777777777</v>
      </c>
      <c r="W178" s="62">
        <v>2.48777777777777</v>
      </c>
      <c r="X178" s="62">
        <v>0.816666666666666</v>
      </c>
      <c r="Y178" s="62">
        <v>3.22305555555555</v>
      </c>
      <c r="Z178" s="62">
        <v>2.47777777777777</v>
      </c>
      <c r="AA178" s="62">
        <v>0.0</v>
      </c>
      <c r="AB178" s="62">
        <v>0.280277777777777</v>
      </c>
      <c r="AC178" s="62">
        <v>0.0</v>
      </c>
      <c r="AD178" s="62">
        <v>0.0</v>
      </c>
      <c r="AE178" s="62">
        <v>0.0</v>
      </c>
      <c r="AF178" s="62">
        <v>3.0</v>
      </c>
    </row>
    <row r="179">
      <c r="A179" s="68">
        <v>46090.0</v>
      </c>
      <c r="B179" s="62" t="s">
        <v>37</v>
      </c>
      <c r="C179" s="62" t="s">
        <v>174</v>
      </c>
      <c r="D179" s="62">
        <v>15.0</v>
      </c>
      <c r="E179" s="62">
        <v>11.0</v>
      </c>
      <c r="F179" s="62">
        <v>20.0</v>
      </c>
      <c r="G179" s="62">
        <v>15.0</v>
      </c>
      <c r="H179" s="62">
        <v>15.0</v>
      </c>
      <c r="I179" s="62">
        <v>1.0</v>
      </c>
      <c r="J179" s="62">
        <v>17.0</v>
      </c>
      <c r="K179" s="62">
        <v>7.0</v>
      </c>
      <c r="L179" s="62">
        <v>4.0</v>
      </c>
      <c r="M179" s="62">
        <v>15.0</v>
      </c>
      <c r="N179" s="62">
        <v>15.0</v>
      </c>
      <c r="O179" s="62">
        <v>6.0</v>
      </c>
      <c r="P179" s="62">
        <v>15.0</v>
      </c>
      <c r="Q179" s="62">
        <v>0.0</v>
      </c>
      <c r="R179" s="62">
        <v>37958.0</v>
      </c>
      <c r="S179" s="62">
        <v>28063.0</v>
      </c>
      <c r="T179" s="62">
        <v>3.25472222222222</v>
      </c>
      <c r="U179" s="62">
        <v>5.88055555555555</v>
      </c>
      <c r="V179" s="62">
        <v>4.36722222222222</v>
      </c>
      <c r="W179" s="62">
        <v>4.36722222222222</v>
      </c>
      <c r="X179" s="62">
        <v>0.303611111111111</v>
      </c>
      <c r="Y179" s="62">
        <v>4.93722222222222</v>
      </c>
      <c r="Z179" s="62">
        <v>1.98305555555555</v>
      </c>
      <c r="AA179" s="62">
        <v>1.13333333333333</v>
      </c>
      <c r="AB179" s="62">
        <v>4.3025</v>
      </c>
      <c r="AC179" s="62">
        <v>4.3025</v>
      </c>
      <c r="AD179" s="62">
        <v>1.57</v>
      </c>
      <c r="AE179" s="62">
        <v>4.3025</v>
      </c>
      <c r="AF179" s="62">
        <v>11.0</v>
      </c>
    </row>
    <row r="180">
      <c r="A180" s="68">
        <v>46090.0</v>
      </c>
      <c r="B180" s="62" t="s">
        <v>91</v>
      </c>
      <c r="C180" s="62" t="s">
        <v>184</v>
      </c>
      <c r="D180" s="62">
        <v>5.0</v>
      </c>
      <c r="E180" s="62">
        <v>0.0</v>
      </c>
      <c r="F180" s="62">
        <v>0.0</v>
      </c>
      <c r="G180" s="62">
        <v>0.0</v>
      </c>
      <c r="H180" s="62">
        <v>0.0</v>
      </c>
      <c r="I180" s="62">
        <v>0.0</v>
      </c>
      <c r="J180" s="62">
        <v>0.0</v>
      </c>
      <c r="K180" s="62">
        <v>0.0</v>
      </c>
      <c r="L180" s="62">
        <v>0.0</v>
      </c>
      <c r="M180" s="62">
        <v>0.0</v>
      </c>
      <c r="N180" s="62">
        <v>0.0</v>
      </c>
      <c r="O180" s="62">
        <v>0.0</v>
      </c>
      <c r="P180" s="62">
        <v>0.0</v>
      </c>
      <c r="Q180" s="62">
        <v>0.0</v>
      </c>
      <c r="R180" s="62">
        <v>10364.0</v>
      </c>
      <c r="S180" s="62">
        <v>0.0</v>
      </c>
      <c r="T180" s="62">
        <v>0.0</v>
      </c>
      <c r="U180" s="62">
        <v>0.0</v>
      </c>
      <c r="V180" s="62">
        <v>0.0</v>
      </c>
      <c r="W180" s="62">
        <v>0.0</v>
      </c>
      <c r="X180" s="62">
        <v>0.0</v>
      </c>
      <c r="Y180" s="62">
        <v>0.0</v>
      </c>
      <c r="Z180" s="62">
        <v>0.0</v>
      </c>
      <c r="AA180" s="62">
        <v>0.0</v>
      </c>
      <c r="AB180" s="62">
        <v>0.0</v>
      </c>
      <c r="AC180" s="62">
        <v>0.0</v>
      </c>
      <c r="AD180" s="62">
        <v>0.0</v>
      </c>
      <c r="AE180" s="62">
        <v>0.0</v>
      </c>
      <c r="AF180" s="62">
        <v>0.0</v>
      </c>
    </row>
    <row r="181">
      <c r="A181" s="68">
        <v>46090.0</v>
      </c>
      <c r="B181" s="62" t="s">
        <v>81</v>
      </c>
      <c r="C181" s="62" t="s">
        <v>187</v>
      </c>
      <c r="D181" s="62">
        <v>0.0</v>
      </c>
      <c r="E181" s="62">
        <v>0.0</v>
      </c>
      <c r="F181" s="62">
        <v>0.0</v>
      </c>
      <c r="G181" s="62">
        <v>2.0</v>
      </c>
      <c r="H181" s="62">
        <v>6.0</v>
      </c>
      <c r="I181" s="62">
        <v>4.0</v>
      </c>
      <c r="J181" s="62">
        <v>7.0</v>
      </c>
      <c r="K181" s="62">
        <v>6.0</v>
      </c>
      <c r="L181" s="62">
        <v>1.0</v>
      </c>
      <c r="M181" s="62">
        <v>10.0</v>
      </c>
      <c r="N181" s="62">
        <v>10.0</v>
      </c>
      <c r="O181" s="62">
        <v>5.0</v>
      </c>
      <c r="P181" s="62">
        <v>10.0</v>
      </c>
      <c r="Q181" s="62">
        <v>0.0</v>
      </c>
      <c r="R181" s="62">
        <v>0.0</v>
      </c>
      <c r="S181" s="62">
        <v>0.0</v>
      </c>
      <c r="T181" s="62">
        <v>0.344166666666666</v>
      </c>
      <c r="U181" s="62">
        <v>0.0</v>
      </c>
      <c r="V181" s="62">
        <v>0.428055555555555</v>
      </c>
      <c r="W181" s="62">
        <v>1.17472222222222</v>
      </c>
      <c r="X181" s="62">
        <v>0.746666666666666</v>
      </c>
      <c r="Y181" s="62">
        <v>1.39333333333333</v>
      </c>
      <c r="Z181" s="62">
        <v>1.14888888888888</v>
      </c>
      <c r="AA181" s="62">
        <v>0.190833333333333</v>
      </c>
      <c r="AB181" s="62">
        <v>1.93194444444444</v>
      </c>
      <c r="AC181" s="62">
        <v>1.93194444444444</v>
      </c>
      <c r="AD181" s="62">
        <v>0.951388888888889</v>
      </c>
      <c r="AE181" s="62">
        <v>1.93194444444444</v>
      </c>
      <c r="AF181" s="62">
        <v>2.0</v>
      </c>
    </row>
    <row r="182">
      <c r="A182" s="68">
        <v>46090.0</v>
      </c>
      <c r="B182" s="62" t="s">
        <v>84</v>
      </c>
      <c r="C182" s="62" t="s">
        <v>186</v>
      </c>
      <c r="D182" s="62">
        <v>8.0</v>
      </c>
      <c r="E182" s="62">
        <v>10.0</v>
      </c>
      <c r="F182" s="62">
        <v>6.0</v>
      </c>
      <c r="G182" s="62">
        <v>5.0</v>
      </c>
      <c r="H182" s="62">
        <v>5.0</v>
      </c>
      <c r="I182" s="62">
        <v>0.0</v>
      </c>
      <c r="J182" s="62">
        <v>5.0</v>
      </c>
      <c r="K182" s="62">
        <v>0.0</v>
      </c>
      <c r="L182" s="62">
        <v>0.0</v>
      </c>
      <c r="M182" s="62">
        <v>3.0</v>
      </c>
      <c r="N182" s="62">
        <v>0.0</v>
      </c>
      <c r="O182" s="62">
        <v>0.0</v>
      </c>
      <c r="P182" s="62">
        <v>0.0</v>
      </c>
      <c r="Q182" s="62">
        <v>0.0</v>
      </c>
      <c r="R182" s="62">
        <v>18154.0</v>
      </c>
      <c r="S182" s="62">
        <v>24023.0</v>
      </c>
      <c r="T182" s="62">
        <v>3.05305555555555</v>
      </c>
      <c r="U182" s="62">
        <v>1.65138888888888</v>
      </c>
      <c r="V182" s="62">
        <v>1.37277777777777</v>
      </c>
      <c r="W182" s="62">
        <v>1.37277777777777</v>
      </c>
      <c r="X182" s="62">
        <v>0.0</v>
      </c>
      <c r="Y182" s="62">
        <v>1.37277777777777</v>
      </c>
      <c r="Z182" s="62">
        <v>0.0</v>
      </c>
      <c r="AA182" s="62">
        <v>0.0</v>
      </c>
      <c r="AB182" s="62">
        <v>0.866666666666666</v>
      </c>
      <c r="AC182" s="62">
        <v>0.0</v>
      </c>
      <c r="AD182" s="62">
        <v>0.0</v>
      </c>
      <c r="AE182" s="62">
        <v>0.0</v>
      </c>
      <c r="AF182" s="62">
        <v>11.0</v>
      </c>
    </row>
    <row r="183">
      <c r="A183" s="68">
        <v>46090.0</v>
      </c>
      <c r="B183" s="62" t="s">
        <v>26</v>
      </c>
      <c r="C183" s="62" t="s">
        <v>178</v>
      </c>
      <c r="D183" s="62">
        <v>37.0</v>
      </c>
      <c r="E183" s="62">
        <v>32.0</v>
      </c>
      <c r="F183" s="62">
        <v>8.0</v>
      </c>
      <c r="G183" s="62">
        <v>5.0</v>
      </c>
      <c r="H183" s="62">
        <v>27.0</v>
      </c>
      <c r="I183" s="62">
        <v>22.0</v>
      </c>
      <c r="J183" s="62">
        <v>27.0</v>
      </c>
      <c r="K183" s="62">
        <v>8.0</v>
      </c>
      <c r="L183" s="62">
        <v>8.0</v>
      </c>
      <c r="M183" s="62">
        <v>27.0</v>
      </c>
      <c r="N183" s="62">
        <v>24.0</v>
      </c>
      <c r="O183" s="62">
        <v>6.0</v>
      </c>
      <c r="P183" s="62">
        <v>24.0</v>
      </c>
      <c r="Q183" s="62">
        <v>0.0</v>
      </c>
      <c r="R183" s="62">
        <v>85240.0</v>
      </c>
      <c r="S183" s="62">
        <v>79694.0</v>
      </c>
      <c r="T183" s="62">
        <v>6.22138888888888</v>
      </c>
      <c r="U183" s="62">
        <v>1.58972222222222</v>
      </c>
      <c r="V183" s="62">
        <v>1.0</v>
      </c>
      <c r="W183" s="62">
        <v>5.63166666666666</v>
      </c>
      <c r="X183" s="62">
        <v>4.63166666666666</v>
      </c>
      <c r="Y183" s="62">
        <v>5.66027777777777</v>
      </c>
      <c r="Z183" s="62">
        <v>1.71861111111111</v>
      </c>
      <c r="AA183" s="62">
        <v>1.71194444444444</v>
      </c>
      <c r="AB183" s="62">
        <v>5.54</v>
      </c>
      <c r="AC183" s="62">
        <v>4.88944444444444</v>
      </c>
      <c r="AD183" s="62">
        <v>1.18611111111111</v>
      </c>
      <c r="AE183" s="62">
        <v>4.88944444444444</v>
      </c>
      <c r="AF183" s="62">
        <v>30.0</v>
      </c>
    </row>
    <row r="184">
      <c r="A184" s="68">
        <v>46090.0</v>
      </c>
      <c r="B184" s="62" t="s">
        <v>62</v>
      </c>
      <c r="C184" s="62" t="s">
        <v>63</v>
      </c>
      <c r="D184" s="62">
        <v>17.0</v>
      </c>
      <c r="E184" s="62">
        <v>14.0</v>
      </c>
      <c r="F184" s="62">
        <v>0.0</v>
      </c>
      <c r="G184" s="62">
        <v>0.0</v>
      </c>
      <c r="H184" s="62">
        <v>13.0</v>
      </c>
      <c r="I184" s="62">
        <v>11.0</v>
      </c>
      <c r="J184" s="62">
        <v>14.0</v>
      </c>
      <c r="K184" s="62">
        <v>5.0</v>
      </c>
      <c r="L184" s="62">
        <v>0.0</v>
      </c>
      <c r="M184" s="62">
        <v>14.0</v>
      </c>
      <c r="N184" s="62">
        <v>12.0</v>
      </c>
      <c r="O184" s="62">
        <v>7.0</v>
      </c>
      <c r="P184" s="62">
        <v>12.0</v>
      </c>
      <c r="Q184" s="62">
        <v>0.0</v>
      </c>
      <c r="R184" s="62">
        <v>41499.0</v>
      </c>
      <c r="S184" s="62">
        <v>31487.0</v>
      </c>
      <c r="T184" s="62">
        <v>1.49305555555555</v>
      </c>
      <c r="U184" s="62">
        <v>0.0</v>
      </c>
      <c r="V184" s="62">
        <v>0.0</v>
      </c>
      <c r="W184" s="62">
        <v>2.66083333333333</v>
      </c>
      <c r="X184" s="62">
        <v>2.25722222222222</v>
      </c>
      <c r="Y184" s="62">
        <v>2.91055555555555</v>
      </c>
      <c r="Z184" s="62">
        <v>1.10444444444444</v>
      </c>
      <c r="AA184" s="62">
        <v>0.0</v>
      </c>
      <c r="AB184" s="62">
        <v>2.92388888888888</v>
      </c>
      <c r="AC184" s="62">
        <v>2.45027777777777</v>
      </c>
      <c r="AD184" s="62">
        <v>1.8075</v>
      </c>
      <c r="AE184" s="62">
        <v>2.45027777777777</v>
      </c>
      <c r="AF184" s="62">
        <v>7.0</v>
      </c>
    </row>
    <row r="185">
      <c r="A185" s="68">
        <v>46083.0</v>
      </c>
      <c r="B185" s="62" t="s">
        <v>79</v>
      </c>
      <c r="C185" s="62" t="s">
        <v>162</v>
      </c>
      <c r="D185" s="62">
        <v>0.0</v>
      </c>
      <c r="E185" s="62">
        <v>5.0</v>
      </c>
      <c r="F185" s="62">
        <v>7.0</v>
      </c>
      <c r="G185" s="62">
        <v>6.0</v>
      </c>
      <c r="H185" s="62">
        <v>10.0</v>
      </c>
      <c r="I185" s="62">
        <v>4.0</v>
      </c>
      <c r="J185" s="62">
        <v>11.0</v>
      </c>
      <c r="K185" s="62">
        <v>6.0</v>
      </c>
      <c r="L185" s="62">
        <v>6.0</v>
      </c>
      <c r="M185" s="62">
        <v>12.0</v>
      </c>
      <c r="N185" s="62">
        <v>12.0</v>
      </c>
      <c r="O185" s="62">
        <v>7.0</v>
      </c>
      <c r="P185" s="62">
        <v>12.0</v>
      </c>
      <c r="Q185" s="62">
        <v>0.0</v>
      </c>
      <c r="R185" s="62">
        <v>0.0</v>
      </c>
      <c r="S185" s="62">
        <v>10695.0</v>
      </c>
      <c r="T185" s="62">
        <v>3.00611111111111</v>
      </c>
      <c r="U185" s="62">
        <v>1.29722222222222</v>
      </c>
      <c r="V185" s="62">
        <v>1.16222222222222</v>
      </c>
      <c r="W185" s="62">
        <v>1.95027777777777</v>
      </c>
      <c r="X185" s="62">
        <v>0.788055555555555</v>
      </c>
      <c r="Y185" s="62">
        <v>2.13472222222222</v>
      </c>
      <c r="Z185" s="62">
        <v>1.20111111111111</v>
      </c>
      <c r="AA185" s="62">
        <v>1.20111111111111</v>
      </c>
      <c r="AB185" s="62">
        <v>2.315</v>
      </c>
      <c r="AC185" s="62">
        <v>2.315</v>
      </c>
      <c r="AD185" s="62">
        <v>1.19166666666666</v>
      </c>
      <c r="AE185" s="62">
        <v>2.315</v>
      </c>
      <c r="AF185" s="62">
        <v>16.0</v>
      </c>
    </row>
    <row r="186">
      <c r="A186" s="68">
        <v>46083.0</v>
      </c>
      <c r="B186" s="62" t="s">
        <v>71</v>
      </c>
      <c r="C186" s="62" t="s">
        <v>163</v>
      </c>
      <c r="D186" s="62">
        <v>8.0</v>
      </c>
      <c r="E186" s="62">
        <v>13.0</v>
      </c>
      <c r="F186" s="62">
        <v>6.0</v>
      </c>
      <c r="G186" s="62">
        <v>6.0</v>
      </c>
      <c r="H186" s="62">
        <v>7.0</v>
      </c>
      <c r="I186" s="62">
        <v>1.0</v>
      </c>
      <c r="J186" s="62">
        <v>6.0</v>
      </c>
      <c r="K186" s="62">
        <v>1.0</v>
      </c>
      <c r="L186" s="62">
        <v>0.0</v>
      </c>
      <c r="M186" s="62">
        <v>10.0</v>
      </c>
      <c r="N186" s="62">
        <v>10.0</v>
      </c>
      <c r="O186" s="62">
        <v>5.0</v>
      </c>
      <c r="P186" s="62">
        <v>10.0</v>
      </c>
      <c r="Q186" s="62">
        <v>0.0</v>
      </c>
      <c r="R186" s="62">
        <v>21396.0</v>
      </c>
      <c r="S186" s="62">
        <v>40930.0</v>
      </c>
      <c r="T186" s="62">
        <v>1.92555555555555</v>
      </c>
      <c r="U186" s="62">
        <v>1.65499999999999</v>
      </c>
      <c r="V186" s="62">
        <v>1.67722222222222</v>
      </c>
      <c r="W186" s="62">
        <v>1.94777777777777</v>
      </c>
      <c r="X186" s="62">
        <v>0.270555555555555</v>
      </c>
      <c r="Y186" s="62">
        <v>1.67722222222222</v>
      </c>
      <c r="Z186" s="62">
        <v>0.277777777777777</v>
      </c>
      <c r="AA186" s="62">
        <v>0.0</v>
      </c>
      <c r="AB186" s="62">
        <v>2.79555555555555</v>
      </c>
      <c r="AC186" s="62">
        <v>2.79555555555555</v>
      </c>
      <c r="AD186" s="62">
        <v>1.30666666666666</v>
      </c>
      <c r="AE186" s="62">
        <v>2.79555555555555</v>
      </c>
      <c r="AF186" s="62">
        <v>7.0</v>
      </c>
    </row>
    <row r="187">
      <c r="A187" s="68">
        <v>46083.0</v>
      </c>
      <c r="B187" s="62" t="s">
        <v>76</v>
      </c>
      <c r="C187" s="62" t="s">
        <v>165</v>
      </c>
      <c r="D187" s="62">
        <v>14.0</v>
      </c>
      <c r="E187" s="62">
        <v>16.0</v>
      </c>
      <c r="F187" s="62">
        <v>6.0</v>
      </c>
      <c r="G187" s="62">
        <v>9.0</v>
      </c>
      <c r="H187" s="62">
        <v>9.0</v>
      </c>
      <c r="I187" s="62">
        <v>0.0</v>
      </c>
      <c r="J187" s="62">
        <v>13.0</v>
      </c>
      <c r="K187" s="62">
        <v>2.0</v>
      </c>
      <c r="L187" s="62">
        <v>2.0</v>
      </c>
      <c r="M187" s="62">
        <v>13.0</v>
      </c>
      <c r="N187" s="62">
        <v>13.0</v>
      </c>
      <c r="O187" s="62">
        <v>5.0</v>
      </c>
      <c r="P187" s="62">
        <v>13.0</v>
      </c>
      <c r="Q187" s="62">
        <v>0.0</v>
      </c>
      <c r="R187" s="62">
        <v>41500.0</v>
      </c>
      <c r="S187" s="62">
        <v>43253.0</v>
      </c>
      <c r="T187" s="62">
        <v>1.51861111111111</v>
      </c>
      <c r="U187" s="62">
        <v>1.51861111111111</v>
      </c>
      <c r="V187" s="62">
        <v>2.46694444444444</v>
      </c>
      <c r="W187" s="62">
        <v>2.46694444444444</v>
      </c>
      <c r="X187" s="62">
        <v>0.0</v>
      </c>
      <c r="Y187" s="62">
        <v>3.49555555555555</v>
      </c>
      <c r="Z187" s="62">
        <v>0.553333333333333</v>
      </c>
      <c r="AA187" s="62">
        <v>0.553333333333333</v>
      </c>
      <c r="AB187" s="62">
        <v>3.49555555555555</v>
      </c>
      <c r="AC187" s="62">
        <v>3.49555555555555</v>
      </c>
      <c r="AD187" s="62">
        <v>1.20416666666666</v>
      </c>
      <c r="AE187" s="62">
        <v>3.49555555555555</v>
      </c>
      <c r="AF187" s="62">
        <v>6.0</v>
      </c>
    </row>
    <row r="188">
      <c r="A188" s="68">
        <v>46083.0</v>
      </c>
      <c r="B188" s="62" t="s">
        <v>104</v>
      </c>
      <c r="C188" s="62" t="s">
        <v>166</v>
      </c>
      <c r="D188" s="62">
        <v>4.0</v>
      </c>
      <c r="E188" s="62">
        <v>0.0</v>
      </c>
      <c r="F188" s="62">
        <v>0.0</v>
      </c>
      <c r="G188" s="62">
        <v>0.0</v>
      </c>
      <c r="H188" s="62">
        <v>0.0</v>
      </c>
      <c r="I188" s="62">
        <v>0.0</v>
      </c>
      <c r="J188" s="62">
        <v>0.0</v>
      </c>
      <c r="K188" s="62">
        <v>0.0</v>
      </c>
      <c r="L188" s="62">
        <v>0.0</v>
      </c>
      <c r="M188" s="62">
        <v>0.0</v>
      </c>
      <c r="N188" s="62">
        <v>0.0</v>
      </c>
      <c r="O188" s="62">
        <v>0.0</v>
      </c>
      <c r="P188" s="62">
        <v>0.0</v>
      </c>
      <c r="Q188" s="62">
        <v>0.0</v>
      </c>
      <c r="R188" s="62">
        <v>9602.0</v>
      </c>
      <c r="S188" s="62">
        <v>0.0</v>
      </c>
      <c r="T188" s="62">
        <v>0.0</v>
      </c>
      <c r="U188" s="62">
        <v>0.0</v>
      </c>
      <c r="V188" s="62">
        <v>0.0</v>
      </c>
      <c r="W188" s="62">
        <v>0.0</v>
      </c>
      <c r="X188" s="62">
        <v>0.0</v>
      </c>
      <c r="Y188" s="62">
        <v>0.0</v>
      </c>
      <c r="Z188" s="62">
        <v>0.0</v>
      </c>
      <c r="AA188" s="62">
        <v>0.0</v>
      </c>
      <c r="AB188" s="62">
        <v>0.0</v>
      </c>
      <c r="AC188" s="62">
        <v>0.0</v>
      </c>
      <c r="AD188" s="62">
        <v>0.0</v>
      </c>
      <c r="AE188" s="62">
        <v>0.0</v>
      </c>
      <c r="AF188" s="62">
        <v>0.0</v>
      </c>
    </row>
    <row r="189">
      <c r="A189" s="68">
        <v>46083.0</v>
      </c>
      <c r="B189" s="62" t="s">
        <v>32</v>
      </c>
      <c r="C189" s="62" t="s">
        <v>168</v>
      </c>
      <c r="D189" s="62">
        <v>10.0</v>
      </c>
      <c r="E189" s="62">
        <v>12.0</v>
      </c>
      <c r="F189" s="62">
        <v>7.0</v>
      </c>
      <c r="G189" s="62">
        <v>0.0</v>
      </c>
      <c r="H189" s="62">
        <v>16.0</v>
      </c>
      <c r="I189" s="62">
        <v>8.0</v>
      </c>
      <c r="J189" s="62">
        <v>18.0</v>
      </c>
      <c r="K189" s="62">
        <v>0.0</v>
      </c>
      <c r="L189" s="62">
        <v>0.0</v>
      </c>
      <c r="M189" s="62">
        <v>17.0</v>
      </c>
      <c r="N189" s="62">
        <v>17.0</v>
      </c>
      <c r="O189" s="62">
        <v>5.0</v>
      </c>
      <c r="P189" s="62">
        <v>17.0</v>
      </c>
      <c r="Q189" s="62">
        <v>0.0</v>
      </c>
      <c r="R189" s="62">
        <v>25198.0</v>
      </c>
      <c r="S189" s="62">
        <v>30307.0</v>
      </c>
      <c r="T189" s="62">
        <v>3.57416666666666</v>
      </c>
      <c r="U189" s="62">
        <v>1.66444444444444</v>
      </c>
      <c r="V189" s="62">
        <v>0.0</v>
      </c>
      <c r="W189" s="62">
        <v>3.81833333333333</v>
      </c>
      <c r="X189" s="62">
        <v>1.90972222222222</v>
      </c>
      <c r="Y189" s="62">
        <v>4.26944444444444</v>
      </c>
      <c r="Z189" s="62">
        <v>0.0</v>
      </c>
      <c r="AA189" s="62">
        <v>0.0</v>
      </c>
      <c r="AB189" s="62">
        <v>4.03388888888888</v>
      </c>
      <c r="AC189" s="62">
        <v>4.03388888888888</v>
      </c>
      <c r="AD189" s="62">
        <v>1.05277777777777</v>
      </c>
      <c r="AE189" s="62">
        <v>4.03388888888888</v>
      </c>
      <c r="AF189" s="62">
        <v>15.0</v>
      </c>
    </row>
    <row r="190">
      <c r="A190" s="68">
        <v>46083.0</v>
      </c>
      <c r="B190" s="62" t="s">
        <v>65</v>
      </c>
      <c r="C190" s="62" t="s">
        <v>173</v>
      </c>
      <c r="D190" s="62">
        <v>7.0</v>
      </c>
      <c r="E190" s="62">
        <v>0.0</v>
      </c>
      <c r="F190" s="62">
        <v>4.0</v>
      </c>
      <c r="G190" s="62">
        <v>2.0</v>
      </c>
      <c r="H190" s="62">
        <v>4.0</v>
      </c>
      <c r="I190" s="62">
        <v>2.0</v>
      </c>
      <c r="J190" s="62">
        <v>2.0</v>
      </c>
      <c r="K190" s="62">
        <v>0.0</v>
      </c>
      <c r="L190" s="62">
        <v>0.0</v>
      </c>
      <c r="M190" s="62">
        <v>0.0</v>
      </c>
      <c r="N190" s="62">
        <v>0.0</v>
      </c>
      <c r="O190" s="62">
        <v>0.0</v>
      </c>
      <c r="P190" s="62">
        <v>0.0</v>
      </c>
      <c r="Q190" s="62">
        <v>0.0</v>
      </c>
      <c r="R190" s="62">
        <v>16612.0</v>
      </c>
      <c r="S190" s="62">
        <v>0.0</v>
      </c>
      <c r="T190" s="62">
        <v>2.64388888888888</v>
      </c>
      <c r="U190" s="62">
        <v>1.10055555555555</v>
      </c>
      <c r="V190" s="62">
        <v>0.545555555555555</v>
      </c>
      <c r="W190" s="62">
        <v>1.08888888888888</v>
      </c>
      <c r="X190" s="62">
        <v>0.543333333333333</v>
      </c>
      <c r="Y190" s="62">
        <v>0.548055555555555</v>
      </c>
      <c r="Z190" s="62">
        <v>0.0</v>
      </c>
      <c r="AA190" s="62">
        <v>0.0</v>
      </c>
      <c r="AB190" s="62">
        <v>0.0</v>
      </c>
      <c r="AC190" s="62">
        <v>0.0</v>
      </c>
      <c r="AD190" s="62">
        <v>0.0</v>
      </c>
      <c r="AE190" s="62">
        <v>0.0</v>
      </c>
      <c r="AF190" s="62">
        <v>9.0</v>
      </c>
    </row>
    <row r="191">
      <c r="A191" s="68">
        <v>46083.0</v>
      </c>
      <c r="B191" s="62" t="s">
        <v>37</v>
      </c>
      <c r="C191" s="62" t="s">
        <v>174</v>
      </c>
      <c r="D191" s="62">
        <v>17.0</v>
      </c>
      <c r="E191" s="62">
        <v>13.0</v>
      </c>
      <c r="F191" s="62">
        <v>16.0</v>
      </c>
      <c r="G191" s="62">
        <v>14.0</v>
      </c>
      <c r="H191" s="62">
        <v>14.0</v>
      </c>
      <c r="I191" s="62">
        <v>1.0</v>
      </c>
      <c r="J191" s="62">
        <v>11.0</v>
      </c>
      <c r="K191" s="62">
        <v>8.0</v>
      </c>
      <c r="L191" s="62">
        <v>7.0</v>
      </c>
      <c r="M191" s="62">
        <v>11.0</v>
      </c>
      <c r="N191" s="62">
        <v>12.0</v>
      </c>
      <c r="O191" s="62">
        <v>7.0</v>
      </c>
      <c r="P191" s="62">
        <v>12.0</v>
      </c>
      <c r="Q191" s="62">
        <v>0.0</v>
      </c>
      <c r="R191" s="62">
        <v>44301.0</v>
      </c>
      <c r="S191" s="62">
        <v>33235.0</v>
      </c>
      <c r="T191" s="62">
        <v>7.19833333333333</v>
      </c>
      <c r="U191" s="62">
        <v>4.57361111111111</v>
      </c>
      <c r="V191" s="62">
        <v>3.96194444444444</v>
      </c>
      <c r="W191" s="62">
        <v>3.9625</v>
      </c>
      <c r="X191" s="62">
        <v>0.29</v>
      </c>
      <c r="Y191" s="62">
        <v>3.09055555555555</v>
      </c>
      <c r="Z191" s="62">
        <v>2.21833333333333</v>
      </c>
      <c r="AA191" s="62">
        <v>1.92583333333333</v>
      </c>
      <c r="AB191" s="62">
        <v>3.05499999999999</v>
      </c>
      <c r="AC191" s="62">
        <v>3.29027777777777</v>
      </c>
      <c r="AD191" s="62">
        <v>1.85055555555555</v>
      </c>
      <c r="AE191" s="62">
        <v>3.29027777777777</v>
      </c>
      <c r="AF191" s="62">
        <v>25.0</v>
      </c>
    </row>
    <row r="192">
      <c r="A192" s="68">
        <v>46083.0</v>
      </c>
      <c r="B192" s="62" t="s">
        <v>81</v>
      </c>
      <c r="C192" s="62" t="s">
        <v>187</v>
      </c>
      <c r="D192" s="62">
        <v>0.0</v>
      </c>
      <c r="E192" s="62">
        <v>5.0</v>
      </c>
      <c r="F192" s="62">
        <v>7.0</v>
      </c>
      <c r="G192" s="62">
        <v>5.0</v>
      </c>
      <c r="H192" s="62">
        <v>14.0</v>
      </c>
      <c r="I192" s="62">
        <v>9.0</v>
      </c>
      <c r="J192" s="62">
        <v>13.0</v>
      </c>
      <c r="K192" s="62">
        <v>5.0</v>
      </c>
      <c r="L192" s="62">
        <v>2.0</v>
      </c>
      <c r="M192" s="62">
        <v>10.0</v>
      </c>
      <c r="N192" s="62">
        <v>10.0</v>
      </c>
      <c r="O192" s="62">
        <v>6.0</v>
      </c>
      <c r="P192" s="62">
        <v>10.0</v>
      </c>
      <c r="Q192" s="62">
        <v>0.0</v>
      </c>
      <c r="R192" s="62">
        <v>0.0</v>
      </c>
      <c r="S192" s="62">
        <v>10362.0</v>
      </c>
      <c r="T192" s="62">
        <v>3.3425</v>
      </c>
      <c r="U192" s="62">
        <v>1.35222222222222</v>
      </c>
      <c r="V192" s="62">
        <v>0.938611111111111</v>
      </c>
      <c r="W192" s="62">
        <v>2.67861111111111</v>
      </c>
      <c r="X192" s="62">
        <v>1.74</v>
      </c>
      <c r="Y192" s="62">
        <v>2.48722222222222</v>
      </c>
      <c r="Z192" s="62">
        <v>0.986388888888889</v>
      </c>
      <c r="AA192" s="62">
        <v>0.3925</v>
      </c>
      <c r="AB192" s="62">
        <v>1.94861111111111</v>
      </c>
      <c r="AC192" s="62">
        <v>1.94861111111111</v>
      </c>
      <c r="AD192" s="62">
        <v>1.16333333333333</v>
      </c>
      <c r="AE192" s="62">
        <v>1.94861111111111</v>
      </c>
      <c r="AF192" s="62">
        <v>17.0</v>
      </c>
    </row>
    <row r="193">
      <c r="A193" s="68">
        <v>46083.0</v>
      </c>
      <c r="B193" s="62" t="s">
        <v>84</v>
      </c>
      <c r="C193" s="62" t="s">
        <v>186</v>
      </c>
      <c r="D193" s="62">
        <v>5.0</v>
      </c>
      <c r="E193" s="62">
        <v>9.0</v>
      </c>
      <c r="F193" s="62">
        <v>0.0</v>
      </c>
      <c r="G193" s="62">
        <v>0.0</v>
      </c>
      <c r="H193" s="62">
        <v>0.0</v>
      </c>
      <c r="I193" s="62">
        <v>0.0</v>
      </c>
      <c r="J193" s="62">
        <v>0.0</v>
      </c>
      <c r="K193" s="62">
        <v>0.0</v>
      </c>
      <c r="L193" s="62">
        <v>0.0</v>
      </c>
      <c r="M193" s="62">
        <v>0.0</v>
      </c>
      <c r="N193" s="62">
        <v>0.0</v>
      </c>
      <c r="O193" s="62">
        <v>0.0</v>
      </c>
      <c r="P193" s="62">
        <v>0.0</v>
      </c>
      <c r="Q193" s="62">
        <v>0.0</v>
      </c>
      <c r="R193" s="62">
        <v>12240.0</v>
      </c>
      <c r="S193" s="62">
        <v>23539.0</v>
      </c>
      <c r="T193" s="62">
        <v>0.318888888888888</v>
      </c>
      <c r="U193" s="62">
        <v>0.0</v>
      </c>
      <c r="V193" s="62">
        <v>0.0</v>
      </c>
      <c r="W193" s="62">
        <v>0.0</v>
      </c>
      <c r="X193" s="62">
        <v>0.0</v>
      </c>
      <c r="Y193" s="62">
        <v>0.0</v>
      </c>
      <c r="Z193" s="62">
        <v>0.0</v>
      </c>
      <c r="AA193" s="62">
        <v>0.0</v>
      </c>
      <c r="AB193" s="62">
        <v>0.0</v>
      </c>
      <c r="AC193" s="62">
        <v>0.0</v>
      </c>
      <c r="AD193" s="62">
        <v>0.0</v>
      </c>
      <c r="AE193" s="62">
        <v>0.0</v>
      </c>
      <c r="AF193" s="62">
        <v>1.0</v>
      </c>
    </row>
    <row r="194">
      <c r="A194" s="68">
        <v>46083.0</v>
      </c>
      <c r="B194" s="62" t="s">
        <v>26</v>
      </c>
      <c r="C194" s="62" t="s">
        <v>178</v>
      </c>
      <c r="D194" s="62">
        <v>21.0</v>
      </c>
      <c r="E194" s="62">
        <v>28.0</v>
      </c>
      <c r="F194" s="62">
        <v>11.0</v>
      </c>
      <c r="G194" s="62">
        <v>12.0</v>
      </c>
      <c r="H194" s="62">
        <v>31.0</v>
      </c>
      <c r="I194" s="62">
        <v>19.0</v>
      </c>
      <c r="J194" s="62">
        <v>29.0</v>
      </c>
      <c r="K194" s="62">
        <v>4.0</v>
      </c>
      <c r="L194" s="62">
        <v>11.0</v>
      </c>
      <c r="M194" s="62">
        <v>28.0</v>
      </c>
      <c r="N194" s="62">
        <v>25.0</v>
      </c>
      <c r="O194" s="62">
        <v>6.0</v>
      </c>
      <c r="P194" s="62">
        <v>25.0</v>
      </c>
      <c r="Q194" s="62">
        <v>0.0</v>
      </c>
      <c r="R194" s="62">
        <v>46178.0</v>
      </c>
      <c r="S194" s="62">
        <v>68067.0</v>
      </c>
      <c r="T194" s="62">
        <v>6.22305555555555</v>
      </c>
      <c r="U194" s="62">
        <v>2.39611111111111</v>
      </c>
      <c r="V194" s="62">
        <v>2.60694444444444</v>
      </c>
      <c r="W194" s="62">
        <v>6.43388888888888</v>
      </c>
      <c r="X194" s="62">
        <v>3.82694444444444</v>
      </c>
      <c r="Y194" s="62">
        <v>6.03972222222222</v>
      </c>
      <c r="Z194" s="62">
        <v>0.876111111111111</v>
      </c>
      <c r="AA194" s="62">
        <v>2.29083333333333</v>
      </c>
      <c r="AB194" s="62">
        <v>5.89194444444444</v>
      </c>
      <c r="AC194" s="62">
        <v>5.21833333333333</v>
      </c>
      <c r="AD194" s="62">
        <v>1.15694444444444</v>
      </c>
      <c r="AE194" s="62">
        <v>5.21833333333333</v>
      </c>
      <c r="AF194" s="62">
        <v>30.0</v>
      </c>
    </row>
    <row r="195">
      <c r="A195" s="68">
        <v>46083.0</v>
      </c>
      <c r="B195" s="62" t="s">
        <v>62</v>
      </c>
      <c r="C195" s="62" t="s">
        <v>63</v>
      </c>
      <c r="D195" s="62">
        <v>9.0</v>
      </c>
      <c r="E195" s="62">
        <v>2.0</v>
      </c>
      <c r="F195" s="62">
        <v>6.0</v>
      </c>
      <c r="G195" s="62">
        <v>0.0</v>
      </c>
      <c r="H195" s="62">
        <v>12.0</v>
      </c>
      <c r="I195" s="62">
        <v>1.0</v>
      </c>
      <c r="J195" s="62">
        <v>14.0</v>
      </c>
      <c r="K195" s="62">
        <v>8.0</v>
      </c>
      <c r="L195" s="62">
        <v>0.0</v>
      </c>
      <c r="M195" s="62">
        <v>16.0</v>
      </c>
      <c r="N195" s="62">
        <v>16.0</v>
      </c>
      <c r="O195" s="62">
        <v>5.0</v>
      </c>
      <c r="P195" s="62">
        <v>16.0</v>
      </c>
      <c r="Q195" s="62">
        <v>0.0</v>
      </c>
      <c r="R195" s="62">
        <v>20705.0</v>
      </c>
      <c r="S195" s="62">
        <v>4623.0</v>
      </c>
      <c r="T195" s="62">
        <v>2.54833333333333</v>
      </c>
      <c r="U195" s="62">
        <v>1.1925</v>
      </c>
      <c r="V195" s="62">
        <v>0.0</v>
      </c>
      <c r="W195" s="62">
        <v>2.55333333333333</v>
      </c>
      <c r="X195" s="62">
        <v>0.181944444444444</v>
      </c>
      <c r="Y195" s="62">
        <v>3.06555555555555</v>
      </c>
      <c r="Z195" s="62">
        <v>1.76722222222222</v>
      </c>
      <c r="AA195" s="62">
        <v>0.0</v>
      </c>
      <c r="AB195" s="62">
        <v>3.58555555555555</v>
      </c>
      <c r="AC195" s="62">
        <v>3.58555555555555</v>
      </c>
      <c r="AD195" s="62">
        <v>1.19888888888888</v>
      </c>
      <c r="AE195" s="62">
        <v>3.58555555555555</v>
      </c>
      <c r="AF195" s="62">
        <v>13.0</v>
      </c>
    </row>
    <row r="196">
      <c r="A196" s="68">
        <v>46076.0</v>
      </c>
      <c r="B196" s="62" t="s">
        <v>79</v>
      </c>
      <c r="C196" s="62" t="s">
        <v>162</v>
      </c>
      <c r="D196" s="62">
        <v>0.0</v>
      </c>
      <c r="E196" s="62">
        <v>1.0</v>
      </c>
      <c r="F196" s="62">
        <v>7.0</v>
      </c>
      <c r="G196" s="62">
        <v>7.0</v>
      </c>
      <c r="H196" s="62">
        <v>15.0</v>
      </c>
      <c r="I196" s="62">
        <v>8.0</v>
      </c>
      <c r="J196" s="62">
        <v>15.0</v>
      </c>
      <c r="K196" s="62">
        <v>14.0</v>
      </c>
      <c r="L196" s="62">
        <v>14.0</v>
      </c>
      <c r="M196" s="62">
        <v>13.0</v>
      </c>
      <c r="N196" s="62">
        <v>24.0</v>
      </c>
      <c r="O196" s="62">
        <v>6.0</v>
      </c>
      <c r="P196" s="62">
        <v>24.0</v>
      </c>
      <c r="Q196" s="62">
        <v>0.0</v>
      </c>
      <c r="R196" s="62">
        <v>0.0</v>
      </c>
      <c r="S196" s="62">
        <v>2420.0</v>
      </c>
      <c r="T196" s="62">
        <v>2.28249999999999</v>
      </c>
      <c r="U196" s="62">
        <v>1.34972222222222</v>
      </c>
      <c r="V196" s="62">
        <v>1.32861111111111</v>
      </c>
      <c r="W196" s="62">
        <v>2.79388888888888</v>
      </c>
      <c r="X196" s="62">
        <v>1.46527777777777</v>
      </c>
      <c r="Y196" s="62">
        <v>2.77138888888888</v>
      </c>
      <c r="Z196" s="62">
        <v>2.60083333333333</v>
      </c>
      <c r="AA196" s="62">
        <v>2.59916666666666</v>
      </c>
      <c r="AB196" s="62">
        <v>2.30666666666666</v>
      </c>
      <c r="AC196" s="62">
        <v>4.38888888888888</v>
      </c>
      <c r="AD196" s="62">
        <v>1.13138888888888</v>
      </c>
      <c r="AE196" s="62">
        <v>4.38888888888888</v>
      </c>
      <c r="AF196" s="62">
        <v>12.0</v>
      </c>
    </row>
    <row r="197">
      <c r="A197" s="68">
        <v>46076.0</v>
      </c>
      <c r="B197" s="62" t="s">
        <v>71</v>
      </c>
      <c r="C197" s="62" t="s">
        <v>163</v>
      </c>
      <c r="D197" s="62">
        <v>3.0</v>
      </c>
      <c r="E197" s="62">
        <v>18.0</v>
      </c>
      <c r="F197" s="62">
        <v>10.0</v>
      </c>
      <c r="G197" s="62">
        <v>7.0</v>
      </c>
      <c r="H197" s="62">
        <v>8.0</v>
      </c>
      <c r="I197" s="62">
        <v>1.0</v>
      </c>
      <c r="J197" s="62">
        <v>12.0</v>
      </c>
      <c r="K197" s="62">
        <v>2.0</v>
      </c>
      <c r="L197" s="62">
        <v>2.0</v>
      </c>
      <c r="M197" s="62">
        <v>11.0</v>
      </c>
      <c r="N197" s="62">
        <v>12.0</v>
      </c>
      <c r="O197" s="62">
        <v>6.0</v>
      </c>
      <c r="P197" s="62">
        <v>12.0</v>
      </c>
      <c r="Q197" s="62">
        <v>0.0</v>
      </c>
      <c r="R197" s="62">
        <v>7954.0</v>
      </c>
      <c r="S197" s="62">
        <v>53035.0</v>
      </c>
      <c r="T197" s="62">
        <v>3.06888888888888</v>
      </c>
      <c r="U197" s="62">
        <v>2.80027777777777</v>
      </c>
      <c r="V197" s="62">
        <v>1.98388888888888</v>
      </c>
      <c r="W197" s="62">
        <v>2.2525</v>
      </c>
      <c r="X197" s="62">
        <v>0.268611111111111</v>
      </c>
      <c r="Y197" s="62">
        <v>3.32611111111111</v>
      </c>
      <c r="Z197" s="62">
        <v>0.544722222222222</v>
      </c>
      <c r="AA197" s="62">
        <v>0.545555555555555</v>
      </c>
      <c r="AB197" s="62">
        <v>2.98583333333333</v>
      </c>
      <c r="AC197" s="62">
        <v>3.25</v>
      </c>
      <c r="AD197" s="62">
        <v>1.61583333333333</v>
      </c>
      <c r="AE197" s="62">
        <v>3.25</v>
      </c>
      <c r="AF197" s="62">
        <v>11.0</v>
      </c>
    </row>
    <row r="198">
      <c r="A198" s="68">
        <v>46076.0</v>
      </c>
      <c r="B198" s="62" t="s">
        <v>76</v>
      </c>
      <c r="C198" s="62" t="s">
        <v>165</v>
      </c>
      <c r="D198" s="62">
        <v>20.0</v>
      </c>
      <c r="E198" s="62">
        <v>15.0</v>
      </c>
      <c r="F198" s="62">
        <v>16.0</v>
      </c>
      <c r="G198" s="62">
        <v>17.0</v>
      </c>
      <c r="H198" s="62">
        <v>22.0</v>
      </c>
      <c r="I198" s="62">
        <v>5.0</v>
      </c>
      <c r="J198" s="62">
        <v>18.0</v>
      </c>
      <c r="K198" s="62">
        <v>2.0</v>
      </c>
      <c r="L198" s="62">
        <v>1.0</v>
      </c>
      <c r="M198" s="62">
        <v>18.0</v>
      </c>
      <c r="N198" s="62">
        <v>18.0</v>
      </c>
      <c r="O198" s="62">
        <v>7.0</v>
      </c>
      <c r="P198" s="62">
        <v>18.0</v>
      </c>
      <c r="Q198" s="62">
        <v>0.0</v>
      </c>
      <c r="R198" s="62">
        <v>60312.0</v>
      </c>
      <c r="S198" s="62">
        <v>38874.0</v>
      </c>
      <c r="T198" s="62">
        <v>5.43388888888888</v>
      </c>
      <c r="U198" s="62">
        <v>4.42888888888888</v>
      </c>
      <c r="V198" s="62">
        <v>4.59722222222222</v>
      </c>
      <c r="W198" s="62">
        <v>5.91944444444444</v>
      </c>
      <c r="X198" s="62">
        <v>1.32222222222222</v>
      </c>
      <c r="Y198" s="62">
        <v>4.89444444444444</v>
      </c>
      <c r="Z198" s="62">
        <v>0.523055555555555</v>
      </c>
      <c r="AA198" s="62">
        <v>0.238888888888888</v>
      </c>
      <c r="AB198" s="62">
        <v>4.89444444444444</v>
      </c>
      <c r="AC198" s="62">
        <v>4.89444444444444</v>
      </c>
      <c r="AD198" s="62">
        <v>1.72722222222222</v>
      </c>
      <c r="AE198" s="62">
        <v>4.89444444444444</v>
      </c>
      <c r="AF198" s="62">
        <v>20.0</v>
      </c>
    </row>
    <row r="199">
      <c r="A199" s="68">
        <v>46076.0</v>
      </c>
      <c r="B199" s="62" t="s">
        <v>32</v>
      </c>
      <c r="C199" s="62" t="s">
        <v>168</v>
      </c>
      <c r="D199" s="62">
        <v>21.0</v>
      </c>
      <c r="E199" s="62">
        <v>21.0</v>
      </c>
      <c r="F199" s="62">
        <v>3.0</v>
      </c>
      <c r="G199" s="62">
        <v>0.0</v>
      </c>
      <c r="H199" s="62">
        <v>16.0</v>
      </c>
      <c r="I199" s="62">
        <v>14.0</v>
      </c>
      <c r="J199" s="62">
        <v>17.0</v>
      </c>
      <c r="K199" s="62">
        <v>2.0</v>
      </c>
      <c r="L199" s="62">
        <v>0.0</v>
      </c>
      <c r="M199" s="62">
        <v>19.0</v>
      </c>
      <c r="N199" s="62">
        <v>19.0</v>
      </c>
      <c r="O199" s="62">
        <v>5.0</v>
      </c>
      <c r="P199" s="62">
        <v>19.0</v>
      </c>
      <c r="Q199" s="62">
        <v>0.0</v>
      </c>
      <c r="R199" s="62">
        <v>53791.0</v>
      </c>
      <c r="S199" s="62">
        <v>53791.0</v>
      </c>
      <c r="T199" s="62">
        <v>4.23916666666666</v>
      </c>
      <c r="U199" s="62">
        <v>0.755</v>
      </c>
      <c r="V199" s="62">
        <v>0.0</v>
      </c>
      <c r="W199" s="62">
        <v>3.99472222222222</v>
      </c>
      <c r="X199" s="62">
        <v>3.48416666666666</v>
      </c>
      <c r="Y199" s="62">
        <v>4.3275</v>
      </c>
      <c r="Z199" s="62">
        <v>0.523333333333333</v>
      </c>
      <c r="AA199" s="62">
        <v>0.0</v>
      </c>
      <c r="AB199" s="62">
        <v>4.82861111111111</v>
      </c>
      <c r="AC199" s="62">
        <v>4.82861111111111</v>
      </c>
      <c r="AD199" s="62">
        <v>1.08777777777777</v>
      </c>
      <c r="AE199" s="62">
        <v>4.82861111111111</v>
      </c>
      <c r="AF199" s="62">
        <v>17.0</v>
      </c>
    </row>
    <row r="200">
      <c r="A200" s="68">
        <v>46076.0</v>
      </c>
      <c r="B200" s="62" t="s">
        <v>65</v>
      </c>
      <c r="C200" s="62" t="s">
        <v>173</v>
      </c>
      <c r="D200" s="62">
        <v>8.0</v>
      </c>
      <c r="E200" s="62">
        <v>0.0</v>
      </c>
      <c r="F200" s="62">
        <v>0.0</v>
      </c>
      <c r="G200" s="62">
        <v>0.0</v>
      </c>
      <c r="H200" s="62">
        <v>0.0</v>
      </c>
      <c r="I200" s="62">
        <v>0.0</v>
      </c>
      <c r="J200" s="62">
        <v>0.0</v>
      </c>
      <c r="K200" s="62">
        <v>0.0</v>
      </c>
      <c r="L200" s="62">
        <v>0.0</v>
      </c>
      <c r="M200" s="62">
        <v>0.0</v>
      </c>
      <c r="N200" s="62">
        <v>0.0</v>
      </c>
      <c r="O200" s="62">
        <v>0.0</v>
      </c>
      <c r="P200" s="62">
        <v>0.0</v>
      </c>
      <c r="Q200" s="62">
        <v>0.0</v>
      </c>
      <c r="R200" s="62">
        <v>19302.0</v>
      </c>
      <c r="S200" s="62">
        <v>0.0</v>
      </c>
      <c r="T200" s="62">
        <v>0.268888888888888</v>
      </c>
      <c r="U200" s="62">
        <v>0.0</v>
      </c>
      <c r="V200" s="62">
        <v>0.0</v>
      </c>
      <c r="W200" s="62">
        <v>0.0</v>
      </c>
      <c r="X200" s="62">
        <v>0.0</v>
      </c>
      <c r="Y200" s="62">
        <v>0.0</v>
      </c>
      <c r="Z200" s="62">
        <v>0.0</v>
      </c>
      <c r="AA200" s="62">
        <v>0.0</v>
      </c>
      <c r="AB200" s="62">
        <v>0.0</v>
      </c>
      <c r="AC200" s="62">
        <v>0.0</v>
      </c>
      <c r="AD200" s="62">
        <v>0.0</v>
      </c>
      <c r="AE200" s="62">
        <v>0.0</v>
      </c>
      <c r="AF200" s="62">
        <v>1.0</v>
      </c>
    </row>
    <row r="201">
      <c r="A201" s="68">
        <v>46076.0</v>
      </c>
      <c r="B201" s="62" t="s">
        <v>37</v>
      </c>
      <c r="C201" s="62" t="s">
        <v>174</v>
      </c>
      <c r="D201" s="62">
        <v>15.0</v>
      </c>
      <c r="E201" s="62">
        <v>15.0</v>
      </c>
      <c r="F201" s="62">
        <v>8.0</v>
      </c>
      <c r="G201" s="62">
        <v>8.0</v>
      </c>
      <c r="H201" s="62">
        <v>11.0</v>
      </c>
      <c r="I201" s="62">
        <v>2.0</v>
      </c>
      <c r="J201" s="62">
        <v>11.0</v>
      </c>
      <c r="K201" s="62">
        <v>1.0</v>
      </c>
      <c r="L201" s="62">
        <v>0.0</v>
      </c>
      <c r="M201" s="62">
        <v>10.0</v>
      </c>
      <c r="N201" s="62">
        <v>9.0</v>
      </c>
      <c r="O201" s="62">
        <v>5.0</v>
      </c>
      <c r="P201" s="62">
        <v>9.0</v>
      </c>
      <c r="Q201" s="62">
        <v>0.0</v>
      </c>
      <c r="R201" s="62">
        <v>37534.0</v>
      </c>
      <c r="S201" s="62">
        <v>37361.0</v>
      </c>
      <c r="T201" s="62">
        <v>1.66277777777777</v>
      </c>
      <c r="U201" s="62">
        <v>2.28611111111111</v>
      </c>
      <c r="V201" s="62">
        <v>2.28555555555555</v>
      </c>
      <c r="W201" s="62">
        <v>3.03249999999999</v>
      </c>
      <c r="X201" s="62">
        <v>0.511666666666666</v>
      </c>
      <c r="Y201" s="62">
        <v>3.02472222222222</v>
      </c>
      <c r="Z201" s="62">
        <v>0.281388888888888</v>
      </c>
      <c r="AA201" s="62">
        <v>0.0</v>
      </c>
      <c r="AB201" s="62">
        <v>2.76638888888888</v>
      </c>
      <c r="AC201" s="62">
        <v>2.53111111111111</v>
      </c>
      <c r="AD201" s="62">
        <v>1.38333333333333</v>
      </c>
      <c r="AE201" s="62">
        <v>2.53111111111111</v>
      </c>
      <c r="AF201" s="62">
        <v>6.0</v>
      </c>
    </row>
    <row r="202">
      <c r="A202" s="68">
        <v>46076.0</v>
      </c>
      <c r="B202" s="62" t="s">
        <v>81</v>
      </c>
      <c r="C202" s="62" t="s">
        <v>187</v>
      </c>
      <c r="D202" s="62">
        <v>5.0</v>
      </c>
      <c r="E202" s="62">
        <v>19.0</v>
      </c>
      <c r="F202" s="62">
        <v>7.0</v>
      </c>
      <c r="G202" s="62">
        <v>8.0</v>
      </c>
      <c r="H202" s="62">
        <v>14.0</v>
      </c>
      <c r="I202" s="62">
        <v>6.0</v>
      </c>
      <c r="J202" s="62">
        <v>15.0</v>
      </c>
      <c r="K202" s="62">
        <v>6.0</v>
      </c>
      <c r="L202" s="62">
        <v>2.0</v>
      </c>
      <c r="M202" s="62">
        <v>15.0</v>
      </c>
      <c r="N202" s="62">
        <v>37.0</v>
      </c>
      <c r="O202" s="62">
        <v>6.0</v>
      </c>
      <c r="P202" s="62">
        <v>37.0</v>
      </c>
      <c r="Q202" s="62">
        <v>0.0</v>
      </c>
      <c r="R202" s="62">
        <v>10362.0</v>
      </c>
      <c r="S202" s="62">
        <v>41786.0</v>
      </c>
      <c r="T202" s="62">
        <v>2.18444444444444</v>
      </c>
      <c r="U202" s="62">
        <v>1.45888888888888</v>
      </c>
      <c r="V202" s="62">
        <v>1.70805555555555</v>
      </c>
      <c r="W202" s="62">
        <v>3.03861111111111</v>
      </c>
      <c r="X202" s="62">
        <v>1.33055555555555</v>
      </c>
      <c r="Y202" s="62">
        <v>3.26944444444444</v>
      </c>
      <c r="Z202" s="62">
        <v>1.29388888888888</v>
      </c>
      <c r="AA202" s="62">
        <v>0.434444444444444</v>
      </c>
      <c r="AB202" s="62">
        <v>3.26944444444444</v>
      </c>
      <c r="AC202" s="62">
        <v>7.76305555555555</v>
      </c>
      <c r="AD202" s="62">
        <v>1.34055555555555</v>
      </c>
      <c r="AE202" s="62">
        <v>7.76305555555555</v>
      </c>
      <c r="AF202" s="62">
        <v>10.0</v>
      </c>
    </row>
    <row r="203">
      <c r="A203" s="68">
        <v>46076.0</v>
      </c>
      <c r="B203" s="62" t="s">
        <v>84</v>
      </c>
      <c r="C203" s="62" t="s">
        <v>186</v>
      </c>
      <c r="D203" s="62">
        <v>7.0</v>
      </c>
      <c r="E203" s="62">
        <v>2.0</v>
      </c>
      <c r="F203" s="62">
        <v>0.0</v>
      </c>
      <c r="G203" s="62">
        <v>0.0</v>
      </c>
      <c r="H203" s="62">
        <v>0.0</v>
      </c>
      <c r="I203" s="62">
        <v>0.0</v>
      </c>
      <c r="J203" s="62">
        <v>0.0</v>
      </c>
      <c r="K203" s="62">
        <v>0.0</v>
      </c>
      <c r="L203" s="62">
        <v>0.0</v>
      </c>
      <c r="M203" s="62">
        <v>0.0</v>
      </c>
      <c r="N203" s="62">
        <v>0.0</v>
      </c>
      <c r="O203" s="62">
        <v>0.0</v>
      </c>
      <c r="P203" s="62">
        <v>0.0</v>
      </c>
      <c r="Q203" s="62">
        <v>0.0</v>
      </c>
      <c r="R203" s="62">
        <v>17293.0</v>
      </c>
      <c r="S203" s="62">
        <v>5129.0</v>
      </c>
      <c r="T203" s="62">
        <v>0.0</v>
      </c>
      <c r="U203" s="62">
        <v>0.0</v>
      </c>
      <c r="V203" s="62">
        <v>0.0</v>
      </c>
      <c r="W203" s="62">
        <v>0.0</v>
      </c>
      <c r="X203" s="62">
        <v>0.0</v>
      </c>
      <c r="Y203" s="62">
        <v>0.0</v>
      </c>
      <c r="Z203" s="62">
        <v>0.0</v>
      </c>
      <c r="AA203" s="62">
        <v>0.0</v>
      </c>
      <c r="AB203" s="62">
        <v>0.0</v>
      </c>
      <c r="AC203" s="62">
        <v>0.0</v>
      </c>
      <c r="AD203" s="62">
        <v>0.0</v>
      </c>
      <c r="AE203" s="62">
        <v>0.0</v>
      </c>
      <c r="AF203" s="62">
        <v>0.0</v>
      </c>
    </row>
    <row r="204">
      <c r="A204" s="68">
        <v>46076.0</v>
      </c>
      <c r="B204" s="62" t="s">
        <v>26</v>
      </c>
      <c r="C204" s="62" t="s">
        <v>178</v>
      </c>
      <c r="D204" s="62">
        <v>29.0</v>
      </c>
      <c r="E204" s="62">
        <v>30.0</v>
      </c>
      <c r="F204" s="62">
        <v>13.0</v>
      </c>
      <c r="G204" s="62">
        <v>12.0</v>
      </c>
      <c r="H204" s="62">
        <v>29.0</v>
      </c>
      <c r="I204" s="62">
        <v>17.0</v>
      </c>
      <c r="J204" s="62">
        <v>29.0</v>
      </c>
      <c r="K204" s="62">
        <v>9.0</v>
      </c>
      <c r="L204" s="62">
        <v>2.0</v>
      </c>
      <c r="M204" s="62">
        <v>20.0</v>
      </c>
      <c r="N204" s="62">
        <v>22.0</v>
      </c>
      <c r="O204" s="62">
        <v>5.0</v>
      </c>
      <c r="P204" s="62">
        <v>22.0</v>
      </c>
      <c r="Q204" s="62">
        <v>0.0</v>
      </c>
      <c r="R204" s="62">
        <v>63011.0</v>
      </c>
      <c r="S204" s="62">
        <v>72651.0</v>
      </c>
      <c r="T204" s="62">
        <v>5.95277777777777</v>
      </c>
      <c r="U204" s="62">
        <v>2.55805555555555</v>
      </c>
      <c r="V204" s="62">
        <v>2.35638888888888</v>
      </c>
      <c r="W204" s="62">
        <v>5.75111111111111</v>
      </c>
      <c r="X204" s="62">
        <v>3.39472222222222</v>
      </c>
      <c r="Y204" s="62">
        <v>5.75277777777777</v>
      </c>
      <c r="Z204" s="62">
        <v>1.80916666666666</v>
      </c>
      <c r="AA204" s="62">
        <v>0.43</v>
      </c>
      <c r="AB204" s="62">
        <v>3.93194444444444</v>
      </c>
      <c r="AC204" s="62">
        <v>4.34055555555555</v>
      </c>
      <c r="AD204" s="62">
        <v>1.01916666666666</v>
      </c>
      <c r="AE204" s="62">
        <v>4.34055555555555</v>
      </c>
      <c r="AF204" s="62">
        <v>30.0</v>
      </c>
    </row>
    <row r="205">
      <c r="A205" s="68">
        <v>46076.0</v>
      </c>
      <c r="B205" s="62" t="s">
        <v>62</v>
      </c>
      <c r="C205" s="62" t="s">
        <v>63</v>
      </c>
      <c r="D205" s="62">
        <v>0.0</v>
      </c>
      <c r="E205" s="62">
        <v>15.0</v>
      </c>
      <c r="F205" s="62">
        <v>17.0</v>
      </c>
      <c r="G205" s="62">
        <v>0.0</v>
      </c>
      <c r="H205" s="62">
        <v>18.0</v>
      </c>
      <c r="I205" s="62">
        <v>8.0</v>
      </c>
      <c r="J205" s="62">
        <v>16.0</v>
      </c>
      <c r="K205" s="62">
        <v>3.0</v>
      </c>
      <c r="L205" s="62">
        <v>1.0</v>
      </c>
      <c r="M205" s="62">
        <v>15.0</v>
      </c>
      <c r="N205" s="62">
        <v>15.0</v>
      </c>
      <c r="O205" s="62">
        <v>6.0</v>
      </c>
      <c r="P205" s="62">
        <v>15.0</v>
      </c>
      <c r="Q205" s="62">
        <v>0.0</v>
      </c>
      <c r="R205" s="62">
        <v>0.0</v>
      </c>
      <c r="S205" s="62">
        <v>34463.0</v>
      </c>
      <c r="T205" s="62">
        <v>3.86166666666666</v>
      </c>
      <c r="U205" s="62">
        <v>3.84555555555555</v>
      </c>
      <c r="V205" s="62">
        <v>0.0</v>
      </c>
      <c r="W205" s="62">
        <v>4.24138888888888</v>
      </c>
      <c r="X205" s="62">
        <v>1.84416666666666</v>
      </c>
      <c r="Y205" s="62">
        <v>3.79</v>
      </c>
      <c r="Z205" s="62">
        <v>0.720833333333333</v>
      </c>
      <c r="AA205" s="62">
        <v>0.257777777777777</v>
      </c>
      <c r="AB205" s="62">
        <v>3.52805555555555</v>
      </c>
      <c r="AC205" s="62">
        <v>3.52777777777777</v>
      </c>
      <c r="AD205" s="62">
        <v>1.34055555555555</v>
      </c>
      <c r="AE205" s="62">
        <v>3.52777777777777</v>
      </c>
      <c r="AF205" s="62">
        <v>17.0</v>
      </c>
    </row>
    <row r="206">
      <c r="A206" s="68">
        <v>46069.0</v>
      </c>
      <c r="B206" s="62" t="s">
        <v>79</v>
      </c>
      <c r="C206" s="62" t="s">
        <v>162</v>
      </c>
      <c r="D206" s="62">
        <v>14.0</v>
      </c>
      <c r="E206" s="62">
        <v>24.0</v>
      </c>
      <c r="F206" s="62">
        <v>5.0</v>
      </c>
      <c r="G206" s="62">
        <v>4.0</v>
      </c>
      <c r="H206" s="62">
        <v>8.0</v>
      </c>
      <c r="I206" s="62">
        <v>4.0</v>
      </c>
      <c r="J206" s="62">
        <v>7.0</v>
      </c>
      <c r="K206" s="62">
        <v>6.0</v>
      </c>
      <c r="L206" s="62">
        <v>7.0</v>
      </c>
      <c r="M206" s="62">
        <v>6.0</v>
      </c>
      <c r="N206" s="62">
        <v>0.0</v>
      </c>
      <c r="O206" s="62">
        <v>0.0</v>
      </c>
      <c r="P206" s="62">
        <v>0.0</v>
      </c>
      <c r="Q206" s="62">
        <v>0.0</v>
      </c>
      <c r="R206" s="62">
        <v>29868.0</v>
      </c>
      <c r="S206" s="62">
        <v>50801.0</v>
      </c>
      <c r="T206" s="62">
        <v>1.85111111111111</v>
      </c>
      <c r="U206" s="62">
        <v>0.831388888888888</v>
      </c>
      <c r="V206" s="62">
        <v>0.651666666666666</v>
      </c>
      <c r="W206" s="62">
        <v>1.30555555555555</v>
      </c>
      <c r="X206" s="62">
        <v>0.653888888888889</v>
      </c>
      <c r="Y206" s="62">
        <v>1.13361111111111</v>
      </c>
      <c r="Z206" s="62">
        <v>0.955277777777777</v>
      </c>
      <c r="AA206" s="62">
        <v>1.14972222222222</v>
      </c>
      <c r="AB206" s="62">
        <v>0.998611111111111</v>
      </c>
      <c r="AC206" s="62">
        <v>0.0</v>
      </c>
      <c r="AD206" s="62">
        <v>0.0</v>
      </c>
      <c r="AE206" s="62">
        <v>0.0</v>
      </c>
      <c r="AF206" s="62">
        <v>11.0</v>
      </c>
    </row>
    <row r="207">
      <c r="A207" s="68">
        <v>46069.0</v>
      </c>
      <c r="B207" s="62" t="s">
        <v>71</v>
      </c>
      <c r="C207" s="62" t="s">
        <v>163</v>
      </c>
      <c r="D207" s="62">
        <v>0.0</v>
      </c>
      <c r="E207" s="62">
        <v>6.0</v>
      </c>
      <c r="F207" s="62">
        <v>12.0</v>
      </c>
      <c r="G207" s="62">
        <v>13.0</v>
      </c>
      <c r="H207" s="62">
        <v>18.0</v>
      </c>
      <c r="I207" s="62">
        <v>5.0</v>
      </c>
      <c r="J207" s="62">
        <v>14.0</v>
      </c>
      <c r="K207" s="62">
        <v>6.0</v>
      </c>
      <c r="L207" s="62">
        <v>6.0</v>
      </c>
      <c r="M207" s="62">
        <v>12.0</v>
      </c>
      <c r="N207" s="62">
        <v>12.0</v>
      </c>
      <c r="O207" s="62">
        <v>6.0</v>
      </c>
      <c r="P207" s="62">
        <v>12.0</v>
      </c>
      <c r="Q207" s="62">
        <v>0.0</v>
      </c>
      <c r="R207" s="62">
        <v>0.0</v>
      </c>
      <c r="S207" s="62">
        <v>18746.0</v>
      </c>
      <c r="T207" s="62">
        <v>4.46972222222222</v>
      </c>
      <c r="U207" s="62">
        <v>3.16888888888888</v>
      </c>
      <c r="V207" s="62">
        <v>3.42555555555555</v>
      </c>
      <c r="W207" s="62">
        <v>4.72638888888888</v>
      </c>
      <c r="X207" s="62">
        <v>1.30083333333333</v>
      </c>
      <c r="Y207" s="62">
        <v>3.6725</v>
      </c>
      <c r="Z207" s="62">
        <v>1.60833333333333</v>
      </c>
      <c r="AA207" s="62">
        <v>1.60861111111111</v>
      </c>
      <c r="AB207" s="62">
        <v>3.15222222222222</v>
      </c>
      <c r="AC207" s="62">
        <v>3.15277777777777</v>
      </c>
      <c r="AD207" s="62">
        <v>1.73388888888888</v>
      </c>
      <c r="AE207" s="62">
        <v>3.15277777777777</v>
      </c>
      <c r="AF207" s="62">
        <v>17.0</v>
      </c>
    </row>
    <row r="208">
      <c r="A208" s="68">
        <v>46069.0</v>
      </c>
      <c r="B208" s="62" t="s">
        <v>76</v>
      </c>
      <c r="C208" s="62" t="s">
        <v>165</v>
      </c>
      <c r="D208" s="62">
        <v>20.0</v>
      </c>
      <c r="E208" s="62">
        <v>22.0</v>
      </c>
      <c r="F208" s="62">
        <v>20.0</v>
      </c>
      <c r="G208" s="62">
        <v>18.0</v>
      </c>
      <c r="H208" s="62">
        <v>18.0</v>
      </c>
      <c r="I208" s="62">
        <v>0.0</v>
      </c>
      <c r="J208" s="62">
        <v>18.0</v>
      </c>
      <c r="K208" s="62">
        <v>9.0</v>
      </c>
      <c r="L208" s="62">
        <v>9.0</v>
      </c>
      <c r="M208" s="62">
        <v>20.0</v>
      </c>
      <c r="N208" s="62">
        <v>20.0</v>
      </c>
      <c r="O208" s="62">
        <v>6.0</v>
      </c>
      <c r="P208" s="62">
        <v>20.0</v>
      </c>
      <c r="Q208" s="62">
        <v>0.0</v>
      </c>
      <c r="R208" s="62">
        <v>54205.0</v>
      </c>
      <c r="S208" s="62">
        <v>61561.0</v>
      </c>
      <c r="T208" s="62">
        <v>6.32111111111111</v>
      </c>
      <c r="U208" s="62">
        <v>6.00388888888888</v>
      </c>
      <c r="V208" s="62">
        <v>5.77888888888889</v>
      </c>
      <c r="W208" s="62">
        <v>5.77888888888888</v>
      </c>
      <c r="X208" s="62">
        <v>0.0</v>
      </c>
      <c r="Y208" s="62">
        <v>5.77888888888888</v>
      </c>
      <c r="Z208" s="62">
        <v>2.92638888888888</v>
      </c>
      <c r="AA208" s="62">
        <v>2.925</v>
      </c>
      <c r="AB208" s="62">
        <v>6.385</v>
      </c>
      <c r="AC208" s="62">
        <v>6.38499999999999</v>
      </c>
      <c r="AD208" s="62">
        <v>1.39194444444444</v>
      </c>
      <c r="AE208" s="62">
        <v>6.385</v>
      </c>
      <c r="AF208" s="62">
        <v>21.0</v>
      </c>
    </row>
    <row r="209">
      <c r="A209" s="68">
        <v>46069.0</v>
      </c>
      <c r="B209" s="62" t="s">
        <v>32</v>
      </c>
      <c r="C209" s="62" t="s">
        <v>168</v>
      </c>
      <c r="D209" s="62">
        <v>15.0</v>
      </c>
      <c r="E209" s="62">
        <v>15.0</v>
      </c>
      <c r="F209" s="62">
        <v>2.0</v>
      </c>
      <c r="G209" s="62">
        <v>1.0</v>
      </c>
      <c r="H209" s="62">
        <v>24.0</v>
      </c>
      <c r="I209" s="62">
        <v>23.0</v>
      </c>
      <c r="J209" s="62">
        <v>21.0</v>
      </c>
      <c r="K209" s="62">
        <v>3.0</v>
      </c>
      <c r="L209" s="62">
        <v>0.0</v>
      </c>
      <c r="M209" s="62">
        <v>20.0</v>
      </c>
      <c r="N209" s="62">
        <v>20.0</v>
      </c>
      <c r="O209" s="62">
        <v>5.0</v>
      </c>
      <c r="P209" s="62">
        <v>20.0</v>
      </c>
      <c r="Q209" s="62">
        <v>0.0</v>
      </c>
      <c r="R209" s="62">
        <v>39584.0</v>
      </c>
      <c r="S209" s="62">
        <v>39584.0</v>
      </c>
      <c r="T209" s="62">
        <v>6.27305555555555</v>
      </c>
      <c r="U209" s="62">
        <v>0.533888888888888</v>
      </c>
      <c r="V209" s="62">
        <v>0.266666666666666</v>
      </c>
      <c r="W209" s="62">
        <v>6.27</v>
      </c>
      <c r="X209" s="62">
        <v>6.00583333333333</v>
      </c>
      <c r="Y209" s="62">
        <v>5.48972222222222</v>
      </c>
      <c r="Z209" s="62">
        <v>0.803333333333333</v>
      </c>
      <c r="AA209" s="62">
        <v>0.0</v>
      </c>
      <c r="AB209" s="62">
        <v>5.26444444444444</v>
      </c>
      <c r="AC209" s="62">
        <v>5.26444444444444</v>
      </c>
      <c r="AD209" s="62">
        <v>1.07888888888888</v>
      </c>
      <c r="AE209" s="62">
        <v>5.26444444444444</v>
      </c>
      <c r="AF209" s="62">
        <v>24.0</v>
      </c>
    </row>
    <row r="210">
      <c r="A210" s="68">
        <v>46069.0</v>
      </c>
      <c r="B210" s="62" t="s">
        <v>37</v>
      </c>
      <c r="C210" s="62" t="s">
        <v>174</v>
      </c>
      <c r="D210" s="62">
        <v>13.0</v>
      </c>
      <c r="E210" s="62">
        <v>19.0</v>
      </c>
      <c r="F210" s="62">
        <v>9.0</v>
      </c>
      <c r="G210" s="62">
        <v>6.0</v>
      </c>
      <c r="H210" s="62">
        <v>10.0</v>
      </c>
      <c r="I210" s="62">
        <v>4.0</v>
      </c>
      <c r="J210" s="62">
        <v>10.0</v>
      </c>
      <c r="K210" s="62">
        <v>2.0</v>
      </c>
      <c r="L210" s="62">
        <v>2.0</v>
      </c>
      <c r="M210" s="62">
        <v>13.0</v>
      </c>
      <c r="N210" s="62">
        <v>13.0</v>
      </c>
      <c r="O210" s="62">
        <v>7.0</v>
      </c>
      <c r="P210" s="62">
        <v>13.0</v>
      </c>
      <c r="Q210" s="62">
        <v>0.0</v>
      </c>
      <c r="R210" s="62">
        <v>31816.0</v>
      </c>
      <c r="S210" s="62">
        <v>45961.0</v>
      </c>
      <c r="T210" s="62">
        <v>3.30305555555555</v>
      </c>
      <c r="U210" s="62">
        <v>2.48722222222222</v>
      </c>
      <c r="V210" s="62">
        <v>1.61222222222222</v>
      </c>
      <c r="W210" s="62">
        <v>2.63444444444444</v>
      </c>
      <c r="X210" s="62">
        <v>1.02222222222222</v>
      </c>
      <c r="Y210" s="62">
        <v>2.61611111111111</v>
      </c>
      <c r="Z210" s="62">
        <v>0.519722222222222</v>
      </c>
      <c r="AA210" s="62">
        <v>0.516388888888888</v>
      </c>
      <c r="AB210" s="62">
        <v>3.37555555555555</v>
      </c>
      <c r="AC210" s="62">
        <v>3.37555555555555</v>
      </c>
      <c r="AD210" s="62">
        <v>1.79694444444444</v>
      </c>
      <c r="AE210" s="62">
        <v>3.37555555555555</v>
      </c>
      <c r="AF210" s="62">
        <v>12.0</v>
      </c>
    </row>
    <row r="211">
      <c r="A211" s="68">
        <v>46069.0</v>
      </c>
      <c r="B211" s="62" t="s">
        <v>81</v>
      </c>
      <c r="C211" s="62" t="s">
        <v>187</v>
      </c>
      <c r="D211" s="62">
        <v>13.0</v>
      </c>
      <c r="E211" s="62">
        <v>13.0</v>
      </c>
      <c r="F211" s="62">
        <v>7.0</v>
      </c>
      <c r="G211" s="62">
        <v>5.0</v>
      </c>
      <c r="H211" s="62">
        <v>12.0</v>
      </c>
      <c r="I211" s="62">
        <v>7.0</v>
      </c>
      <c r="J211" s="62">
        <v>12.0</v>
      </c>
      <c r="K211" s="62">
        <v>3.0</v>
      </c>
      <c r="L211" s="62">
        <v>1.0</v>
      </c>
      <c r="M211" s="62">
        <v>13.0</v>
      </c>
      <c r="N211" s="62">
        <v>0.0</v>
      </c>
      <c r="O211" s="62">
        <v>0.0</v>
      </c>
      <c r="P211" s="62">
        <v>0.0</v>
      </c>
      <c r="Q211" s="62">
        <v>0.0</v>
      </c>
      <c r="R211" s="62">
        <v>27707.0</v>
      </c>
      <c r="S211" s="62">
        <v>30802.0</v>
      </c>
      <c r="T211" s="62">
        <v>3.42222222222222</v>
      </c>
      <c r="U211" s="62">
        <v>1.39972222222222</v>
      </c>
      <c r="V211" s="62">
        <v>0.983055555555555</v>
      </c>
      <c r="W211" s="62">
        <v>2.35916666666666</v>
      </c>
      <c r="X211" s="62">
        <v>1.37611111111111</v>
      </c>
      <c r="Y211" s="62">
        <v>2.35083333333333</v>
      </c>
      <c r="Z211" s="62">
        <v>0.557222222222222</v>
      </c>
      <c r="AA211" s="62">
        <v>0.181944444444444</v>
      </c>
      <c r="AB211" s="62">
        <v>2.53249999999999</v>
      </c>
      <c r="AC211" s="62">
        <v>0.0</v>
      </c>
      <c r="AD211" s="62">
        <v>0.0</v>
      </c>
      <c r="AE211" s="62">
        <v>0.0</v>
      </c>
      <c r="AF211" s="62">
        <v>17.0</v>
      </c>
    </row>
    <row r="212">
      <c r="A212" s="68">
        <v>46069.0</v>
      </c>
      <c r="B212" s="62" t="s">
        <v>84</v>
      </c>
      <c r="C212" s="62" t="s">
        <v>186</v>
      </c>
      <c r="D212" s="62">
        <v>9.0</v>
      </c>
      <c r="E212" s="62">
        <v>0.0</v>
      </c>
      <c r="F212" s="62">
        <v>0.0</v>
      </c>
      <c r="G212" s="62">
        <v>0.0</v>
      </c>
      <c r="H212" s="62">
        <v>0.0</v>
      </c>
      <c r="I212" s="62">
        <v>0.0</v>
      </c>
      <c r="J212" s="62">
        <v>0.0</v>
      </c>
      <c r="K212" s="62">
        <v>0.0</v>
      </c>
      <c r="L212" s="62">
        <v>0.0</v>
      </c>
      <c r="M212" s="62">
        <v>0.0</v>
      </c>
      <c r="N212" s="62">
        <v>0.0</v>
      </c>
      <c r="O212" s="62">
        <v>0.0</v>
      </c>
      <c r="P212" s="62">
        <v>0.0</v>
      </c>
      <c r="Q212" s="62">
        <v>0.0</v>
      </c>
      <c r="R212" s="62">
        <v>23158.0</v>
      </c>
      <c r="S212" s="62">
        <v>0.0</v>
      </c>
      <c r="T212" s="62">
        <v>0.0</v>
      </c>
      <c r="U212" s="62">
        <v>0.0</v>
      </c>
      <c r="V212" s="62">
        <v>0.0</v>
      </c>
      <c r="W212" s="62">
        <v>0.0</v>
      </c>
      <c r="X212" s="62">
        <v>0.0</v>
      </c>
      <c r="Y212" s="62">
        <v>0.0</v>
      </c>
      <c r="Z212" s="62">
        <v>0.0</v>
      </c>
      <c r="AA212" s="62">
        <v>0.0</v>
      </c>
      <c r="AB212" s="62">
        <v>0.0</v>
      </c>
      <c r="AC212" s="62">
        <v>0.0</v>
      </c>
      <c r="AD212" s="62">
        <v>0.0</v>
      </c>
      <c r="AE212" s="62">
        <v>0.0</v>
      </c>
      <c r="AF212" s="62">
        <v>0.0</v>
      </c>
    </row>
    <row r="213">
      <c r="A213" s="68">
        <v>46069.0</v>
      </c>
      <c r="B213" s="62" t="s">
        <v>26</v>
      </c>
      <c r="C213" s="62" t="s">
        <v>178</v>
      </c>
      <c r="D213" s="62">
        <v>31.0</v>
      </c>
      <c r="E213" s="62">
        <v>30.0</v>
      </c>
      <c r="F213" s="62">
        <v>8.0</v>
      </c>
      <c r="G213" s="62">
        <v>9.0</v>
      </c>
      <c r="H213" s="62">
        <v>21.0</v>
      </c>
      <c r="I213" s="62">
        <v>12.0</v>
      </c>
      <c r="J213" s="62">
        <v>21.0</v>
      </c>
      <c r="K213" s="62">
        <v>5.0</v>
      </c>
      <c r="L213" s="62">
        <v>5.0</v>
      </c>
      <c r="M213" s="62">
        <v>22.0</v>
      </c>
      <c r="N213" s="62">
        <v>20.0</v>
      </c>
      <c r="O213" s="62">
        <v>6.0</v>
      </c>
      <c r="P213" s="62">
        <v>20.0</v>
      </c>
      <c r="Q213" s="62">
        <v>0.0</v>
      </c>
      <c r="R213" s="62">
        <v>70108.0</v>
      </c>
      <c r="S213" s="62">
        <v>68001.0</v>
      </c>
      <c r="T213" s="62">
        <v>3.60361111111111</v>
      </c>
      <c r="U213" s="62">
        <v>1.49222222222222</v>
      </c>
      <c r="V213" s="62">
        <v>1.67638888888888</v>
      </c>
      <c r="W213" s="62">
        <v>3.78777777777777</v>
      </c>
      <c r="X213" s="62">
        <v>2.11138888888888</v>
      </c>
      <c r="Y213" s="62">
        <v>3.79333333333333</v>
      </c>
      <c r="Z213" s="62">
        <v>0.868055555555555</v>
      </c>
      <c r="AA213" s="62">
        <v>0.868611111111111</v>
      </c>
      <c r="AB213" s="62">
        <v>3.97916666666666</v>
      </c>
      <c r="AC213" s="62">
        <v>3.57055555555555</v>
      </c>
      <c r="AD213" s="62">
        <v>1.11638888888888</v>
      </c>
      <c r="AE213" s="62">
        <v>3.57055555555555</v>
      </c>
      <c r="AF213" s="62">
        <v>20.0</v>
      </c>
    </row>
    <row r="214">
      <c r="A214" s="68">
        <v>46069.0</v>
      </c>
      <c r="B214" s="62" t="s">
        <v>62</v>
      </c>
      <c r="C214" s="62" t="s">
        <v>63</v>
      </c>
      <c r="D214" s="62">
        <v>16.0</v>
      </c>
      <c r="E214" s="62">
        <v>14.0</v>
      </c>
      <c r="F214" s="62">
        <v>8.0</v>
      </c>
      <c r="G214" s="62">
        <v>5.0</v>
      </c>
      <c r="H214" s="62">
        <v>14.0</v>
      </c>
      <c r="I214" s="62">
        <v>4.0</v>
      </c>
      <c r="J214" s="62">
        <v>13.0</v>
      </c>
      <c r="K214" s="62">
        <v>2.0</v>
      </c>
      <c r="L214" s="62">
        <v>1.0</v>
      </c>
      <c r="M214" s="62">
        <v>12.0</v>
      </c>
      <c r="N214" s="62">
        <v>12.0</v>
      </c>
      <c r="O214" s="62">
        <v>7.0</v>
      </c>
      <c r="P214" s="62">
        <v>12.0</v>
      </c>
      <c r="Q214" s="62">
        <v>0.0</v>
      </c>
      <c r="R214" s="62">
        <v>37006.0</v>
      </c>
      <c r="S214" s="62">
        <v>33418.0</v>
      </c>
      <c r="T214" s="62">
        <v>4.34916666666666</v>
      </c>
      <c r="U214" s="62">
        <v>1.98583333333333</v>
      </c>
      <c r="V214" s="62">
        <v>1.23833333333333</v>
      </c>
      <c r="W214" s="62">
        <v>3.48083333333333</v>
      </c>
      <c r="X214" s="62">
        <v>0.934444444444444</v>
      </c>
      <c r="Y214" s="62">
        <v>3.31111111111111</v>
      </c>
      <c r="Z214" s="62">
        <v>0.5</v>
      </c>
      <c r="AA214" s="62">
        <v>0.25</v>
      </c>
      <c r="AB214" s="62">
        <v>3.05333333333333</v>
      </c>
      <c r="AC214" s="62">
        <v>3.05333333333333</v>
      </c>
      <c r="AD214" s="62">
        <v>1.58999999999999</v>
      </c>
      <c r="AE214" s="62">
        <v>3.05333333333333</v>
      </c>
      <c r="AF214" s="62">
        <v>18.0</v>
      </c>
    </row>
    <row r="215">
      <c r="A215" s="68">
        <v>46062.0</v>
      </c>
      <c r="B215" s="62" t="s">
        <v>79</v>
      </c>
      <c r="C215" s="62" t="s">
        <v>162</v>
      </c>
      <c r="D215" s="62">
        <v>15.0</v>
      </c>
      <c r="E215" s="62">
        <v>6.0</v>
      </c>
      <c r="F215" s="62">
        <v>1.0</v>
      </c>
      <c r="G215" s="62">
        <v>0.0</v>
      </c>
      <c r="H215" s="62">
        <v>2.0</v>
      </c>
      <c r="I215" s="62">
        <v>2.0</v>
      </c>
      <c r="J215" s="62">
        <v>3.0</v>
      </c>
      <c r="K215" s="62">
        <v>3.0</v>
      </c>
      <c r="L215" s="62">
        <v>2.0</v>
      </c>
      <c r="M215" s="62">
        <v>2.0</v>
      </c>
      <c r="N215" s="62">
        <v>0.0</v>
      </c>
      <c r="O215" s="62">
        <v>0.0</v>
      </c>
      <c r="P215" s="62">
        <v>0.0</v>
      </c>
      <c r="Q215" s="62">
        <v>0.0</v>
      </c>
      <c r="R215" s="62">
        <v>32594.0</v>
      </c>
      <c r="S215" s="62">
        <v>13218.0</v>
      </c>
      <c r="T215" s="62">
        <v>0.565</v>
      </c>
      <c r="U215" s="62">
        <v>0.167222222222222</v>
      </c>
      <c r="V215" s="62">
        <v>0.0</v>
      </c>
      <c r="W215" s="62">
        <v>0.397777777777777</v>
      </c>
      <c r="X215" s="62">
        <v>0.397777777777777</v>
      </c>
      <c r="Y215" s="62">
        <v>0.666666666666666</v>
      </c>
      <c r="Z215" s="62">
        <v>0.666666666666666</v>
      </c>
      <c r="AA215" s="62">
        <v>0.471944444444444</v>
      </c>
      <c r="AB215" s="62">
        <v>0.471944444444444</v>
      </c>
      <c r="AC215" s="62">
        <v>0.0</v>
      </c>
      <c r="AD215" s="62">
        <v>0.0</v>
      </c>
      <c r="AE215" s="62">
        <v>0.0</v>
      </c>
      <c r="AF215" s="62">
        <v>3.0</v>
      </c>
    </row>
    <row r="216">
      <c r="A216" s="68">
        <v>46062.0</v>
      </c>
      <c r="B216" s="62" t="s">
        <v>71</v>
      </c>
      <c r="C216" s="62" t="s">
        <v>163</v>
      </c>
      <c r="D216" s="62">
        <v>4.0</v>
      </c>
      <c r="E216" s="62">
        <v>18.0</v>
      </c>
      <c r="F216" s="62">
        <v>8.0</v>
      </c>
      <c r="G216" s="62">
        <v>9.0</v>
      </c>
      <c r="H216" s="62">
        <v>12.0</v>
      </c>
      <c r="I216" s="62">
        <v>3.0</v>
      </c>
      <c r="J216" s="62">
        <v>13.0</v>
      </c>
      <c r="K216" s="62">
        <v>4.0</v>
      </c>
      <c r="L216" s="62">
        <v>2.0</v>
      </c>
      <c r="M216" s="62">
        <v>13.0</v>
      </c>
      <c r="N216" s="62">
        <v>12.0</v>
      </c>
      <c r="O216" s="62">
        <v>6.0</v>
      </c>
      <c r="P216" s="62">
        <v>12.0</v>
      </c>
      <c r="Q216" s="62">
        <v>0.0</v>
      </c>
      <c r="R216" s="62">
        <v>12350.0</v>
      </c>
      <c r="S216" s="62">
        <v>55984.0</v>
      </c>
      <c r="T216" s="62">
        <v>3.03305555555555</v>
      </c>
      <c r="U216" s="62">
        <v>2.21388888888888</v>
      </c>
      <c r="V216" s="62">
        <v>2.54749999999999</v>
      </c>
      <c r="W216" s="62">
        <v>3.38083333333333</v>
      </c>
      <c r="X216" s="62">
        <v>0.833333333333333</v>
      </c>
      <c r="Y216" s="62">
        <v>3.64305555555555</v>
      </c>
      <c r="Z216" s="62">
        <v>1.1025</v>
      </c>
      <c r="AA216" s="62">
        <v>0.558333333333333</v>
      </c>
      <c r="AB216" s="62">
        <v>3.64</v>
      </c>
      <c r="AC216" s="62">
        <v>3.37527777777777</v>
      </c>
      <c r="AD216" s="62">
        <v>1.68611111111111</v>
      </c>
      <c r="AE216" s="62">
        <v>3.37527777777777</v>
      </c>
      <c r="AF216" s="62">
        <v>11.0</v>
      </c>
    </row>
    <row r="217">
      <c r="A217" s="68">
        <v>46062.0</v>
      </c>
      <c r="B217" s="62" t="s">
        <v>76</v>
      </c>
      <c r="C217" s="62" t="s">
        <v>165</v>
      </c>
      <c r="D217" s="62">
        <v>20.0</v>
      </c>
      <c r="E217" s="62">
        <v>18.0</v>
      </c>
      <c r="F217" s="62">
        <v>20.0</v>
      </c>
      <c r="G217" s="62">
        <v>19.0</v>
      </c>
      <c r="H217" s="62">
        <v>20.0</v>
      </c>
      <c r="I217" s="62">
        <v>3.0</v>
      </c>
      <c r="J217" s="62">
        <v>21.0</v>
      </c>
      <c r="K217" s="62">
        <v>3.0</v>
      </c>
      <c r="L217" s="62">
        <v>1.0</v>
      </c>
      <c r="M217" s="62">
        <v>19.0</v>
      </c>
      <c r="N217" s="62">
        <v>19.0</v>
      </c>
      <c r="O217" s="62">
        <v>6.0</v>
      </c>
      <c r="P217" s="62">
        <v>19.0</v>
      </c>
      <c r="Q217" s="62">
        <v>0.0</v>
      </c>
      <c r="R217" s="62">
        <v>54643.0</v>
      </c>
      <c r="S217" s="62">
        <v>58119.0</v>
      </c>
      <c r="T217" s="62">
        <v>6.47666666666666</v>
      </c>
      <c r="U217" s="62">
        <v>6.18027777777777</v>
      </c>
      <c r="V217" s="62">
        <v>5.74861111111111</v>
      </c>
      <c r="W217" s="62">
        <v>6.04333333333333</v>
      </c>
      <c r="X217" s="62">
        <v>0.849444444444444</v>
      </c>
      <c r="Y217" s="62">
        <v>6.31277777777777</v>
      </c>
      <c r="Z217" s="62">
        <v>0.909444444444444</v>
      </c>
      <c r="AA217" s="62">
        <v>0.266944444444444</v>
      </c>
      <c r="AB217" s="62">
        <v>5.70527777777777</v>
      </c>
      <c r="AC217" s="62">
        <v>5.70527777777777</v>
      </c>
      <c r="AD217" s="62">
        <v>1.43555555555555</v>
      </c>
      <c r="AE217" s="62">
        <v>5.70527777777777</v>
      </c>
      <c r="AF217" s="62">
        <v>21.0</v>
      </c>
    </row>
    <row r="218">
      <c r="A218" s="68">
        <v>46062.0</v>
      </c>
      <c r="B218" s="62" t="s">
        <v>32</v>
      </c>
      <c r="C218" s="62" t="s">
        <v>168</v>
      </c>
      <c r="D218" s="62">
        <v>1.0</v>
      </c>
      <c r="E218" s="62">
        <v>13.0</v>
      </c>
      <c r="F218" s="62">
        <v>8.0</v>
      </c>
      <c r="G218" s="62">
        <v>0.0</v>
      </c>
      <c r="H218" s="62">
        <v>21.0</v>
      </c>
      <c r="I218" s="62">
        <v>13.0</v>
      </c>
      <c r="J218" s="62">
        <v>21.0</v>
      </c>
      <c r="K218" s="62">
        <v>0.0</v>
      </c>
      <c r="L218" s="62">
        <v>0.0</v>
      </c>
      <c r="M218" s="62">
        <v>20.0</v>
      </c>
      <c r="N218" s="62">
        <v>20.0</v>
      </c>
      <c r="O218" s="62">
        <v>5.0</v>
      </c>
      <c r="P218" s="62">
        <v>20.0</v>
      </c>
      <c r="Q218" s="62">
        <v>0.0</v>
      </c>
      <c r="R218" s="62">
        <v>2686.0</v>
      </c>
      <c r="S218" s="62">
        <v>34804.0</v>
      </c>
      <c r="T218" s="62">
        <v>5.25</v>
      </c>
      <c r="U218" s="62">
        <v>2.02833333333333</v>
      </c>
      <c r="V218" s="62">
        <v>0.0</v>
      </c>
      <c r="W218" s="62">
        <v>5.24111111111111</v>
      </c>
      <c r="X218" s="62">
        <v>3.22166666666666</v>
      </c>
      <c r="Y218" s="62">
        <v>5.24194444444444</v>
      </c>
      <c r="Z218" s="62">
        <v>0.0</v>
      </c>
      <c r="AA218" s="62">
        <v>0.0</v>
      </c>
      <c r="AB218" s="62">
        <v>4.96611111111111</v>
      </c>
      <c r="AC218" s="62">
        <v>4.96611111111111</v>
      </c>
      <c r="AD218" s="62">
        <v>1.09888888888888</v>
      </c>
      <c r="AE218" s="62">
        <v>4.96611111111111</v>
      </c>
      <c r="AF218" s="62">
        <v>21.0</v>
      </c>
    </row>
    <row r="219">
      <c r="A219" s="68">
        <v>46062.0</v>
      </c>
      <c r="B219" s="62" t="s">
        <v>37</v>
      </c>
      <c r="C219" s="62" t="s">
        <v>174</v>
      </c>
      <c r="D219" s="62">
        <v>7.0</v>
      </c>
      <c r="E219" s="62">
        <v>8.0</v>
      </c>
      <c r="F219" s="62">
        <v>8.0</v>
      </c>
      <c r="G219" s="62">
        <v>12.0</v>
      </c>
      <c r="H219" s="62">
        <v>13.0</v>
      </c>
      <c r="I219" s="62">
        <v>3.0</v>
      </c>
      <c r="J219" s="62">
        <v>19.0</v>
      </c>
      <c r="K219" s="62">
        <v>1.0</v>
      </c>
      <c r="L219" s="62">
        <v>1.0</v>
      </c>
      <c r="M219" s="62">
        <v>18.0</v>
      </c>
      <c r="N219" s="62">
        <v>18.0</v>
      </c>
      <c r="O219" s="62">
        <v>6.0</v>
      </c>
      <c r="P219" s="62">
        <v>18.0</v>
      </c>
      <c r="Q219" s="62">
        <v>0.0</v>
      </c>
      <c r="R219" s="62">
        <v>16941.0</v>
      </c>
      <c r="S219" s="62">
        <v>18626.0</v>
      </c>
      <c r="T219" s="62">
        <v>2.37305555555555</v>
      </c>
      <c r="U219" s="62">
        <v>2.16444444444444</v>
      </c>
      <c r="V219" s="62">
        <v>3.16222222222222</v>
      </c>
      <c r="W219" s="62">
        <v>3.44722222222222</v>
      </c>
      <c r="X219" s="62">
        <v>0.748333333333333</v>
      </c>
      <c r="Y219" s="62">
        <v>4.89861111111111</v>
      </c>
      <c r="Z219" s="62">
        <v>0.2525</v>
      </c>
      <c r="AA219" s="62">
        <v>0.2525</v>
      </c>
      <c r="AB219" s="62">
        <v>4.62805555555555</v>
      </c>
      <c r="AC219" s="62">
        <v>4.62805555555555</v>
      </c>
      <c r="AD219" s="62">
        <v>1.45805555555555</v>
      </c>
      <c r="AE219" s="62">
        <v>4.62805555555555</v>
      </c>
      <c r="AF219" s="62">
        <v>9.0</v>
      </c>
    </row>
    <row r="220">
      <c r="A220" s="68">
        <v>46062.0</v>
      </c>
      <c r="B220" s="62" t="s">
        <v>81</v>
      </c>
      <c r="C220" s="62" t="s">
        <v>187</v>
      </c>
      <c r="D220" s="62">
        <v>17.0</v>
      </c>
      <c r="E220" s="62">
        <v>8.0</v>
      </c>
      <c r="F220" s="62">
        <v>3.0</v>
      </c>
      <c r="G220" s="62">
        <v>6.0</v>
      </c>
      <c r="H220" s="62">
        <v>8.0</v>
      </c>
      <c r="I220" s="62">
        <v>2.0</v>
      </c>
      <c r="J220" s="62">
        <v>10.0</v>
      </c>
      <c r="K220" s="62">
        <v>0.0</v>
      </c>
      <c r="L220" s="62">
        <v>0.0</v>
      </c>
      <c r="M220" s="62">
        <v>9.0</v>
      </c>
      <c r="N220" s="62">
        <v>0.0</v>
      </c>
      <c r="O220" s="62">
        <v>0.0</v>
      </c>
      <c r="P220" s="62">
        <v>0.0</v>
      </c>
      <c r="Q220" s="62">
        <v>0.0</v>
      </c>
      <c r="R220" s="62">
        <v>40086.0</v>
      </c>
      <c r="S220" s="62">
        <v>17205.0</v>
      </c>
      <c r="T220" s="62">
        <v>0.964166666666666</v>
      </c>
      <c r="U220" s="62">
        <v>0.593888888888888</v>
      </c>
      <c r="V220" s="62">
        <v>1.305</v>
      </c>
      <c r="W220" s="62">
        <v>1.67527777777777</v>
      </c>
      <c r="X220" s="62">
        <v>0.370277777777777</v>
      </c>
      <c r="Y220" s="62">
        <v>2.14277777777777</v>
      </c>
      <c r="Z220" s="62">
        <v>0.0</v>
      </c>
      <c r="AA220" s="62">
        <v>0.0</v>
      </c>
      <c r="AB220" s="62">
        <v>1.96111111111111</v>
      </c>
      <c r="AC220" s="62">
        <v>0.0</v>
      </c>
      <c r="AD220" s="62">
        <v>0.0</v>
      </c>
      <c r="AE220" s="62">
        <v>0.0</v>
      </c>
      <c r="AF220" s="62">
        <v>5.0</v>
      </c>
    </row>
    <row r="221">
      <c r="A221" s="68">
        <v>46062.0</v>
      </c>
      <c r="B221" s="62" t="s">
        <v>26</v>
      </c>
      <c r="C221" s="62" t="s">
        <v>178</v>
      </c>
      <c r="D221" s="62">
        <v>31.0</v>
      </c>
      <c r="E221" s="62">
        <v>24.0</v>
      </c>
      <c r="F221" s="62">
        <v>7.0</v>
      </c>
      <c r="G221" s="62">
        <v>7.0</v>
      </c>
      <c r="H221" s="62">
        <v>20.0</v>
      </c>
      <c r="I221" s="62">
        <v>13.0</v>
      </c>
      <c r="J221" s="62">
        <v>21.0</v>
      </c>
      <c r="K221" s="62">
        <v>3.0</v>
      </c>
      <c r="L221" s="62">
        <v>3.0</v>
      </c>
      <c r="M221" s="62">
        <v>20.0</v>
      </c>
      <c r="N221" s="62">
        <v>20.0</v>
      </c>
      <c r="O221" s="62">
        <v>6.0</v>
      </c>
      <c r="P221" s="62">
        <v>20.0</v>
      </c>
      <c r="Q221" s="62">
        <v>0.0</v>
      </c>
      <c r="R221" s="62">
        <v>68998.0</v>
      </c>
      <c r="S221" s="62">
        <v>50258.0</v>
      </c>
      <c r="T221" s="62">
        <v>3.68583333333333</v>
      </c>
      <c r="U221" s="62">
        <v>1.325</v>
      </c>
      <c r="V221" s="62">
        <v>1.33666666666666</v>
      </c>
      <c r="W221" s="62">
        <v>3.6975</v>
      </c>
      <c r="X221" s="62">
        <v>2.36083333333333</v>
      </c>
      <c r="Y221" s="62">
        <v>3.885</v>
      </c>
      <c r="Z221" s="62">
        <v>0.5575</v>
      </c>
      <c r="AA221" s="62">
        <v>0.567222222222222</v>
      </c>
      <c r="AB221" s="62">
        <v>3.70916666666666</v>
      </c>
      <c r="AC221" s="62">
        <v>3.69861111111111</v>
      </c>
      <c r="AD221" s="62">
        <v>1.07611111111111</v>
      </c>
      <c r="AE221" s="62">
        <v>3.69861111111111</v>
      </c>
      <c r="AF221" s="62">
        <v>20.0</v>
      </c>
    </row>
    <row r="222">
      <c r="A222" s="68">
        <v>46062.0</v>
      </c>
      <c r="B222" s="62" t="s">
        <v>62</v>
      </c>
      <c r="C222" s="62" t="s">
        <v>63</v>
      </c>
      <c r="D222" s="62">
        <v>10.0</v>
      </c>
      <c r="E222" s="62">
        <v>8.0</v>
      </c>
      <c r="F222" s="62">
        <v>12.0</v>
      </c>
      <c r="G222" s="62">
        <v>6.0</v>
      </c>
      <c r="H222" s="62">
        <v>12.0</v>
      </c>
      <c r="I222" s="62">
        <v>0.0</v>
      </c>
      <c r="J222" s="62">
        <v>14.0</v>
      </c>
      <c r="K222" s="62">
        <v>14.0</v>
      </c>
      <c r="L222" s="62">
        <v>11.0</v>
      </c>
      <c r="M222" s="62">
        <v>18.0</v>
      </c>
      <c r="N222" s="62">
        <v>22.0</v>
      </c>
      <c r="O222" s="62">
        <v>7.0</v>
      </c>
      <c r="P222" s="62">
        <v>22.0</v>
      </c>
      <c r="Q222" s="62">
        <v>0.0</v>
      </c>
      <c r="R222" s="62">
        <v>22057.0</v>
      </c>
      <c r="S222" s="62">
        <v>21257.0</v>
      </c>
      <c r="T222" s="62">
        <v>2.28388888888888</v>
      </c>
      <c r="U222" s="62">
        <v>2.68166666666666</v>
      </c>
      <c r="V222" s="62">
        <v>1.31138888888888</v>
      </c>
      <c r="W222" s="62">
        <v>2.67416666666666</v>
      </c>
      <c r="X222" s="62">
        <v>0.0</v>
      </c>
      <c r="Y222" s="62">
        <v>3.12055555555555</v>
      </c>
      <c r="Z222" s="62">
        <v>3.16722222222222</v>
      </c>
      <c r="AA222" s="62">
        <v>2.48583333333333</v>
      </c>
      <c r="AB222" s="62">
        <v>4.08666666666666</v>
      </c>
      <c r="AC222" s="62">
        <v>5.03777777777777</v>
      </c>
      <c r="AD222" s="62">
        <v>1.65722222222222</v>
      </c>
      <c r="AE222" s="62">
        <v>5.03777777777777</v>
      </c>
      <c r="AF222" s="62">
        <v>10.0</v>
      </c>
    </row>
    <row r="223">
      <c r="A223" s="68">
        <v>46055.0</v>
      </c>
      <c r="B223" s="62" t="s">
        <v>79</v>
      </c>
      <c r="C223" s="62" t="s">
        <v>162</v>
      </c>
      <c r="D223" s="62">
        <v>12.0</v>
      </c>
      <c r="E223" s="62">
        <v>17.0</v>
      </c>
      <c r="F223" s="62">
        <v>0.0</v>
      </c>
      <c r="G223" s="62">
        <v>0.0</v>
      </c>
      <c r="H223" s="62">
        <v>1.0</v>
      </c>
      <c r="I223" s="62">
        <v>1.0</v>
      </c>
      <c r="J223" s="62">
        <v>0.0</v>
      </c>
      <c r="K223" s="62">
        <v>0.0</v>
      </c>
      <c r="L223" s="62">
        <v>0.0</v>
      </c>
      <c r="M223" s="62">
        <v>0.0</v>
      </c>
      <c r="N223" s="62">
        <v>0.0</v>
      </c>
      <c r="O223" s="62">
        <v>0.0</v>
      </c>
      <c r="P223" s="62">
        <v>0.0</v>
      </c>
      <c r="Q223" s="62">
        <v>0.0</v>
      </c>
      <c r="R223" s="62">
        <v>25281.0</v>
      </c>
      <c r="S223" s="62">
        <v>35408.0</v>
      </c>
      <c r="T223" s="62">
        <v>0.269444444444444</v>
      </c>
      <c r="U223" s="62">
        <v>0.0</v>
      </c>
      <c r="V223" s="62">
        <v>0.0</v>
      </c>
      <c r="W223" s="62">
        <v>0.269444444444444</v>
      </c>
      <c r="X223" s="62">
        <v>0.269444444444444</v>
      </c>
      <c r="Y223" s="62">
        <v>0.0</v>
      </c>
      <c r="Z223" s="62">
        <v>0.0</v>
      </c>
      <c r="AA223" s="62">
        <v>0.0</v>
      </c>
      <c r="AB223" s="62">
        <v>0.0</v>
      </c>
      <c r="AC223" s="62">
        <v>0.0</v>
      </c>
      <c r="AD223" s="62">
        <v>0.0</v>
      </c>
      <c r="AE223" s="62">
        <v>0.0</v>
      </c>
      <c r="AF223" s="62">
        <v>1.0</v>
      </c>
    </row>
    <row r="224">
      <c r="A224" s="68">
        <v>46055.0</v>
      </c>
      <c r="B224" s="62" t="s">
        <v>71</v>
      </c>
      <c r="C224" s="62" t="s">
        <v>163</v>
      </c>
      <c r="D224" s="62">
        <v>19.0</v>
      </c>
      <c r="E224" s="62">
        <v>9.0</v>
      </c>
      <c r="F224" s="62">
        <v>15.0</v>
      </c>
      <c r="G224" s="62">
        <v>14.0</v>
      </c>
      <c r="H224" s="62">
        <v>16.0</v>
      </c>
      <c r="I224" s="62">
        <v>3.0</v>
      </c>
      <c r="J224" s="62">
        <v>15.0</v>
      </c>
      <c r="K224" s="62">
        <v>2.0</v>
      </c>
      <c r="L224" s="62">
        <v>2.0</v>
      </c>
      <c r="M224" s="62">
        <v>14.0</v>
      </c>
      <c r="N224" s="62">
        <v>14.0</v>
      </c>
      <c r="O224" s="62">
        <v>6.0</v>
      </c>
      <c r="P224" s="62">
        <v>14.0</v>
      </c>
      <c r="Q224" s="62">
        <v>0.0</v>
      </c>
      <c r="R224" s="62">
        <v>59595.0</v>
      </c>
      <c r="S224" s="62">
        <v>28711.0</v>
      </c>
      <c r="T224" s="62">
        <v>4.26861111111111</v>
      </c>
      <c r="U224" s="62">
        <v>4.31666666666666</v>
      </c>
      <c r="V224" s="62">
        <v>4.02805555555555</v>
      </c>
      <c r="W224" s="62">
        <v>4.54333333333333</v>
      </c>
      <c r="X224" s="62">
        <v>0.798055555555555</v>
      </c>
      <c r="Y224" s="62">
        <v>4.28472222222222</v>
      </c>
      <c r="Z224" s="62">
        <v>0.606111111111111</v>
      </c>
      <c r="AA224" s="62">
        <v>0.606111111111111</v>
      </c>
      <c r="AB224" s="62">
        <v>4.01361111111111</v>
      </c>
      <c r="AC224" s="62">
        <v>4.01361111111111</v>
      </c>
      <c r="AD224" s="62">
        <v>1.59944444444444</v>
      </c>
      <c r="AE224" s="62">
        <v>4.01361111111111</v>
      </c>
      <c r="AF224" s="62">
        <v>15.0</v>
      </c>
    </row>
    <row r="225">
      <c r="A225" s="68">
        <v>46055.0</v>
      </c>
      <c r="B225" s="62" t="s">
        <v>76</v>
      </c>
      <c r="C225" s="62" t="s">
        <v>165</v>
      </c>
      <c r="D225" s="62">
        <v>22.0</v>
      </c>
      <c r="E225" s="62">
        <v>16.0</v>
      </c>
      <c r="F225" s="62">
        <v>20.0</v>
      </c>
      <c r="G225" s="62">
        <v>17.0</v>
      </c>
      <c r="H225" s="62">
        <v>18.0</v>
      </c>
      <c r="I225" s="62">
        <v>1.0</v>
      </c>
      <c r="J225" s="62">
        <v>21.0</v>
      </c>
      <c r="K225" s="62">
        <v>7.0</v>
      </c>
      <c r="L225" s="62">
        <v>6.0</v>
      </c>
      <c r="M225" s="62">
        <v>21.0</v>
      </c>
      <c r="N225" s="62">
        <v>21.0</v>
      </c>
      <c r="O225" s="62">
        <v>7.0</v>
      </c>
      <c r="P225" s="62">
        <v>21.0</v>
      </c>
      <c r="Q225" s="62">
        <v>0.0</v>
      </c>
      <c r="R225" s="62">
        <v>62986.0</v>
      </c>
      <c r="S225" s="62">
        <v>51443.0</v>
      </c>
      <c r="T225" s="62">
        <v>5.37555555555555</v>
      </c>
      <c r="U225" s="62">
        <v>5.10972222222222</v>
      </c>
      <c r="V225" s="62">
        <v>4.19416666666666</v>
      </c>
      <c r="W225" s="62">
        <v>4.46</v>
      </c>
      <c r="X225" s="62">
        <v>0.265833333333333</v>
      </c>
      <c r="Y225" s="62">
        <v>5.14888888888888</v>
      </c>
      <c r="Z225" s="62">
        <v>1.76555555555555</v>
      </c>
      <c r="AA225" s="62">
        <v>1.51972222222222</v>
      </c>
      <c r="AB225" s="62">
        <v>5.14861111111111</v>
      </c>
      <c r="AC225" s="62">
        <v>5.14861111111111</v>
      </c>
      <c r="AD225" s="62">
        <v>1.72444444444444</v>
      </c>
      <c r="AE225" s="62">
        <v>5.14861111111111</v>
      </c>
      <c r="AF225" s="62">
        <v>21.0</v>
      </c>
    </row>
    <row r="226">
      <c r="A226" s="68">
        <v>46055.0</v>
      </c>
      <c r="B226" s="62" t="s">
        <v>32</v>
      </c>
      <c r="C226" s="62" t="s">
        <v>168</v>
      </c>
      <c r="D226" s="62">
        <v>0.0</v>
      </c>
      <c r="E226" s="62">
        <v>18.0</v>
      </c>
      <c r="F226" s="62">
        <v>3.0</v>
      </c>
      <c r="G226" s="62">
        <v>0.0</v>
      </c>
      <c r="H226" s="62">
        <v>16.0</v>
      </c>
      <c r="I226" s="62">
        <v>12.0</v>
      </c>
      <c r="J226" s="62">
        <v>16.0</v>
      </c>
      <c r="K226" s="62">
        <v>0.0</v>
      </c>
      <c r="L226" s="62">
        <v>0.0</v>
      </c>
      <c r="M226" s="62">
        <v>18.0</v>
      </c>
      <c r="N226" s="62">
        <v>18.0</v>
      </c>
      <c r="O226" s="62">
        <v>6.0</v>
      </c>
      <c r="P226" s="62">
        <v>18.0</v>
      </c>
      <c r="Q226" s="62">
        <v>0.0</v>
      </c>
      <c r="R226" s="62">
        <v>0.0</v>
      </c>
      <c r="S226" s="62">
        <v>47375.0</v>
      </c>
      <c r="T226" s="62">
        <v>2.34583333333333</v>
      </c>
      <c r="U226" s="62">
        <v>0.732499999999999</v>
      </c>
      <c r="V226" s="62">
        <v>0.0</v>
      </c>
      <c r="W226" s="62">
        <v>4.09833333333333</v>
      </c>
      <c r="X226" s="62">
        <v>3.08388888888888</v>
      </c>
      <c r="Y226" s="62">
        <v>4.10972222222222</v>
      </c>
      <c r="Z226" s="62">
        <v>0.0</v>
      </c>
      <c r="AA226" s="62">
        <v>0.0</v>
      </c>
      <c r="AB226" s="62">
        <v>4.63388888888888</v>
      </c>
      <c r="AC226" s="62">
        <v>4.63388888888888</v>
      </c>
      <c r="AD226" s="62">
        <v>1.30861111111111</v>
      </c>
      <c r="AE226" s="62">
        <v>4.63388888888888</v>
      </c>
      <c r="AF226" s="62">
        <v>9.0</v>
      </c>
    </row>
    <row r="227">
      <c r="A227" s="68">
        <v>46055.0</v>
      </c>
      <c r="B227" s="62" t="s">
        <v>93</v>
      </c>
      <c r="C227" s="62" t="s">
        <v>182</v>
      </c>
      <c r="D227" s="62">
        <v>3.0</v>
      </c>
      <c r="E227" s="62">
        <v>0.0</v>
      </c>
      <c r="F227" s="62">
        <v>0.0</v>
      </c>
      <c r="G227" s="62">
        <v>0.0</v>
      </c>
      <c r="H227" s="62">
        <v>0.0</v>
      </c>
      <c r="I227" s="62">
        <v>0.0</v>
      </c>
      <c r="J227" s="62">
        <v>0.0</v>
      </c>
      <c r="K227" s="62">
        <v>0.0</v>
      </c>
      <c r="L227" s="62">
        <v>0.0</v>
      </c>
      <c r="M227" s="62">
        <v>0.0</v>
      </c>
      <c r="N227" s="62">
        <v>0.0</v>
      </c>
      <c r="O227" s="62">
        <v>0.0</v>
      </c>
      <c r="P227" s="62">
        <v>0.0</v>
      </c>
      <c r="Q227" s="62">
        <v>0.0</v>
      </c>
      <c r="R227" s="62">
        <v>7076.0</v>
      </c>
      <c r="S227" s="62">
        <v>0.0</v>
      </c>
      <c r="T227" s="62">
        <v>0.0</v>
      </c>
      <c r="U227" s="62">
        <v>0.0</v>
      </c>
      <c r="V227" s="62">
        <v>0.0</v>
      </c>
      <c r="W227" s="62">
        <v>0.0</v>
      </c>
      <c r="X227" s="62">
        <v>0.0</v>
      </c>
      <c r="Y227" s="62">
        <v>0.0</v>
      </c>
      <c r="Z227" s="62">
        <v>0.0</v>
      </c>
      <c r="AA227" s="62">
        <v>0.0</v>
      </c>
      <c r="AB227" s="62">
        <v>0.0</v>
      </c>
      <c r="AC227" s="62">
        <v>0.0</v>
      </c>
      <c r="AD227" s="62">
        <v>0.0</v>
      </c>
      <c r="AE227" s="62">
        <v>0.0</v>
      </c>
      <c r="AF227" s="62">
        <v>0.0</v>
      </c>
    </row>
    <row r="228">
      <c r="A228" s="68">
        <v>46055.0</v>
      </c>
      <c r="B228" s="62" t="s">
        <v>37</v>
      </c>
      <c r="C228" s="62" t="s">
        <v>174</v>
      </c>
      <c r="D228" s="62">
        <v>0.0</v>
      </c>
      <c r="E228" s="62">
        <v>10.0</v>
      </c>
      <c r="F228" s="62">
        <v>10.0</v>
      </c>
      <c r="G228" s="62">
        <v>8.0</v>
      </c>
      <c r="H228" s="62">
        <v>14.0</v>
      </c>
      <c r="I228" s="62">
        <v>6.0</v>
      </c>
      <c r="J228" s="62">
        <v>8.0</v>
      </c>
      <c r="K228" s="62">
        <v>1.0</v>
      </c>
      <c r="L228" s="62">
        <v>1.0</v>
      </c>
      <c r="M228" s="62">
        <v>6.0</v>
      </c>
      <c r="N228" s="62">
        <v>6.0</v>
      </c>
      <c r="O228" s="62">
        <v>6.0</v>
      </c>
      <c r="P228" s="62">
        <v>6.0</v>
      </c>
      <c r="Q228" s="62">
        <v>0.0</v>
      </c>
      <c r="R228" s="62">
        <v>0.0</v>
      </c>
      <c r="S228" s="62">
        <v>24586.0</v>
      </c>
      <c r="T228" s="62">
        <v>4.26222222222222</v>
      </c>
      <c r="U228" s="62">
        <v>2.59833333333333</v>
      </c>
      <c r="V228" s="62">
        <v>2.03388888888888</v>
      </c>
      <c r="W228" s="62">
        <v>3.53194444444444</v>
      </c>
      <c r="X228" s="62">
        <v>1.49805555555555</v>
      </c>
      <c r="Y228" s="62">
        <v>2.04944444444444</v>
      </c>
      <c r="Z228" s="62">
        <v>0.28</v>
      </c>
      <c r="AA228" s="62">
        <v>0.28</v>
      </c>
      <c r="AB228" s="62">
        <v>1.55527777777777</v>
      </c>
      <c r="AC228" s="62">
        <v>1.55527777777777</v>
      </c>
      <c r="AD228" s="62">
        <v>1.53638888888888</v>
      </c>
      <c r="AE228" s="62">
        <v>1.55527777777777</v>
      </c>
      <c r="AF228" s="62">
        <v>16.0</v>
      </c>
    </row>
    <row r="229">
      <c r="A229" s="68">
        <v>46055.0</v>
      </c>
      <c r="B229" s="62" t="s">
        <v>81</v>
      </c>
      <c r="C229" s="62" t="s">
        <v>187</v>
      </c>
      <c r="D229" s="62">
        <v>13.0</v>
      </c>
      <c r="E229" s="62">
        <v>7.0</v>
      </c>
      <c r="F229" s="62">
        <v>3.0</v>
      </c>
      <c r="G229" s="62">
        <v>0.0</v>
      </c>
      <c r="H229" s="62">
        <v>3.0</v>
      </c>
      <c r="I229" s="62">
        <v>3.0</v>
      </c>
      <c r="J229" s="62">
        <v>0.0</v>
      </c>
      <c r="K229" s="62">
        <v>0.0</v>
      </c>
      <c r="L229" s="62">
        <v>0.0</v>
      </c>
      <c r="M229" s="62">
        <v>0.0</v>
      </c>
      <c r="N229" s="62">
        <v>0.0</v>
      </c>
      <c r="O229" s="62">
        <v>0.0</v>
      </c>
      <c r="P229" s="62">
        <v>0.0</v>
      </c>
      <c r="Q229" s="62">
        <v>0.0</v>
      </c>
      <c r="R229" s="62">
        <v>28431.0</v>
      </c>
      <c r="S229" s="62">
        <v>15742.0</v>
      </c>
      <c r="T229" s="62">
        <v>1.31777777777777</v>
      </c>
      <c r="U229" s="62">
        <v>0.678055555555555</v>
      </c>
      <c r="V229" s="62">
        <v>0.0</v>
      </c>
      <c r="W229" s="62">
        <v>0.639722222222222</v>
      </c>
      <c r="X229" s="62">
        <v>0.639722222222222</v>
      </c>
      <c r="Y229" s="62">
        <v>0.0</v>
      </c>
      <c r="Z229" s="62">
        <v>0.0</v>
      </c>
      <c r="AA229" s="62">
        <v>0.0</v>
      </c>
      <c r="AB229" s="62">
        <v>0.0</v>
      </c>
      <c r="AC229" s="62">
        <v>0.0</v>
      </c>
      <c r="AD229" s="62">
        <v>0.0</v>
      </c>
      <c r="AE229" s="62">
        <v>0.0</v>
      </c>
      <c r="AF229" s="62">
        <v>6.0</v>
      </c>
    </row>
    <row r="230">
      <c r="A230" s="68">
        <v>46055.0</v>
      </c>
      <c r="B230" s="62" t="s">
        <v>26</v>
      </c>
      <c r="C230" s="62" t="s">
        <v>178</v>
      </c>
      <c r="D230" s="62">
        <v>26.0</v>
      </c>
      <c r="E230" s="62">
        <v>27.0</v>
      </c>
      <c r="F230" s="62">
        <v>5.0</v>
      </c>
      <c r="G230" s="62">
        <v>4.0</v>
      </c>
      <c r="H230" s="62">
        <v>19.0</v>
      </c>
      <c r="I230" s="62">
        <v>15.0</v>
      </c>
      <c r="J230" s="62">
        <v>23.0</v>
      </c>
      <c r="K230" s="62">
        <v>2.0</v>
      </c>
      <c r="L230" s="62">
        <v>0.0</v>
      </c>
      <c r="M230" s="62">
        <v>23.0</v>
      </c>
      <c r="N230" s="62">
        <v>23.0</v>
      </c>
      <c r="O230" s="62">
        <v>6.0</v>
      </c>
      <c r="P230" s="62">
        <v>23.0</v>
      </c>
      <c r="Q230" s="62">
        <v>0.0</v>
      </c>
      <c r="R230" s="62">
        <v>56476.0</v>
      </c>
      <c r="S230" s="62">
        <v>57140.0</v>
      </c>
      <c r="T230" s="62">
        <v>3.85666666666666</v>
      </c>
      <c r="U230" s="62">
        <v>0.966111111111111</v>
      </c>
      <c r="V230" s="62">
        <v>0.756944444444444</v>
      </c>
      <c r="W230" s="62">
        <v>3.6475</v>
      </c>
      <c r="X230" s="62">
        <v>2.89055555555555</v>
      </c>
      <c r="Y230" s="62">
        <v>4.51055555555555</v>
      </c>
      <c r="Z230" s="62">
        <v>0.358055555555555</v>
      </c>
      <c r="AA230" s="62">
        <v>0.0</v>
      </c>
      <c r="AB230" s="62">
        <v>4.49222222222222</v>
      </c>
      <c r="AC230" s="62">
        <v>4.49222222222222</v>
      </c>
      <c r="AD230" s="62">
        <v>1.14722222222222</v>
      </c>
      <c r="AE230" s="62">
        <v>4.49222222222222</v>
      </c>
      <c r="AF230" s="62">
        <v>20.0</v>
      </c>
    </row>
    <row r="231">
      <c r="A231" s="68">
        <v>46055.0</v>
      </c>
      <c r="B231" s="62" t="s">
        <v>62</v>
      </c>
      <c r="C231" s="62" t="s">
        <v>63</v>
      </c>
      <c r="D231" s="62">
        <v>20.0</v>
      </c>
      <c r="E231" s="62">
        <v>19.0</v>
      </c>
      <c r="F231" s="62">
        <v>10.0</v>
      </c>
      <c r="G231" s="62">
        <v>7.0</v>
      </c>
      <c r="H231" s="62">
        <v>10.0</v>
      </c>
      <c r="I231" s="62">
        <v>4.0</v>
      </c>
      <c r="J231" s="62">
        <v>8.0</v>
      </c>
      <c r="K231" s="62">
        <v>3.0</v>
      </c>
      <c r="L231" s="62">
        <v>2.0</v>
      </c>
      <c r="M231" s="62">
        <v>4.0</v>
      </c>
      <c r="N231" s="62">
        <v>0.0</v>
      </c>
      <c r="O231" s="62">
        <v>0.0</v>
      </c>
      <c r="P231" s="62">
        <v>0.0</v>
      </c>
      <c r="Q231" s="62">
        <v>0.0</v>
      </c>
      <c r="R231" s="62">
        <v>50397.0</v>
      </c>
      <c r="S231" s="62">
        <v>47577.0</v>
      </c>
      <c r="T231" s="62">
        <v>3.6725</v>
      </c>
      <c r="U231" s="62">
        <v>2.32416666666666</v>
      </c>
      <c r="V231" s="62">
        <v>1.6625</v>
      </c>
      <c r="W231" s="62">
        <v>2.33694444444444</v>
      </c>
      <c r="X231" s="62">
        <v>0.893611111111111</v>
      </c>
      <c r="Y231" s="62">
        <v>1.91722222222222</v>
      </c>
      <c r="Z231" s="62">
        <v>0.704166666666666</v>
      </c>
      <c r="AA231" s="62">
        <v>0.498333333333333</v>
      </c>
      <c r="AB231" s="62">
        <v>0.951111111111111</v>
      </c>
      <c r="AC231" s="62">
        <v>0.0</v>
      </c>
      <c r="AD231" s="62">
        <v>0.0</v>
      </c>
      <c r="AE231" s="62">
        <v>0.0</v>
      </c>
      <c r="AF231" s="62">
        <v>16.0</v>
      </c>
    </row>
    <row r="232">
      <c r="A232" s="68">
        <v>46048.0</v>
      </c>
      <c r="B232" s="62" t="s">
        <v>79</v>
      </c>
      <c r="C232" s="62" t="s">
        <v>162</v>
      </c>
      <c r="D232" s="62">
        <v>6.0</v>
      </c>
      <c r="E232" s="62">
        <v>11.0</v>
      </c>
      <c r="F232" s="62">
        <v>0.0</v>
      </c>
      <c r="G232" s="62">
        <v>0.0</v>
      </c>
      <c r="H232" s="62">
        <v>0.0</v>
      </c>
      <c r="I232" s="62">
        <v>0.0</v>
      </c>
      <c r="J232" s="62">
        <v>0.0</v>
      </c>
      <c r="K232" s="62">
        <v>0.0</v>
      </c>
      <c r="L232" s="62">
        <v>0.0</v>
      </c>
      <c r="M232" s="62">
        <v>0.0</v>
      </c>
      <c r="N232" s="62">
        <v>0.0</v>
      </c>
      <c r="O232" s="62">
        <v>0.0</v>
      </c>
      <c r="P232" s="62">
        <v>0.0</v>
      </c>
      <c r="Q232" s="62">
        <v>0.0</v>
      </c>
      <c r="R232" s="62">
        <v>13407.0</v>
      </c>
      <c r="S232" s="62">
        <v>18487.0</v>
      </c>
      <c r="T232" s="62">
        <v>0.0</v>
      </c>
      <c r="U232" s="62">
        <v>0.0</v>
      </c>
      <c r="V232" s="62">
        <v>0.0</v>
      </c>
      <c r="W232" s="62">
        <v>0.0</v>
      </c>
      <c r="X232" s="62">
        <v>0.0</v>
      </c>
      <c r="Y232" s="62">
        <v>0.0</v>
      </c>
      <c r="Z232" s="62">
        <v>0.0</v>
      </c>
      <c r="AA232" s="62">
        <v>0.0</v>
      </c>
      <c r="AB232" s="62">
        <v>0.0</v>
      </c>
      <c r="AC232" s="62">
        <v>0.0</v>
      </c>
      <c r="AD232" s="62">
        <v>0.0</v>
      </c>
      <c r="AE232" s="62">
        <v>0.0</v>
      </c>
      <c r="AF232" s="62">
        <v>0.0</v>
      </c>
    </row>
    <row r="233">
      <c r="A233" s="68">
        <v>46048.0</v>
      </c>
      <c r="B233" s="62" t="s">
        <v>71</v>
      </c>
      <c r="C233" s="62" t="s">
        <v>163</v>
      </c>
      <c r="D233" s="62">
        <v>26.0</v>
      </c>
      <c r="E233" s="62">
        <v>20.0</v>
      </c>
      <c r="F233" s="62">
        <v>8.0</v>
      </c>
      <c r="G233" s="62">
        <v>5.0</v>
      </c>
      <c r="H233" s="62">
        <v>8.0</v>
      </c>
      <c r="I233" s="62">
        <v>2.0</v>
      </c>
      <c r="J233" s="62">
        <v>8.0</v>
      </c>
      <c r="K233" s="62">
        <v>10.0</v>
      </c>
      <c r="L233" s="62">
        <v>5.0</v>
      </c>
      <c r="M233" s="62">
        <v>16.0</v>
      </c>
      <c r="N233" s="62">
        <v>16.0</v>
      </c>
      <c r="O233" s="62">
        <v>7.0</v>
      </c>
      <c r="P233" s="62">
        <v>16.0</v>
      </c>
      <c r="Q233" s="62">
        <v>0.0</v>
      </c>
      <c r="R233" s="62">
        <v>78039.0</v>
      </c>
      <c r="S233" s="62">
        <v>63368.0</v>
      </c>
      <c r="T233" s="62">
        <v>3.31111111111111</v>
      </c>
      <c r="U233" s="62">
        <v>2.19416666666666</v>
      </c>
      <c r="V233" s="62">
        <v>1.34416666666666</v>
      </c>
      <c r="W233" s="62">
        <v>2.175</v>
      </c>
      <c r="X233" s="62">
        <v>0.553333333333333</v>
      </c>
      <c r="Y233" s="62">
        <v>2.17638888888888</v>
      </c>
      <c r="Z233" s="62">
        <v>2.69305555555555</v>
      </c>
      <c r="AA233" s="62">
        <v>1.33666666666666</v>
      </c>
      <c r="AB233" s="62">
        <v>4.34472222222222</v>
      </c>
      <c r="AC233" s="62">
        <v>4.34472222222222</v>
      </c>
      <c r="AD233" s="62">
        <v>1.79333333333333</v>
      </c>
      <c r="AE233" s="62">
        <v>4.34472222222222</v>
      </c>
      <c r="AF233" s="62">
        <v>12.0</v>
      </c>
    </row>
    <row r="234">
      <c r="A234" s="68">
        <v>46048.0</v>
      </c>
      <c r="B234" s="62" t="s">
        <v>76</v>
      </c>
      <c r="C234" s="62" t="s">
        <v>165</v>
      </c>
      <c r="D234" s="62">
        <v>21.0</v>
      </c>
      <c r="E234" s="62">
        <v>22.0</v>
      </c>
      <c r="F234" s="62">
        <v>12.0</v>
      </c>
      <c r="G234" s="62">
        <v>10.0</v>
      </c>
      <c r="H234" s="62">
        <v>20.0</v>
      </c>
      <c r="I234" s="62">
        <v>10.0</v>
      </c>
      <c r="J234" s="62">
        <v>16.0</v>
      </c>
      <c r="K234" s="62">
        <v>1.0</v>
      </c>
      <c r="L234" s="62">
        <v>1.0</v>
      </c>
      <c r="M234" s="62">
        <v>17.0</v>
      </c>
      <c r="N234" s="62">
        <v>17.0</v>
      </c>
      <c r="O234" s="62">
        <v>5.0</v>
      </c>
      <c r="P234" s="62">
        <v>17.0</v>
      </c>
      <c r="Q234" s="62">
        <v>0.0</v>
      </c>
      <c r="R234" s="62">
        <v>60777.0</v>
      </c>
      <c r="S234" s="62">
        <v>53190.0</v>
      </c>
      <c r="T234" s="62">
        <v>5.21555555555555</v>
      </c>
      <c r="U234" s="62">
        <v>2.86888888888888</v>
      </c>
      <c r="V234" s="62">
        <v>2.39194444444444</v>
      </c>
      <c r="W234" s="62">
        <v>4.73944444444444</v>
      </c>
      <c r="X234" s="62">
        <v>2.3475</v>
      </c>
      <c r="Y234" s="62">
        <v>3.79083333333333</v>
      </c>
      <c r="Z234" s="62">
        <v>0.236666666666666</v>
      </c>
      <c r="AA234" s="62">
        <v>0.236666666666666</v>
      </c>
      <c r="AB234" s="62">
        <v>4.01805555555555</v>
      </c>
      <c r="AC234" s="62">
        <v>4.01805555555555</v>
      </c>
      <c r="AD234" s="62">
        <v>1.21083333333333</v>
      </c>
      <c r="AE234" s="62">
        <v>4.01805555555555</v>
      </c>
      <c r="AF234" s="62">
        <v>22.0</v>
      </c>
    </row>
    <row r="235">
      <c r="A235" s="68">
        <v>46048.0</v>
      </c>
      <c r="B235" s="62" t="s">
        <v>32</v>
      </c>
      <c r="C235" s="62" t="s">
        <v>168</v>
      </c>
      <c r="D235" s="62">
        <v>0.0</v>
      </c>
      <c r="E235" s="62">
        <v>15.0</v>
      </c>
      <c r="F235" s="62">
        <v>6.0</v>
      </c>
      <c r="G235" s="62">
        <v>0.0</v>
      </c>
      <c r="H235" s="62">
        <v>14.0</v>
      </c>
      <c r="I235" s="62">
        <v>9.0</v>
      </c>
      <c r="J235" s="62">
        <v>15.0</v>
      </c>
      <c r="K235" s="62">
        <v>1.0</v>
      </c>
      <c r="L235" s="62">
        <v>0.0</v>
      </c>
      <c r="M235" s="62">
        <v>14.0</v>
      </c>
      <c r="N235" s="62">
        <v>14.0</v>
      </c>
      <c r="O235" s="62">
        <v>6.0</v>
      </c>
      <c r="P235" s="62">
        <v>14.0</v>
      </c>
      <c r="Q235" s="62">
        <v>0.0</v>
      </c>
      <c r="R235" s="62">
        <v>0.0</v>
      </c>
      <c r="S235" s="62">
        <v>38916.0</v>
      </c>
      <c r="T235" s="62">
        <v>5.26472222222222</v>
      </c>
      <c r="U235" s="62">
        <v>1.51194444444444</v>
      </c>
      <c r="V235" s="62">
        <v>0.0</v>
      </c>
      <c r="W235" s="62">
        <v>3.54388888888888</v>
      </c>
      <c r="X235" s="62">
        <v>2.28222222222222</v>
      </c>
      <c r="Y235" s="62">
        <v>3.80222222222222</v>
      </c>
      <c r="Z235" s="62">
        <v>0.270277777777777</v>
      </c>
      <c r="AA235" s="62">
        <v>0.0</v>
      </c>
      <c r="AB235" s="62">
        <v>3.54833333333333</v>
      </c>
      <c r="AC235" s="62">
        <v>3.54833333333333</v>
      </c>
      <c r="AD235" s="62">
        <v>1.26638888888888</v>
      </c>
      <c r="AE235" s="62">
        <v>3.54833333333333</v>
      </c>
      <c r="AF235" s="62">
        <v>21.0</v>
      </c>
    </row>
    <row r="236">
      <c r="A236" s="68">
        <v>46048.0</v>
      </c>
      <c r="B236" s="62" t="s">
        <v>37</v>
      </c>
      <c r="C236" s="62" t="s">
        <v>174</v>
      </c>
      <c r="D236" s="62">
        <v>2.0</v>
      </c>
      <c r="E236" s="62">
        <v>17.0</v>
      </c>
      <c r="F236" s="62">
        <v>2.0</v>
      </c>
      <c r="G236" s="62">
        <v>3.0</v>
      </c>
      <c r="H236" s="62">
        <v>6.0</v>
      </c>
      <c r="I236" s="62">
        <v>3.0</v>
      </c>
      <c r="J236" s="62">
        <v>6.0</v>
      </c>
      <c r="K236" s="62">
        <v>0.0</v>
      </c>
      <c r="L236" s="62">
        <v>0.0</v>
      </c>
      <c r="M236" s="62">
        <v>7.0</v>
      </c>
      <c r="N236" s="62">
        <v>7.0</v>
      </c>
      <c r="O236" s="62">
        <v>5.0</v>
      </c>
      <c r="P236" s="62">
        <v>7.0</v>
      </c>
      <c r="Q236" s="62">
        <v>0.0</v>
      </c>
      <c r="R236" s="62">
        <v>5037.0</v>
      </c>
      <c r="S236" s="62">
        <v>39958.0</v>
      </c>
      <c r="T236" s="62">
        <v>2.56249999999999</v>
      </c>
      <c r="U236" s="62">
        <v>0.535</v>
      </c>
      <c r="V236" s="62">
        <v>0.803055555555555</v>
      </c>
      <c r="W236" s="62">
        <v>1.57638888888888</v>
      </c>
      <c r="X236" s="62">
        <v>0.773333333333333</v>
      </c>
      <c r="Y236" s="62">
        <v>1.57861111111111</v>
      </c>
      <c r="Z236" s="62">
        <v>0.0</v>
      </c>
      <c r="AA236" s="62">
        <v>0.0</v>
      </c>
      <c r="AB236" s="62">
        <v>1.85305555555555</v>
      </c>
      <c r="AC236" s="62">
        <v>1.85305555555555</v>
      </c>
      <c r="AD236" s="62">
        <v>1.34527777777777</v>
      </c>
      <c r="AE236" s="62">
        <v>1.85305555555555</v>
      </c>
      <c r="AF236" s="62">
        <v>10.0</v>
      </c>
    </row>
    <row r="237">
      <c r="A237" s="68">
        <v>46048.0</v>
      </c>
      <c r="B237" s="62" t="s">
        <v>81</v>
      </c>
      <c r="C237" s="62" t="s">
        <v>187</v>
      </c>
      <c r="D237" s="62">
        <v>8.0</v>
      </c>
      <c r="E237" s="62">
        <v>5.0</v>
      </c>
      <c r="F237" s="62">
        <v>0.0</v>
      </c>
      <c r="G237" s="62">
        <v>0.0</v>
      </c>
      <c r="H237" s="62">
        <v>0.0</v>
      </c>
      <c r="I237" s="62">
        <v>0.0</v>
      </c>
      <c r="J237" s="62">
        <v>0.0</v>
      </c>
      <c r="K237" s="62">
        <v>0.0</v>
      </c>
      <c r="L237" s="62">
        <v>0.0</v>
      </c>
      <c r="M237" s="62">
        <v>0.0</v>
      </c>
      <c r="N237" s="62">
        <v>0.0</v>
      </c>
      <c r="O237" s="62">
        <v>0.0</v>
      </c>
      <c r="P237" s="62">
        <v>0.0</v>
      </c>
      <c r="Q237" s="62">
        <v>0.0</v>
      </c>
      <c r="R237" s="62">
        <v>18915.0</v>
      </c>
      <c r="S237" s="62">
        <v>12002.0</v>
      </c>
      <c r="T237" s="62">
        <v>0.0</v>
      </c>
      <c r="U237" s="62">
        <v>0.0</v>
      </c>
      <c r="V237" s="62">
        <v>0.0</v>
      </c>
      <c r="W237" s="62">
        <v>0.0</v>
      </c>
      <c r="X237" s="62">
        <v>0.0</v>
      </c>
      <c r="Y237" s="62">
        <v>0.0</v>
      </c>
      <c r="Z237" s="62">
        <v>0.0</v>
      </c>
      <c r="AA237" s="62">
        <v>0.0</v>
      </c>
      <c r="AB237" s="62">
        <v>0.0</v>
      </c>
      <c r="AC237" s="62">
        <v>0.0</v>
      </c>
      <c r="AD237" s="62">
        <v>0.0</v>
      </c>
      <c r="AE237" s="62">
        <v>0.0</v>
      </c>
      <c r="AF237" s="62">
        <v>0.0</v>
      </c>
    </row>
    <row r="238">
      <c r="A238" s="68">
        <v>46048.0</v>
      </c>
      <c r="B238" s="62" t="s">
        <v>26</v>
      </c>
      <c r="C238" s="62" t="s">
        <v>178</v>
      </c>
      <c r="D238" s="62">
        <v>20.0</v>
      </c>
      <c r="E238" s="62">
        <v>20.0</v>
      </c>
      <c r="F238" s="62">
        <v>3.0</v>
      </c>
      <c r="G238" s="62">
        <v>2.0</v>
      </c>
      <c r="H238" s="62">
        <v>21.0</v>
      </c>
      <c r="I238" s="62">
        <v>19.0</v>
      </c>
      <c r="J238" s="62">
        <v>16.0</v>
      </c>
      <c r="K238" s="62">
        <v>0.0</v>
      </c>
      <c r="L238" s="62">
        <v>0.0</v>
      </c>
      <c r="M238" s="62">
        <v>16.0</v>
      </c>
      <c r="N238" s="62">
        <v>16.0</v>
      </c>
      <c r="O238" s="62">
        <v>5.0</v>
      </c>
      <c r="P238" s="62">
        <v>16.0</v>
      </c>
      <c r="Q238" s="62">
        <v>0.0</v>
      </c>
      <c r="R238" s="62">
        <v>45113.0</v>
      </c>
      <c r="S238" s="62">
        <v>45270.0</v>
      </c>
      <c r="T238" s="62">
        <v>4.815</v>
      </c>
      <c r="U238" s="62">
        <v>0.862222222222222</v>
      </c>
      <c r="V238" s="62">
        <v>0.556111111111111</v>
      </c>
      <c r="W238" s="62">
        <v>4.81611111111111</v>
      </c>
      <c r="X238" s="62">
        <v>4.26</v>
      </c>
      <c r="Y238" s="62">
        <v>3.81916666666666</v>
      </c>
      <c r="Z238" s="62">
        <v>0.0</v>
      </c>
      <c r="AA238" s="62">
        <v>0.0</v>
      </c>
      <c r="AB238" s="62">
        <v>3.81916666666666</v>
      </c>
      <c r="AC238" s="62">
        <v>3.81916666666666</v>
      </c>
      <c r="AD238" s="62">
        <v>0.951944444444444</v>
      </c>
      <c r="AE238" s="62">
        <v>3.81916666666666</v>
      </c>
      <c r="AF238" s="62">
        <v>21.0</v>
      </c>
    </row>
    <row r="239">
      <c r="A239" s="68">
        <v>46048.0</v>
      </c>
      <c r="B239" s="62" t="s">
        <v>62</v>
      </c>
      <c r="C239" s="62" t="s">
        <v>63</v>
      </c>
      <c r="D239" s="62">
        <v>18.0</v>
      </c>
      <c r="E239" s="62">
        <v>18.0</v>
      </c>
      <c r="F239" s="62">
        <v>1.0</v>
      </c>
      <c r="G239" s="62">
        <v>1.0</v>
      </c>
      <c r="H239" s="62">
        <v>1.0</v>
      </c>
      <c r="I239" s="62">
        <v>1.0</v>
      </c>
      <c r="J239" s="62">
        <v>1.0</v>
      </c>
      <c r="K239" s="62">
        <v>0.0</v>
      </c>
      <c r="L239" s="62">
        <v>0.0</v>
      </c>
      <c r="M239" s="62">
        <v>1.0</v>
      </c>
      <c r="N239" s="62">
        <v>1.0</v>
      </c>
      <c r="O239" s="62">
        <v>1.0</v>
      </c>
      <c r="P239" s="62">
        <v>1.0</v>
      </c>
      <c r="Q239" s="62">
        <v>0.0</v>
      </c>
      <c r="R239" s="62">
        <v>48263.0</v>
      </c>
      <c r="S239" s="62">
        <v>43386.0</v>
      </c>
      <c r="T239" s="62">
        <v>0.0</v>
      </c>
      <c r="U239" s="62">
        <v>0.253333333333333</v>
      </c>
      <c r="V239" s="62">
        <v>0.251388888888888</v>
      </c>
      <c r="W239" s="62">
        <v>0.253333333333333</v>
      </c>
      <c r="X239" s="62">
        <v>0.253333333333333</v>
      </c>
      <c r="Y239" s="62">
        <v>0.251388888888888</v>
      </c>
      <c r="Z239" s="62">
        <v>0.0</v>
      </c>
      <c r="AA239" s="62">
        <v>0.0</v>
      </c>
      <c r="AB239" s="62">
        <v>0.251388888888888</v>
      </c>
      <c r="AC239" s="62">
        <v>0.251388888888888</v>
      </c>
      <c r="AD239" s="62">
        <v>0.251388888888888</v>
      </c>
      <c r="AE239" s="62">
        <v>0.251388888888888</v>
      </c>
      <c r="AF239" s="62">
        <v>0.0</v>
      </c>
    </row>
    <row r="240">
      <c r="A240" s="68">
        <v>46041.0</v>
      </c>
      <c r="B240" s="62" t="s">
        <v>79</v>
      </c>
      <c r="C240" s="62" t="s">
        <v>162</v>
      </c>
      <c r="D240" s="62">
        <v>16.0</v>
      </c>
      <c r="E240" s="62">
        <v>1.0</v>
      </c>
      <c r="F240" s="62">
        <v>0.0</v>
      </c>
      <c r="G240" s="62">
        <v>0.0</v>
      </c>
      <c r="H240" s="62">
        <v>0.0</v>
      </c>
      <c r="I240" s="62">
        <v>0.0</v>
      </c>
      <c r="J240" s="62">
        <v>0.0</v>
      </c>
      <c r="K240" s="62">
        <v>0.0</v>
      </c>
      <c r="L240" s="62">
        <v>0.0</v>
      </c>
      <c r="M240" s="62">
        <v>0.0</v>
      </c>
      <c r="N240" s="62">
        <v>0.0</v>
      </c>
      <c r="O240" s="62">
        <v>0.0</v>
      </c>
      <c r="P240" s="62">
        <v>0.0</v>
      </c>
      <c r="Q240" s="62">
        <v>0.0</v>
      </c>
      <c r="R240" s="62">
        <v>29500.0</v>
      </c>
      <c r="S240" s="62">
        <v>2581.0</v>
      </c>
      <c r="T240" s="62">
        <v>0.0</v>
      </c>
      <c r="U240" s="62">
        <v>0.0</v>
      </c>
      <c r="V240" s="62">
        <v>0.0</v>
      </c>
      <c r="W240" s="62">
        <v>0.0</v>
      </c>
      <c r="X240" s="62">
        <v>0.0</v>
      </c>
      <c r="Y240" s="62">
        <v>0.0</v>
      </c>
      <c r="Z240" s="62">
        <v>0.0</v>
      </c>
      <c r="AA240" s="62">
        <v>0.0</v>
      </c>
      <c r="AB240" s="62">
        <v>0.0</v>
      </c>
      <c r="AC240" s="62">
        <v>0.0</v>
      </c>
      <c r="AD240" s="62">
        <v>0.0</v>
      </c>
      <c r="AE240" s="62">
        <v>0.0</v>
      </c>
      <c r="AF240" s="62">
        <v>0.0</v>
      </c>
    </row>
    <row r="241">
      <c r="A241" s="68">
        <v>46041.0</v>
      </c>
      <c r="B241" s="62" t="s">
        <v>71</v>
      </c>
      <c r="C241" s="62" t="s">
        <v>163</v>
      </c>
      <c r="D241" s="62">
        <v>30.0</v>
      </c>
      <c r="E241" s="62">
        <v>11.0</v>
      </c>
      <c r="F241" s="62">
        <v>12.0</v>
      </c>
      <c r="G241" s="62">
        <v>14.0</v>
      </c>
      <c r="H241" s="62">
        <v>15.0</v>
      </c>
      <c r="I241" s="62">
        <v>1.0</v>
      </c>
      <c r="J241" s="62">
        <v>15.0</v>
      </c>
      <c r="K241" s="62">
        <v>2.0</v>
      </c>
      <c r="L241" s="62">
        <v>3.0</v>
      </c>
      <c r="M241" s="62">
        <v>8.0</v>
      </c>
      <c r="N241" s="62">
        <v>11.0</v>
      </c>
      <c r="O241" s="62">
        <v>7.0</v>
      </c>
      <c r="P241" s="62">
        <v>11.0</v>
      </c>
      <c r="Q241" s="62">
        <v>0.0</v>
      </c>
      <c r="R241" s="62">
        <v>94314.0</v>
      </c>
      <c r="S241" s="62">
        <v>34418.0</v>
      </c>
      <c r="T241" s="62">
        <v>3.49666666666666</v>
      </c>
      <c r="U241" s="62">
        <v>3.22527777777777</v>
      </c>
      <c r="V241" s="62">
        <v>3.76611111111111</v>
      </c>
      <c r="W241" s="62">
        <v>4.03777777777777</v>
      </c>
      <c r="X241" s="62">
        <v>0.271666666666666</v>
      </c>
      <c r="Y241" s="62">
        <v>4.03833333333333</v>
      </c>
      <c r="Z241" s="62">
        <v>0.486111111111111</v>
      </c>
      <c r="AA241" s="62">
        <v>0.785</v>
      </c>
      <c r="AB241" s="62">
        <v>2.16888888888888</v>
      </c>
      <c r="AC241" s="62">
        <v>3.06333333333333</v>
      </c>
      <c r="AD241" s="62">
        <v>1.72111111111111</v>
      </c>
      <c r="AE241" s="62">
        <v>3.06333333333333</v>
      </c>
      <c r="AF241" s="62">
        <v>13.0</v>
      </c>
    </row>
    <row r="242">
      <c r="A242" s="68">
        <v>46041.0</v>
      </c>
      <c r="B242" s="62" t="s">
        <v>76</v>
      </c>
      <c r="C242" s="62" t="s">
        <v>165</v>
      </c>
      <c r="D242" s="62">
        <v>20.0</v>
      </c>
      <c r="E242" s="62">
        <v>20.0</v>
      </c>
      <c r="F242" s="62">
        <v>12.0</v>
      </c>
      <c r="G242" s="62">
        <v>13.0</v>
      </c>
      <c r="H242" s="62">
        <v>22.0</v>
      </c>
      <c r="I242" s="62">
        <v>9.0</v>
      </c>
      <c r="J242" s="62">
        <v>22.0</v>
      </c>
      <c r="K242" s="62">
        <v>0.0</v>
      </c>
      <c r="L242" s="62">
        <v>0.0</v>
      </c>
      <c r="M242" s="62">
        <v>21.0</v>
      </c>
      <c r="N242" s="62">
        <v>21.0</v>
      </c>
      <c r="O242" s="62">
        <v>6.0</v>
      </c>
      <c r="P242" s="62">
        <v>21.0</v>
      </c>
      <c r="Q242" s="62">
        <v>0.0</v>
      </c>
      <c r="R242" s="62">
        <v>67016.0</v>
      </c>
      <c r="S242" s="62">
        <v>49704.0</v>
      </c>
      <c r="T242" s="62">
        <v>5.01861111111111</v>
      </c>
      <c r="U242" s="62">
        <v>2.87888888888888</v>
      </c>
      <c r="V242" s="62">
        <v>3.12333333333333</v>
      </c>
      <c r="W242" s="62">
        <v>5.26305555555555</v>
      </c>
      <c r="X242" s="62">
        <v>2.13972222222222</v>
      </c>
      <c r="Y242" s="62">
        <v>5.27111111111111</v>
      </c>
      <c r="Z242" s="62">
        <v>0.0</v>
      </c>
      <c r="AA242" s="62">
        <v>0.0</v>
      </c>
      <c r="AB242" s="62">
        <v>5.04388888888888</v>
      </c>
      <c r="AC242" s="62">
        <v>5.04388888888888</v>
      </c>
      <c r="AD242" s="62">
        <v>1.42916666666666</v>
      </c>
      <c r="AE242" s="62">
        <v>5.04388888888888</v>
      </c>
      <c r="AF242" s="62">
        <v>21.0</v>
      </c>
    </row>
    <row r="243">
      <c r="A243" s="68">
        <v>46041.0</v>
      </c>
      <c r="B243" s="62" t="s">
        <v>32</v>
      </c>
      <c r="C243" s="62" t="s">
        <v>168</v>
      </c>
      <c r="D243" s="62">
        <v>0.0</v>
      </c>
      <c r="E243" s="62">
        <v>24.0</v>
      </c>
      <c r="F243" s="62">
        <v>1.0</v>
      </c>
      <c r="G243" s="62">
        <v>0.0</v>
      </c>
      <c r="H243" s="62">
        <v>18.0</v>
      </c>
      <c r="I243" s="62">
        <v>17.0</v>
      </c>
      <c r="J243" s="62">
        <v>17.0</v>
      </c>
      <c r="K243" s="62">
        <v>1.0</v>
      </c>
      <c r="L243" s="62">
        <v>0.0</v>
      </c>
      <c r="M243" s="62">
        <v>18.0</v>
      </c>
      <c r="N243" s="62">
        <v>18.0</v>
      </c>
      <c r="O243" s="62">
        <v>5.0</v>
      </c>
      <c r="P243" s="62">
        <v>18.0</v>
      </c>
      <c r="Q243" s="62">
        <v>0.0</v>
      </c>
      <c r="R243" s="62">
        <v>0.0</v>
      </c>
      <c r="S243" s="62">
        <v>59349.0</v>
      </c>
      <c r="T243" s="62">
        <v>4.44555555555555</v>
      </c>
      <c r="U243" s="62">
        <v>0.270277777777777</v>
      </c>
      <c r="V243" s="62">
        <v>0.0</v>
      </c>
      <c r="W243" s="62">
        <v>4.44555555555555</v>
      </c>
      <c r="X243" s="62">
        <v>4.17527777777777</v>
      </c>
      <c r="Y243" s="62">
        <v>4.21027777777777</v>
      </c>
      <c r="Z243" s="62">
        <v>0.238611111111111</v>
      </c>
      <c r="AA243" s="62">
        <v>0.0</v>
      </c>
      <c r="AB243" s="62">
        <v>4.39972222222222</v>
      </c>
      <c r="AC243" s="62">
        <v>4.39972222222222</v>
      </c>
      <c r="AD243" s="62">
        <v>1.04083333333333</v>
      </c>
      <c r="AE243" s="62">
        <v>4.39972222222222</v>
      </c>
      <c r="AF243" s="62">
        <v>18.0</v>
      </c>
    </row>
    <row r="244">
      <c r="A244" s="68">
        <v>46041.0</v>
      </c>
      <c r="B244" s="62" t="s">
        <v>37</v>
      </c>
      <c r="C244" s="62" t="s">
        <v>174</v>
      </c>
      <c r="D244" s="62">
        <v>31.0</v>
      </c>
      <c r="E244" s="62">
        <v>3.0</v>
      </c>
      <c r="F244" s="62">
        <v>9.0</v>
      </c>
      <c r="G244" s="62">
        <v>6.0</v>
      </c>
      <c r="H244" s="62">
        <v>7.0</v>
      </c>
      <c r="I244" s="62">
        <v>1.0</v>
      </c>
      <c r="J244" s="62">
        <v>7.0</v>
      </c>
      <c r="K244" s="62">
        <v>1.0</v>
      </c>
      <c r="L244" s="62">
        <v>1.0</v>
      </c>
      <c r="M244" s="62">
        <v>6.0</v>
      </c>
      <c r="N244" s="62">
        <v>6.0</v>
      </c>
      <c r="O244" s="62">
        <v>5.0</v>
      </c>
      <c r="P244" s="62">
        <v>6.0</v>
      </c>
      <c r="Q244" s="62">
        <v>0.0</v>
      </c>
      <c r="R244" s="62">
        <v>66294.0</v>
      </c>
      <c r="S244" s="62">
        <v>7538.0</v>
      </c>
      <c r="T244" s="62">
        <v>2.58583333333333</v>
      </c>
      <c r="U244" s="62">
        <v>2.58583333333333</v>
      </c>
      <c r="V244" s="62">
        <v>1.67194444444444</v>
      </c>
      <c r="W244" s="62">
        <v>1.96944444444444</v>
      </c>
      <c r="X244" s="62">
        <v>0.2975</v>
      </c>
      <c r="Y244" s="62">
        <v>1.95333333333333</v>
      </c>
      <c r="Z244" s="62">
        <v>0.276666666666666</v>
      </c>
      <c r="AA244" s="62">
        <v>0.276666666666666</v>
      </c>
      <c r="AB244" s="62">
        <v>1.67888888888888</v>
      </c>
      <c r="AC244" s="62">
        <v>1.67888888888888</v>
      </c>
      <c r="AD244" s="62">
        <v>1.38972222222222</v>
      </c>
      <c r="AE244" s="62">
        <v>1.67888888888888</v>
      </c>
      <c r="AF244" s="62">
        <v>9.0</v>
      </c>
    </row>
    <row r="245">
      <c r="A245" s="68">
        <v>46041.0</v>
      </c>
      <c r="B245" s="62" t="s">
        <v>81</v>
      </c>
      <c r="C245" s="62" t="s">
        <v>187</v>
      </c>
      <c r="D245" s="62">
        <v>1.0</v>
      </c>
      <c r="E245" s="62">
        <v>0.0</v>
      </c>
      <c r="F245" s="62">
        <v>0.0</v>
      </c>
      <c r="G245" s="62">
        <v>0.0</v>
      </c>
      <c r="H245" s="62">
        <v>0.0</v>
      </c>
      <c r="I245" s="62">
        <v>0.0</v>
      </c>
      <c r="J245" s="62">
        <v>0.0</v>
      </c>
      <c r="K245" s="62">
        <v>0.0</v>
      </c>
      <c r="L245" s="62">
        <v>0.0</v>
      </c>
      <c r="M245" s="62">
        <v>0.0</v>
      </c>
      <c r="N245" s="62">
        <v>0.0</v>
      </c>
      <c r="O245" s="62">
        <v>0.0</v>
      </c>
      <c r="P245" s="62">
        <v>0.0</v>
      </c>
      <c r="Q245" s="62">
        <v>0.0</v>
      </c>
      <c r="R245" s="62">
        <v>2398.0</v>
      </c>
      <c r="S245" s="62">
        <v>0.0</v>
      </c>
      <c r="T245" s="62">
        <v>0.0</v>
      </c>
      <c r="U245" s="62">
        <v>0.0</v>
      </c>
      <c r="V245" s="62">
        <v>0.0</v>
      </c>
      <c r="W245" s="62">
        <v>0.0</v>
      </c>
      <c r="X245" s="62">
        <v>0.0</v>
      </c>
      <c r="Y245" s="62">
        <v>0.0</v>
      </c>
      <c r="Z245" s="62">
        <v>0.0</v>
      </c>
      <c r="AA245" s="62">
        <v>0.0</v>
      </c>
      <c r="AB245" s="62">
        <v>0.0</v>
      </c>
      <c r="AC245" s="62">
        <v>0.0</v>
      </c>
      <c r="AD245" s="62">
        <v>0.0</v>
      </c>
      <c r="AE245" s="62">
        <v>0.0</v>
      </c>
      <c r="AF245" s="62">
        <v>0.0</v>
      </c>
    </row>
    <row r="246">
      <c r="A246" s="68">
        <v>46041.0</v>
      </c>
      <c r="B246" s="62" t="s">
        <v>26</v>
      </c>
      <c r="C246" s="62" t="s">
        <v>178</v>
      </c>
      <c r="D246" s="62">
        <v>25.0</v>
      </c>
      <c r="E246" s="62">
        <v>19.0</v>
      </c>
      <c r="F246" s="62">
        <v>9.0</v>
      </c>
      <c r="G246" s="62">
        <v>9.0</v>
      </c>
      <c r="H246" s="62">
        <v>20.0</v>
      </c>
      <c r="I246" s="62">
        <v>11.0</v>
      </c>
      <c r="J246" s="62">
        <v>20.0</v>
      </c>
      <c r="K246" s="62">
        <v>4.0</v>
      </c>
      <c r="L246" s="62">
        <v>4.0</v>
      </c>
      <c r="M246" s="62">
        <v>21.0</v>
      </c>
      <c r="N246" s="62">
        <v>21.0</v>
      </c>
      <c r="O246" s="62">
        <v>6.0</v>
      </c>
      <c r="P246" s="62">
        <v>21.0</v>
      </c>
      <c r="Q246" s="62">
        <v>0.0</v>
      </c>
      <c r="R246" s="62">
        <v>59142.0</v>
      </c>
      <c r="S246" s="62">
        <v>48547.0</v>
      </c>
      <c r="T246" s="62">
        <v>4.72777777777777</v>
      </c>
      <c r="U246" s="62">
        <v>2.34361111111111</v>
      </c>
      <c r="V246" s="62">
        <v>2.34888888888888</v>
      </c>
      <c r="W246" s="62">
        <v>4.73305555555555</v>
      </c>
      <c r="X246" s="62">
        <v>2.38416666666666</v>
      </c>
      <c r="Y246" s="62">
        <v>4.74333333333333</v>
      </c>
      <c r="Z246" s="62">
        <v>1.15055555555555</v>
      </c>
      <c r="AA246" s="62">
        <v>1.15055555555555</v>
      </c>
      <c r="AB246" s="62">
        <v>4.92305555555555</v>
      </c>
      <c r="AC246" s="62">
        <v>4.92305555555555</v>
      </c>
      <c r="AD246" s="62">
        <v>1.18222222222222</v>
      </c>
      <c r="AE246" s="62">
        <v>4.92305555555555</v>
      </c>
      <c r="AF246" s="62">
        <v>20.0</v>
      </c>
    </row>
    <row r="247">
      <c r="A247" s="68">
        <v>46041.0</v>
      </c>
      <c r="B247" s="62" t="s">
        <v>62</v>
      </c>
      <c r="C247" s="62" t="s">
        <v>63</v>
      </c>
      <c r="D247" s="62">
        <v>9.0</v>
      </c>
      <c r="E247" s="62">
        <v>1.0</v>
      </c>
      <c r="F247" s="62">
        <v>0.0</v>
      </c>
      <c r="G247" s="62">
        <v>0.0</v>
      </c>
      <c r="H247" s="62">
        <v>0.0</v>
      </c>
      <c r="I247" s="62">
        <v>0.0</v>
      </c>
      <c r="J247" s="62">
        <v>0.0</v>
      </c>
      <c r="K247" s="62">
        <v>0.0</v>
      </c>
      <c r="L247" s="62">
        <v>0.0</v>
      </c>
      <c r="M247" s="62">
        <v>0.0</v>
      </c>
      <c r="N247" s="62">
        <v>0.0</v>
      </c>
      <c r="O247" s="62">
        <v>0.0</v>
      </c>
      <c r="P247" s="62">
        <v>0.0</v>
      </c>
      <c r="Q247" s="62">
        <v>0.0</v>
      </c>
      <c r="R247" s="62">
        <v>23099.0</v>
      </c>
      <c r="S247" s="62">
        <v>2514.0</v>
      </c>
      <c r="T247" s="62">
        <v>0.253333333333333</v>
      </c>
      <c r="U247" s="62">
        <v>0.0</v>
      </c>
      <c r="V247" s="62">
        <v>0.0</v>
      </c>
      <c r="W247" s="62">
        <v>0.0</v>
      </c>
      <c r="X247" s="62">
        <v>0.0</v>
      </c>
      <c r="Y247" s="62">
        <v>0.0</v>
      </c>
      <c r="Z247" s="62">
        <v>0.0</v>
      </c>
      <c r="AA247" s="62">
        <v>0.0</v>
      </c>
      <c r="AB247" s="62">
        <v>0.0</v>
      </c>
      <c r="AC247" s="62">
        <v>0.0</v>
      </c>
      <c r="AD247" s="62">
        <v>0.0</v>
      </c>
      <c r="AE247" s="62">
        <v>0.0</v>
      </c>
      <c r="AF247" s="62">
        <v>1.0</v>
      </c>
    </row>
    <row r="248">
      <c r="A248" s="68">
        <v>46034.0</v>
      </c>
      <c r="B248" s="62" t="s">
        <v>79</v>
      </c>
      <c r="C248" s="62" t="s">
        <v>162</v>
      </c>
      <c r="D248" s="62">
        <v>7.0</v>
      </c>
      <c r="E248" s="62">
        <v>0.0</v>
      </c>
      <c r="F248" s="62">
        <v>0.0</v>
      </c>
      <c r="G248" s="62">
        <v>0.0</v>
      </c>
      <c r="H248" s="62">
        <v>0.0</v>
      </c>
      <c r="I248" s="62">
        <v>0.0</v>
      </c>
      <c r="J248" s="62">
        <v>0.0</v>
      </c>
      <c r="K248" s="62">
        <v>0.0</v>
      </c>
      <c r="L248" s="62">
        <v>0.0</v>
      </c>
      <c r="M248" s="62">
        <v>0.0</v>
      </c>
      <c r="N248" s="62">
        <v>0.0</v>
      </c>
      <c r="O248" s="62">
        <v>0.0</v>
      </c>
      <c r="P248" s="62">
        <v>0.0</v>
      </c>
      <c r="Q248" s="62">
        <v>0.0</v>
      </c>
      <c r="R248" s="62">
        <v>13569.0</v>
      </c>
      <c r="S248" s="62">
        <v>0.0</v>
      </c>
      <c r="T248" s="62">
        <v>0.0</v>
      </c>
      <c r="U248" s="62">
        <v>0.0</v>
      </c>
      <c r="V248" s="62">
        <v>0.0</v>
      </c>
      <c r="W248" s="62">
        <v>0.0</v>
      </c>
      <c r="X248" s="62">
        <v>0.0</v>
      </c>
      <c r="Y248" s="62">
        <v>0.0</v>
      </c>
      <c r="Z248" s="62">
        <v>0.0</v>
      </c>
      <c r="AA248" s="62">
        <v>0.0</v>
      </c>
      <c r="AB248" s="62">
        <v>0.0</v>
      </c>
      <c r="AC248" s="62">
        <v>0.0</v>
      </c>
      <c r="AD248" s="62">
        <v>0.0</v>
      </c>
      <c r="AE248" s="62">
        <v>0.0</v>
      </c>
      <c r="AF248" s="62">
        <v>0.0</v>
      </c>
    </row>
    <row r="249">
      <c r="A249" s="68">
        <v>46034.0</v>
      </c>
      <c r="B249" s="62" t="s">
        <v>71</v>
      </c>
      <c r="C249" s="62" t="s">
        <v>163</v>
      </c>
      <c r="D249" s="62">
        <v>25.0</v>
      </c>
      <c r="E249" s="62">
        <v>9.0</v>
      </c>
      <c r="F249" s="62">
        <v>14.0</v>
      </c>
      <c r="G249" s="62">
        <v>17.0</v>
      </c>
      <c r="H249" s="62">
        <v>18.0</v>
      </c>
      <c r="I249" s="62">
        <v>1.0</v>
      </c>
      <c r="J249" s="62">
        <v>18.0</v>
      </c>
      <c r="K249" s="62">
        <v>6.0</v>
      </c>
      <c r="L249" s="62">
        <v>5.0</v>
      </c>
      <c r="M249" s="62">
        <v>17.0</v>
      </c>
      <c r="N249" s="62">
        <v>14.0</v>
      </c>
      <c r="O249" s="62">
        <v>7.0</v>
      </c>
      <c r="P249" s="62">
        <v>14.0</v>
      </c>
      <c r="Q249" s="62">
        <v>0.0</v>
      </c>
      <c r="R249" s="62">
        <v>78898.0</v>
      </c>
      <c r="S249" s="62">
        <v>28635.0</v>
      </c>
      <c r="T249" s="62">
        <v>4.19638888888888</v>
      </c>
      <c r="U249" s="62">
        <v>3.93916666666666</v>
      </c>
      <c r="V249" s="62">
        <v>4.73222222222222</v>
      </c>
      <c r="W249" s="62">
        <v>4.98944444444444</v>
      </c>
      <c r="X249" s="62">
        <v>0.257222222222222</v>
      </c>
      <c r="Y249" s="62">
        <v>4.99</v>
      </c>
      <c r="Z249" s="62">
        <v>1.69694444444444</v>
      </c>
      <c r="AA249" s="62">
        <v>1.40972222222222</v>
      </c>
      <c r="AB249" s="62">
        <v>4.70277777777777</v>
      </c>
      <c r="AC249" s="62">
        <v>3.80833333333333</v>
      </c>
      <c r="AD249" s="62">
        <v>1.79472222222222</v>
      </c>
      <c r="AE249" s="62">
        <v>3.80833333333333</v>
      </c>
      <c r="AF249" s="62">
        <v>15.0</v>
      </c>
    </row>
    <row r="250">
      <c r="A250" s="68">
        <v>46034.0</v>
      </c>
      <c r="B250" s="62" t="s">
        <v>76</v>
      </c>
      <c r="C250" s="62" t="s">
        <v>165</v>
      </c>
      <c r="D250" s="62">
        <v>19.0</v>
      </c>
      <c r="E250" s="62">
        <v>20.0</v>
      </c>
      <c r="F250" s="62">
        <v>14.0</v>
      </c>
      <c r="G250" s="62">
        <v>12.0</v>
      </c>
      <c r="H250" s="62">
        <v>21.0</v>
      </c>
      <c r="I250" s="62">
        <v>9.0</v>
      </c>
      <c r="J250" s="62">
        <v>22.0</v>
      </c>
      <c r="K250" s="62">
        <v>1.0</v>
      </c>
      <c r="L250" s="62">
        <v>1.0</v>
      </c>
      <c r="M250" s="62">
        <v>22.0</v>
      </c>
      <c r="N250" s="62">
        <v>22.0</v>
      </c>
      <c r="O250" s="62">
        <v>5.0</v>
      </c>
      <c r="P250" s="62">
        <v>22.0</v>
      </c>
      <c r="Q250" s="62">
        <v>0.0</v>
      </c>
      <c r="R250" s="62">
        <v>56265.0</v>
      </c>
      <c r="S250" s="62">
        <v>49973.0</v>
      </c>
      <c r="T250" s="62">
        <v>4.34055555555555</v>
      </c>
      <c r="U250" s="62">
        <v>3.375</v>
      </c>
      <c r="V250" s="62">
        <v>2.91583333333333</v>
      </c>
      <c r="W250" s="62">
        <v>5.10777777777777</v>
      </c>
      <c r="X250" s="62">
        <v>2.19194444444444</v>
      </c>
      <c r="Y250" s="62">
        <v>5.36888888888888</v>
      </c>
      <c r="Z250" s="62">
        <v>0.2525</v>
      </c>
      <c r="AA250" s="62">
        <v>0.2525</v>
      </c>
      <c r="AB250" s="62">
        <v>5.36888888888888</v>
      </c>
      <c r="AC250" s="62">
        <v>5.36888888888888</v>
      </c>
      <c r="AD250" s="62">
        <v>1.19527777777777</v>
      </c>
      <c r="AE250" s="62">
        <v>5.36888888888888</v>
      </c>
      <c r="AF250" s="62">
        <v>18.0</v>
      </c>
    </row>
    <row r="251">
      <c r="A251" s="68">
        <v>46034.0</v>
      </c>
      <c r="B251" s="62" t="s">
        <v>32</v>
      </c>
      <c r="C251" s="62" t="s">
        <v>168</v>
      </c>
      <c r="D251" s="62">
        <v>3.0</v>
      </c>
      <c r="E251" s="62">
        <v>24.0</v>
      </c>
      <c r="F251" s="62">
        <v>3.0</v>
      </c>
      <c r="G251" s="62">
        <v>0.0</v>
      </c>
      <c r="H251" s="62">
        <v>21.0</v>
      </c>
      <c r="I251" s="62">
        <v>18.0</v>
      </c>
      <c r="J251" s="62">
        <v>22.0</v>
      </c>
      <c r="K251" s="62">
        <v>6.0</v>
      </c>
      <c r="L251" s="62">
        <v>0.0</v>
      </c>
      <c r="M251" s="62">
        <v>20.0</v>
      </c>
      <c r="N251" s="62">
        <v>20.0</v>
      </c>
      <c r="O251" s="62">
        <v>7.0</v>
      </c>
      <c r="P251" s="62">
        <v>20.0</v>
      </c>
      <c r="Q251" s="62">
        <v>0.0</v>
      </c>
      <c r="R251" s="62">
        <v>7648.0</v>
      </c>
      <c r="S251" s="62">
        <v>61884.0</v>
      </c>
      <c r="T251" s="62">
        <v>5.17555555555555</v>
      </c>
      <c r="U251" s="62">
        <v>0.791111111111111</v>
      </c>
      <c r="V251" s="62">
        <v>0.0</v>
      </c>
      <c r="W251" s="62">
        <v>5.4375</v>
      </c>
      <c r="X251" s="62">
        <v>4.645</v>
      </c>
      <c r="Y251" s="62">
        <v>5.72083333333333</v>
      </c>
      <c r="Z251" s="62">
        <v>1.57972222222222</v>
      </c>
      <c r="AA251" s="62">
        <v>0.0</v>
      </c>
      <c r="AB251" s="62">
        <v>5.26111111111111</v>
      </c>
      <c r="AC251" s="62">
        <v>5.26111111111111</v>
      </c>
      <c r="AD251" s="62">
        <v>1.38916666666666</v>
      </c>
      <c r="AE251" s="62">
        <v>5.26111111111111</v>
      </c>
      <c r="AF251" s="62">
        <v>20.0</v>
      </c>
    </row>
    <row r="252">
      <c r="A252" s="68">
        <v>46034.0</v>
      </c>
      <c r="B252" s="62" t="s">
        <v>37</v>
      </c>
      <c r="C252" s="62" t="s">
        <v>174</v>
      </c>
      <c r="D252" s="62">
        <v>2.0</v>
      </c>
      <c r="E252" s="62">
        <v>7.0</v>
      </c>
      <c r="F252" s="62">
        <v>0.0</v>
      </c>
      <c r="G252" s="62">
        <v>0.0</v>
      </c>
      <c r="H252" s="62">
        <v>0.0</v>
      </c>
      <c r="I252" s="62">
        <v>0.0</v>
      </c>
      <c r="J252" s="62">
        <v>0.0</v>
      </c>
      <c r="K252" s="62">
        <v>0.0</v>
      </c>
      <c r="L252" s="62">
        <v>0.0</v>
      </c>
      <c r="M252" s="62">
        <v>0.0</v>
      </c>
      <c r="N252" s="62">
        <v>0.0</v>
      </c>
      <c r="O252" s="62">
        <v>0.0</v>
      </c>
      <c r="P252" s="62">
        <v>0.0</v>
      </c>
      <c r="Q252" s="62">
        <v>0.0</v>
      </c>
      <c r="R252" s="62">
        <v>4947.0</v>
      </c>
      <c r="S252" s="62">
        <v>17847.0</v>
      </c>
      <c r="T252" s="62">
        <v>0.2975</v>
      </c>
      <c r="U252" s="62">
        <v>0.0</v>
      </c>
      <c r="V252" s="62">
        <v>0.0</v>
      </c>
      <c r="W252" s="62">
        <v>0.0</v>
      </c>
      <c r="X252" s="62">
        <v>0.0</v>
      </c>
      <c r="Y252" s="62">
        <v>0.0</v>
      </c>
      <c r="Z252" s="62">
        <v>0.0</v>
      </c>
      <c r="AA252" s="62">
        <v>0.0</v>
      </c>
      <c r="AB252" s="62">
        <v>0.0</v>
      </c>
      <c r="AC252" s="62">
        <v>0.0</v>
      </c>
      <c r="AD252" s="62">
        <v>0.0</v>
      </c>
      <c r="AE252" s="62">
        <v>0.0</v>
      </c>
      <c r="AF252" s="62">
        <v>1.0</v>
      </c>
    </row>
    <row r="253">
      <c r="A253" s="68">
        <v>46034.0</v>
      </c>
      <c r="B253" s="62" t="s">
        <v>26</v>
      </c>
      <c r="C253" s="62" t="s">
        <v>178</v>
      </c>
      <c r="D253" s="62">
        <v>21.0</v>
      </c>
      <c r="E253" s="62">
        <v>23.0</v>
      </c>
      <c r="F253" s="62">
        <v>6.0</v>
      </c>
      <c r="G253" s="62">
        <v>5.0</v>
      </c>
      <c r="H253" s="62">
        <v>20.0</v>
      </c>
      <c r="I253" s="62">
        <v>15.0</v>
      </c>
      <c r="J253" s="62">
        <v>20.0</v>
      </c>
      <c r="K253" s="62">
        <v>4.0</v>
      </c>
      <c r="L253" s="62">
        <v>4.0</v>
      </c>
      <c r="M253" s="62">
        <v>19.0</v>
      </c>
      <c r="N253" s="62">
        <v>21.0</v>
      </c>
      <c r="O253" s="62">
        <v>7.0</v>
      </c>
      <c r="P253" s="62">
        <v>21.0</v>
      </c>
      <c r="Q253" s="62">
        <v>0.0</v>
      </c>
      <c r="R253" s="62">
        <v>52701.0</v>
      </c>
      <c r="S253" s="62">
        <v>55078.0</v>
      </c>
      <c r="T253" s="62">
        <v>3.86861111111111</v>
      </c>
      <c r="U253" s="62">
        <v>1.19861111111111</v>
      </c>
      <c r="V253" s="62">
        <v>0.988055555555555</v>
      </c>
      <c r="W253" s="62">
        <v>3.87361111111111</v>
      </c>
      <c r="X253" s="62">
        <v>2.88555555555555</v>
      </c>
      <c r="Y253" s="62">
        <v>3.88555555555555</v>
      </c>
      <c r="Z253" s="62">
        <v>0.761944444444444</v>
      </c>
      <c r="AA253" s="62">
        <v>0.761944444444444</v>
      </c>
      <c r="AB253" s="62">
        <v>3.70583333333333</v>
      </c>
      <c r="AC253" s="62">
        <v>4.0875</v>
      </c>
      <c r="AD253" s="62">
        <v>1.45166666666666</v>
      </c>
      <c r="AE253" s="62">
        <v>4.0875</v>
      </c>
      <c r="AF253" s="62">
        <v>20.0</v>
      </c>
    </row>
    <row r="254">
      <c r="A254" s="68">
        <v>46034.0</v>
      </c>
      <c r="B254" s="62" t="s">
        <v>62</v>
      </c>
      <c r="C254" s="62" t="s">
        <v>63</v>
      </c>
      <c r="D254" s="62">
        <v>8.0</v>
      </c>
      <c r="E254" s="62">
        <v>5.0</v>
      </c>
      <c r="F254" s="62">
        <v>0.0</v>
      </c>
      <c r="G254" s="62">
        <v>0.0</v>
      </c>
      <c r="H254" s="62">
        <v>0.0</v>
      </c>
      <c r="I254" s="62">
        <v>0.0</v>
      </c>
      <c r="J254" s="62">
        <v>0.0</v>
      </c>
      <c r="K254" s="62">
        <v>0.0</v>
      </c>
      <c r="L254" s="62">
        <v>0.0</v>
      </c>
      <c r="M254" s="62">
        <v>0.0</v>
      </c>
      <c r="N254" s="62">
        <v>0.0</v>
      </c>
      <c r="O254" s="62">
        <v>0.0</v>
      </c>
      <c r="P254" s="62">
        <v>0.0</v>
      </c>
      <c r="Q254" s="62">
        <v>0.0</v>
      </c>
      <c r="R254" s="62">
        <v>19830.0</v>
      </c>
      <c r="S254" s="62">
        <v>13230.0</v>
      </c>
      <c r="T254" s="62">
        <v>0.0</v>
      </c>
      <c r="U254" s="62">
        <v>0.0</v>
      </c>
      <c r="V254" s="62">
        <v>0.0</v>
      </c>
      <c r="W254" s="62">
        <v>0.0</v>
      </c>
      <c r="X254" s="62">
        <v>0.0</v>
      </c>
      <c r="Y254" s="62">
        <v>0.0</v>
      </c>
      <c r="Z254" s="62">
        <v>0.0</v>
      </c>
      <c r="AA254" s="62">
        <v>0.0</v>
      </c>
      <c r="AB254" s="62">
        <v>0.0</v>
      </c>
      <c r="AC254" s="62">
        <v>0.0</v>
      </c>
      <c r="AD254" s="62">
        <v>0.0</v>
      </c>
      <c r="AE254" s="62">
        <v>0.0</v>
      </c>
      <c r="AF254" s="62">
        <v>0.0</v>
      </c>
    </row>
    <row r="255">
      <c r="A255" s="68">
        <v>46027.0</v>
      </c>
      <c r="B255" s="62" t="s">
        <v>71</v>
      </c>
      <c r="C255" s="62" t="s">
        <v>163</v>
      </c>
      <c r="D255" s="62">
        <v>20.0</v>
      </c>
      <c r="E255" s="62">
        <v>14.0</v>
      </c>
      <c r="F255" s="62">
        <v>15.0</v>
      </c>
      <c r="G255" s="62">
        <v>11.0</v>
      </c>
      <c r="H255" s="62">
        <v>12.0</v>
      </c>
      <c r="I255" s="62">
        <v>1.0</v>
      </c>
      <c r="J255" s="62">
        <v>13.0</v>
      </c>
      <c r="K255" s="62">
        <v>1.0</v>
      </c>
      <c r="L255" s="62">
        <v>1.0</v>
      </c>
      <c r="M255" s="62">
        <v>14.0</v>
      </c>
      <c r="N255" s="62">
        <v>14.0</v>
      </c>
      <c r="O255" s="62">
        <v>5.0</v>
      </c>
      <c r="P255" s="62">
        <v>14.0</v>
      </c>
      <c r="Q255" s="62">
        <v>0.0</v>
      </c>
      <c r="R255" s="62">
        <v>62412.0</v>
      </c>
      <c r="S255" s="62">
        <v>42827.0</v>
      </c>
      <c r="T255" s="62">
        <v>4.09083333333333</v>
      </c>
      <c r="U255" s="62">
        <v>3.84472222222222</v>
      </c>
      <c r="V255" s="62">
        <v>2.75055555555555</v>
      </c>
      <c r="W255" s="62">
        <v>2.99666666666666</v>
      </c>
      <c r="X255" s="62">
        <v>0.246111111111111</v>
      </c>
      <c r="Y255" s="62">
        <v>3.25777777777777</v>
      </c>
      <c r="Z255" s="62">
        <v>0.261666666666666</v>
      </c>
      <c r="AA255" s="62">
        <v>0.261666666666666</v>
      </c>
      <c r="AB255" s="62">
        <v>3.51944444444444</v>
      </c>
      <c r="AC255" s="62">
        <v>3.51944444444444</v>
      </c>
      <c r="AD255" s="62">
        <v>1.27833333333333</v>
      </c>
      <c r="AE255" s="62">
        <v>3.51944444444444</v>
      </c>
      <c r="AF255" s="62">
        <v>16.0</v>
      </c>
    </row>
    <row r="256">
      <c r="A256" s="68">
        <v>46027.0</v>
      </c>
      <c r="B256" s="62" t="s">
        <v>76</v>
      </c>
      <c r="C256" s="62" t="s">
        <v>165</v>
      </c>
      <c r="D256" s="62">
        <v>19.0</v>
      </c>
      <c r="E256" s="62">
        <v>28.0</v>
      </c>
      <c r="F256" s="62">
        <v>11.0</v>
      </c>
      <c r="G256" s="62">
        <v>14.0</v>
      </c>
      <c r="H256" s="62">
        <v>18.0</v>
      </c>
      <c r="I256" s="62">
        <v>4.0</v>
      </c>
      <c r="J256" s="62">
        <v>17.0</v>
      </c>
      <c r="K256" s="62">
        <v>3.0</v>
      </c>
      <c r="L256" s="62">
        <v>3.0</v>
      </c>
      <c r="M256" s="62">
        <v>17.0</v>
      </c>
      <c r="N256" s="62">
        <v>17.0</v>
      </c>
      <c r="O256" s="62">
        <v>6.0</v>
      </c>
      <c r="P256" s="62">
        <v>17.0</v>
      </c>
      <c r="Q256" s="62">
        <v>0.0</v>
      </c>
      <c r="R256" s="62">
        <v>58795.0</v>
      </c>
      <c r="S256" s="62">
        <v>70037.0</v>
      </c>
      <c r="T256" s="62">
        <v>4.67333333333333</v>
      </c>
      <c r="U256" s="62">
        <v>2.735</v>
      </c>
      <c r="V256" s="62">
        <v>3.42361111111111</v>
      </c>
      <c r="W256" s="62">
        <v>4.39333333333333</v>
      </c>
      <c r="X256" s="62">
        <v>0.969722222222222</v>
      </c>
      <c r="Y256" s="62">
        <v>4.14444444444444</v>
      </c>
      <c r="Z256" s="62">
        <v>0.748055555555555</v>
      </c>
      <c r="AA256" s="62">
        <v>0.748055555555555</v>
      </c>
      <c r="AB256" s="62">
        <v>4.14444444444444</v>
      </c>
      <c r="AC256" s="62">
        <v>4.14444444444444</v>
      </c>
      <c r="AD256" s="62">
        <v>1.41888888888888</v>
      </c>
      <c r="AE256" s="62">
        <v>4.14444444444444</v>
      </c>
      <c r="AF256" s="62">
        <v>19.0</v>
      </c>
    </row>
    <row r="257">
      <c r="A257" s="68">
        <v>46027.0</v>
      </c>
      <c r="B257" s="62" t="s">
        <v>32</v>
      </c>
      <c r="C257" s="62" t="s">
        <v>168</v>
      </c>
      <c r="D257" s="62">
        <v>2.0</v>
      </c>
      <c r="E257" s="62">
        <v>16.0</v>
      </c>
      <c r="F257" s="62">
        <v>4.0</v>
      </c>
      <c r="G257" s="62">
        <v>0.0</v>
      </c>
      <c r="H257" s="62">
        <v>18.0</v>
      </c>
      <c r="I257" s="62">
        <v>15.0</v>
      </c>
      <c r="J257" s="62">
        <v>18.0</v>
      </c>
      <c r="K257" s="62">
        <v>1.0</v>
      </c>
      <c r="L257" s="62">
        <v>0.0</v>
      </c>
      <c r="M257" s="62">
        <v>18.0</v>
      </c>
      <c r="N257" s="62">
        <v>19.0</v>
      </c>
      <c r="O257" s="62">
        <v>5.0</v>
      </c>
      <c r="P257" s="62">
        <v>19.0</v>
      </c>
      <c r="Q257" s="62">
        <v>0.0</v>
      </c>
      <c r="R257" s="62">
        <v>5031.0</v>
      </c>
      <c r="S257" s="62">
        <v>43112.0</v>
      </c>
      <c r="T257" s="62">
        <v>5.04333333333333</v>
      </c>
      <c r="U257" s="62">
        <v>1.05666666666666</v>
      </c>
      <c r="V257" s="62">
        <v>0.0</v>
      </c>
      <c r="W257" s="62">
        <v>4.77638888888888</v>
      </c>
      <c r="X257" s="62">
        <v>3.98666666666666</v>
      </c>
      <c r="Y257" s="62">
        <v>4.74083333333333</v>
      </c>
      <c r="Z257" s="62">
        <v>0.276111111111111</v>
      </c>
      <c r="AA257" s="62">
        <v>0.0</v>
      </c>
      <c r="AB257" s="62">
        <v>4.74083333333333</v>
      </c>
      <c r="AC257" s="62">
        <v>4.99777777777777</v>
      </c>
      <c r="AD257" s="62">
        <v>1.14194444444444</v>
      </c>
      <c r="AE257" s="62">
        <v>4.99777777777777</v>
      </c>
      <c r="AF257" s="62">
        <v>19.0</v>
      </c>
    </row>
    <row r="258">
      <c r="A258" s="68">
        <v>46027.0</v>
      </c>
      <c r="B258" s="62" t="s">
        <v>26</v>
      </c>
      <c r="C258" s="62" t="s">
        <v>178</v>
      </c>
      <c r="D258" s="62">
        <v>20.0</v>
      </c>
      <c r="E258" s="62">
        <v>17.0</v>
      </c>
      <c r="F258" s="62">
        <v>4.0</v>
      </c>
      <c r="G258" s="62">
        <v>4.0</v>
      </c>
      <c r="H258" s="62">
        <v>12.0</v>
      </c>
      <c r="I258" s="62">
        <v>8.0</v>
      </c>
      <c r="J258" s="62">
        <v>14.0</v>
      </c>
      <c r="K258" s="62">
        <v>3.0</v>
      </c>
      <c r="L258" s="62">
        <v>3.0</v>
      </c>
      <c r="M258" s="62">
        <v>14.0</v>
      </c>
      <c r="N258" s="62">
        <v>15.0</v>
      </c>
      <c r="O258" s="62">
        <v>5.0</v>
      </c>
      <c r="P258" s="62">
        <v>15.0</v>
      </c>
      <c r="Q258" s="62">
        <v>0.0</v>
      </c>
      <c r="R258" s="62">
        <v>48018.0</v>
      </c>
      <c r="S258" s="62">
        <v>33725.0</v>
      </c>
      <c r="T258" s="62">
        <v>2.40388888888888</v>
      </c>
      <c r="U258" s="62">
        <v>0.820555555555555</v>
      </c>
      <c r="V258" s="62">
        <v>0.825555555555555</v>
      </c>
      <c r="W258" s="62">
        <v>2.40888888888888</v>
      </c>
      <c r="X258" s="62">
        <v>1.58333333333333</v>
      </c>
      <c r="Y258" s="62">
        <v>2.82027777777777</v>
      </c>
      <c r="Z258" s="62">
        <v>0.603888888888888</v>
      </c>
      <c r="AA258" s="62">
        <v>0.604166666666666</v>
      </c>
      <c r="AB258" s="62">
        <v>2.82055555555555</v>
      </c>
      <c r="AC258" s="62">
        <v>3.03777777777777</v>
      </c>
      <c r="AD258" s="62">
        <v>1.01527777777777</v>
      </c>
      <c r="AE258" s="62">
        <v>3.03777777777777</v>
      </c>
      <c r="AF258" s="62">
        <v>12.0</v>
      </c>
    </row>
    <row r="259">
      <c r="A259" s="68">
        <v>46027.0</v>
      </c>
      <c r="B259" s="62" t="s">
        <v>62</v>
      </c>
      <c r="C259" s="62" t="s">
        <v>63</v>
      </c>
      <c r="D259" s="62">
        <v>1.0</v>
      </c>
      <c r="E259" s="62">
        <v>0.0</v>
      </c>
      <c r="F259" s="62">
        <v>0.0</v>
      </c>
      <c r="G259" s="62">
        <v>0.0</v>
      </c>
      <c r="H259" s="62">
        <v>0.0</v>
      </c>
      <c r="I259" s="62">
        <v>0.0</v>
      </c>
      <c r="J259" s="62">
        <v>0.0</v>
      </c>
      <c r="K259" s="62">
        <v>0.0</v>
      </c>
      <c r="L259" s="62">
        <v>0.0</v>
      </c>
      <c r="M259" s="62">
        <v>0.0</v>
      </c>
      <c r="N259" s="62">
        <v>0.0</v>
      </c>
      <c r="O259" s="62">
        <v>0.0</v>
      </c>
      <c r="P259" s="62">
        <v>0.0</v>
      </c>
      <c r="Q259" s="62">
        <v>0.0</v>
      </c>
      <c r="R259" s="62">
        <v>2615.0</v>
      </c>
      <c r="S259" s="62">
        <v>0.0</v>
      </c>
      <c r="T259" s="62">
        <v>0.0</v>
      </c>
      <c r="U259" s="62">
        <v>0.0</v>
      </c>
      <c r="V259" s="62">
        <v>0.0</v>
      </c>
      <c r="W259" s="62">
        <v>0.0</v>
      </c>
      <c r="X259" s="62">
        <v>0.0</v>
      </c>
      <c r="Y259" s="62">
        <v>0.0</v>
      </c>
      <c r="Z259" s="62">
        <v>0.0</v>
      </c>
      <c r="AA259" s="62">
        <v>0.0</v>
      </c>
      <c r="AB259" s="62">
        <v>0.0</v>
      </c>
      <c r="AC259" s="62">
        <v>0.0</v>
      </c>
      <c r="AD259" s="62">
        <v>0.0</v>
      </c>
      <c r="AE259" s="62">
        <v>0.0</v>
      </c>
      <c r="AF259" s="62">
        <v>0.0</v>
      </c>
    </row>
    <row r="260">
      <c r="A260" s="68">
        <v>46020.0</v>
      </c>
      <c r="B260" s="62" t="s">
        <v>71</v>
      </c>
      <c r="C260" s="62" t="s">
        <v>163</v>
      </c>
      <c r="D260" s="62">
        <v>5.0</v>
      </c>
      <c r="E260" s="62">
        <v>19.0</v>
      </c>
      <c r="F260" s="62">
        <v>5.0</v>
      </c>
      <c r="G260" s="62">
        <v>6.0</v>
      </c>
      <c r="H260" s="62">
        <v>7.0</v>
      </c>
      <c r="I260" s="62">
        <v>1.0</v>
      </c>
      <c r="J260" s="62">
        <v>6.0</v>
      </c>
      <c r="K260" s="62">
        <v>0.0</v>
      </c>
      <c r="L260" s="62">
        <v>0.0</v>
      </c>
      <c r="M260" s="62">
        <v>8.0</v>
      </c>
      <c r="N260" s="62">
        <v>8.0</v>
      </c>
      <c r="O260" s="62">
        <v>4.0</v>
      </c>
      <c r="P260" s="62">
        <v>8.0</v>
      </c>
      <c r="Q260" s="62">
        <v>0.0</v>
      </c>
      <c r="R260" s="62">
        <v>14777.0</v>
      </c>
      <c r="S260" s="62">
        <v>55201.0</v>
      </c>
      <c r="T260" s="62">
        <v>1.54333333333333</v>
      </c>
      <c r="U260" s="62">
        <v>1.2825</v>
      </c>
      <c r="V260" s="62">
        <v>1.51416666666666</v>
      </c>
      <c r="W260" s="62">
        <v>1.775</v>
      </c>
      <c r="X260" s="62">
        <v>0.260833333333333</v>
      </c>
      <c r="Y260" s="62">
        <v>1.51416666666666</v>
      </c>
      <c r="Z260" s="62">
        <v>0.0</v>
      </c>
      <c r="AA260" s="62">
        <v>0.0</v>
      </c>
      <c r="AB260" s="62">
        <v>2.08111111111111</v>
      </c>
      <c r="AC260" s="62">
        <v>2.08111111111111</v>
      </c>
      <c r="AD260" s="62">
        <v>0.992777777777777</v>
      </c>
      <c r="AE260" s="62">
        <v>2.08111111111111</v>
      </c>
      <c r="AF260" s="62">
        <v>6.0</v>
      </c>
    </row>
    <row r="261">
      <c r="A261" s="68">
        <v>46020.0</v>
      </c>
      <c r="B261" s="62" t="s">
        <v>76</v>
      </c>
      <c r="C261" s="62" t="s">
        <v>165</v>
      </c>
      <c r="D261" s="62">
        <v>17.0</v>
      </c>
      <c r="E261" s="62">
        <v>11.0</v>
      </c>
      <c r="F261" s="62">
        <v>9.0</v>
      </c>
      <c r="G261" s="62">
        <v>9.0</v>
      </c>
      <c r="H261" s="62">
        <v>11.0</v>
      </c>
      <c r="I261" s="62">
        <v>2.0</v>
      </c>
      <c r="J261" s="62">
        <v>15.0</v>
      </c>
      <c r="K261" s="62">
        <v>1.0</v>
      </c>
      <c r="L261" s="62">
        <v>1.0</v>
      </c>
      <c r="M261" s="62">
        <v>17.0</v>
      </c>
      <c r="N261" s="62">
        <v>17.0</v>
      </c>
      <c r="O261" s="62">
        <v>4.0</v>
      </c>
      <c r="P261" s="62">
        <v>17.0</v>
      </c>
      <c r="Q261" s="62">
        <v>0.0</v>
      </c>
      <c r="R261" s="62">
        <v>46935.0</v>
      </c>
      <c r="S261" s="62">
        <v>27475.0</v>
      </c>
      <c r="T261" s="62">
        <v>2.09194444444444</v>
      </c>
      <c r="U261" s="62">
        <v>2.11833333333333</v>
      </c>
      <c r="V261" s="62">
        <v>2.13694444444444</v>
      </c>
      <c r="W261" s="62">
        <v>2.60833333333333</v>
      </c>
      <c r="X261" s="62">
        <v>0.471388888888888</v>
      </c>
      <c r="Y261" s="62">
        <v>3.51472222222222</v>
      </c>
      <c r="Z261" s="62">
        <v>0.242777777777777</v>
      </c>
      <c r="AA261" s="62">
        <v>0.242777777777777</v>
      </c>
      <c r="AB261" s="62">
        <v>3.965</v>
      </c>
      <c r="AC261" s="62">
        <v>3.965</v>
      </c>
      <c r="AD261" s="62">
        <v>0.951388888888889</v>
      </c>
      <c r="AE261" s="62">
        <v>3.965</v>
      </c>
      <c r="AF261" s="62">
        <v>9.0</v>
      </c>
    </row>
    <row r="262">
      <c r="A262" s="68">
        <v>46020.0</v>
      </c>
      <c r="B262" s="62" t="s">
        <v>32</v>
      </c>
      <c r="C262" s="62" t="s">
        <v>168</v>
      </c>
      <c r="D262" s="62">
        <v>0.0</v>
      </c>
      <c r="E262" s="62">
        <v>7.0</v>
      </c>
      <c r="F262" s="62">
        <v>1.0</v>
      </c>
      <c r="G262" s="62">
        <v>0.0</v>
      </c>
      <c r="H262" s="62">
        <v>11.0</v>
      </c>
      <c r="I262" s="62">
        <v>10.0</v>
      </c>
      <c r="J262" s="62">
        <v>12.0</v>
      </c>
      <c r="K262" s="62">
        <v>0.0</v>
      </c>
      <c r="L262" s="62">
        <v>0.0</v>
      </c>
      <c r="M262" s="62">
        <v>13.0</v>
      </c>
      <c r="N262" s="62">
        <v>12.0</v>
      </c>
      <c r="O262" s="62">
        <v>4.0</v>
      </c>
      <c r="P262" s="62">
        <v>12.0</v>
      </c>
      <c r="Q262" s="62">
        <v>0.0</v>
      </c>
      <c r="R262" s="62">
        <v>0.0</v>
      </c>
      <c r="S262" s="62">
        <v>18699.0</v>
      </c>
      <c r="T262" s="62">
        <v>2.81722222222222</v>
      </c>
      <c r="U262" s="62">
        <v>0.280277777777777</v>
      </c>
      <c r="V262" s="62">
        <v>0.0</v>
      </c>
      <c r="W262" s="62">
        <v>2.81527777777777</v>
      </c>
      <c r="X262" s="62">
        <v>2.53694444444444</v>
      </c>
      <c r="Y262" s="62">
        <v>3.07361111111111</v>
      </c>
      <c r="Z262" s="62">
        <v>0.0</v>
      </c>
      <c r="AA262" s="62">
        <v>0.0</v>
      </c>
      <c r="AB262" s="62">
        <v>3.34138888888888</v>
      </c>
      <c r="AC262" s="62">
        <v>3.08444444444444</v>
      </c>
      <c r="AD262" s="62">
        <v>0.915</v>
      </c>
      <c r="AE262" s="62">
        <v>3.08444444444444</v>
      </c>
      <c r="AF262" s="62">
        <v>11.0</v>
      </c>
    </row>
    <row r="263">
      <c r="A263" s="68">
        <v>46020.0</v>
      </c>
      <c r="B263" s="62" t="s">
        <v>37</v>
      </c>
      <c r="C263" s="62" t="s">
        <v>174</v>
      </c>
      <c r="D263" s="62">
        <v>15.0</v>
      </c>
      <c r="E263" s="62">
        <v>0.0</v>
      </c>
      <c r="F263" s="62">
        <v>0.0</v>
      </c>
      <c r="G263" s="62">
        <v>0.0</v>
      </c>
      <c r="H263" s="62">
        <v>0.0</v>
      </c>
      <c r="I263" s="62">
        <v>0.0</v>
      </c>
      <c r="J263" s="62">
        <v>0.0</v>
      </c>
      <c r="K263" s="62">
        <v>0.0</v>
      </c>
      <c r="L263" s="62">
        <v>0.0</v>
      </c>
      <c r="M263" s="62">
        <v>0.0</v>
      </c>
      <c r="N263" s="62">
        <v>0.0</v>
      </c>
      <c r="O263" s="62">
        <v>0.0</v>
      </c>
      <c r="P263" s="62">
        <v>0.0</v>
      </c>
      <c r="Q263" s="62">
        <v>0.0</v>
      </c>
      <c r="R263" s="62">
        <v>36635.0</v>
      </c>
      <c r="S263" s="62">
        <v>0.0</v>
      </c>
      <c r="T263" s="62">
        <v>0.0</v>
      </c>
      <c r="U263" s="62">
        <v>0.0</v>
      </c>
      <c r="V263" s="62">
        <v>0.0</v>
      </c>
      <c r="W263" s="62">
        <v>0.0</v>
      </c>
      <c r="X263" s="62">
        <v>0.0</v>
      </c>
      <c r="Y263" s="62">
        <v>0.0</v>
      </c>
      <c r="Z263" s="62">
        <v>0.0</v>
      </c>
      <c r="AA263" s="62">
        <v>0.0</v>
      </c>
      <c r="AB263" s="62">
        <v>0.0</v>
      </c>
      <c r="AC263" s="62">
        <v>0.0</v>
      </c>
      <c r="AD263" s="62">
        <v>0.0</v>
      </c>
      <c r="AE263" s="62">
        <v>0.0</v>
      </c>
      <c r="AF263" s="62">
        <v>0.0</v>
      </c>
    </row>
    <row r="264">
      <c r="A264" s="68">
        <v>46020.0</v>
      </c>
      <c r="B264" s="62" t="s">
        <v>56</v>
      </c>
      <c r="C264" s="62" t="s">
        <v>176</v>
      </c>
      <c r="D264" s="62">
        <v>0.0</v>
      </c>
      <c r="E264" s="62">
        <v>0.0</v>
      </c>
      <c r="F264" s="62">
        <v>0.0</v>
      </c>
      <c r="G264" s="62">
        <v>2.0</v>
      </c>
      <c r="H264" s="62">
        <v>2.0</v>
      </c>
      <c r="I264" s="62">
        <v>0.0</v>
      </c>
      <c r="J264" s="62">
        <v>2.0</v>
      </c>
      <c r="K264" s="62">
        <v>0.0</v>
      </c>
      <c r="L264" s="62">
        <v>0.0</v>
      </c>
      <c r="M264" s="62">
        <v>2.0</v>
      </c>
      <c r="N264" s="62">
        <v>2.0</v>
      </c>
      <c r="O264" s="62">
        <v>2.0</v>
      </c>
      <c r="P264" s="62">
        <v>2.0</v>
      </c>
      <c r="Q264" s="62">
        <v>0.0</v>
      </c>
      <c r="R264" s="62">
        <v>0.0</v>
      </c>
      <c r="S264" s="62">
        <v>0.0</v>
      </c>
      <c r="T264" s="62">
        <v>0.0</v>
      </c>
      <c r="U264" s="62">
        <v>0.0</v>
      </c>
      <c r="V264" s="62">
        <v>0.466666666666666</v>
      </c>
      <c r="W264" s="62">
        <v>0.466666666666666</v>
      </c>
      <c r="X264" s="62">
        <v>0.0</v>
      </c>
      <c r="Y264" s="62">
        <v>0.466666666666666</v>
      </c>
      <c r="Z264" s="62">
        <v>0.0</v>
      </c>
      <c r="AA264" s="62">
        <v>0.0</v>
      </c>
      <c r="AB264" s="62">
        <v>0.466666666666666</v>
      </c>
      <c r="AC264" s="62">
        <v>0.466666666666666</v>
      </c>
      <c r="AD264" s="62">
        <v>0.360555555555555</v>
      </c>
      <c r="AE264" s="62">
        <v>0.466666666666666</v>
      </c>
      <c r="AF264" s="62">
        <v>0.0</v>
      </c>
    </row>
    <row r="265">
      <c r="A265" s="68">
        <v>46020.0</v>
      </c>
      <c r="B265" s="62" t="s">
        <v>26</v>
      </c>
      <c r="C265" s="62" t="s">
        <v>178</v>
      </c>
      <c r="D265" s="62">
        <v>22.0</v>
      </c>
      <c r="E265" s="62">
        <v>11.0</v>
      </c>
      <c r="F265" s="62">
        <v>7.0</v>
      </c>
      <c r="G265" s="62">
        <v>7.0</v>
      </c>
      <c r="H265" s="62">
        <v>13.0</v>
      </c>
      <c r="I265" s="62">
        <v>6.0</v>
      </c>
      <c r="J265" s="62">
        <v>11.0</v>
      </c>
      <c r="K265" s="62">
        <v>2.0</v>
      </c>
      <c r="L265" s="62">
        <v>2.0</v>
      </c>
      <c r="M265" s="62">
        <v>11.0</v>
      </c>
      <c r="N265" s="62">
        <v>19.0</v>
      </c>
      <c r="O265" s="62">
        <v>6.0</v>
      </c>
      <c r="P265" s="62">
        <v>19.0</v>
      </c>
      <c r="Q265" s="62">
        <v>0.0</v>
      </c>
      <c r="R265" s="62">
        <v>53094.0</v>
      </c>
      <c r="S265" s="62">
        <v>23554.0</v>
      </c>
      <c r="T265" s="62">
        <v>2.55</v>
      </c>
      <c r="U265" s="62">
        <v>1.37027777777777</v>
      </c>
      <c r="V265" s="62">
        <v>1.38194444444444</v>
      </c>
      <c r="W265" s="62">
        <v>2.56166666666666</v>
      </c>
      <c r="X265" s="62">
        <v>1.17972222222222</v>
      </c>
      <c r="Y265" s="62">
        <v>2.17611111111111</v>
      </c>
      <c r="Z265" s="62">
        <v>0.376111111111111</v>
      </c>
      <c r="AA265" s="62">
        <v>0.376111111111111</v>
      </c>
      <c r="AB265" s="62">
        <v>2.18527777777777</v>
      </c>
      <c r="AC265" s="62">
        <v>3.77</v>
      </c>
      <c r="AD265" s="62">
        <v>1.2525</v>
      </c>
      <c r="AE265" s="62">
        <v>3.77</v>
      </c>
      <c r="AF265" s="62">
        <v>13.0</v>
      </c>
    </row>
    <row r="266">
      <c r="A266" s="68">
        <v>46013.0</v>
      </c>
      <c r="B266" s="62" t="s">
        <v>71</v>
      </c>
      <c r="C266" s="62" t="s">
        <v>163</v>
      </c>
      <c r="D266" s="62">
        <v>15.0</v>
      </c>
      <c r="E266" s="62">
        <v>5.0</v>
      </c>
      <c r="F266" s="62">
        <v>5.0</v>
      </c>
      <c r="G266" s="62">
        <v>3.0</v>
      </c>
      <c r="H266" s="62">
        <v>3.0</v>
      </c>
      <c r="I266" s="62">
        <v>0.0</v>
      </c>
      <c r="J266" s="62">
        <v>3.0</v>
      </c>
      <c r="K266" s="62">
        <v>0.0</v>
      </c>
      <c r="L266" s="62">
        <v>0.0</v>
      </c>
      <c r="M266" s="62">
        <v>0.0</v>
      </c>
      <c r="N266" s="62">
        <v>0.0</v>
      </c>
      <c r="O266" s="62">
        <v>7.0</v>
      </c>
      <c r="P266" s="62">
        <v>0.0</v>
      </c>
      <c r="Q266" s="62">
        <v>0.0</v>
      </c>
      <c r="R266" s="62">
        <v>43264.0</v>
      </c>
      <c r="S266" s="62">
        <v>15348.0</v>
      </c>
      <c r="T266" s="62">
        <v>1.30666666666666</v>
      </c>
      <c r="U266" s="62">
        <v>1.30666666666666</v>
      </c>
      <c r="V266" s="62">
        <v>0.828611111111111</v>
      </c>
      <c r="W266" s="62">
        <v>0.828611111111111</v>
      </c>
      <c r="X266" s="62">
        <v>0.0</v>
      </c>
      <c r="Y266" s="62">
        <v>0.828611111111111</v>
      </c>
      <c r="Z266" s="62">
        <v>0.0</v>
      </c>
      <c r="AA266" s="62">
        <v>0.0</v>
      </c>
      <c r="AB266" s="62">
        <v>0.0</v>
      </c>
      <c r="AC266" s="62">
        <v>0.0</v>
      </c>
      <c r="AD266" s="62">
        <v>1.71861111111111</v>
      </c>
      <c r="AE266" s="62">
        <v>0.0</v>
      </c>
      <c r="AF266" s="62">
        <v>5.0</v>
      </c>
    </row>
    <row r="267">
      <c r="A267" s="68">
        <v>46013.0</v>
      </c>
      <c r="B267" s="62" t="s">
        <v>76</v>
      </c>
      <c r="C267" s="62" t="s">
        <v>165</v>
      </c>
      <c r="D267" s="62">
        <v>18.0</v>
      </c>
      <c r="E267" s="62">
        <v>12.0</v>
      </c>
      <c r="F267" s="62">
        <v>14.0</v>
      </c>
      <c r="G267" s="62">
        <v>15.0</v>
      </c>
      <c r="H267" s="62">
        <v>21.0</v>
      </c>
      <c r="I267" s="62">
        <v>6.0</v>
      </c>
      <c r="J267" s="62">
        <v>19.0</v>
      </c>
      <c r="K267" s="62">
        <v>1.0</v>
      </c>
      <c r="L267" s="62">
        <v>1.0</v>
      </c>
      <c r="M267" s="62">
        <v>18.0</v>
      </c>
      <c r="N267" s="62">
        <v>18.0</v>
      </c>
      <c r="O267" s="62">
        <v>6.0</v>
      </c>
      <c r="P267" s="62">
        <v>18.0</v>
      </c>
      <c r="Q267" s="62">
        <v>0.0</v>
      </c>
      <c r="R267" s="62">
        <v>57405.0</v>
      </c>
      <c r="S267" s="62">
        <v>29579.0</v>
      </c>
      <c r="T267" s="62">
        <v>5.11083333333333</v>
      </c>
      <c r="U267" s="62">
        <v>3.2475</v>
      </c>
      <c r="V267" s="62">
        <v>3.4675</v>
      </c>
      <c r="W267" s="62">
        <v>4.83305555555555</v>
      </c>
      <c r="X267" s="62">
        <v>1.36555555555555</v>
      </c>
      <c r="Y267" s="62">
        <v>4.39583333333333</v>
      </c>
      <c r="Z267" s="62">
        <v>0.231944444444444</v>
      </c>
      <c r="AA267" s="62">
        <v>0.231944444444444</v>
      </c>
      <c r="AB267" s="62">
        <v>4.18055555555555</v>
      </c>
      <c r="AC267" s="62">
        <v>4.18055555555555</v>
      </c>
      <c r="AD267" s="62">
        <v>1.42388888888888</v>
      </c>
      <c r="AE267" s="62">
        <v>4.18055555555555</v>
      </c>
      <c r="AF267" s="62">
        <v>22.0</v>
      </c>
    </row>
    <row r="268">
      <c r="A268" s="68">
        <v>46013.0</v>
      </c>
      <c r="B268" s="62" t="s">
        <v>32</v>
      </c>
      <c r="C268" s="62" t="s">
        <v>168</v>
      </c>
      <c r="D268" s="62">
        <v>13.0</v>
      </c>
      <c r="E268" s="62">
        <v>16.0</v>
      </c>
      <c r="F268" s="62">
        <v>4.0</v>
      </c>
      <c r="G268" s="62">
        <v>0.0</v>
      </c>
      <c r="H268" s="62">
        <v>14.0</v>
      </c>
      <c r="I268" s="62">
        <v>11.0</v>
      </c>
      <c r="J268" s="62">
        <v>13.0</v>
      </c>
      <c r="K268" s="62">
        <v>1.0</v>
      </c>
      <c r="L268" s="62">
        <v>0.0</v>
      </c>
      <c r="M268" s="62">
        <v>13.0</v>
      </c>
      <c r="N268" s="62">
        <v>13.0</v>
      </c>
      <c r="O268" s="62">
        <v>5.0</v>
      </c>
      <c r="P268" s="62">
        <v>13.0</v>
      </c>
      <c r="Q268" s="62">
        <v>0.0</v>
      </c>
      <c r="R268" s="62">
        <v>32118.0</v>
      </c>
      <c r="S268" s="62">
        <v>42687.0</v>
      </c>
      <c r="T268" s="62">
        <v>3.53805555555555</v>
      </c>
      <c r="U268" s="62">
        <v>1.03888888888888</v>
      </c>
      <c r="V268" s="62">
        <v>0.0</v>
      </c>
      <c r="W268" s="62">
        <v>3.54444444444444</v>
      </c>
      <c r="X268" s="62">
        <v>2.74388888888888</v>
      </c>
      <c r="Y268" s="62">
        <v>3.27861111111111</v>
      </c>
      <c r="Z268" s="62">
        <v>0.243888888888888</v>
      </c>
      <c r="AA268" s="62">
        <v>0.0</v>
      </c>
      <c r="AB268" s="62">
        <v>3.25277777777777</v>
      </c>
      <c r="AC268" s="62">
        <v>3.25277777777777</v>
      </c>
      <c r="AD268" s="62">
        <v>1.1375</v>
      </c>
      <c r="AE268" s="62">
        <v>3.25277777777777</v>
      </c>
      <c r="AF268" s="62">
        <v>14.0</v>
      </c>
    </row>
    <row r="269">
      <c r="A269" s="68">
        <v>46013.0</v>
      </c>
      <c r="B269" s="62" t="s">
        <v>26</v>
      </c>
      <c r="C269" s="62" t="s">
        <v>178</v>
      </c>
      <c r="D269" s="62">
        <v>10.0</v>
      </c>
      <c r="E269" s="62">
        <v>11.0</v>
      </c>
      <c r="F269" s="62">
        <v>9.0</v>
      </c>
      <c r="G269" s="62">
        <v>7.0</v>
      </c>
      <c r="H269" s="62">
        <v>20.0</v>
      </c>
      <c r="I269" s="62">
        <v>11.0</v>
      </c>
      <c r="J269" s="62">
        <v>20.0</v>
      </c>
      <c r="K269" s="62">
        <v>1.0</v>
      </c>
      <c r="L269" s="62">
        <v>0.0</v>
      </c>
      <c r="M269" s="62">
        <v>19.0</v>
      </c>
      <c r="N269" s="62">
        <v>10.0</v>
      </c>
      <c r="O269" s="62">
        <v>5.0</v>
      </c>
      <c r="P269" s="62">
        <v>10.0</v>
      </c>
      <c r="Q269" s="62">
        <v>0.0</v>
      </c>
      <c r="R269" s="62">
        <v>23385.0</v>
      </c>
      <c r="S269" s="62">
        <v>23308.0</v>
      </c>
      <c r="T269" s="62">
        <v>3.83722222222222</v>
      </c>
      <c r="U269" s="62">
        <v>1.73388888888888</v>
      </c>
      <c r="V269" s="62">
        <v>1.39555555555555</v>
      </c>
      <c r="W269" s="62">
        <v>3.85611111111111</v>
      </c>
      <c r="X269" s="62">
        <v>2.10333333333333</v>
      </c>
      <c r="Y269" s="62">
        <v>3.88083333333333</v>
      </c>
      <c r="Z269" s="62">
        <v>0.193611111111111</v>
      </c>
      <c r="AA269" s="62">
        <v>0.0</v>
      </c>
      <c r="AB269" s="62">
        <v>3.6875</v>
      </c>
      <c r="AC269" s="62">
        <v>1.86333333333333</v>
      </c>
      <c r="AD269" s="62">
        <v>1.03166666666666</v>
      </c>
      <c r="AE269" s="62">
        <v>1.86333333333333</v>
      </c>
      <c r="AF269" s="62">
        <v>20.0</v>
      </c>
    </row>
    <row r="270">
      <c r="A270" s="68">
        <v>46006.0</v>
      </c>
      <c r="B270" s="62" t="s">
        <v>71</v>
      </c>
      <c r="C270" s="62" t="s">
        <v>163</v>
      </c>
      <c r="D270" s="62">
        <v>5.0</v>
      </c>
      <c r="E270" s="62">
        <v>0.0</v>
      </c>
      <c r="F270" s="62">
        <v>5.0</v>
      </c>
      <c r="G270" s="62">
        <v>5.0</v>
      </c>
      <c r="H270" s="62">
        <v>5.0</v>
      </c>
      <c r="I270" s="62">
        <v>0.0</v>
      </c>
      <c r="J270" s="62">
        <v>6.0</v>
      </c>
      <c r="K270" s="62">
        <v>2.0</v>
      </c>
      <c r="L270" s="62">
        <v>2.0</v>
      </c>
      <c r="M270" s="62">
        <v>8.0</v>
      </c>
      <c r="N270" s="62">
        <v>8.0</v>
      </c>
      <c r="O270" s="62">
        <v>5.0</v>
      </c>
      <c r="P270" s="62">
        <v>8.0</v>
      </c>
      <c r="Q270" s="62">
        <v>0.0</v>
      </c>
      <c r="R270" s="62">
        <v>15348.0</v>
      </c>
      <c r="S270" s="62">
        <v>0.0</v>
      </c>
      <c r="T270" s="62">
        <v>1.285</v>
      </c>
      <c r="U270" s="62">
        <v>1.285</v>
      </c>
      <c r="V270" s="62">
        <v>1.28166666666666</v>
      </c>
      <c r="W270" s="62">
        <v>1.28166666666666</v>
      </c>
      <c r="X270" s="62">
        <v>0.0</v>
      </c>
      <c r="Y270" s="62">
        <v>1.55666666666666</v>
      </c>
      <c r="Z270" s="62">
        <v>0.518611111111111</v>
      </c>
      <c r="AA270" s="62">
        <v>0.518611111111111</v>
      </c>
      <c r="AB270" s="62">
        <v>2.05972222222222</v>
      </c>
      <c r="AC270" s="62">
        <v>2.05638888888888</v>
      </c>
      <c r="AD270" s="62">
        <v>1.22305555555555</v>
      </c>
      <c r="AE270" s="62">
        <v>2.05638888888888</v>
      </c>
      <c r="AF270" s="62">
        <v>5.0</v>
      </c>
    </row>
    <row r="271">
      <c r="A271" s="68">
        <v>46006.0</v>
      </c>
      <c r="B271" s="62" t="s">
        <v>76</v>
      </c>
      <c r="C271" s="62" t="s">
        <v>165</v>
      </c>
      <c r="D271" s="62">
        <v>22.0</v>
      </c>
      <c r="E271" s="62">
        <v>22.0</v>
      </c>
      <c r="F271" s="62">
        <v>19.0</v>
      </c>
      <c r="G271" s="62">
        <v>16.0</v>
      </c>
      <c r="H271" s="62">
        <v>24.0</v>
      </c>
      <c r="I271" s="62">
        <v>8.0</v>
      </c>
      <c r="J271" s="62">
        <v>22.0</v>
      </c>
      <c r="K271" s="62">
        <v>4.0</v>
      </c>
      <c r="L271" s="62">
        <v>4.0</v>
      </c>
      <c r="M271" s="62">
        <v>24.0</v>
      </c>
      <c r="N271" s="62">
        <v>24.0</v>
      </c>
      <c r="O271" s="62">
        <v>6.0</v>
      </c>
      <c r="P271" s="62">
        <v>24.0</v>
      </c>
      <c r="Q271" s="62">
        <v>0.0</v>
      </c>
      <c r="R271" s="62">
        <v>63391.0</v>
      </c>
      <c r="S271" s="62">
        <v>51996.0</v>
      </c>
      <c r="T271" s="62">
        <v>6.31861111111111</v>
      </c>
      <c r="U271" s="62">
        <v>4.44999999999999</v>
      </c>
      <c r="V271" s="62">
        <v>3.76388888888888</v>
      </c>
      <c r="W271" s="62">
        <v>5.6325</v>
      </c>
      <c r="X271" s="62">
        <v>1.86861111111111</v>
      </c>
      <c r="Y271" s="62">
        <v>5.17583333333333</v>
      </c>
      <c r="Z271" s="62">
        <v>0.945555555555555</v>
      </c>
      <c r="AA271" s="62">
        <v>0.945</v>
      </c>
      <c r="AB271" s="62">
        <v>5.65</v>
      </c>
      <c r="AC271" s="62">
        <v>5.65</v>
      </c>
      <c r="AD271" s="62">
        <v>1.38611111111111</v>
      </c>
      <c r="AE271" s="62">
        <v>5.65</v>
      </c>
      <c r="AF271" s="62">
        <v>27.0</v>
      </c>
    </row>
    <row r="272">
      <c r="A272" s="68">
        <v>46006.0</v>
      </c>
      <c r="B272" s="62" t="s">
        <v>32</v>
      </c>
      <c r="C272" s="62" t="s">
        <v>168</v>
      </c>
      <c r="D272" s="62">
        <v>19.0</v>
      </c>
      <c r="E272" s="62">
        <v>16.0</v>
      </c>
      <c r="F272" s="62">
        <v>3.0</v>
      </c>
      <c r="G272" s="62">
        <v>0.0</v>
      </c>
      <c r="H272" s="62">
        <v>22.0</v>
      </c>
      <c r="I272" s="62">
        <v>18.0</v>
      </c>
      <c r="J272" s="62">
        <v>22.0</v>
      </c>
      <c r="K272" s="62">
        <v>2.0</v>
      </c>
      <c r="L272" s="62">
        <v>0.0</v>
      </c>
      <c r="M272" s="62">
        <v>25.0</v>
      </c>
      <c r="N272" s="62">
        <v>25.0</v>
      </c>
      <c r="O272" s="62">
        <v>6.0</v>
      </c>
      <c r="P272" s="62">
        <v>25.0</v>
      </c>
      <c r="Q272" s="62">
        <v>0.0</v>
      </c>
      <c r="R272" s="62">
        <v>49853.0</v>
      </c>
      <c r="S272" s="62">
        <v>42042.0</v>
      </c>
      <c r="T272" s="62">
        <v>5.00638888888888</v>
      </c>
      <c r="U272" s="62">
        <v>0.698333333333333</v>
      </c>
      <c r="V272" s="62">
        <v>0.0</v>
      </c>
      <c r="W272" s="62">
        <v>5.23833333333333</v>
      </c>
      <c r="X272" s="62">
        <v>4.30805555555555</v>
      </c>
      <c r="Y272" s="62">
        <v>5.21777777777777</v>
      </c>
      <c r="Z272" s="62">
        <v>0.485</v>
      </c>
      <c r="AA272" s="62">
        <v>0.0</v>
      </c>
      <c r="AB272" s="62">
        <v>5.84749999999999</v>
      </c>
      <c r="AC272" s="62">
        <v>5.8475</v>
      </c>
      <c r="AD272" s="62">
        <v>1.28194444444444</v>
      </c>
      <c r="AE272" s="62">
        <v>5.8475</v>
      </c>
      <c r="AF272" s="62">
        <v>21.0</v>
      </c>
    </row>
    <row r="273">
      <c r="A273" s="68">
        <v>46006.0</v>
      </c>
      <c r="B273" s="62" t="s">
        <v>26</v>
      </c>
      <c r="C273" s="62" t="s">
        <v>178</v>
      </c>
      <c r="D273" s="62">
        <v>31.0</v>
      </c>
      <c r="E273" s="62">
        <v>18.0</v>
      </c>
      <c r="F273" s="62">
        <v>3.0</v>
      </c>
      <c r="G273" s="62">
        <v>3.0</v>
      </c>
      <c r="H273" s="62">
        <v>20.0</v>
      </c>
      <c r="I273" s="62">
        <v>17.0</v>
      </c>
      <c r="J273" s="62">
        <v>20.0</v>
      </c>
      <c r="K273" s="62">
        <v>3.0</v>
      </c>
      <c r="L273" s="62">
        <v>3.0</v>
      </c>
      <c r="M273" s="62">
        <v>21.0</v>
      </c>
      <c r="N273" s="62">
        <v>20.0</v>
      </c>
      <c r="O273" s="62">
        <v>7.0</v>
      </c>
      <c r="P273" s="62">
        <v>20.0</v>
      </c>
      <c r="Q273" s="62">
        <v>0.0</v>
      </c>
      <c r="R273" s="62">
        <v>73999.0</v>
      </c>
      <c r="S273" s="62">
        <v>37301.0</v>
      </c>
      <c r="T273" s="62">
        <v>3.77138888888888</v>
      </c>
      <c r="U273" s="62">
        <v>0.558333333333333</v>
      </c>
      <c r="V273" s="62">
        <v>0.562777777777777</v>
      </c>
      <c r="W273" s="62">
        <v>3.77583333333333</v>
      </c>
      <c r="X273" s="62">
        <v>3.21305555555555</v>
      </c>
      <c r="Y273" s="62">
        <v>3.80666666666666</v>
      </c>
      <c r="Z273" s="62">
        <v>0.586111111111111</v>
      </c>
      <c r="AA273" s="62">
        <v>0.586111111111111</v>
      </c>
      <c r="AB273" s="62">
        <v>4.01305555555555</v>
      </c>
      <c r="AC273" s="62">
        <v>3.83361111111111</v>
      </c>
      <c r="AD273" s="62">
        <v>1.41916666666666</v>
      </c>
      <c r="AE273" s="62">
        <v>3.83361111111111</v>
      </c>
      <c r="AF273" s="62">
        <v>20.0</v>
      </c>
    </row>
    <row r="274">
      <c r="A274" s="68">
        <v>45999.0</v>
      </c>
      <c r="B274" s="62" t="s">
        <v>71</v>
      </c>
      <c r="C274" s="62" t="s">
        <v>163</v>
      </c>
      <c r="D274" s="62">
        <v>5.0</v>
      </c>
      <c r="E274" s="62">
        <v>5.0</v>
      </c>
      <c r="F274" s="62">
        <v>8.0</v>
      </c>
      <c r="G274" s="62">
        <v>10.0</v>
      </c>
      <c r="H274" s="62">
        <v>14.0</v>
      </c>
      <c r="I274" s="62">
        <v>4.0</v>
      </c>
      <c r="J274" s="62">
        <v>16.0</v>
      </c>
      <c r="K274" s="62">
        <v>3.0</v>
      </c>
      <c r="L274" s="62">
        <v>3.0</v>
      </c>
      <c r="M274" s="62">
        <v>14.0</v>
      </c>
      <c r="N274" s="62">
        <v>14.0</v>
      </c>
      <c r="O274" s="62">
        <v>6.0</v>
      </c>
      <c r="P274" s="62">
        <v>14.0</v>
      </c>
      <c r="Q274" s="62">
        <v>0.0</v>
      </c>
      <c r="R274" s="62">
        <v>15001.0</v>
      </c>
      <c r="S274" s="62">
        <v>15001.0</v>
      </c>
      <c r="T274" s="62">
        <v>2.98972222222222</v>
      </c>
      <c r="U274" s="62">
        <v>1.9975</v>
      </c>
      <c r="V274" s="62">
        <v>2.5025</v>
      </c>
      <c r="W274" s="62">
        <v>3.49472222222222</v>
      </c>
      <c r="X274" s="62">
        <v>0.992222222222222</v>
      </c>
      <c r="Y274" s="62">
        <v>3.97305555555555</v>
      </c>
      <c r="Z274" s="62">
        <v>0.755833333333333</v>
      </c>
      <c r="AA274" s="62">
        <v>0.755833333333333</v>
      </c>
      <c r="AB274" s="62">
        <v>3.47</v>
      </c>
      <c r="AC274" s="62">
        <v>3.47</v>
      </c>
      <c r="AD274" s="62">
        <v>1.42777777777777</v>
      </c>
      <c r="AE274" s="62">
        <v>3.47</v>
      </c>
      <c r="AF274" s="62">
        <v>12.0</v>
      </c>
    </row>
    <row r="275">
      <c r="A275" s="68">
        <v>45999.0</v>
      </c>
      <c r="B275" s="62" t="s">
        <v>76</v>
      </c>
      <c r="C275" s="62" t="s">
        <v>165</v>
      </c>
      <c r="D275" s="62">
        <v>15.0</v>
      </c>
      <c r="E275" s="62">
        <v>18.0</v>
      </c>
      <c r="F275" s="62">
        <v>12.0</v>
      </c>
      <c r="G275" s="62">
        <v>13.0</v>
      </c>
      <c r="H275" s="62">
        <v>18.0</v>
      </c>
      <c r="I275" s="62">
        <v>5.0</v>
      </c>
      <c r="J275" s="62">
        <v>21.0</v>
      </c>
      <c r="K275" s="62">
        <v>2.0</v>
      </c>
      <c r="L275" s="62">
        <v>2.0</v>
      </c>
      <c r="M275" s="62">
        <v>18.0</v>
      </c>
      <c r="N275" s="62">
        <v>18.0</v>
      </c>
      <c r="O275" s="62">
        <v>6.0</v>
      </c>
      <c r="P275" s="62">
        <v>18.0</v>
      </c>
      <c r="Q275" s="62">
        <v>0.0</v>
      </c>
      <c r="R275" s="62">
        <v>42314.0</v>
      </c>
      <c r="S275" s="62">
        <v>44715.0</v>
      </c>
      <c r="T275" s="62">
        <v>4.16722222222222</v>
      </c>
      <c r="U275" s="62">
        <v>2.98055555555555</v>
      </c>
      <c r="V275" s="62">
        <v>3.27833333333333</v>
      </c>
      <c r="W275" s="62">
        <v>4.465</v>
      </c>
      <c r="X275" s="62">
        <v>1.18666666666666</v>
      </c>
      <c r="Y275" s="62">
        <v>5.26444444444444</v>
      </c>
      <c r="Z275" s="62">
        <v>0.503055555555555</v>
      </c>
      <c r="AA275" s="62">
        <v>0.503055555555555</v>
      </c>
      <c r="AB275" s="62">
        <v>4.55472222222222</v>
      </c>
      <c r="AC275" s="62">
        <v>4.55472222222222</v>
      </c>
      <c r="AD275" s="62">
        <v>1.40388888888888</v>
      </c>
      <c r="AE275" s="62">
        <v>4.55472222222222</v>
      </c>
      <c r="AF275" s="62">
        <v>17.0</v>
      </c>
    </row>
    <row r="276">
      <c r="A276" s="68">
        <v>45999.0</v>
      </c>
      <c r="B276" s="62" t="s">
        <v>32</v>
      </c>
      <c r="C276" s="62" t="s">
        <v>168</v>
      </c>
      <c r="D276" s="62">
        <v>27.0</v>
      </c>
      <c r="E276" s="62">
        <v>21.0</v>
      </c>
      <c r="F276" s="62">
        <v>7.0</v>
      </c>
      <c r="G276" s="62">
        <v>0.0</v>
      </c>
      <c r="H276" s="62">
        <v>26.0</v>
      </c>
      <c r="I276" s="62">
        <v>20.0</v>
      </c>
      <c r="J276" s="62">
        <v>25.0</v>
      </c>
      <c r="K276" s="62">
        <v>5.0</v>
      </c>
      <c r="L276" s="62">
        <v>0.0</v>
      </c>
      <c r="M276" s="62">
        <v>23.0</v>
      </c>
      <c r="N276" s="62">
        <v>23.0</v>
      </c>
      <c r="O276" s="62">
        <v>6.0</v>
      </c>
      <c r="P276" s="62">
        <v>23.0</v>
      </c>
      <c r="Q276" s="62">
        <v>0.0</v>
      </c>
      <c r="R276" s="62">
        <v>67042.0</v>
      </c>
      <c r="S276" s="62">
        <v>52841.0</v>
      </c>
      <c r="T276" s="62">
        <v>4.36833333333333</v>
      </c>
      <c r="U276" s="62">
        <v>1.54333333333333</v>
      </c>
      <c r="V276" s="62">
        <v>0.0</v>
      </c>
      <c r="W276" s="62">
        <v>5.62972222222222</v>
      </c>
      <c r="X276" s="62">
        <v>4.32277777777777</v>
      </c>
      <c r="Y276" s="62">
        <v>5.43722222222222</v>
      </c>
      <c r="Z276" s="62">
        <v>1.08944444444444</v>
      </c>
      <c r="AA276" s="62">
        <v>0.0</v>
      </c>
      <c r="AB276" s="62">
        <v>5.00527777777777</v>
      </c>
      <c r="AC276" s="62">
        <v>5.00527777777777</v>
      </c>
      <c r="AD276" s="62">
        <v>1.28777777777777</v>
      </c>
      <c r="AE276" s="62">
        <v>5.00527777777777</v>
      </c>
      <c r="AF276" s="62">
        <v>20.0</v>
      </c>
    </row>
    <row r="277">
      <c r="A277" s="68">
        <v>45999.0</v>
      </c>
      <c r="B277" s="62" t="s">
        <v>56</v>
      </c>
      <c r="C277" s="62" t="s">
        <v>176</v>
      </c>
      <c r="D277" s="62">
        <v>0.0</v>
      </c>
      <c r="E277" s="62">
        <v>0.0</v>
      </c>
      <c r="F277" s="62">
        <v>0.0</v>
      </c>
      <c r="G277" s="62">
        <v>0.0</v>
      </c>
      <c r="H277" s="62">
        <v>0.0</v>
      </c>
      <c r="I277" s="62">
        <v>0.0</v>
      </c>
      <c r="J277" s="62">
        <v>0.0</v>
      </c>
      <c r="K277" s="62">
        <v>0.0</v>
      </c>
      <c r="L277" s="62">
        <v>0.0</v>
      </c>
      <c r="M277" s="62">
        <v>0.0</v>
      </c>
      <c r="N277" s="62">
        <v>4.0</v>
      </c>
      <c r="O277" s="62">
        <v>1.0</v>
      </c>
      <c r="P277" s="62">
        <v>4.0</v>
      </c>
      <c r="Q277" s="62">
        <v>0.0</v>
      </c>
      <c r="R277" s="62">
        <v>0.0</v>
      </c>
      <c r="S277" s="62">
        <v>0.0</v>
      </c>
      <c r="T277" s="62">
        <v>0.0</v>
      </c>
      <c r="U277" s="62">
        <v>0.0</v>
      </c>
      <c r="V277" s="62">
        <v>0.0</v>
      </c>
      <c r="W277" s="62">
        <v>0.0</v>
      </c>
      <c r="X277" s="62">
        <v>0.0</v>
      </c>
      <c r="Y277" s="62">
        <v>0.0</v>
      </c>
      <c r="Z277" s="62">
        <v>0.0</v>
      </c>
      <c r="AA277" s="62">
        <v>0.0</v>
      </c>
      <c r="AB277" s="62">
        <v>0.0</v>
      </c>
      <c r="AC277" s="62">
        <v>0.936388888888888</v>
      </c>
      <c r="AD277" s="62">
        <v>0.159166666666666</v>
      </c>
      <c r="AE277" s="62">
        <v>0.936388888888888</v>
      </c>
      <c r="AF277" s="62">
        <v>0.0</v>
      </c>
    </row>
    <row r="278">
      <c r="A278" s="68">
        <v>45999.0</v>
      </c>
      <c r="B278" s="62" t="s">
        <v>26</v>
      </c>
      <c r="C278" s="62" t="s">
        <v>178</v>
      </c>
      <c r="D278" s="62">
        <v>29.0</v>
      </c>
      <c r="E278" s="62">
        <v>19.0</v>
      </c>
      <c r="F278" s="62">
        <v>5.0</v>
      </c>
      <c r="G278" s="62">
        <v>5.0</v>
      </c>
      <c r="H278" s="62">
        <v>20.0</v>
      </c>
      <c r="I278" s="62">
        <v>15.0</v>
      </c>
      <c r="J278" s="62">
        <v>20.0</v>
      </c>
      <c r="K278" s="62">
        <v>3.0</v>
      </c>
      <c r="L278" s="62">
        <v>3.0</v>
      </c>
      <c r="M278" s="62">
        <v>20.0</v>
      </c>
      <c r="N278" s="62">
        <v>20.0</v>
      </c>
      <c r="O278" s="62">
        <v>7.0</v>
      </c>
      <c r="P278" s="62">
        <v>20.0</v>
      </c>
      <c r="Q278" s="62">
        <v>0.0</v>
      </c>
      <c r="R278" s="62">
        <v>65994.0</v>
      </c>
      <c r="S278" s="62">
        <v>40392.0</v>
      </c>
      <c r="T278" s="62">
        <v>3.71472222222222</v>
      </c>
      <c r="U278" s="62">
        <v>0.905833333333333</v>
      </c>
      <c r="V278" s="62">
        <v>0.914444444444444</v>
      </c>
      <c r="W278" s="62">
        <v>3.72333333333333</v>
      </c>
      <c r="X278" s="62">
        <v>2.80888888888888</v>
      </c>
      <c r="Y278" s="62">
        <v>3.79111111111111</v>
      </c>
      <c r="Z278" s="62">
        <v>0.602222222222222</v>
      </c>
      <c r="AA278" s="62">
        <v>0.585</v>
      </c>
      <c r="AB278" s="62">
        <v>3.75444444444444</v>
      </c>
      <c r="AC278" s="62">
        <v>3.75444444444444</v>
      </c>
      <c r="AD278" s="62">
        <v>1.34027777777777</v>
      </c>
      <c r="AE278" s="62">
        <v>3.75444444444444</v>
      </c>
      <c r="AF278" s="62">
        <v>20.0</v>
      </c>
    </row>
    <row r="279">
      <c r="A279" s="68">
        <v>45992.0</v>
      </c>
      <c r="B279" s="62" t="s">
        <v>71</v>
      </c>
      <c r="C279" s="62" t="s">
        <v>163</v>
      </c>
      <c r="D279" s="62">
        <v>10.0</v>
      </c>
      <c r="E279" s="62">
        <v>14.0</v>
      </c>
      <c r="F279" s="62">
        <v>11.0</v>
      </c>
      <c r="G279" s="62">
        <v>12.0</v>
      </c>
      <c r="H279" s="62">
        <v>14.0</v>
      </c>
      <c r="I279" s="62">
        <v>2.0</v>
      </c>
      <c r="J279" s="62">
        <v>10.0</v>
      </c>
      <c r="K279" s="62">
        <v>5.0</v>
      </c>
      <c r="L279" s="62">
        <v>2.0</v>
      </c>
      <c r="M279" s="62">
        <v>13.0</v>
      </c>
      <c r="N279" s="62">
        <v>13.0</v>
      </c>
      <c r="O279" s="62">
        <v>2.0</v>
      </c>
      <c r="P279" s="62">
        <v>13.0</v>
      </c>
      <c r="Q279" s="62">
        <v>0.0</v>
      </c>
      <c r="R279" s="62">
        <v>29455.0</v>
      </c>
      <c r="S279" s="62">
        <v>41412.0</v>
      </c>
      <c r="T279" s="62">
        <v>2.44944444444444</v>
      </c>
      <c r="U279" s="62">
        <v>2.65305555555555</v>
      </c>
      <c r="V279" s="62">
        <v>2.87055555555555</v>
      </c>
      <c r="W279" s="62">
        <v>3.36972222222222</v>
      </c>
      <c r="X279" s="62">
        <v>0.499166666666666</v>
      </c>
      <c r="Y279" s="62">
        <v>2.36083333333333</v>
      </c>
      <c r="Z279" s="62">
        <v>1.20888888888888</v>
      </c>
      <c r="AA279" s="62">
        <v>0.449166666666666</v>
      </c>
      <c r="AB279" s="62">
        <v>3.10499999999999</v>
      </c>
      <c r="AC279" s="62">
        <v>3.10499999999999</v>
      </c>
      <c r="AD279" s="62">
        <v>0.483888888888888</v>
      </c>
      <c r="AE279" s="62">
        <v>3.105</v>
      </c>
      <c r="AF279" s="62">
        <v>10.0</v>
      </c>
    </row>
    <row r="280">
      <c r="A280" s="68">
        <v>45992.0</v>
      </c>
      <c r="B280" s="62" t="s">
        <v>76</v>
      </c>
      <c r="C280" s="62" t="s">
        <v>165</v>
      </c>
      <c r="D280" s="62">
        <v>25.0</v>
      </c>
      <c r="E280" s="62">
        <v>18.0</v>
      </c>
      <c r="F280" s="62">
        <v>17.0</v>
      </c>
      <c r="G280" s="62">
        <v>19.0</v>
      </c>
      <c r="H280" s="62">
        <v>22.0</v>
      </c>
      <c r="I280" s="62">
        <v>3.0</v>
      </c>
      <c r="J280" s="62">
        <v>22.0</v>
      </c>
      <c r="K280" s="62">
        <v>6.0</v>
      </c>
      <c r="L280" s="62">
        <v>4.0</v>
      </c>
      <c r="M280" s="62">
        <v>23.0</v>
      </c>
      <c r="N280" s="62">
        <v>23.0</v>
      </c>
      <c r="O280" s="62">
        <v>7.0</v>
      </c>
      <c r="P280" s="62">
        <v>23.0</v>
      </c>
      <c r="Q280" s="62">
        <v>0.0</v>
      </c>
      <c r="R280" s="62">
        <v>69336.0</v>
      </c>
      <c r="S280" s="62">
        <v>42093.0</v>
      </c>
      <c r="T280" s="62">
        <v>4.75222222222222</v>
      </c>
      <c r="U280" s="62">
        <v>4.27611111111111</v>
      </c>
      <c r="V280" s="62">
        <v>4.63222222222222</v>
      </c>
      <c r="W280" s="62">
        <v>5.38</v>
      </c>
      <c r="X280" s="62">
        <v>0.747777777777777</v>
      </c>
      <c r="Y280" s="62">
        <v>5.285</v>
      </c>
      <c r="Z280" s="62">
        <v>1.46861111111111</v>
      </c>
      <c r="AA280" s="62">
        <v>0.963055555555555</v>
      </c>
      <c r="AB280" s="62">
        <v>5.51472222222222</v>
      </c>
      <c r="AC280" s="62">
        <v>5.51472222222222</v>
      </c>
      <c r="AD280" s="62">
        <v>1.72333333333333</v>
      </c>
      <c r="AE280" s="62">
        <v>5.51472222222222</v>
      </c>
      <c r="AF280" s="62">
        <v>19.0</v>
      </c>
    </row>
    <row r="281">
      <c r="A281" s="68">
        <v>45992.0</v>
      </c>
      <c r="B281" s="62" t="s">
        <v>32</v>
      </c>
      <c r="C281" s="62" t="s">
        <v>168</v>
      </c>
      <c r="D281" s="62">
        <v>26.0</v>
      </c>
      <c r="E281" s="62">
        <v>27.0</v>
      </c>
      <c r="F281" s="62">
        <v>2.0</v>
      </c>
      <c r="G281" s="62">
        <v>0.0</v>
      </c>
      <c r="H281" s="62">
        <v>15.0</v>
      </c>
      <c r="I281" s="62">
        <v>12.0</v>
      </c>
      <c r="J281" s="62">
        <v>18.0</v>
      </c>
      <c r="K281" s="62">
        <v>0.0</v>
      </c>
      <c r="L281" s="62">
        <v>0.0</v>
      </c>
      <c r="M281" s="62">
        <v>24.0</v>
      </c>
      <c r="N281" s="62">
        <v>24.0</v>
      </c>
      <c r="O281" s="62">
        <v>6.0</v>
      </c>
      <c r="P281" s="62">
        <v>24.0</v>
      </c>
      <c r="Q281" s="62">
        <v>0.0</v>
      </c>
      <c r="R281" s="62">
        <v>66303.0</v>
      </c>
      <c r="S281" s="62">
        <v>59093.0</v>
      </c>
      <c r="T281" s="62">
        <v>4.53361111111111</v>
      </c>
      <c r="U281" s="62">
        <v>0.414166666666666</v>
      </c>
      <c r="V281" s="62">
        <v>0.0</v>
      </c>
      <c r="W281" s="62">
        <v>3.23638888888888</v>
      </c>
      <c r="X281" s="62">
        <v>2.62166666666666</v>
      </c>
      <c r="Y281" s="62">
        <v>3.83722222222222</v>
      </c>
      <c r="Z281" s="62">
        <v>0.0</v>
      </c>
      <c r="AA281" s="62">
        <v>0.0</v>
      </c>
      <c r="AB281" s="62">
        <v>5.06638888888888</v>
      </c>
      <c r="AC281" s="62">
        <v>5.06638888888888</v>
      </c>
      <c r="AD281" s="62">
        <v>1.26666666666666</v>
      </c>
      <c r="AE281" s="62">
        <v>5.06638888888888</v>
      </c>
      <c r="AF281" s="62">
        <v>21.0</v>
      </c>
    </row>
    <row r="282">
      <c r="A282" s="68">
        <v>45992.0</v>
      </c>
      <c r="B282" s="62" t="s">
        <v>56</v>
      </c>
      <c r="C282" s="62" t="s">
        <v>176</v>
      </c>
      <c r="D282" s="62">
        <v>0.0</v>
      </c>
      <c r="E282" s="62">
        <v>0.0</v>
      </c>
      <c r="F282" s="62">
        <v>2.0</v>
      </c>
      <c r="G282" s="62">
        <v>0.0</v>
      </c>
      <c r="H282" s="62">
        <v>10.0</v>
      </c>
      <c r="I282" s="62">
        <v>10.0</v>
      </c>
      <c r="J282" s="62">
        <v>10.0</v>
      </c>
      <c r="K282" s="62">
        <v>0.0</v>
      </c>
      <c r="L282" s="62">
        <v>0.0</v>
      </c>
      <c r="M282" s="62">
        <v>13.0</v>
      </c>
      <c r="N282" s="62">
        <v>10.0</v>
      </c>
      <c r="O282" s="62">
        <v>5.0</v>
      </c>
      <c r="P282" s="62">
        <v>10.0</v>
      </c>
      <c r="Q282" s="62">
        <v>0.0</v>
      </c>
      <c r="R282" s="62">
        <v>0.0</v>
      </c>
      <c r="S282" s="62">
        <v>0.0</v>
      </c>
      <c r="T282" s="62">
        <v>2.70527777777777</v>
      </c>
      <c r="U282" s="62">
        <v>0.465833333333333</v>
      </c>
      <c r="V282" s="62">
        <v>0.0</v>
      </c>
      <c r="W282" s="62">
        <v>2.23944444444444</v>
      </c>
      <c r="X282" s="62">
        <v>2.23944444444444</v>
      </c>
      <c r="Y282" s="62">
        <v>2.23583333333333</v>
      </c>
      <c r="Z282" s="62">
        <v>0.0</v>
      </c>
      <c r="AA282" s="62">
        <v>0.0</v>
      </c>
      <c r="AB282" s="62">
        <v>2.90194444444444</v>
      </c>
      <c r="AC282" s="62">
        <v>2.18527777777777</v>
      </c>
      <c r="AD282" s="62">
        <v>0.776111111111111</v>
      </c>
      <c r="AE282" s="62">
        <v>2.18527777777777</v>
      </c>
      <c r="AF282" s="62">
        <v>12.0</v>
      </c>
    </row>
    <row r="283">
      <c r="A283" s="68">
        <v>45992.0</v>
      </c>
      <c r="B283" s="62" t="s">
        <v>26</v>
      </c>
      <c r="C283" s="62" t="s">
        <v>178</v>
      </c>
      <c r="D283" s="62">
        <v>32.0</v>
      </c>
      <c r="E283" s="62">
        <v>20.0</v>
      </c>
      <c r="F283" s="62">
        <v>1.0</v>
      </c>
      <c r="G283" s="62">
        <v>2.0</v>
      </c>
      <c r="H283" s="62">
        <v>15.0</v>
      </c>
      <c r="I283" s="62">
        <v>13.0</v>
      </c>
      <c r="J283" s="62">
        <v>15.0</v>
      </c>
      <c r="K283" s="62">
        <v>7.0</v>
      </c>
      <c r="L283" s="62">
        <v>7.0</v>
      </c>
      <c r="M283" s="62">
        <v>18.0</v>
      </c>
      <c r="N283" s="62">
        <v>18.0</v>
      </c>
      <c r="O283" s="62">
        <v>5.0</v>
      </c>
      <c r="P283" s="62">
        <v>18.0</v>
      </c>
      <c r="Q283" s="62">
        <v>0.0</v>
      </c>
      <c r="R283" s="62">
        <v>64357.0</v>
      </c>
      <c r="S283" s="62">
        <v>43801.0</v>
      </c>
      <c r="T283" s="62">
        <v>2.45666666666666</v>
      </c>
      <c r="U283" s="62">
        <v>0.188055555555555</v>
      </c>
      <c r="V283" s="62">
        <v>0.404444444444444</v>
      </c>
      <c r="W283" s="62">
        <v>2.87722222222222</v>
      </c>
      <c r="X283" s="62">
        <v>2.47277777777777</v>
      </c>
      <c r="Y283" s="62">
        <v>2.92416666666666</v>
      </c>
      <c r="Z283" s="62">
        <v>1.39666666666666</v>
      </c>
      <c r="AA283" s="62">
        <v>1.3975</v>
      </c>
      <c r="AB283" s="62">
        <v>3.50833333333333</v>
      </c>
      <c r="AC283" s="62">
        <v>3.50833333333333</v>
      </c>
      <c r="AD283" s="62">
        <v>0.894444444444444</v>
      </c>
      <c r="AE283" s="62">
        <v>3.50833333333333</v>
      </c>
      <c r="AF283" s="62">
        <v>13.0</v>
      </c>
    </row>
    <row r="284">
      <c r="A284" s="68">
        <v>45985.0</v>
      </c>
      <c r="B284" s="62" t="s">
        <v>71</v>
      </c>
      <c r="C284" s="62" t="s">
        <v>163</v>
      </c>
      <c r="D284" s="62">
        <v>7.0</v>
      </c>
      <c r="E284" s="62">
        <v>7.0</v>
      </c>
      <c r="F284" s="62">
        <v>2.0</v>
      </c>
      <c r="G284" s="62">
        <v>2.0</v>
      </c>
      <c r="H284" s="62">
        <v>2.0</v>
      </c>
      <c r="I284" s="62">
        <v>0.0</v>
      </c>
      <c r="J284" s="62">
        <v>0.0</v>
      </c>
      <c r="K284" s="62">
        <v>0.0</v>
      </c>
      <c r="L284" s="62">
        <v>0.0</v>
      </c>
      <c r="M284" s="62">
        <v>0.0</v>
      </c>
      <c r="N284" s="62">
        <v>0.0</v>
      </c>
      <c r="O284" s="62">
        <v>0.0</v>
      </c>
      <c r="P284" s="62">
        <v>0.0</v>
      </c>
      <c r="Q284" s="62">
        <v>0.0</v>
      </c>
      <c r="R284" s="62">
        <v>20671.0</v>
      </c>
      <c r="S284" s="62">
        <v>20595.0</v>
      </c>
      <c r="T284" s="62">
        <v>0.0</v>
      </c>
      <c r="U284" s="62">
        <v>0.459722222222222</v>
      </c>
      <c r="V284" s="62">
        <v>0.484166666666666</v>
      </c>
      <c r="W284" s="62">
        <v>0.484166666666666</v>
      </c>
      <c r="X284" s="62">
        <v>0.0</v>
      </c>
      <c r="Y284" s="62">
        <v>0.0</v>
      </c>
      <c r="Z284" s="62">
        <v>0.0</v>
      </c>
      <c r="AA284" s="62">
        <v>0.0</v>
      </c>
      <c r="AB284" s="62">
        <v>0.0</v>
      </c>
      <c r="AC284" s="62">
        <v>0.0</v>
      </c>
      <c r="AD284" s="62">
        <v>0.0</v>
      </c>
      <c r="AE284" s="62">
        <v>0.0</v>
      </c>
      <c r="AF284" s="62">
        <v>0.0</v>
      </c>
    </row>
    <row r="285">
      <c r="A285" s="68">
        <v>45985.0</v>
      </c>
      <c r="B285" s="62" t="s">
        <v>76</v>
      </c>
      <c r="C285" s="62" t="s">
        <v>165</v>
      </c>
      <c r="D285" s="62">
        <v>21.0</v>
      </c>
      <c r="E285" s="62">
        <v>14.0</v>
      </c>
      <c r="F285" s="62">
        <v>16.0</v>
      </c>
      <c r="G285" s="62">
        <v>15.0</v>
      </c>
      <c r="H285" s="62">
        <v>20.0</v>
      </c>
      <c r="I285" s="62">
        <v>6.0</v>
      </c>
      <c r="J285" s="62">
        <v>23.0</v>
      </c>
      <c r="K285" s="62">
        <v>6.0</v>
      </c>
      <c r="L285" s="62">
        <v>6.0</v>
      </c>
      <c r="M285" s="62">
        <v>23.0</v>
      </c>
      <c r="N285" s="62">
        <v>23.0</v>
      </c>
      <c r="O285" s="62">
        <v>7.0</v>
      </c>
      <c r="P285" s="62">
        <v>23.0</v>
      </c>
      <c r="Q285" s="62">
        <v>0.0</v>
      </c>
      <c r="R285" s="62">
        <v>57116.0</v>
      </c>
      <c r="S285" s="62">
        <v>35997.0</v>
      </c>
      <c r="T285" s="62">
        <v>5.24527777777777</v>
      </c>
      <c r="U285" s="62">
        <v>3.77222222222222</v>
      </c>
      <c r="V285" s="62">
        <v>3.6025</v>
      </c>
      <c r="W285" s="62">
        <v>4.83888888888888</v>
      </c>
      <c r="X285" s="62">
        <v>1.47305555555555</v>
      </c>
      <c r="Y285" s="62">
        <v>5.57888888888888</v>
      </c>
      <c r="Z285" s="62">
        <v>1.46583333333333</v>
      </c>
      <c r="AA285" s="62">
        <v>1.46499999999999</v>
      </c>
      <c r="AB285" s="62">
        <v>5.58666666666666</v>
      </c>
      <c r="AC285" s="62">
        <v>5.58666666666666</v>
      </c>
      <c r="AD285" s="62">
        <v>1.65861111111111</v>
      </c>
      <c r="AE285" s="62">
        <v>5.58666666666666</v>
      </c>
      <c r="AF285" s="62">
        <v>22.0</v>
      </c>
    </row>
    <row r="286">
      <c r="A286" s="68">
        <v>45985.0</v>
      </c>
      <c r="B286" s="62" t="s">
        <v>32</v>
      </c>
      <c r="C286" s="62" t="s">
        <v>168</v>
      </c>
      <c r="D286" s="62">
        <v>23.0</v>
      </c>
      <c r="E286" s="62">
        <v>31.0</v>
      </c>
      <c r="F286" s="62">
        <v>10.0</v>
      </c>
      <c r="G286" s="62">
        <v>1.0</v>
      </c>
      <c r="H286" s="62">
        <v>32.0</v>
      </c>
      <c r="I286" s="62">
        <v>23.0</v>
      </c>
      <c r="J286" s="62">
        <v>32.0</v>
      </c>
      <c r="K286" s="62">
        <v>4.0</v>
      </c>
      <c r="L286" s="62">
        <v>0.0</v>
      </c>
      <c r="M286" s="62">
        <v>24.0</v>
      </c>
      <c r="N286" s="62">
        <v>24.0</v>
      </c>
      <c r="O286" s="62">
        <v>5.0</v>
      </c>
      <c r="P286" s="62">
        <v>24.0</v>
      </c>
      <c r="Q286" s="62">
        <v>0.0</v>
      </c>
      <c r="R286" s="62">
        <v>60823.0</v>
      </c>
      <c r="S286" s="62">
        <v>66839.0</v>
      </c>
      <c r="T286" s="62">
        <v>5.60833333333333</v>
      </c>
      <c r="U286" s="62">
        <v>2.10972222222222</v>
      </c>
      <c r="V286" s="62">
        <v>0.207222222222222</v>
      </c>
      <c r="W286" s="62">
        <v>6.86805555555555</v>
      </c>
      <c r="X286" s="62">
        <v>4.975</v>
      </c>
      <c r="Y286" s="62">
        <v>6.87444444444444</v>
      </c>
      <c r="Z286" s="62">
        <v>0.867777777777777</v>
      </c>
      <c r="AA286" s="62">
        <v>0.0</v>
      </c>
      <c r="AB286" s="62">
        <v>5.20555555555555</v>
      </c>
      <c r="AC286" s="62">
        <v>5.20555555555555</v>
      </c>
      <c r="AD286" s="62">
        <v>1.07</v>
      </c>
      <c r="AE286" s="62">
        <v>5.20555555555555</v>
      </c>
      <c r="AF286" s="62">
        <v>26.0</v>
      </c>
    </row>
    <row r="287">
      <c r="A287" s="68">
        <v>45985.0</v>
      </c>
      <c r="B287" s="62" t="s">
        <v>56</v>
      </c>
      <c r="C287" s="62" t="s">
        <v>176</v>
      </c>
      <c r="D287" s="62">
        <v>11.0</v>
      </c>
      <c r="E287" s="62">
        <v>15.0</v>
      </c>
      <c r="F287" s="62">
        <v>0.0</v>
      </c>
      <c r="G287" s="62">
        <v>1.0</v>
      </c>
      <c r="H287" s="62">
        <v>10.0</v>
      </c>
      <c r="I287" s="62">
        <v>9.0</v>
      </c>
      <c r="J287" s="62">
        <v>15.0</v>
      </c>
      <c r="K287" s="62">
        <v>0.0</v>
      </c>
      <c r="L287" s="62">
        <v>0.0</v>
      </c>
      <c r="M287" s="62">
        <v>16.0</v>
      </c>
      <c r="N287" s="62">
        <v>15.0</v>
      </c>
      <c r="O287" s="62">
        <v>5.0</v>
      </c>
      <c r="P287" s="62">
        <v>15.0</v>
      </c>
      <c r="Q287" s="62">
        <v>0.0</v>
      </c>
      <c r="R287" s="62">
        <v>23966.0</v>
      </c>
      <c r="S287" s="62">
        <v>32017.0</v>
      </c>
      <c r="T287" s="62">
        <v>1.935</v>
      </c>
      <c r="U287" s="62">
        <v>0.0</v>
      </c>
      <c r="V287" s="62">
        <v>0.215833333333333</v>
      </c>
      <c r="W287" s="62">
        <v>2.15083333333333</v>
      </c>
      <c r="X287" s="62">
        <v>1.935</v>
      </c>
      <c r="Y287" s="62">
        <v>3.28055555555555</v>
      </c>
      <c r="Z287" s="62">
        <v>0.0</v>
      </c>
      <c r="AA287" s="62">
        <v>0.0</v>
      </c>
      <c r="AB287" s="62">
        <v>3.48666666666666</v>
      </c>
      <c r="AC287" s="62">
        <v>3.26694444444444</v>
      </c>
      <c r="AD287" s="62">
        <v>0.779444444444444</v>
      </c>
      <c r="AE287" s="62">
        <v>3.26694444444444</v>
      </c>
      <c r="AF287" s="62">
        <v>9.0</v>
      </c>
    </row>
    <row r="288">
      <c r="A288" s="68">
        <v>45985.0</v>
      </c>
      <c r="B288" s="62" t="s">
        <v>26</v>
      </c>
      <c r="C288" s="62" t="s">
        <v>178</v>
      </c>
      <c r="D288" s="62">
        <v>32.0</v>
      </c>
      <c r="E288" s="62">
        <v>23.0</v>
      </c>
      <c r="F288" s="62">
        <v>5.0</v>
      </c>
      <c r="G288" s="62">
        <v>4.0</v>
      </c>
      <c r="H288" s="62">
        <v>18.0</v>
      </c>
      <c r="I288" s="62">
        <v>15.0</v>
      </c>
      <c r="J288" s="62">
        <v>18.0</v>
      </c>
      <c r="K288" s="62">
        <v>1.0</v>
      </c>
      <c r="L288" s="62">
        <v>1.0</v>
      </c>
      <c r="M288" s="62">
        <v>15.0</v>
      </c>
      <c r="N288" s="62">
        <v>17.0</v>
      </c>
      <c r="O288" s="62">
        <v>5.0</v>
      </c>
      <c r="P288" s="62">
        <v>17.0</v>
      </c>
      <c r="Q288" s="62">
        <v>0.0</v>
      </c>
      <c r="R288" s="62">
        <v>72976.0</v>
      </c>
      <c r="S288" s="62">
        <v>51840.0</v>
      </c>
      <c r="T288" s="62">
        <v>3.97055555555555</v>
      </c>
      <c r="U288" s="62">
        <v>1.015</v>
      </c>
      <c r="V288" s="62">
        <v>0.811111111111111</v>
      </c>
      <c r="W288" s="62">
        <v>3.56055555555555</v>
      </c>
      <c r="X288" s="62">
        <v>2.96722222222222</v>
      </c>
      <c r="Y288" s="62">
        <v>3.58861111111111</v>
      </c>
      <c r="Z288" s="62">
        <v>0.205833333333333</v>
      </c>
      <c r="AA288" s="62">
        <v>0.205833333333333</v>
      </c>
      <c r="AB288" s="62">
        <v>3.01666666666666</v>
      </c>
      <c r="AC288" s="62">
        <v>3.42027777777777</v>
      </c>
      <c r="AD288" s="62">
        <v>1.05583333333333</v>
      </c>
      <c r="AE288" s="62">
        <v>3.42027777777777</v>
      </c>
      <c r="AF288" s="62">
        <v>20.0</v>
      </c>
    </row>
    <row r="289">
      <c r="A289" s="68">
        <v>45978.0</v>
      </c>
      <c r="B289" s="62" t="s">
        <v>71</v>
      </c>
      <c r="C289" s="62" t="s">
        <v>163</v>
      </c>
      <c r="D289" s="62">
        <v>0.0</v>
      </c>
      <c r="E289" s="62">
        <v>9.0</v>
      </c>
      <c r="F289" s="62">
        <v>3.0</v>
      </c>
      <c r="G289" s="62">
        <v>0.0</v>
      </c>
      <c r="H289" s="62">
        <v>0.0</v>
      </c>
      <c r="I289" s="62">
        <v>0.0</v>
      </c>
      <c r="J289" s="62">
        <v>0.0</v>
      </c>
      <c r="K289" s="62">
        <v>0.0</v>
      </c>
      <c r="L289" s="62">
        <v>0.0</v>
      </c>
      <c r="M289" s="62">
        <v>0.0</v>
      </c>
      <c r="N289" s="62">
        <v>0.0</v>
      </c>
      <c r="O289" s="62">
        <v>0.0</v>
      </c>
      <c r="P289" s="62">
        <v>0.0</v>
      </c>
      <c r="Q289" s="62">
        <v>0.0</v>
      </c>
      <c r="R289" s="62">
        <v>0.0</v>
      </c>
      <c r="S289" s="62">
        <v>24328.0</v>
      </c>
      <c r="T289" s="62">
        <v>2.06444444444444</v>
      </c>
      <c r="U289" s="62">
        <v>0.799166666666666</v>
      </c>
      <c r="V289" s="62">
        <v>0.0</v>
      </c>
      <c r="W289" s="62">
        <v>0.0</v>
      </c>
      <c r="X289" s="62">
        <v>0.0</v>
      </c>
      <c r="Y289" s="62">
        <v>0.0</v>
      </c>
      <c r="Z289" s="62">
        <v>0.0</v>
      </c>
      <c r="AA289" s="62">
        <v>0.0</v>
      </c>
      <c r="AB289" s="62">
        <v>0.0</v>
      </c>
      <c r="AC289" s="62">
        <v>0.0</v>
      </c>
      <c r="AD289" s="62">
        <v>0.0</v>
      </c>
      <c r="AE289" s="62">
        <v>0.0</v>
      </c>
      <c r="AF289" s="62">
        <v>8.0</v>
      </c>
    </row>
    <row r="290">
      <c r="A290" s="68">
        <v>45978.0</v>
      </c>
      <c r="B290" s="62" t="s">
        <v>76</v>
      </c>
      <c r="C290" s="62" t="s">
        <v>165</v>
      </c>
      <c r="D290" s="62">
        <v>12.0</v>
      </c>
      <c r="E290" s="62">
        <v>15.0</v>
      </c>
      <c r="F290" s="62">
        <v>17.0</v>
      </c>
      <c r="G290" s="62">
        <v>12.0</v>
      </c>
      <c r="H290" s="62">
        <v>23.0</v>
      </c>
      <c r="I290" s="62">
        <v>11.0</v>
      </c>
      <c r="J290" s="62">
        <v>20.0</v>
      </c>
      <c r="K290" s="62">
        <v>5.0</v>
      </c>
      <c r="L290" s="62">
        <v>4.0</v>
      </c>
      <c r="M290" s="62">
        <v>24.0</v>
      </c>
      <c r="N290" s="62">
        <v>24.0</v>
      </c>
      <c r="O290" s="62">
        <v>6.0</v>
      </c>
      <c r="P290" s="62">
        <v>24.0</v>
      </c>
      <c r="Q290" s="62">
        <v>0.0</v>
      </c>
      <c r="R290" s="62">
        <v>35883.0</v>
      </c>
      <c r="S290" s="62">
        <v>37085.0</v>
      </c>
      <c r="T290" s="62">
        <v>5.73277777777777</v>
      </c>
      <c r="U290" s="62">
        <v>4.04388888888888</v>
      </c>
      <c r="V290" s="62">
        <v>2.84305555555555</v>
      </c>
      <c r="W290" s="62">
        <v>5.46777777777777</v>
      </c>
      <c r="X290" s="62">
        <v>2.62472222222222</v>
      </c>
      <c r="Y290" s="62">
        <v>4.76972222222222</v>
      </c>
      <c r="Z290" s="62">
        <v>1.17916666666666</v>
      </c>
      <c r="AA290" s="62">
        <v>0.965833333333333</v>
      </c>
      <c r="AB290" s="62">
        <v>5.71805555555555</v>
      </c>
      <c r="AC290" s="62">
        <v>5.71805555555555</v>
      </c>
      <c r="AD290" s="62">
        <v>1.44111111111111</v>
      </c>
      <c r="AE290" s="62">
        <v>5.71805555555555</v>
      </c>
      <c r="AF290" s="62">
        <v>24.0</v>
      </c>
    </row>
    <row r="291">
      <c r="A291" s="68">
        <v>45978.0</v>
      </c>
      <c r="B291" s="62" t="s">
        <v>32</v>
      </c>
      <c r="C291" s="62" t="s">
        <v>168</v>
      </c>
      <c r="D291" s="62">
        <v>21.0</v>
      </c>
      <c r="E291" s="62">
        <v>21.0</v>
      </c>
      <c r="F291" s="62">
        <v>4.0</v>
      </c>
      <c r="G291" s="62">
        <v>0.0</v>
      </c>
      <c r="H291" s="62">
        <v>22.0</v>
      </c>
      <c r="I291" s="62">
        <v>17.0</v>
      </c>
      <c r="J291" s="62">
        <v>24.0</v>
      </c>
      <c r="K291" s="62">
        <v>3.0</v>
      </c>
      <c r="L291" s="62">
        <v>0.0</v>
      </c>
      <c r="M291" s="62">
        <v>24.0</v>
      </c>
      <c r="N291" s="62">
        <v>24.0</v>
      </c>
      <c r="O291" s="62">
        <v>6.0</v>
      </c>
      <c r="P291" s="62">
        <v>24.0</v>
      </c>
      <c r="Q291" s="62">
        <v>0.0</v>
      </c>
      <c r="R291" s="62">
        <v>55125.0</v>
      </c>
      <c r="S291" s="62">
        <v>47122.0</v>
      </c>
      <c r="T291" s="62">
        <v>4.70611111111111</v>
      </c>
      <c r="U291" s="62">
        <v>0.861111111111111</v>
      </c>
      <c r="V291" s="62">
        <v>0.0</v>
      </c>
      <c r="W291" s="62">
        <v>4.73416666666666</v>
      </c>
      <c r="X291" s="62">
        <v>3.6625</v>
      </c>
      <c r="Y291" s="62">
        <v>5.12777777777777</v>
      </c>
      <c r="Z291" s="62">
        <v>0.656111111111111</v>
      </c>
      <c r="AA291" s="62">
        <v>0.0</v>
      </c>
      <c r="AB291" s="62">
        <v>5.12777777777777</v>
      </c>
      <c r="AC291" s="62">
        <v>5.12777777777777</v>
      </c>
      <c r="AD291" s="62">
        <v>1.27972222222222</v>
      </c>
      <c r="AE291" s="62">
        <v>5.12777777777777</v>
      </c>
      <c r="AF291" s="62">
        <v>22.0</v>
      </c>
    </row>
    <row r="292">
      <c r="A292" s="68">
        <v>45978.0</v>
      </c>
      <c r="B292" s="62" t="s">
        <v>56</v>
      </c>
      <c r="C292" s="62" t="s">
        <v>176</v>
      </c>
      <c r="D292" s="62">
        <v>14.0</v>
      </c>
      <c r="E292" s="62">
        <v>7.0</v>
      </c>
      <c r="F292" s="62">
        <v>3.0</v>
      </c>
      <c r="G292" s="62">
        <v>2.0</v>
      </c>
      <c r="H292" s="62">
        <v>25.0</v>
      </c>
      <c r="I292" s="62">
        <v>23.0</v>
      </c>
      <c r="J292" s="62">
        <v>21.0</v>
      </c>
      <c r="K292" s="62">
        <v>0.0</v>
      </c>
      <c r="L292" s="62">
        <v>0.0</v>
      </c>
      <c r="M292" s="62">
        <v>19.0</v>
      </c>
      <c r="N292" s="62">
        <v>43.0</v>
      </c>
      <c r="O292" s="62">
        <v>5.0</v>
      </c>
      <c r="P292" s="62">
        <v>43.0</v>
      </c>
      <c r="Q292" s="62">
        <v>0.0</v>
      </c>
      <c r="R292" s="62">
        <v>29613.0</v>
      </c>
      <c r="S292" s="62">
        <v>14124.0</v>
      </c>
      <c r="T292" s="62">
        <v>5.47194444444444</v>
      </c>
      <c r="U292" s="62">
        <v>0.647222222222222</v>
      </c>
      <c r="V292" s="62">
        <v>0.430833333333333</v>
      </c>
      <c r="W292" s="62">
        <v>5.25555555555555</v>
      </c>
      <c r="X292" s="62">
        <v>4.82472222222222</v>
      </c>
      <c r="Y292" s="62">
        <v>4.36638888888888</v>
      </c>
      <c r="Z292" s="62">
        <v>0.0</v>
      </c>
      <c r="AA292" s="62">
        <v>0.0</v>
      </c>
      <c r="AB292" s="62">
        <v>3.925</v>
      </c>
      <c r="AC292" s="62">
        <v>7.87472222222222</v>
      </c>
      <c r="AD292" s="62">
        <v>0.796111111111111</v>
      </c>
      <c r="AE292" s="62">
        <v>7.87472222222222</v>
      </c>
      <c r="AF292" s="62">
        <v>26.0</v>
      </c>
    </row>
    <row r="293">
      <c r="A293" s="68">
        <v>45978.0</v>
      </c>
      <c r="B293" s="62" t="s">
        <v>26</v>
      </c>
      <c r="C293" s="62" t="s">
        <v>178</v>
      </c>
      <c r="D293" s="62">
        <v>16.0</v>
      </c>
      <c r="E293" s="62">
        <v>15.0</v>
      </c>
      <c r="F293" s="62">
        <v>2.0</v>
      </c>
      <c r="G293" s="62">
        <v>2.0</v>
      </c>
      <c r="H293" s="62">
        <v>15.0</v>
      </c>
      <c r="I293" s="62">
        <v>13.0</v>
      </c>
      <c r="J293" s="62">
        <v>15.0</v>
      </c>
      <c r="K293" s="62">
        <v>5.0</v>
      </c>
      <c r="L293" s="62">
        <v>5.0</v>
      </c>
      <c r="M293" s="62">
        <v>17.0</v>
      </c>
      <c r="N293" s="62">
        <v>15.0</v>
      </c>
      <c r="O293" s="62">
        <v>6.0</v>
      </c>
      <c r="P293" s="62">
        <v>15.0</v>
      </c>
      <c r="Q293" s="62">
        <v>0.0</v>
      </c>
      <c r="R293" s="62">
        <v>40621.0</v>
      </c>
      <c r="S293" s="62">
        <v>31910.0</v>
      </c>
      <c r="T293" s="62">
        <v>2.93833333333333</v>
      </c>
      <c r="U293" s="62">
        <v>0.393055555555555</v>
      </c>
      <c r="V293" s="62">
        <v>0.396944444444444</v>
      </c>
      <c r="W293" s="62">
        <v>2.94222222222222</v>
      </c>
      <c r="X293" s="62">
        <v>2.54527777777777</v>
      </c>
      <c r="Y293" s="62">
        <v>2.95388888888888</v>
      </c>
      <c r="Z293" s="62">
        <v>1.00916666666666</v>
      </c>
      <c r="AA293" s="62">
        <v>1.00916666666666</v>
      </c>
      <c r="AB293" s="62">
        <v>3.37888888888888</v>
      </c>
      <c r="AC293" s="62">
        <v>2.97527777777777</v>
      </c>
      <c r="AD293" s="62">
        <v>1.24111111111111</v>
      </c>
      <c r="AE293" s="62">
        <v>2.97527777777777</v>
      </c>
      <c r="AF293" s="62">
        <v>15.0</v>
      </c>
    </row>
    <row r="294">
      <c r="A294" s="68">
        <v>45971.0</v>
      </c>
      <c r="B294" s="62" t="s">
        <v>71</v>
      </c>
      <c r="C294" s="62" t="s">
        <v>163</v>
      </c>
      <c r="D294" s="62">
        <v>11.0</v>
      </c>
      <c r="E294" s="62">
        <v>0.0</v>
      </c>
      <c r="F294" s="62">
        <v>0.0</v>
      </c>
      <c r="G294" s="62">
        <v>0.0</v>
      </c>
      <c r="H294" s="62">
        <v>0.0</v>
      </c>
      <c r="I294" s="62">
        <v>0.0</v>
      </c>
      <c r="J294" s="62">
        <v>0.0</v>
      </c>
      <c r="K294" s="62">
        <v>0.0</v>
      </c>
      <c r="L294" s="62">
        <v>0.0</v>
      </c>
      <c r="M294" s="62">
        <v>0.0</v>
      </c>
      <c r="N294" s="62">
        <v>0.0</v>
      </c>
      <c r="O294" s="62">
        <v>0.0</v>
      </c>
      <c r="P294" s="62">
        <v>0.0</v>
      </c>
      <c r="Q294" s="62">
        <v>0.0</v>
      </c>
      <c r="R294" s="62">
        <v>30855.0</v>
      </c>
      <c r="S294" s="62">
        <v>0.0</v>
      </c>
      <c r="T294" s="62">
        <v>0.0</v>
      </c>
      <c r="U294" s="62">
        <v>0.0</v>
      </c>
      <c r="V294" s="62">
        <v>0.0</v>
      </c>
      <c r="W294" s="62">
        <v>0.0</v>
      </c>
      <c r="X294" s="62">
        <v>0.0</v>
      </c>
      <c r="Y294" s="62">
        <v>0.0</v>
      </c>
      <c r="Z294" s="62">
        <v>0.0</v>
      </c>
      <c r="AA294" s="62">
        <v>0.0</v>
      </c>
      <c r="AB294" s="62">
        <v>0.0</v>
      </c>
      <c r="AC294" s="62">
        <v>0.0</v>
      </c>
      <c r="AD294" s="62">
        <v>0.0</v>
      </c>
      <c r="AE294" s="62">
        <v>0.0</v>
      </c>
      <c r="AF294" s="62">
        <v>0.0</v>
      </c>
    </row>
    <row r="295">
      <c r="A295" s="68">
        <v>45971.0</v>
      </c>
      <c r="B295" s="62" t="s">
        <v>76</v>
      </c>
      <c r="C295" s="62" t="s">
        <v>165</v>
      </c>
      <c r="D295" s="62">
        <v>21.0</v>
      </c>
      <c r="E295" s="62">
        <v>30.0</v>
      </c>
      <c r="F295" s="62">
        <v>14.0</v>
      </c>
      <c r="G295" s="62">
        <v>15.0</v>
      </c>
      <c r="H295" s="62">
        <v>20.0</v>
      </c>
      <c r="I295" s="62">
        <v>6.0</v>
      </c>
      <c r="J295" s="62">
        <v>17.0</v>
      </c>
      <c r="K295" s="62">
        <v>1.0</v>
      </c>
      <c r="L295" s="62">
        <v>1.0</v>
      </c>
      <c r="M295" s="62">
        <v>15.0</v>
      </c>
      <c r="N295" s="62">
        <v>15.0</v>
      </c>
      <c r="O295" s="62">
        <v>6.0</v>
      </c>
      <c r="P295" s="62">
        <v>15.0</v>
      </c>
      <c r="Q295" s="62">
        <v>0.0</v>
      </c>
      <c r="R295" s="62">
        <v>49744.0</v>
      </c>
      <c r="S295" s="62">
        <v>71786.0</v>
      </c>
      <c r="T295" s="62">
        <v>4.23944444444444</v>
      </c>
      <c r="U295" s="62">
        <v>3.25222222222222</v>
      </c>
      <c r="V295" s="62">
        <v>3.49416666666666</v>
      </c>
      <c r="W295" s="62">
        <v>4.695</v>
      </c>
      <c r="X295" s="62">
        <v>1.41944444444444</v>
      </c>
      <c r="Y295" s="62">
        <v>3.98333333333333</v>
      </c>
      <c r="Z295" s="62">
        <v>0.235</v>
      </c>
      <c r="AA295" s="62">
        <v>0.235</v>
      </c>
      <c r="AB295" s="62">
        <v>3.49944444444444</v>
      </c>
      <c r="AC295" s="62">
        <v>3.49944444444444</v>
      </c>
      <c r="AD295" s="62">
        <v>1.46</v>
      </c>
      <c r="AE295" s="62">
        <v>3.49944444444444</v>
      </c>
      <c r="AF295" s="62">
        <v>18.0</v>
      </c>
    </row>
    <row r="296">
      <c r="A296" s="68">
        <v>45971.0</v>
      </c>
      <c r="B296" s="62" t="s">
        <v>32</v>
      </c>
      <c r="C296" s="62" t="s">
        <v>168</v>
      </c>
      <c r="D296" s="62">
        <v>20.0</v>
      </c>
      <c r="E296" s="62">
        <v>20.0</v>
      </c>
      <c r="F296" s="62">
        <v>7.0</v>
      </c>
      <c r="G296" s="62">
        <v>3.0</v>
      </c>
      <c r="H296" s="62">
        <v>24.0</v>
      </c>
      <c r="I296" s="62">
        <v>15.0</v>
      </c>
      <c r="J296" s="62">
        <v>22.0</v>
      </c>
      <c r="K296" s="62">
        <v>0.0</v>
      </c>
      <c r="L296" s="62">
        <v>0.0</v>
      </c>
      <c r="M296" s="62">
        <v>25.0</v>
      </c>
      <c r="N296" s="62">
        <v>25.0</v>
      </c>
      <c r="O296" s="62">
        <v>5.0</v>
      </c>
      <c r="P296" s="62">
        <v>25.0</v>
      </c>
      <c r="Q296" s="62">
        <v>0.0</v>
      </c>
      <c r="R296" s="62">
        <v>52998.0</v>
      </c>
      <c r="S296" s="62">
        <v>43034.0</v>
      </c>
      <c r="T296" s="62">
        <v>5.77916666666666</v>
      </c>
      <c r="U296" s="62">
        <v>1.45416666666666</v>
      </c>
      <c r="V296" s="62">
        <v>0.658055555555555</v>
      </c>
      <c r="W296" s="62">
        <v>4.93694444444444</v>
      </c>
      <c r="X296" s="62">
        <v>3.03111111111111</v>
      </c>
      <c r="Y296" s="62">
        <v>4.60861111111111</v>
      </c>
      <c r="Z296" s="62">
        <v>0.0</v>
      </c>
      <c r="AA296" s="62">
        <v>0.0</v>
      </c>
      <c r="AB296" s="62">
        <v>5.2575</v>
      </c>
      <c r="AC296" s="62">
        <v>5.2575</v>
      </c>
      <c r="AD296" s="62">
        <v>1.04444444444444</v>
      </c>
      <c r="AE296" s="62">
        <v>5.2575</v>
      </c>
      <c r="AF296" s="62">
        <v>28.0</v>
      </c>
    </row>
    <row r="297">
      <c r="A297" s="68">
        <v>45971.0</v>
      </c>
      <c r="B297" s="62" t="s">
        <v>56</v>
      </c>
      <c r="C297" s="62" t="s">
        <v>176</v>
      </c>
      <c r="D297" s="62">
        <v>21.0</v>
      </c>
      <c r="E297" s="62">
        <v>18.0</v>
      </c>
      <c r="F297" s="62">
        <v>5.0</v>
      </c>
      <c r="G297" s="62">
        <v>5.0</v>
      </c>
      <c r="H297" s="62">
        <v>21.0</v>
      </c>
      <c r="I297" s="62">
        <v>4.0</v>
      </c>
      <c r="J297" s="62">
        <v>19.0</v>
      </c>
      <c r="K297" s="62">
        <v>18.0</v>
      </c>
      <c r="L297" s="62">
        <v>7.0</v>
      </c>
      <c r="M297" s="62">
        <v>23.0</v>
      </c>
      <c r="N297" s="62">
        <v>0.0</v>
      </c>
      <c r="O297" s="62">
        <v>6.0</v>
      </c>
      <c r="P297" s="62">
        <v>0.0</v>
      </c>
      <c r="Q297" s="62">
        <v>0.0</v>
      </c>
      <c r="R297" s="62">
        <v>40651.0</v>
      </c>
      <c r="S297" s="62">
        <v>35470.0</v>
      </c>
      <c r="T297" s="62">
        <v>0.837499999999999</v>
      </c>
      <c r="U297" s="62">
        <v>1.01083333333333</v>
      </c>
      <c r="V297" s="62">
        <v>1.02388888888888</v>
      </c>
      <c r="W297" s="62">
        <v>3.65305555555555</v>
      </c>
      <c r="X297" s="62">
        <v>0.764444444444444</v>
      </c>
      <c r="Y297" s="62">
        <v>3.15361111111111</v>
      </c>
      <c r="Z297" s="62">
        <v>2.78861111111111</v>
      </c>
      <c r="AA297" s="62">
        <v>1.08777777777777</v>
      </c>
      <c r="AB297" s="62">
        <v>3.78444444444444</v>
      </c>
      <c r="AC297" s="62">
        <v>0.0</v>
      </c>
      <c r="AD297" s="62">
        <v>0.903055555555555</v>
      </c>
      <c r="AE297" s="62">
        <v>0.0</v>
      </c>
      <c r="AF297" s="62">
        <v>4.0</v>
      </c>
    </row>
    <row r="298">
      <c r="A298" s="68">
        <v>45971.0</v>
      </c>
      <c r="B298" s="62" t="s">
        <v>26</v>
      </c>
      <c r="C298" s="62" t="s">
        <v>178</v>
      </c>
      <c r="D298" s="62">
        <v>18.0</v>
      </c>
      <c r="E298" s="62">
        <v>15.0</v>
      </c>
      <c r="F298" s="62">
        <v>4.0</v>
      </c>
      <c r="G298" s="62">
        <v>3.0</v>
      </c>
      <c r="H298" s="62">
        <v>17.0</v>
      </c>
      <c r="I298" s="62">
        <v>13.0</v>
      </c>
      <c r="J298" s="62">
        <v>17.0</v>
      </c>
      <c r="K298" s="62">
        <v>4.0</v>
      </c>
      <c r="L298" s="62">
        <v>4.0</v>
      </c>
      <c r="M298" s="62">
        <v>14.0</v>
      </c>
      <c r="N298" s="62">
        <v>15.0</v>
      </c>
      <c r="O298" s="62">
        <v>5.0</v>
      </c>
      <c r="P298" s="62">
        <v>15.0</v>
      </c>
      <c r="Q298" s="62">
        <v>0.0</v>
      </c>
      <c r="R298" s="62">
        <v>45754.0</v>
      </c>
      <c r="S298" s="62">
        <v>33515.0</v>
      </c>
      <c r="T298" s="62">
        <v>3.23444444444444</v>
      </c>
      <c r="U298" s="62">
        <v>0.764166666666666</v>
      </c>
      <c r="V298" s="62">
        <v>0.558333333333333</v>
      </c>
      <c r="W298" s="62">
        <v>3.24305555555555</v>
      </c>
      <c r="X298" s="62">
        <v>2.47027777777777</v>
      </c>
      <c r="Y298" s="62">
        <v>3.26861111111111</v>
      </c>
      <c r="Z298" s="62">
        <v>0.809999999999999</v>
      </c>
      <c r="AA298" s="62">
        <v>0.809999999999999</v>
      </c>
      <c r="AB298" s="62">
        <v>2.64472222222222</v>
      </c>
      <c r="AC298" s="62">
        <v>2.82305555555555</v>
      </c>
      <c r="AD298" s="62">
        <v>0.948888888888888</v>
      </c>
      <c r="AE298" s="62">
        <v>2.82305555555555</v>
      </c>
      <c r="AF298" s="62">
        <v>17.0</v>
      </c>
    </row>
    <row r="299">
      <c r="A299" s="68">
        <v>45964.0</v>
      </c>
      <c r="B299" s="62" t="s">
        <v>76</v>
      </c>
      <c r="C299" s="62" t="s">
        <v>165</v>
      </c>
      <c r="D299" s="62">
        <v>10.0</v>
      </c>
      <c r="E299" s="62">
        <v>8.0</v>
      </c>
      <c r="F299" s="62">
        <v>4.0</v>
      </c>
      <c r="G299" s="62">
        <v>3.0</v>
      </c>
      <c r="H299" s="62">
        <v>3.0</v>
      </c>
      <c r="I299" s="62">
        <v>0.0</v>
      </c>
      <c r="J299" s="62">
        <v>3.0</v>
      </c>
      <c r="K299" s="62">
        <v>0.0</v>
      </c>
      <c r="L299" s="62">
        <v>0.0</v>
      </c>
      <c r="M299" s="62">
        <v>0.0</v>
      </c>
      <c r="N299" s="62">
        <v>0.0</v>
      </c>
      <c r="O299" s="62">
        <v>5.0</v>
      </c>
      <c r="P299" s="62">
        <v>0.0</v>
      </c>
      <c r="Q299" s="62">
        <v>0.0</v>
      </c>
      <c r="R299" s="62">
        <v>26580.0</v>
      </c>
      <c r="S299" s="62">
        <v>19853.0</v>
      </c>
      <c r="T299" s="62">
        <v>1.59444444444444</v>
      </c>
      <c r="U299" s="62">
        <v>0.919722222222222</v>
      </c>
      <c r="V299" s="62">
        <v>0.7</v>
      </c>
      <c r="W299" s="62">
        <v>0.7</v>
      </c>
      <c r="X299" s="62">
        <v>0.0</v>
      </c>
      <c r="Y299" s="62">
        <v>0.7</v>
      </c>
      <c r="Z299" s="62">
        <v>0.0</v>
      </c>
      <c r="AA299" s="62">
        <v>0.0</v>
      </c>
      <c r="AB299" s="62">
        <v>0.0</v>
      </c>
      <c r="AC299" s="62">
        <v>0.0</v>
      </c>
      <c r="AD299" s="62">
        <v>1.27277777777777</v>
      </c>
      <c r="AE299" s="62">
        <v>0.0</v>
      </c>
      <c r="AF299" s="62">
        <v>7.0</v>
      </c>
    </row>
    <row r="300">
      <c r="A300" s="68">
        <v>45964.0</v>
      </c>
      <c r="B300" s="62" t="s">
        <v>32</v>
      </c>
      <c r="C300" s="62" t="s">
        <v>168</v>
      </c>
      <c r="D300" s="62">
        <v>24.0</v>
      </c>
      <c r="E300" s="62">
        <v>28.0</v>
      </c>
      <c r="F300" s="62">
        <v>10.0</v>
      </c>
      <c r="G300" s="62">
        <v>7.0</v>
      </c>
      <c r="H300" s="62">
        <v>25.0</v>
      </c>
      <c r="I300" s="62">
        <v>18.0</v>
      </c>
      <c r="J300" s="62">
        <v>22.0</v>
      </c>
      <c r="K300" s="62">
        <v>2.0</v>
      </c>
      <c r="L300" s="62">
        <v>2.0</v>
      </c>
      <c r="M300" s="62">
        <v>23.0</v>
      </c>
      <c r="N300" s="62">
        <v>23.0</v>
      </c>
      <c r="O300" s="62">
        <v>7.0</v>
      </c>
      <c r="P300" s="62">
        <v>23.0</v>
      </c>
      <c r="Q300" s="62">
        <v>0.0</v>
      </c>
      <c r="R300" s="62">
        <v>55470.0</v>
      </c>
      <c r="S300" s="62">
        <v>61533.0</v>
      </c>
      <c r="T300" s="62">
        <v>5.60361111111111</v>
      </c>
      <c r="U300" s="62">
        <v>2.12361111111111</v>
      </c>
      <c r="V300" s="62">
        <v>1.475</v>
      </c>
      <c r="W300" s="62">
        <v>5.37888888888888</v>
      </c>
      <c r="X300" s="62">
        <v>3.90388888888888</v>
      </c>
      <c r="Y300" s="62">
        <v>4.76833333333333</v>
      </c>
      <c r="Z300" s="62">
        <v>0.448333333333333</v>
      </c>
      <c r="AA300" s="62">
        <v>0.448333333333333</v>
      </c>
      <c r="AB300" s="62">
        <v>4.99944444444444</v>
      </c>
      <c r="AC300" s="62">
        <v>4.99944444444444</v>
      </c>
      <c r="AD300" s="62">
        <v>1.51638888888888</v>
      </c>
      <c r="AE300" s="62">
        <v>4.99944444444444</v>
      </c>
      <c r="AF300" s="62">
        <v>26.0</v>
      </c>
    </row>
    <row r="301">
      <c r="A301" s="68">
        <v>45964.0</v>
      </c>
      <c r="B301" s="62" t="s">
        <v>56</v>
      </c>
      <c r="C301" s="62" t="s">
        <v>176</v>
      </c>
      <c r="D301" s="62">
        <v>64.0</v>
      </c>
      <c r="E301" s="62">
        <v>63.0</v>
      </c>
      <c r="F301" s="62">
        <v>1.0</v>
      </c>
      <c r="G301" s="62">
        <v>0.0</v>
      </c>
      <c r="H301" s="62">
        <v>3.0</v>
      </c>
      <c r="I301" s="62">
        <v>3.0</v>
      </c>
      <c r="J301" s="62">
        <v>6.0</v>
      </c>
      <c r="K301" s="62">
        <v>1.0</v>
      </c>
      <c r="L301" s="62">
        <v>0.0</v>
      </c>
      <c r="M301" s="62">
        <v>3.0</v>
      </c>
      <c r="N301" s="62">
        <v>2.0</v>
      </c>
      <c r="O301" s="62">
        <v>6.0</v>
      </c>
      <c r="P301" s="62">
        <v>2.0</v>
      </c>
      <c r="Q301" s="62">
        <v>0.0</v>
      </c>
      <c r="R301" s="62">
        <v>103454.0</v>
      </c>
      <c r="S301" s="62">
        <v>100547.0</v>
      </c>
      <c r="T301" s="62">
        <v>0.639722222222222</v>
      </c>
      <c r="U301" s="62">
        <v>0.211944444444444</v>
      </c>
      <c r="V301" s="62">
        <v>0.0</v>
      </c>
      <c r="W301" s="62">
        <v>0.625555555555555</v>
      </c>
      <c r="X301" s="62">
        <v>0.625555555555555</v>
      </c>
      <c r="Y301" s="62">
        <v>1.35722222222222</v>
      </c>
      <c r="Z301" s="62">
        <v>0.239722222222222</v>
      </c>
      <c r="AA301" s="62">
        <v>0.0</v>
      </c>
      <c r="AB301" s="62">
        <v>0.692222222222222</v>
      </c>
      <c r="AC301" s="62">
        <v>0.4525</v>
      </c>
      <c r="AD301" s="62">
        <v>1.00527777777777</v>
      </c>
      <c r="AE301" s="62">
        <v>0.309166666666666</v>
      </c>
      <c r="AF301" s="62">
        <v>3.0</v>
      </c>
    </row>
    <row r="302">
      <c r="A302" s="68">
        <v>45964.0</v>
      </c>
      <c r="B302" s="62" t="s">
        <v>26</v>
      </c>
      <c r="C302" s="62" t="s">
        <v>178</v>
      </c>
      <c r="D302" s="62">
        <v>13.0</v>
      </c>
      <c r="E302" s="62">
        <v>19.0</v>
      </c>
      <c r="F302" s="62">
        <v>6.0</v>
      </c>
      <c r="G302" s="62">
        <v>9.0</v>
      </c>
      <c r="H302" s="62">
        <v>16.0</v>
      </c>
      <c r="I302" s="62">
        <v>7.0</v>
      </c>
      <c r="J302" s="62">
        <v>16.0</v>
      </c>
      <c r="K302" s="62">
        <v>2.0</v>
      </c>
      <c r="L302" s="62">
        <v>2.0</v>
      </c>
      <c r="M302" s="62">
        <v>16.0</v>
      </c>
      <c r="N302" s="62">
        <v>15.0</v>
      </c>
      <c r="O302" s="62">
        <v>6.0</v>
      </c>
      <c r="P302" s="62">
        <v>15.0</v>
      </c>
      <c r="Q302" s="62">
        <v>0.0</v>
      </c>
      <c r="R302" s="62">
        <v>27166.0</v>
      </c>
      <c r="S302" s="62">
        <v>40058.0</v>
      </c>
      <c r="T302" s="62">
        <v>2.47555555555555</v>
      </c>
      <c r="U302" s="62">
        <v>1.08111111111111</v>
      </c>
      <c r="V302" s="62">
        <v>1.68583333333333</v>
      </c>
      <c r="W302" s="62">
        <v>3.00444444444444</v>
      </c>
      <c r="X302" s="62">
        <v>1.31861111111111</v>
      </c>
      <c r="Y302" s="62">
        <v>3.01333333333333</v>
      </c>
      <c r="Z302" s="62">
        <v>0.366388888888888</v>
      </c>
      <c r="AA302" s="62">
        <v>0.366388888888888</v>
      </c>
      <c r="AB302" s="62">
        <v>3.01333333333333</v>
      </c>
      <c r="AC302" s="62">
        <v>2.83499999999999</v>
      </c>
      <c r="AD302" s="62">
        <v>1.18944444444444</v>
      </c>
      <c r="AE302" s="62">
        <v>2.83499999999999</v>
      </c>
      <c r="AF302" s="62">
        <v>13.0</v>
      </c>
    </row>
    <row r="303">
      <c r="A303" s="68">
        <v>45957.0</v>
      </c>
      <c r="B303" s="62" t="s">
        <v>71</v>
      </c>
      <c r="C303" s="62" t="s">
        <v>163</v>
      </c>
      <c r="D303" s="62">
        <v>2.0</v>
      </c>
      <c r="E303" s="62">
        <v>0.0</v>
      </c>
      <c r="F303" s="62">
        <v>0.0</v>
      </c>
      <c r="G303" s="62">
        <v>0.0</v>
      </c>
      <c r="H303" s="62">
        <v>0.0</v>
      </c>
      <c r="I303" s="62">
        <v>0.0</v>
      </c>
      <c r="J303" s="62">
        <v>0.0</v>
      </c>
      <c r="K303" s="62">
        <v>0.0</v>
      </c>
      <c r="L303" s="62">
        <v>0.0</v>
      </c>
      <c r="M303" s="62">
        <v>0.0</v>
      </c>
      <c r="N303" s="62">
        <v>0.0</v>
      </c>
      <c r="O303" s="62">
        <v>0.0</v>
      </c>
      <c r="P303" s="62">
        <v>0.0</v>
      </c>
      <c r="Q303" s="62">
        <v>0.0</v>
      </c>
      <c r="R303" s="62">
        <v>5354.0</v>
      </c>
      <c r="S303" s="62">
        <v>0.0</v>
      </c>
      <c r="T303" s="62">
        <v>0.0</v>
      </c>
      <c r="U303" s="62">
        <v>0.0</v>
      </c>
      <c r="V303" s="62">
        <v>0.0</v>
      </c>
      <c r="W303" s="62">
        <v>0.0</v>
      </c>
      <c r="X303" s="62">
        <v>0.0</v>
      </c>
      <c r="Y303" s="62">
        <v>0.0</v>
      </c>
      <c r="Z303" s="62">
        <v>0.0</v>
      </c>
      <c r="AA303" s="62">
        <v>0.0</v>
      </c>
      <c r="AB303" s="62">
        <v>0.0</v>
      </c>
      <c r="AC303" s="62">
        <v>0.0</v>
      </c>
      <c r="AD303" s="62">
        <v>0.0</v>
      </c>
      <c r="AE303" s="62">
        <v>0.0</v>
      </c>
      <c r="AF303" s="62">
        <v>0.0</v>
      </c>
    </row>
    <row r="304">
      <c r="A304" s="68">
        <v>45957.0</v>
      </c>
      <c r="B304" s="62" t="s">
        <v>76</v>
      </c>
      <c r="C304" s="62" t="s">
        <v>165</v>
      </c>
      <c r="D304" s="62">
        <v>21.0</v>
      </c>
      <c r="E304" s="62">
        <v>27.0</v>
      </c>
      <c r="F304" s="62">
        <v>3.0</v>
      </c>
      <c r="G304" s="62">
        <v>6.0</v>
      </c>
      <c r="H304" s="62">
        <v>8.0</v>
      </c>
      <c r="I304" s="62">
        <v>3.0</v>
      </c>
      <c r="J304" s="62">
        <v>12.0</v>
      </c>
      <c r="K304" s="62">
        <v>1.0</v>
      </c>
      <c r="L304" s="62">
        <v>1.0</v>
      </c>
      <c r="M304" s="62">
        <v>13.0</v>
      </c>
      <c r="N304" s="62">
        <v>13.0</v>
      </c>
      <c r="O304" s="62">
        <v>5.0</v>
      </c>
      <c r="P304" s="62">
        <v>13.0</v>
      </c>
      <c r="Q304" s="62">
        <v>0.0</v>
      </c>
      <c r="R304" s="62">
        <v>60657.0</v>
      </c>
      <c r="S304" s="62">
        <v>66770.0</v>
      </c>
      <c r="T304" s="62">
        <v>1.16777777777777</v>
      </c>
      <c r="U304" s="62">
        <v>0.699166666666666</v>
      </c>
      <c r="V304" s="62">
        <v>1.46138888888888</v>
      </c>
      <c r="W304" s="62">
        <v>1.92749999999999</v>
      </c>
      <c r="X304" s="62">
        <v>0.695555555555555</v>
      </c>
      <c r="Y304" s="62">
        <v>2.86722222222222</v>
      </c>
      <c r="Z304" s="62">
        <v>0.246666666666666</v>
      </c>
      <c r="AA304" s="62">
        <v>0.246666666666666</v>
      </c>
      <c r="AB304" s="62">
        <v>3.12722222222222</v>
      </c>
      <c r="AC304" s="62">
        <v>3.12722222222222</v>
      </c>
      <c r="AD304" s="62">
        <v>1.28083333333333</v>
      </c>
      <c r="AE304" s="62">
        <v>3.12722222222222</v>
      </c>
      <c r="AF304" s="62">
        <v>5.0</v>
      </c>
    </row>
    <row r="305">
      <c r="A305" s="68">
        <v>45957.0</v>
      </c>
      <c r="B305" s="62" t="s">
        <v>32</v>
      </c>
      <c r="C305" s="62" t="s">
        <v>168</v>
      </c>
      <c r="D305" s="62">
        <v>27.0</v>
      </c>
      <c r="E305" s="62">
        <v>27.0</v>
      </c>
      <c r="F305" s="62">
        <v>11.0</v>
      </c>
      <c r="G305" s="62">
        <v>11.0</v>
      </c>
      <c r="H305" s="62">
        <v>26.0</v>
      </c>
      <c r="I305" s="62">
        <v>15.0</v>
      </c>
      <c r="J305" s="62">
        <v>27.0</v>
      </c>
      <c r="K305" s="62">
        <v>1.0</v>
      </c>
      <c r="L305" s="62">
        <v>1.0</v>
      </c>
      <c r="M305" s="62">
        <v>25.0</v>
      </c>
      <c r="N305" s="62">
        <v>25.0</v>
      </c>
      <c r="O305" s="62">
        <v>12.0</v>
      </c>
      <c r="P305" s="62">
        <v>25.0</v>
      </c>
      <c r="Q305" s="62">
        <v>0.0</v>
      </c>
      <c r="R305" s="62">
        <v>56905.0</v>
      </c>
      <c r="S305" s="62">
        <v>55025.0</v>
      </c>
      <c r="T305" s="62">
        <v>5.92388888888888</v>
      </c>
      <c r="U305" s="62">
        <v>2.36694444444444</v>
      </c>
      <c r="V305" s="62">
        <v>2.41638888888888</v>
      </c>
      <c r="W305" s="62">
        <v>5.54944444444444</v>
      </c>
      <c r="X305" s="62">
        <v>3.13305555555555</v>
      </c>
      <c r="Y305" s="62">
        <v>5.80055555555555</v>
      </c>
      <c r="Z305" s="62">
        <v>0.199444444444444</v>
      </c>
      <c r="AA305" s="62">
        <v>0.199444444444444</v>
      </c>
      <c r="AB305" s="62">
        <v>5.385</v>
      </c>
      <c r="AC305" s="62">
        <v>5.385</v>
      </c>
      <c r="AD305" s="62">
        <v>2.73972222222222</v>
      </c>
      <c r="AE305" s="62">
        <v>5.385</v>
      </c>
      <c r="AF305" s="62">
        <v>28.0</v>
      </c>
    </row>
    <row r="306">
      <c r="A306" s="68">
        <v>45957.0</v>
      </c>
      <c r="B306" s="62" t="s">
        <v>56</v>
      </c>
      <c r="C306" s="62" t="s">
        <v>176</v>
      </c>
      <c r="D306" s="62">
        <v>2.0</v>
      </c>
      <c r="E306" s="62">
        <v>0.0</v>
      </c>
      <c r="F306" s="62">
        <v>2.0</v>
      </c>
      <c r="G306" s="62">
        <v>4.0</v>
      </c>
      <c r="H306" s="62">
        <v>18.0</v>
      </c>
      <c r="I306" s="62">
        <v>14.0</v>
      </c>
      <c r="J306" s="62">
        <v>11.0</v>
      </c>
      <c r="K306" s="62">
        <v>0.0</v>
      </c>
      <c r="L306" s="62">
        <v>0.0</v>
      </c>
      <c r="M306" s="62">
        <v>15.0</v>
      </c>
      <c r="N306" s="62">
        <v>15.0</v>
      </c>
      <c r="O306" s="62">
        <v>6.0</v>
      </c>
      <c r="P306" s="62">
        <v>15.0</v>
      </c>
      <c r="Q306" s="62">
        <v>0.0</v>
      </c>
      <c r="R306" s="62">
        <v>2735.0</v>
      </c>
      <c r="S306" s="62">
        <v>0.0</v>
      </c>
      <c r="T306" s="62">
        <v>4.54666666666666</v>
      </c>
      <c r="U306" s="62">
        <v>0.470555555555555</v>
      </c>
      <c r="V306" s="62">
        <v>0.899444444444444</v>
      </c>
      <c r="W306" s="62">
        <v>4.13805555555555</v>
      </c>
      <c r="X306" s="62">
        <v>3.23861111111111</v>
      </c>
      <c r="Y306" s="62">
        <v>2.54638888888888</v>
      </c>
      <c r="Z306" s="62">
        <v>0.0</v>
      </c>
      <c r="AA306" s="62">
        <v>0.0</v>
      </c>
      <c r="AB306" s="62">
        <v>3.44583333333333</v>
      </c>
      <c r="AC306" s="62">
        <v>3.44583333333333</v>
      </c>
      <c r="AD306" s="62">
        <v>1.31972222222222</v>
      </c>
      <c r="AE306" s="62">
        <v>2.32666666666666</v>
      </c>
      <c r="AF306" s="62">
        <v>20.0</v>
      </c>
    </row>
    <row r="307">
      <c r="A307" s="68">
        <v>45957.0</v>
      </c>
      <c r="B307" s="62" t="s">
        <v>26</v>
      </c>
      <c r="C307" s="62" t="s">
        <v>178</v>
      </c>
      <c r="D307" s="62">
        <v>14.0</v>
      </c>
      <c r="E307" s="62">
        <v>17.0</v>
      </c>
      <c r="F307" s="62">
        <v>9.0</v>
      </c>
      <c r="G307" s="62">
        <v>0.0</v>
      </c>
      <c r="H307" s="62">
        <v>16.0</v>
      </c>
      <c r="I307" s="62">
        <v>10.0</v>
      </c>
      <c r="J307" s="62">
        <v>16.0</v>
      </c>
      <c r="K307" s="62">
        <v>2.0</v>
      </c>
      <c r="L307" s="62">
        <v>0.0</v>
      </c>
      <c r="M307" s="62">
        <v>16.0</v>
      </c>
      <c r="N307" s="62">
        <v>19.0</v>
      </c>
      <c r="O307" s="62">
        <v>5.0</v>
      </c>
      <c r="P307" s="62">
        <v>19.0</v>
      </c>
      <c r="Q307" s="62">
        <v>0.0</v>
      </c>
      <c r="R307" s="62">
        <v>27509.0</v>
      </c>
      <c r="S307" s="62">
        <v>37069.0</v>
      </c>
      <c r="T307" s="62">
        <v>2.16944444444444</v>
      </c>
      <c r="U307" s="62">
        <v>1.80388888888888</v>
      </c>
      <c r="V307" s="62">
        <v>0.0</v>
      </c>
      <c r="W307" s="62">
        <v>3.23611111111111</v>
      </c>
      <c r="X307" s="62">
        <v>2.02444444444444</v>
      </c>
      <c r="Y307" s="62">
        <v>3.24583333333333</v>
      </c>
      <c r="Z307" s="62">
        <v>0.386111111111111</v>
      </c>
      <c r="AA307" s="62">
        <v>0.0</v>
      </c>
      <c r="AB307" s="62">
        <v>3.24583333333333</v>
      </c>
      <c r="AC307" s="62">
        <v>3.84027777777777</v>
      </c>
      <c r="AD307" s="62">
        <v>0.975833333333333</v>
      </c>
      <c r="AE307" s="62">
        <v>3.84027777777777</v>
      </c>
      <c r="AF307" s="62">
        <v>11.0</v>
      </c>
    </row>
    <row r="308">
      <c r="A308" s="68">
        <v>45950.0</v>
      </c>
      <c r="B308" s="62" t="s">
        <v>76</v>
      </c>
      <c r="C308" s="62" t="s">
        <v>165</v>
      </c>
      <c r="D308" s="62">
        <v>16.0</v>
      </c>
      <c r="E308" s="62">
        <v>1.0</v>
      </c>
      <c r="F308" s="62">
        <v>12.0</v>
      </c>
      <c r="G308" s="62">
        <v>9.0</v>
      </c>
      <c r="H308" s="62">
        <v>14.0</v>
      </c>
      <c r="I308" s="62">
        <v>5.0</v>
      </c>
      <c r="J308" s="62">
        <v>10.0</v>
      </c>
      <c r="K308" s="62">
        <v>2.0</v>
      </c>
      <c r="L308" s="62">
        <v>2.0</v>
      </c>
      <c r="M308" s="62">
        <v>10.0</v>
      </c>
      <c r="N308" s="62">
        <v>10.0</v>
      </c>
      <c r="O308" s="62">
        <v>5.0</v>
      </c>
      <c r="P308" s="62">
        <v>10.0</v>
      </c>
      <c r="Q308" s="62">
        <v>0.0</v>
      </c>
      <c r="R308" s="62">
        <v>51216.0</v>
      </c>
      <c r="S308" s="62">
        <v>2614.0</v>
      </c>
      <c r="T308" s="62">
        <v>4.05666666666666</v>
      </c>
      <c r="U308" s="62">
        <v>2.86222222222222</v>
      </c>
      <c r="V308" s="62">
        <v>2.11805555555555</v>
      </c>
      <c r="W308" s="62">
        <v>3.3125</v>
      </c>
      <c r="X308" s="62">
        <v>1.19444444444444</v>
      </c>
      <c r="Y308" s="62">
        <v>2.38666666666666</v>
      </c>
      <c r="Z308" s="62">
        <v>0.463888888888888</v>
      </c>
      <c r="AA308" s="62">
        <v>0.463888888888888</v>
      </c>
      <c r="AB308" s="62">
        <v>2.36861111111111</v>
      </c>
      <c r="AC308" s="62">
        <v>2.36861111111111</v>
      </c>
      <c r="AD308" s="62">
        <v>1.25166666666666</v>
      </c>
      <c r="AE308" s="62">
        <v>2.36861111111111</v>
      </c>
      <c r="AF308" s="62">
        <v>17.0</v>
      </c>
    </row>
    <row r="309">
      <c r="A309" s="68">
        <v>45950.0</v>
      </c>
      <c r="B309" s="62" t="s">
        <v>32</v>
      </c>
      <c r="C309" s="62" t="s">
        <v>168</v>
      </c>
      <c r="D309" s="62">
        <v>8.0</v>
      </c>
      <c r="E309" s="62">
        <v>19.0</v>
      </c>
      <c r="F309" s="62">
        <v>9.0</v>
      </c>
      <c r="G309" s="62">
        <v>10.0</v>
      </c>
      <c r="H309" s="62">
        <v>18.0</v>
      </c>
      <c r="I309" s="62">
        <v>8.0</v>
      </c>
      <c r="J309" s="62">
        <v>18.0</v>
      </c>
      <c r="K309" s="62">
        <v>1.0</v>
      </c>
      <c r="L309" s="62">
        <v>0.0</v>
      </c>
      <c r="M309" s="62">
        <v>16.0</v>
      </c>
      <c r="N309" s="62">
        <v>16.0</v>
      </c>
      <c r="O309" s="62">
        <v>6.0</v>
      </c>
      <c r="P309" s="62">
        <v>16.0</v>
      </c>
      <c r="Q309" s="62">
        <v>0.0</v>
      </c>
      <c r="R309" s="62">
        <v>17938.0</v>
      </c>
      <c r="S309" s="62">
        <v>42039.0</v>
      </c>
      <c r="T309" s="62">
        <v>3.11888888888888</v>
      </c>
      <c r="U309" s="62">
        <v>1.99444444444444</v>
      </c>
      <c r="V309" s="62">
        <v>2.2125</v>
      </c>
      <c r="W309" s="62">
        <v>3.93861111111111</v>
      </c>
      <c r="X309" s="62">
        <v>1.72611111111111</v>
      </c>
      <c r="Y309" s="62">
        <v>3.96416666666666</v>
      </c>
      <c r="Z309" s="62">
        <v>0.218333333333333</v>
      </c>
      <c r="AA309" s="62">
        <v>0.0</v>
      </c>
      <c r="AB309" s="62">
        <v>3.49972222222222</v>
      </c>
      <c r="AC309" s="62">
        <v>3.49972222222222</v>
      </c>
      <c r="AD309" s="62">
        <v>1.40194444444444</v>
      </c>
      <c r="AE309" s="62">
        <v>3.49972222222222</v>
      </c>
      <c r="AF309" s="62">
        <v>14.0</v>
      </c>
    </row>
    <row r="310">
      <c r="A310" s="68">
        <v>45950.0</v>
      </c>
      <c r="B310" s="62" t="s">
        <v>56</v>
      </c>
      <c r="C310" s="62" t="s">
        <v>176</v>
      </c>
      <c r="D310" s="62">
        <v>0.0</v>
      </c>
      <c r="E310" s="62">
        <v>0.0</v>
      </c>
      <c r="F310" s="62">
        <v>3.0</v>
      </c>
      <c r="G310" s="62">
        <v>2.0</v>
      </c>
      <c r="H310" s="62">
        <v>10.0</v>
      </c>
      <c r="I310" s="62">
        <v>8.0</v>
      </c>
      <c r="J310" s="62">
        <v>7.0</v>
      </c>
      <c r="K310" s="62">
        <v>0.0</v>
      </c>
      <c r="L310" s="62">
        <v>0.0</v>
      </c>
      <c r="M310" s="62">
        <v>9.0</v>
      </c>
      <c r="N310" s="62">
        <v>9.0</v>
      </c>
      <c r="O310" s="62">
        <v>5.0</v>
      </c>
      <c r="P310" s="62">
        <v>9.0</v>
      </c>
      <c r="Q310" s="62">
        <v>0.0</v>
      </c>
      <c r="R310" s="62">
        <v>0.0</v>
      </c>
      <c r="S310" s="62">
        <v>0.0</v>
      </c>
      <c r="T310" s="62">
        <v>2.465</v>
      </c>
      <c r="U310" s="62">
        <v>0.646944444444444</v>
      </c>
      <c r="V310" s="62">
        <v>0.429166666666666</v>
      </c>
      <c r="W310" s="62">
        <v>2.24722222222222</v>
      </c>
      <c r="X310" s="62">
        <v>1.81805555555555</v>
      </c>
      <c r="Y310" s="62">
        <v>1.56888888888888</v>
      </c>
      <c r="Z310" s="62">
        <v>0.0</v>
      </c>
      <c r="AA310" s="62">
        <v>0.0</v>
      </c>
      <c r="AB310" s="62">
        <v>2.00305555555555</v>
      </c>
      <c r="AC310" s="62">
        <v>2.00305555555555</v>
      </c>
      <c r="AD310" s="62">
        <v>1.18277777777777</v>
      </c>
      <c r="AE310" s="62">
        <v>1.41305555555555</v>
      </c>
      <c r="AF310" s="62">
        <v>11.0</v>
      </c>
    </row>
    <row r="311">
      <c r="A311" s="68">
        <v>45950.0</v>
      </c>
      <c r="B311" s="62" t="s">
        <v>26</v>
      </c>
      <c r="C311" s="62" t="s">
        <v>178</v>
      </c>
      <c r="D311" s="62">
        <v>12.0</v>
      </c>
      <c r="E311" s="62">
        <v>3.0</v>
      </c>
      <c r="F311" s="62">
        <v>0.0</v>
      </c>
      <c r="G311" s="62">
        <v>0.0</v>
      </c>
      <c r="H311" s="62">
        <v>9.0</v>
      </c>
      <c r="I311" s="62">
        <v>5.0</v>
      </c>
      <c r="J311" s="62">
        <v>12.0</v>
      </c>
      <c r="K311" s="62">
        <v>2.0</v>
      </c>
      <c r="L311" s="62">
        <v>0.0</v>
      </c>
      <c r="M311" s="62">
        <v>12.0</v>
      </c>
      <c r="N311" s="62">
        <v>9.0</v>
      </c>
      <c r="O311" s="62">
        <v>6.0</v>
      </c>
      <c r="P311" s="62">
        <v>9.0</v>
      </c>
      <c r="Q311" s="62">
        <v>0.0</v>
      </c>
      <c r="R311" s="62">
        <v>25957.0</v>
      </c>
      <c r="S311" s="62">
        <v>6768.0</v>
      </c>
      <c r="T311" s="62">
        <v>1.65888888888888</v>
      </c>
      <c r="U311" s="62">
        <v>0.0</v>
      </c>
      <c r="V311" s="62">
        <v>0.0</v>
      </c>
      <c r="W311" s="62">
        <v>1.83194444444444</v>
      </c>
      <c r="X311" s="62">
        <v>0.992222222222222</v>
      </c>
      <c r="Y311" s="62">
        <v>2.46222222222222</v>
      </c>
      <c r="Z311" s="62">
        <v>0.431388888888888</v>
      </c>
      <c r="AA311" s="62">
        <v>0.0</v>
      </c>
      <c r="AB311" s="62">
        <v>2.46222222222222</v>
      </c>
      <c r="AC311" s="62">
        <v>1.86777777777777</v>
      </c>
      <c r="AD311" s="62">
        <v>1.19222222222222</v>
      </c>
      <c r="AE311" s="62">
        <v>1.86777777777777</v>
      </c>
      <c r="AF311" s="62">
        <v>8.0</v>
      </c>
    </row>
    <row r="312">
      <c r="A312" s="68">
        <v>45943.0</v>
      </c>
      <c r="B312" s="62" t="s">
        <v>76</v>
      </c>
      <c r="C312" s="62" t="s">
        <v>165</v>
      </c>
      <c r="D312" s="62">
        <v>18.0</v>
      </c>
      <c r="E312" s="62">
        <v>23.0</v>
      </c>
      <c r="F312" s="62">
        <v>9.0</v>
      </c>
      <c r="G312" s="62">
        <v>12.0</v>
      </c>
      <c r="H312" s="62">
        <v>16.0</v>
      </c>
      <c r="I312" s="62">
        <v>4.0</v>
      </c>
      <c r="J312" s="62">
        <v>16.0</v>
      </c>
      <c r="K312" s="62">
        <v>1.0</v>
      </c>
      <c r="L312" s="62">
        <v>1.0</v>
      </c>
      <c r="M312" s="62">
        <v>17.0</v>
      </c>
      <c r="N312" s="62">
        <v>17.0</v>
      </c>
      <c r="O312" s="62">
        <v>6.0</v>
      </c>
      <c r="P312" s="62">
        <v>17.0</v>
      </c>
      <c r="Q312" s="62">
        <v>0.0</v>
      </c>
      <c r="R312" s="62">
        <v>46088.0</v>
      </c>
      <c r="S312" s="62">
        <v>55290.0</v>
      </c>
      <c r="T312" s="62">
        <v>3.13055555555555</v>
      </c>
      <c r="U312" s="62">
        <v>2.17999999999999</v>
      </c>
      <c r="V312" s="62">
        <v>2.94916666666666</v>
      </c>
      <c r="W312" s="62">
        <v>3.89972222222222</v>
      </c>
      <c r="X312" s="62">
        <v>0.950555555555555</v>
      </c>
      <c r="Y312" s="62">
        <v>3.90444444444444</v>
      </c>
      <c r="Z312" s="62">
        <v>0.244444444444444</v>
      </c>
      <c r="AA312" s="62">
        <v>0.244444444444444</v>
      </c>
      <c r="AB312" s="62">
        <v>4.18083333333333</v>
      </c>
      <c r="AC312" s="62">
        <v>4.18083333333333</v>
      </c>
      <c r="AD312" s="62">
        <v>1.58111111111111</v>
      </c>
      <c r="AE312" s="62">
        <v>4.18083333333333</v>
      </c>
      <c r="AF312" s="62">
        <v>13.0</v>
      </c>
    </row>
    <row r="313">
      <c r="A313" s="68">
        <v>45943.0</v>
      </c>
      <c r="B313" s="62" t="s">
        <v>32</v>
      </c>
      <c r="C313" s="62" t="s">
        <v>168</v>
      </c>
      <c r="D313" s="62">
        <v>20.0</v>
      </c>
      <c r="E313" s="62">
        <v>11.0</v>
      </c>
      <c r="F313" s="62">
        <v>13.0</v>
      </c>
      <c r="G313" s="62">
        <v>12.0</v>
      </c>
      <c r="H313" s="62">
        <v>25.0</v>
      </c>
      <c r="I313" s="62">
        <v>13.0</v>
      </c>
      <c r="J313" s="62">
        <v>24.0</v>
      </c>
      <c r="K313" s="62">
        <v>2.0</v>
      </c>
      <c r="L313" s="62">
        <v>2.0</v>
      </c>
      <c r="M313" s="62">
        <v>27.0</v>
      </c>
      <c r="N313" s="62">
        <v>27.0</v>
      </c>
      <c r="O313" s="62">
        <v>6.0</v>
      </c>
      <c r="P313" s="62">
        <v>27.0</v>
      </c>
      <c r="Q313" s="62">
        <v>0.0</v>
      </c>
      <c r="R313" s="62">
        <v>44276.0</v>
      </c>
      <c r="S313" s="62">
        <v>24267.0</v>
      </c>
      <c r="T313" s="62">
        <v>5.06444444444444</v>
      </c>
      <c r="U313" s="62">
        <v>2.63555555555555</v>
      </c>
      <c r="V313" s="62">
        <v>2.48777777777777</v>
      </c>
      <c r="W313" s="62">
        <v>5.15555555555555</v>
      </c>
      <c r="X313" s="62">
        <v>2.66777777777777</v>
      </c>
      <c r="Y313" s="62">
        <v>5.03583333333333</v>
      </c>
      <c r="Z313" s="62">
        <v>0.447222222222222</v>
      </c>
      <c r="AA313" s="62">
        <v>0.448055555555555</v>
      </c>
      <c r="AB313" s="62">
        <v>5.71305555555555</v>
      </c>
      <c r="AC313" s="62">
        <v>5.71305555555555</v>
      </c>
      <c r="AD313" s="62">
        <v>1.32916666666666</v>
      </c>
      <c r="AE313" s="62">
        <v>5.71305555555555</v>
      </c>
      <c r="AF313" s="62">
        <v>25.0</v>
      </c>
    </row>
    <row r="314">
      <c r="A314" s="68">
        <v>45943.0</v>
      </c>
      <c r="B314" s="62" t="s">
        <v>56</v>
      </c>
      <c r="C314" s="62" t="s">
        <v>176</v>
      </c>
      <c r="D314" s="62">
        <v>0.0</v>
      </c>
      <c r="E314" s="62">
        <v>0.0</v>
      </c>
      <c r="F314" s="62">
        <v>12.0</v>
      </c>
      <c r="G314" s="62">
        <v>11.0</v>
      </c>
      <c r="H314" s="62">
        <v>14.0</v>
      </c>
      <c r="I314" s="62">
        <v>3.0</v>
      </c>
      <c r="J314" s="62">
        <v>14.0</v>
      </c>
      <c r="K314" s="62">
        <v>0.0</v>
      </c>
      <c r="L314" s="62">
        <v>0.0</v>
      </c>
      <c r="M314" s="62">
        <v>15.0</v>
      </c>
      <c r="N314" s="62">
        <v>15.0</v>
      </c>
      <c r="O314" s="62">
        <v>6.0</v>
      </c>
      <c r="P314" s="62">
        <v>15.0</v>
      </c>
      <c r="Q314" s="62">
        <v>0.0</v>
      </c>
      <c r="R314" s="62">
        <v>0.0</v>
      </c>
      <c r="S314" s="62">
        <v>0.0</v>
      </c>
      <c r="T314" s="62">
        <v>2.48666666666666</v>
      </c>
      <c r="U314" s="62">
        <v>2.68527777777777</v>
      </c>
      <c r="V314" s="62">
        <v>2.47083333333333</v>
      </c>
      <c r="W314" s="62">
        <v>3.15138888888888</v>
      </c>
      <c r="X314" s="62">
        <v>0.680555555555555</v>
      </c>
      <c r="Y314" s="62">
        <v>3.15111111111111</v>
      </c>
      <c r="Z314" s="62">
        <v>0.0</v>
      </c>
      <c r="AA314" s="62">
        <v>0.0</v>
      </c>
      <c r="AB314" s="62">
        <v>3.43222222222222</v>
      </c>
      <c r="AC314" s="62">
        <v>3.43444444444444</v>
      </c>
      <c r="AD314" s="62">
        <v>1.41916666666666</v>
      </c>
      <c r="AE314" s="62">
        <v>3.18138888888888</v>
      </c>
      <c r="AF314" s="62">
        <v>11.0</v>
      </c>
    </row>
    <row r="315">
      <c r="A315" s="68">
        <v>45943.0</v>
      </c>
      <c r="B315" s="62" t="s">
        <v>26</v>
      </c>
      <c r="C315" s="62" t="s">
        <v>178</v>
      </c>
      <c r="D315" s="62">
        <v>15.0</v>
      </c>
      <c r="E315" s="62">
        <v>25.0</v>
      </c>
      <c r="F315" s="62">
        <v>9.0</v>
      </c>
      <c r="G315" s="62">
        <v>3.0</v>
      </c>
      <c r="H315" s="62">
        <v>12.0</v>
      </c>
      <c r="I315" s="62">
        <v>7.0</v>
      </c>
      <c r="J315" s="62">
        <v>9.0</v>
      </c>
      <c r="K315" s="62">
        <v>0.0</v>
      </c>
      <c r="L315" s="62">
        <v>0.0</v>
      </c>
      <c r="M315" s="62">
        <v>9.0</v>
      </c>
      <c r="N315" s="62">
        <v>11.0</v>
      </c>
      <c r="O315" s="62">
        <v>6.0</v>
      </c>
      <c r="P315" s="62">
        <v>11.0</v>
      </c>
      <c r="Q315" s="62">
        <v>0.0</v>
      </c>
      <c r="R315" s="62">
        <v>30928.0</v>
      </c>
      <c r="S315" s="62">
        <v>55411.0</v>
      </c>
      <c r="T315" s="62">
        <v>4.26305555555555</v>
      </c>
      <c r="U315" s="62">
        <v>1.82333333333333</v>
      </c>
      <c r="V315" s="62">
        <v>0.623333333333333</v>
      </c>
      <c r="W315" s="62">
        <v>2.45916666666666</v>
      </c>
      <c r="X315" s="62">
        <v>1.4475</v>
      </c>
      <c r="Y315" s="62">
        <v>1.86277777777777</v>
      </c>
      <c r="Z315" s="62">
        <v>0.0</v>
      </c>
      <c r="AA315" s="62">
        <v>0.0</v>
      </c>
      <c r="AB315" s="62">
        <v>1.86277777777777</v>
      </c>
      <c r="AC315" s="62">
        <v>2.28694444444444</v>
      </c>
      <c r="AD315" s="62">
        <v>1.1975</v>
      </c>
      <c r="AE315" s="62">
        <v>2.28694444444444</v>
      </c>
      <c r="AF315" s="62">
        <v>21.0</v>
      </c>
    </row>
    <row r="316">
      <c r="A316" s="68">
        <v>45936.0</v>
      </c>
      <c r="B316" s="62" t="s">
        <v>76</v>
      </c>
      <c r="C316" s="62" t="s">
        <v>165</v>
      </c>
      <c r="D316" s="62">
        <v>23.0</v>
      </c>
      <c r="E316" s="62">
        <v>20.0</v>
      </c>
      <c r="F316" s="62">
        <v>12.0</v>
      </c>
      <c r="G316" s="62">
        <v>12.0</v>
      </c>
      <c r="H316" s="62">
        <v>14.0</v>
      </c>
      <c r="I316" s="62">
        <v>2.0</v>
      </c>
      <c r="J316" s="62">
        <v>14.0</v>
      </c>
      <c r="K316" s="62">
        <v>1.0</v>
      </c>
      <c r="L316" s="62">
        <v>1.0</v>
      </c>
      <c r="M316" s="62">
        <v>12.0</v>
      </c>
      <c r="N316" s="62">
        <v>12.0</v>
      </c>
      <c r="O316" s="62">
        <v>7.0</v>
      </c>
      <c r="P316" s="62">
        <v>12.0</v>
      </c>
      <c r="Q316" s="62">
        <v>0.0</v>
      </c>
      <c r="R316" s="62">
        <v>54879.0</v>
      </c>
      <c r="S316" s="62">
        <v>49053.0</v>
      </c>
      <c r="T316" s="62">
        <v>2.52194444444444</v>
      </c>
      <c r="U316" s="62">
        <v>3.02083333333333</v>
      </c>
      <c r="V316" s="62">
        <v>3.03194444444444</v>
      </c>
      <c r="W316" s="62">
        <v>3.53833333333333</v>
      </c>
      <c r="X316" s="62">
        <v>0.506388888888888</v>
      </c>
      <c r="Y316" s="62">
        <v>3.54111111111111</v>
      </c>
      <c r="Z316" s="62">
        <v>0.257777777777777</v>
      </c>
      <c r="AA316" s="62">
        <v>0.257777777777777</v>
      </c>
      <c r="AB316" s="62">
        <v>3.02277777777777</v>
      </c>
      <c r="AC316" s="62">
        <v>3.02277777777777</v>
      </c>
      <c r="AD316" s="62">
        <v>1.78583333333333</v>
      </c>
      <c r="AE316" s="62">
        <v>3.02277777777777</v>
      </c>
      <c r="AF316" s="62">
        <v>10.0</v>
      </c>
    </row>
    <row r="317">
      <c r="A317" s="68">
        <v>45936.0</v>
      </c>
      <c r="B317" s="62" t="s">
        <v>32</v>
      </c>
      <c r="C317" s="62" t="s">
        <v>168</v>
      </c>
      <c r="D317" s="62">
        <v>27.0</v>
      </c>
      <c r="E317" s="62">
        <v>13.0</v>
      </c>
      <c r="F317" s="62">
        <v>7.0</v>
      </c>
      <c r="G317" s="62">
        <v>10.0</v>
      </c>
      <c r="H317" s="62">
        <v>19.0</v>
      </c>
      <c r="I317" s="62">
        <v>9.0</v>
      </c>
      <c r="J317" s="62">
        <v>21.0</v>
      </c>
      <c r="K317" s="62">
        <v>2.0</v>
      </c>
      <c r="L317" s="62">
        <v>1.0</v>
      </c>
      <c r="M317" s="62">
        <v>20.0</v>
      </c>
      <c r="N317" s="62">
        <v>20.0</v>
      </c>
      <c r="O317" s="62">
        <v>7.0</v>
      </c>
      <c r="P317" s="62">
        <v>20.0</v>
      </c>
      <c r="Q317" s="62">
        <v>0.0</v>
      </c>
      <c r="R317" s="62">
        <v>56193.0</v>
      </c>
      <c r="S317" s="62">
        <v>27386.0</v>
      </c>
      <c r="T317" s="62">
        <v>2.14055555555555</v>
      </c>
      <c r="U317" s="62">
        <v>1.50055555555555</v>
      </c>
      <c r="V317" s="62">
        <v>2.10722222222222</v>
      </c>
      <c r="W317" s="62">
        <v>4.04777777777777</v>
      </c>
      <c r="X317" s="62">
        <v>1.94055555555555</v>
      </c>
      <c r="Y317" s="62">
        <v>4.54555555555555</v>
      </c>
      <c r="Z317" s="62">
        <v>0.441111111111111</v>
      </c>
      <c r="AA317" s="62">
        <v>0.215833333333333</v>
      </c>
      <c r="AB317" s="62">
        <v>4.30777777777777</v>
      </c>
      <c r="AC317" s="62">
        <v>4.30777777777777</v>
      </c>
      <c r="AD317" s="62">
        <v>1.49527777777777</v>
      </c>
      <c r="AE317" s="62">
        <v>4.30777777777777</v>
      </c>
      <c r="AF317" s="62">
        <v>10.0</v>
      </c>
    </row>
    <row r="318">
      <c r="A318" s="68">
        <v>45936.0</v>
      </c>
      <c r="B318" s="62" t="s">
        <v>56</v>
      </c>
      <c r="C318" s="62" t="s">
        <v>176</v>
      </c>
      <c r="D318" s="62">
        <v>8.0</v>
      </c>
      <c r="E318" s="62">
        <v>8.0</v>
      </c>
      <c r="F318" s="62">
        <v>5.0</v>
      </c>
      <c r="G318" s="62">
        <v>5.0</v>
      </c>
      <c r="H318" s="62">
        <v>12.0</v>
      </c>
      <c r="I318" s="62">
        <v>7.0</v>
      </c>
      <c r="J318" s="62">
        <v>12.0</v>
      </c>
      <c r="K318" s="62">
        <v>7.0</v>
      </c>
      <c r="L318" s="62">
        <v>6.0</v>
      </c>
      <c r="M318" s="62">
        <v>10.0</v>
      </c>
      <c r="N318" s="62">
        <v>10.0</v>
      </c>
      <c r="O318" s="62">
        <v>1.0</v>
      </c>
      <c r="P318" s="62">
        <v>10.0</v>
      </c>
      <c r="Q318" s="62">
        <v>0.0</v>
      </c>
      <c r="R318" s="62">
        <v>17383.0</v>
      </c>
      <c r="S318" s="62">
        <v>17383.0</v>
      </c>
      <c r="T318" s="62">
        <v>0.879166666666666</v>
      </c>
      <c r="U318" s="62">
        <v>1.19138888888888</v>
      </c>
      <c r="V318" s="62">
        <v>1.18194444444444</v>
      </c>
      <c r="W318" s="62">
        <v>2.83611111111111</v>
      </c>
      <c r="X318" s="62">
        <v>1.65416666666666</v>
      </c>
      <c r="Y318" s="62">
        <v>2.82666666666666</v>
      </c>
      <c r="Z318" s="62">
        <v>1.64027777777777</v>
      </c>
      <c r="AA318" s="62">
        <v>1.41611111111111</v>
      </c>
      <c r="AB318" s="62">
        <v>2.32944444444444</v>
      </c>
      <c r="AC318" s="62">
        <v>2.34138888888888</v>
      </c>
      <c r="AD318" s="62">
        <v>0.223055555555555</v>
      </c>
      <c r="AE318" s="62">
        <v>2.34138888888888</v>
      </c>
      <c r="AF318" s="62">
        <v>4.0</v>
      </c>
    </row>
    <row r="319">
      <c r="A319" s="68">
        <v>45936.0</v>
      </c>
      <c r="B319" s="62" t="s">
        <v>26</v>
      </c>
      <c r="C319" s="62" t="s">
        <v>178</v>
      </c>
      <c r="D319" s="62">
        <v>17.0</v>
      </c>
      <c r="E319" s="62">
        <v>12.0</v>
      </c>
      <c r="F319" s="62">
        <v>4.0</v>
      </c>
      <c r="G319" s="62">
        <v>4.0</v>
      </c>
      <c r="H319" s="62">
        <v>13.0</v>
      </c>
      <c r="I319" s="62">
        <v>9.0</v>
      </c>
      <c r="J319" s="62">
        <v>13.0</v>
      </c>
      <c r="K319" s="62">
        <v>1.0</v>
      </c>
      <c r="L319" s="62">
        <v>0.0</v>
      </c>
      <c r="M319" s="62">
        <v>17.0</v>
      </c>
      <c r="N319" s="62">
        <v>15.0</v>
      </c>
      <c r="O319" s="62">
        <v>5.0</v>
      </c>
      <c r="P319" s="62">
        <v>15.0</v>
      </c>
      <c r="Q319" s="62">
        <v>0.0</v>
      </c>
      <c r="R319" s="62">
        <v>35845.0</v>
      </c>
      <c r="S319" s="62">
        <v>27232.0</v>
      </c>
      <c r="T319" s="62">
        <v>1.87861111111111</v>
      </c>
      <c r="U319" s="62">
        <v>0.705555555555555</v>
      </c>
      <c r="V319" s="62">
        <v>0.722777777777777</v>
      </c>
      <c r="W319" s="62">
        <v>2.49166666666666</v>
      </c>
      <c r="X319" s="62">
        <v>1.76888888888888</v>
      </c>
      <c r="Y319" s="62">
        <v>2.52805555555555</v>
      </c>
      <c r="Z319" s="62">
        <v>0.220833333333333</v>
      </c>
      <c r="AA319" s="62">
        <v>0.0</v>
      </c>
      <c r="AB319" s="62">
        <v>3.30138888888888</v>
      </c>
      <c r="AC319" s="62">
        <v>2.87722222222222</v>
      </c>
      <c r="AD319" s="62">
        <v>1.02888888888888</v>
      </c>
      <c r="AE319" s="62">
        <v>2.87722222222222</v>
      </c>
      <c r="AF319" s="62">
        <v>10.0</v>
      </c>
    </row>
    <row r="320">
      <c r="A320" s="68">
        <v>45929.0</v>
      </c>
      <c r="B320" s="62" t="s">
        <v>76</v>
      </c>
      <c r="C320" s="62" t="s">
        <v>165</v>
      </c>
      <c r="D320" s="62">
        <v>10.0</v>
      </c>
      <c r="E320" s="62">
        <v>4.0</v>
      </c>
      <c r="F320" s="62">
        <v>2.0</v>
      </c>
      <c r="G320" s="62">
        <v>3.0</v>
      </c>
      <c r="H320" s="62">
        <v>3.0</v>
      </c>
      <c r="I320" s="62">
        <v>0.0</v>
      </c>
      <c r="J320" s="62">
        <v>6.0</v>
      </c>
      <c r="K320" s="62">
        <v>0.0</v>
      </c>
      <c r="L320" s="62">
        <v>0.0</v>
      </c>
      <c r="M320" s="62">
        <v>6.0</v>
      </c>
      <c r="N320" s="62">
        <v>6.0</v>
      </c>
      <c r="O320" s="62">
        <v>5.0</v>
      </c>
      <c r="P320" s="62">
        <v>6.0</v>
      </c>
      <c r="Q320" s="62">
        <v>0.0</v>
      </c>
      <c r="R320" s="62">
        <v>25064.0</v>
      </c>
      <c r="S320" s="62">
        <v>9896.0</v>
      </c>
      <c r="T320" s="62">
        <v>1.50611111111111</v>
      </c>
      <c r="U320" s="62">
        <v>0.500833333333333</v>
      </c>
      <c r="V320" s="62">
        <v>0.783611111111111</v>
      </c>
      <c r="W320" s="62">
        <v>0.783611111111111</v>
      </c>
      <c r="X320" s="62">
        <v>0.0</v>
      </c>
      <c r="Y320" s="62">
        <v>1.57666666666666</v>
      </c>
      <c r="Z320" s="62">
        <v>0.0</v>
      </c>
      <c r="AA320" s="62">
        <v>0.0</v>
      </c>
      <c r="AB320" s="62">
        <v>1.57666666666666</v>
      </c>
      <c r="AC320" s="62">
        <v>1.57666666666666</v>
      </c>
      <c r="AD320" s="62">
        <v>1.20638888888888</v>
      </c>
      <c r="AE320" s="62">
        <v>1.57666666666666</v>
      </c>
      <c r="AF320" s="62">
        <v>6.0</v>
      </c>
    </row>
    <row r="321">
      <c r="A321" s="68">
        <v>45929.0</v>
      </c>
      <c r="B321" s="62" t="s">
        <v>32</v>
      </c>
      <c r="C321" s="62" t="s">
        <v>168</v>
      </c>
      <c r="D321" s="62">
        <v>0.0</v>
      </c>
      <c r="E321" s="62">
        <v>9.0</v>
      </c>
      <c r="F321" s="62">
        <v>3.0</v>
      </c>
      <c r="G321" s="62">
        <v>4.0</v>
      </c>
      <c r="H321" s="62">
        <v>7.0</v>
      </c>
      <c r="I321" s="62">
        <v>3.0</v>
      </c>
      <c r="J321" s="62">
        <v>8.0</v>
      </c>
      <c r="K321" s="62">
        <v>3.0</v>
      </c>
      <c r="L321" s="62">
        <v>0.0</v>
      </c>
      <c r="M321" s="62">
        <v>8.0</v>
      </c>
      <c r="N321" s="62">
        <v>8.0</v>
      </c>
      <c r="O321" s="62">
        <v>4.0</v>
      </c>
      <c r="P321" s="62">
        <v>8.0</v>
      </c>
      <c r="Q321" s="62">
        <v>0.0</v>
      </c>
      <c r="R321" s="62">
        <v>0.0</v>
      </c>
      <c r="S321" s="62">
        <v>17608.0</v>
      </c>
      <c r="T321" s="62">
        <v>3.3625</v>
      </c>
      <c r="U321" s="62">
        <v>0.593888888888888</v>
      </c>
      <c r="V321" s="62">
        <v>0.823611111111111</v>
      </c>
      <c r="W321" s="62">
        <v>1.45111111111111</v>
      </c>
      <c r="X321" s="62">
        <v>0.6275</v>
      </c>
      <c r="Y321" s="62">
        <v>1.70222222222222</v>
      </c>
      <c r="Z321" s="62">
        <v>0.596944444444444</v>
      </c>
      <c r="AA321" s="62">
        <v>0.0</v>
      </c>
      <c r="AB321" s="62">
        <v>1.71972222222222</v>
      </c>
      <c r="AC321" s="62">
        <v>1.71972222222222</v>
      </c>
      <c r="AD321" s="62">
        <v>0.794722222222222</v>
      </c>
      <c r="AE321" s="62">
        <v>1.71972222222222</v>
      </c>
      <c r="AF321" s="62">
        <v>16.0</v>
      </c>
    </row>
    <row r="322">
      <c r="A322" s="68">
        <v>45929.0</v>
      </c>
      <c r="B322" s="62" t="s">
        <v>56</v>
      </c>
      <c r="C322" s="62" t="s">
        <v>176</v>
      </c>
      <c r="D322" s="62">
        <v>0.0</v>
      </c>
      <c r="E322" s="62">
        <v>2.0</v>
      </c>
      <c r="F322" s="62">
        <v>0.0</v>
      </c>
      <c r="G322" s="62">
        <v>0.0</v>
      </c>
      <c r="H322" s="62">
        <v>0.0</v>
      </c>
      <c r="I322" s="62">
        <v>0.0</v>
      </c>
      <c r="J322" s="62">
        <v>0.0</v>
      </c>
      <c r="K322" s="62">
        <v>0.0</v>
      </c>
      <c r="L322" s="62">
        <v>0.0</v>
      </c>
      <c r="M322" s="62">
        <v>0.0</v>
      </c>
      <c r="N322" s="62">
        <v>0.0</v>
      </c>
      <c r="O322" s="62">
        <v>0.0</v>
      </c>
      <c r="P322" s="62">
        <v>0.0</v>
      </c>
      <c r="Q322" s="62">
        <v>0.0</v>
      </c>
      <c r="R322" s="62">
        <v>0.0</v>
      </c>
      <c r="S322" s="62">
        <v>4490.0</v>
      </c>
      <c r="T322" s="62">
        <v>2.13333333333333</v>
      </c>
      <c r="U322" s="62">
        <v>0.0</v>
      </c>
      <c r="V322" s="62">
        <v>0.0</v>
      </c>
      <c r="W322" s="62">
        <v>0.0</v>
      </c>
      <c r="X322" s="62">
        <v>0.0</v>
      </c>
      <c r="Y322" s="62">
        <v>0.0</v>
      </c>
      <c r="Z322" s="62">
        <v>0.0</v>
      </c>
      <c r="AA322" s="62">
        <v>0.0</v>
      </c>
      <c r="AB322" s="62">
        <v>0.0</v>
      </c>
      <c r="AC322" s="62">
        <v>0.0</v>
      </c>
      <c r="AD322" s="62">
        <v>0.0</v>
      </c>
      <c r="AE322" s="62">
        <v>0.0</v>
      </c>
      <c r="AF322" s="62">
        <v>9.0</v>
      </c>
    </row>
    <row r="323">
      <c r="A323" s="68">
        <v>45929.0</v>
      </c>
      <c r="B323" s="62" t="s">
        <v>26</v>
      </c>
      <c r="C323" s="62" t="s">
        <v>178</v>
      </c>
      <c r="D323" s="62">
        <v>6.0</v>
      </c>
      <c r="E323" s="62">
        <v>6.0</v>
      </c>
      <c r="F323" s="62">
        <v>3.0</v>
      </c>
      <c r="G323" s="62">
        <v>3.0</v>
      </c>
      <c r="H323" s="62">
        <v>8.0</v>
      </c>
      <c r="I323" s="62">
        <v>5.0</v>
      </c>
      <c r="J323" s="62">
        <v>9.0</v>
      </c>
      <c r="K323" s="62">
        <v>0.0</v>
      </c>
      <c r="L323" s="62">
        <v>0.0</v>
      </c>
      <c r="M323" s="62">
        <v>5.0</v>
      </c>
      <c r="N323" s="62">
        <v>5.0</v>
      </c>
      <c r="O323" s="62">
        <v>3.0</v>
      </c>
      <c r="P323" s="62">
        <v>5.0</v>
      </c>
      <c r="Q323" s="62">
        <v>0.0</v>
      </c>
      <c r="R323" s="62">
        <v>12774.0</v>
      </c>
      <c r="S323" s="62">
        <v>12542.0</v>
      </c>
      <c r="T323" s="62">
        <v>2.05833333333333</v>
      </c>
      <c r="U323" s="62">
        <v>0.531111111111111</v>
      </c>
      <c r="V323" s="62">
        <v>0.541944444444444</v>
      </c>
      <c r="W323" s="62">
        <v>1.47333333333333</v>
      </c>
      <c r="X323" s="62">
        <v>0.931388888888888</v>
      </c>
      <c r="Y323" s="62">
        <v>1.68444444444444</v>
      </c>
      <c r="Z323" s="62">
        <v>0.0</v>
      </c>
      <c r="AA323" s="62">
        <v>0.0</v>
      </c>
      <c r="AB323" s="62">
        <v>0.911111111111111</v>
      </c>
      <c r="AC323" s="62">
        <v>0.911111111111111</v>
      </c>
      <c r="AD323" s="62">
        <v>0.606944444444444</v>
      </c>
      <c r="AE323" s="62">
        <v>0.911111111111111</v>
      </c>
      <c r="AF323" s="62">
        <v>11.0</v>
      </c>
    </row>
    <row r="324">
      <c r="A324" s="68">
        <v>45922.0</v>
      </c>
      <c r="B324" s="62" t="s">
        <v>76</v>
      </c>
      <c r="C324" s="62" t="s">
        <v>165</v>
      </c>
      <c r="D324" s="62">
        <v>25.0</v>
      </c>
      <c r="E324" s="62">
        <v>9.0</v>
      </c>
      <c r="F324" s="62">
        <v>13.0</v>
      </c>
      <c r="G324" s="62">
        <v>15.0</v>
      </c>
      <c r="H324" s="62">
        <v>17.0</v>
      </c>
      <c r="I324" s="62">
        <v>2.0</v>
      </c>
      <c r="J324" s="62">
        <v>15.0</v>
      </c>
      <c r="K324" s="62">
        <v>1.0</v>
      </c>
      <c r="L324" s="62">
        <v>1.0</v>
      </c>
      <c r="M324" s="62">
        <v>15.0</v>
      </c>
      <c r="N324" s="62">
        <v>15.0</v>
      </c>
      <c r="O324" s="62">
        <v>7.0</v>
      </c>
      <c r="P324" s="62">
        <v>15.0</v>
      </c>
      <c r="Q324" s="62">
        <v>0.0</v>
      </c>
      <c r="R324" s="62">
        <v>54697.0</v>
      </c>
      <c r="S324" s="62">
        <v>22345.0</v>
      </c>
      <c r="T324" s="62">
        <v>3.86138888888888</v>
      </c>
      <c r="U324" s="62">
        <v>3.36666666666666</v>
      </c>
      <c r="V324" s="62">
        <v>3.86083333333333</v>
      </c>
      <c r="W324" s="62">
        <v>4.35555555555555</v>
      </c>
      <c r="X324" s="62">
        <v>0.494722222222222</v>
      </c>
      <c r="Y324" s="62">
        <v>3.80666666666666</v>
      </c>
      <c r="Z324" s="62">
        <v>0.260555555555555</v>
      </c>
      <c r="AA324" s="62">
        <v>0.260277777777777</v>
      </c>
      <c r="AB324" s="62">
        <v>3.80638888888888</v>
      </c>
      <c r="AC324" s="62">
        <v>3.80638888888888</v>
      </c>
      <c r="AD324" s="62">
        <v>1.65249999999999</v>
      </c>
      <c r="AE324" s="62">
        <v>3.80638888888888</v>
      </c>
      <c r="AF324" s="62">
        <v>15.0</v>
      </c>
    </row>
    <row r="325">
      <c r="A325" s="68">
        <v>45922.0</v>
      </c>
      <c r="B325" s="62" t="s">
        <v>32</v>
      </c>
      <c r="C325" s="62" t="s">
        <v>168</v>
      </c>
      <c r="D325" s="62">
        <v>15.0</v>
      </c>
      <c r="E325" s="62">
        <v>36.0</v>
      </c>
      <c r="F325" s="62">
        <v>9.0</v>
      </c>
      <c r="G325" s="62">
        <v>3.0</v>
      </c>
      <c r="H325" s="62">
        <v>12.0</v>
      </c>
      <c r="I325" s="62">
        <v>4.0</v>
      </c>
      <c r="J325" s="62">
        <v>13.0</v>
      </c>
      <c r="K325" s="62">
        <v>4.0</v>
      </c>
      <c r="L325" s="62">
        <v>0.0</v>
      </c>
      <c r="M325" s="62">
        <v>12.0</v>
      </c>
      <c r="N325" s="62">
        <v>12.0</v>
      </c>
      <c r="O325" s="62">
        <v>6.0</v>
      </c>
      <c r="P325" s="62">
        <v>12.0</v>
      </c>
      <c r="Q325" s="62">
        <v>0.0</v>
      </c>
      <c r="R325" s="62">
        <v>29195.0</v>
      </c>
      <c r="S325" s="62">
        <v>76804.0</v>
      </c>
      <c r="T325" s="62">
        <v>2.75972222222222</v>
      </c>
      <c r="U325" s="62">
        <v>1.91527777777777</v>
      </c>
      <c r="V325" s="62">
        <v>0.690277777777777</v>
      </c>
      <c r="W325" s="62">
        <v>2.61777777777777</v>
      </c>
      <c r="X325" s="62">
        <v>0.844444444444444</v>
      </c>
      <c r="Y325" s="62">
        <v>2.82611111111111</v>
      </c>
      <c r="Z325" s="62">
        <v>0.863888888888888</v>
      </c>
      <c r="AA325" s="62">
        <v>0.0</v>
      </c>
      <c r="AB325" s="62">
        <v>2.57888888888888</v>
      </c>
      <c r="AC325" s="62">
        <v>2.57888888888888</v>
      </c>
      <c r="AD325" s="62">
        <v>1.28083333333333</v>
      </c>
      <c r="AE325" s="62">
        <v>2.57888888888888</v>
      </c>
      <c r="AF325" s="62">
        <v>13.0</v>
      </c>
    </row>
    <row r="326">
      <c r="A326" s="68">
        <v>45922.0</v>
      </c>
      <c r="B326" s="62" t="s">
        <v>56</v>
      </c>
      <c r="C326" s="62" t="s">
        <v>176</v>
      </c>
      <c r="D326" s="62">
        <v>7.0</v>
      </c>
      <c r="E326" s="62">
        <v>5.0</v>
      </c>
      <c r="F326" s="62">
        <v>0.0</v>
      </c>
      <c r="G326" s="62">
        <v>0.0</v>
      </c>
      <c r="H326" s="62">
        <v>0.0</v>
      </c>
      <c r="I326" s="62">
        <v>0.0</v>
      </c>
      <c r="J326" s="62">
        <v>0.0</v>
      </c>
      <c r="K326" s="62">
        <v>0.0</v>
      </c>
      <c r="L326" s="62">
        <v>0.0</v>
      </c>
      <c r="M326" s="62">
        <v>0.0</v>
      </c>
      <c r="N326" s="62">
        <v>0.0</v>
      </c>
      <c r="O326" s="62">
        <v>0.0</v>
      </c>
      <c r="P326" s="62">
        <v>0.0</v>
      </c>
      <c r="Q326" s="62">
        <v>0.0</v>
      </c>
      <c r="R326" s="62">
        <v>15414.0</v>
      </c>
      <c r="S326" s="62">
        <v>10924.0</v>
      </c>
      <c r="T326" s="62">
        <v>0.712222222222222</v>
      </c>
      <c r="U326" s="62">
        <v>0.0</v>
      </c>
      <c r="V326" s="62">
        <v>0.0</v>
      </c>
      <c r="W326" s="62">
        <v>0.0</v>
      </c>
      <c r="X326" s="62">
        <v>0.0</v>
      </c>
      <c r="Y326" s="62">
        <v>0.0</v>
      </c>
      <c r="Z326" s="62">
        <v>0.0</v>
      </c>
      <c r="AA326" s="62">
        <v>0.0</v>
      </c>
      <c r="AB326" s="62">
        <v>0.0</v>
      </c>
      <c r="AC326" s="62">
        <v>0.0</v>
      </c>
      <c r="AD326" s="62">
        <v>0.0</v>
      </c>
      <c r="AE326" s="62">
        <v>0.0</v>
      </c>
      <c r="AF326" s="62">
        <v>3.0</v>
      </c>
    </row>
    <row r="327">
      <c r="A327" s="68">
        <v>45922.0</v>
      </c>
      <c r="B327" s="62" t="s">
        <v>26</v>
      </c>
      <c r="C327" s="62" t="s">
        <v>178</v>
      </c>
      <c r="D327" s="62">
        <v>15.0</v>
      </c>
      <c r="E327" s="62">
        <v>10.0</v>
      </c>
      <c r="F327" s="62">
        <v>11.0</v>
      </c>
      <c r="G327" s="62">
        <v>11.0</v>
      </c>
      <c r="H327" s="62">
        <v>15.0</v>
      </c>
      <c r="I327" s="62">
        <v>4.0</v>
      </c>
      <c r="J327" s="62">
        <v>15.0</v>
      </c>
      <c r="K327" s="62">
        <v>4.0</v>
      </c>
      <c r="L327" s="62">
        <v>4.0</v>
      </c>
      <c r="M327" s="62">
        <v>16.0</v>
      </c>
      <c r="N327" s="62">
        <v>16.0</v>
      </c>
      <c r="O327" s="62">
        <v>6.0</v>
      </c>
      <c r="P327" s="62">
        <v>16.0</v>
      </c>
      <c r="Q327" s="62">
        <v>0.0</v>
      </c>
      <c r="R327" s="62">
        <v>32882.0</v>
      </c>
      <c r="S327" s="62">
        <v>20307.0</v>
      </c>
      <c r="T327" s="62">
        <v>3.05055555555555</v>
      </c>
      <c r="U327" s="62">
        <v>2.21972222222222</v>
      </c>
      <c r="V327" s="62">
        <v>2.26083333333333</v>
      </c>
      <c r="W327" s="62">
        <v>3.09388888888888</v>
      </c>
      <c r="X327" s="62">
        <v>0.833055555555555</v>
      </c>
      <c r="Y327" s="62">
        <v>3.08888888888888</v>
      </c>
      <c r="Z327" s="62">
        <v>0.786388888888888</v>
      </c>
      <c r="AA327" s="62">
        <v>0.786388888888888</v>
      </c>
      <c r="AB327" s="62">
        <v>3.28138888888888</v>
      </c>
      <c r="AC327" s="62">
        <v>3.28138888888888</v>
      </c>
      <c r="AD327" s="62">
        <v>1.12027777777777</v>
      </c>
      <c r="AE327" s="62">
        <v>3.28138888888888</v>
      </c>
      <c r="AF327" s="62">
        <v>15.0</v>
      </c>
    </row>
    <row r="328">
      <c r="A328" s="68">
        <v>45915.0</v>
      </c>
      <c r="B328" s="62" t="s">
        <v>76</v>
      </c>
      <c r="C328" s="62" t="s">
        <v>165</v>
      </c>
      <c r="D328" s="62">
        <v>25.0</v>
      </c>
      <c r="E328" s="62">
        <v>15.0</v>
      </c>
      <c r="F328" s="62">
        <v>16.0</v>
      </c>
      <c r="G328" s="62">
        <v>5.0</v>
      </c>
      <c r="H328" s="62">
        <v>16.0</v>
      </c>
      <c r="I328" s="62">
        <v>6.0</v>
      </c>
      <c r="J328" s="62">
        <v>15.0</v>
      </c>
      <c r="K328" s="62">
        <v>0.0</v>
      </c>
      <c r="L328" s="62">
        <v>0.0</v>
      </c>
      <c r="M328" s="62">
        <v>15.0</v>
      </c>
      <c r="N328" s="62">
        <v>15.0</v>
      </c>
      <c r="O328" s="62">
        <v>4.0</v>
      </c>
      <c r="P328" s="62">
        <v>15.0</v>
      </c>
      <c r="Q328" s="62">
        <v>0.0</v>
      </c>
      <c r="R328" s="62">
        <v>59431.0</v>
      </c>
      <c r="S328" s="62">
        <v>36228.0</v>
      </c>
      <c r="T328" s="62">
        <v>3.1375</v>
      </c>
      <c r="U328" s="62">
        <v>3.79694444444444</v>
      </c>
      <c r="V328" s="62">
        <v>1.18361111111111</v>
      </c>
      <c r="W328" s="62">
        <v>3.80305555555555</v>
      </c>
      <c r="X328" s="62">
        <v>1.47083333333333</v>
      </c>
      <c r="Y328" s="62">
        <v>3.575</v>
      </c>
      <c r="Z328" s="62">
        <v>0.0</v>
      </c>
      <c r="AA328" s="62">
        <v>0.0</v>
      </c>
      <c r="AB328" s="62">
        <v>3.575</v>
      </c>
      <c r="AC328" s="62">
        <v>3.575</v>
      </c>
      <c r="AD328" s="62">
        <v>0.978888888888888</v>
      </c>
      <c r="AE328" s="62">
        <v>3.575</v>
      </c>
      <c r="AF328" s="62">
        <v>13.0</v>
      </c>
    </row>
    <row r="329">
      <c r="A329" s="68">
        <v>45915.0</v>
      </c>
      <c r="B329" s="62" t="s">
        <v>32</v>
      </c>
      <c r="C329" s="62" t="s">
        <v>168</v>
      </c>
      <c r="D329" s="62">
        <v>15.0</v>
      </c>
      <c r="E329" s="62">
        <v>13.0</v>
      </c>
      <c r="F329" s="62">
        <v>11.0</v>
      </c>
      <c r="G329" s="62">
        <v>0.0</v>
      </c>
      <c r="H329" s="62">
        <v>16.0</v>
      </c>
      <c r="I329" s="62">
        <v>7.0</v>
      </c>
      <c r="J329" s="62">
        <v>17.0</v>
      </c>
      <c r="K329" s="62">
        <v>5.0</v>
      </c>
      <c r="L329" s="62">
        <v>0.0</v>
      </c>
      <c r="M329" s="62">
        <v>17.0</v>
      </c>
      <c r="N329" s="62">
        <v>17.0</v>
      </c>
      <c r="O329" s="62">
        <v>5.0</v>
      </c>
      <c r="P329" s="62">
        <v>17.0</v>
      </c>
      <c r="Q329" s="62">
        <v>0.0</v>
      </c>
      <c r="R329" s="62">
        <v>32872.0</v>
      </c>
      <c r="S329" s="62">
        <v>28015.0</v>
      </c>
      <c r="T329" s="62">
        <v>3.80916666666666</v>
      </c>
      <c r="U329" s="62">
        <v>2.30027777777777</v>
      </c>
      <c r="V329" s="62">
        <v>0.0</v>
      </c>
      <c r="W329" s="62">
        <v>3.38027777777777</v>
      </c>
      <c r="X329" s="62">
        <v>1.50888888888888</v>
      </c>
      <c r="Y329" s="62">
        <v>3.61222222222222</v>
      </c>
      <c r="Z329" s="62">
        <v>1.07472222222222</v>
      </c>
      <c r="AA329" s="62">
        <v>0.0</v>
      </c>
      <c r="AB329" s="62">
        <v>3.625</v>
      </c>
      <c r="AC329" s="62">
        <v>3.625</v>
      </c>
      <c r="AD329" s="62">
        <v>0.976388888888888</v>
      </c>
      <c r="AE329" s="62">
        <v>3.625</v>
      </c>
      <c r="AF329" s="62">
        <v>18.0</v>
      </c>
    </row>
    <row r="330">
      <c r="A330" s="68">
        <v>45915.0</v>
      </c>
      <c r="B330" s="62" t="s">
        <v>56</v>
      </c>
      <c r="C330" s="62" t="s">
        <v>176</v>
      </c>
      <c r="D330" s="62">
        <v>5.0</v>
      </c>
      <c r="E330" s="62">
        <v>5.0</v>
      </c>
      <c r="F330" s="62">
        <v>0.0</v>
      </c>
      <c r="G330" s="62">
        <v>0.0</v>
      </c>
      <c r="H330" s="62">
        <v>0.0</v>
      </c>
      <c r="I330" s="62">
        <v>0.0</v>
      </c>
      <c r="J330" s="62">
        <v>0.0</v>
      </c>
      <c r="K330" s="62">
        <v>0.0</v>
      </c>
      <c r="L330" s="62">
        <v>0.0</v>
      </c>
      <c r="M330" s="62">
        <v>0.0</v>
      </c>
      <c r="N330" s="62">
        <v>0.0</v>
      </c>
      <c r="O330" s="62">
        <v>0.0</v>
      </c>
      <c r="P330" s="62">
        <v>0.0</v>
      </c>
      <c r="Q330" s="62">
        <v>0.0</v>
      </c>
      <c r="R330" s="62">
        <v>10934.0</v>
      </c>
      <c r="S330" s="62">
        <v>10934.0</v>
      </c>
      <c r="T330" s="62">
        <v>0.0</v>
      </c>
      <c r="U330" s="62">
        <v>0.0</v>
      </c>
      <c r="V330" s="62">
        <v>0.0</v>
      </c>
      <c r="W330" s="62">
        <v>0.0</v>
      </c>
      <c r="X330" s="62">
        <v>0.0</v>
      </c>
      <c r="Y330" s="62">
        <v>0.0</v>
      </c>
      <c r="Z330" s="62">
        <v>0.0</v>
      </c>
      <c r="AA330" s="62">
        <v>0.0</v>
      </c>
      <c r="AB330" s="62">
        <v>0.0</v>
      </c>
      <c r="AC330" s="62">
        <v>0.0</v>
      </c>
      <c r="AD330" s="62">
        <v>0.0</v>
      </c>
      <c r="AE330" s="62">
        <v>0.0</v>
      </c>
      <c r="AF330" s="62">
        <v>0.0</v>
      </c>
    </row>
    <row r="331">
      <c r="A331" s="68">
        <v>45915.0</v>
      </c>
      <c r="B331" s="62" t="s">
        <v>26</v>
      </c>
      <c r="C331" s="62" t="s">
        <v>178</v>
      </c>
      <c r="D331" s="62">
        <v>15.0</v>
      </c>
      <c r="E331" s="62">
        <v>15.0</v>
      </c>
      <c r="F331" s="62">
        <v>12.0</v>
      </c>
      <c r="G331" s="62">
        <v>12.0</v>
      </c>
      <c r="H331" s="62">
        <v>17.0</v>
      </c>
      <c r="I331" s="62">
        <v>5.0</v>
      </c>
      <c r="J331" s="62">
        <v>16.0</v>
      </c>
      <c r="K331" s="62">
        <v>9.0</v>
      </c>
      <c r="L331" s="62">
        <v>3.0</v>
      </c>
      <c r="M331" s="62">
        <v>19.0</v>
      </c>
      <c r="N331" s="62">
        <v>23.0</v>
      </c>
      <c r="O331" s="62">
        <v>5.0</v>
      </c>
      <c r="P331" s="62">
        <v>23.0</v>
      </c>
      <c r="Q331" s="62">
        <v>0.0</v>
      </c>
      <c r="R331" s="62">
        <v>32877.0</v>
      </c>
      <c r="S331" s="62">
        <v>33254.0</v>
      </c>
      <c r="T331" s="62">
        <v>3.07777777777777</v>
      </c>
      <c r="U331" s="62">
        <v>2.31972222222222</v>
      </c>
      <c r="V331" s="62">
        <v>2.36694444444444</v>
      </c>
      <c r="W331" s="62">
        <v>3.335</v>
      </c>
      <c r="X331" s="62">
        <v>0.968055555555555</v>
      </c>
      <c r="Y331" s="62">
        <v>3.15666666666666</v>
      </c>
      <c r="Z331" s="62">
        <v>1.74638888888888</v>
      </c>
      <c r="AA331" s="62">
        <v>0.556944444444444</v>
      </c>
      <c r="AB331" s="62">
        <v>3.72194444444444</v>
      </c>
      <c r="AC331" s="62">
        <v>4.51305555555555</v>
      </c>
      <c r="AD331" s="62">
        <v>1.00111111111111</v>
      </c>
      <c r="AE331" s="62">
        <v>4.51305555555555</v>
      </c>
      <c r="AF331" s="62">
        <v>16.0</v>
      </c>
    </row>
    <row r="332">
      <c r="A332" s="68">
        <v>45908.0</v>
      </c>
      <c r="B332" s="62" t="s">
        <v>76</v>
      </c>
      <c r="C332" s="62" t="s">
        <v>165</v>
      </c>
      <c r="D332" s="62">
        <v>268.0</v>
      </c>
      <c r="E332" s="62">
        <v>172.0</v>
      </c>
      <c r="F332" s="62">
        <v>0.0</v>
      </c>
      <c r="G332" s="62">
        <v>0.0</v>
      </c>
      <c r="H332" s="62">
        <v>0.0</v>
      </c>
      <c r="I332" s="62">
        <v>0.0</v>
      </c>
      <c r="J332" s="62">
        <v>0.0</v>
      </c>
      <c r="K332" s="62">
        <v>0.0</v>
      </c>
      <c r="L332" s="62">
        <v>0.0</v>
      </c>
      <c r="M332" s="62">
        <v>0.0</v>
      </c>
      <c r="N332" s="62">
        <v>13.0</v>
      </c>
      <c r="O332" s="62">
        <v>13.0</v>
      </c>
      <c r="P332" s="62">
        <v>157.0</v>
      </c>
      <c r="Q332" s="62">
        <v>0.0</v>
      </c>
      <c r="R332" s="62">
        <v>442346.0</v>
      </c>
      <c r="S332" s="62">
        <v>367202.0</v>
      </c>
      <c r="T332" s="62">
        <v>3.14138888888888</v>
      </c>
      <c r="U332" s="62">
        <v>0.0</v>
      </c>
      <c r="V332" s="62">
        <v>0.0</v>
      </c>
      <c r="W332" s="62">
        <v>0.0</v>
      </c>
      <c r="X332" s="62">
        <v>0.0</v>
      </c>
      <c r="Y332" s="62">
        <v>0.0</v>
      </c>
      <c r="Z332" s="62">
        <v>0.0</v>
      </c>
      <c r="AA332" s="62">
        <v>0.0</v>
      </c>
      <c r="AB332" s="62">
        <v>0.0</v>
      </c>
      <c r="AC332" s="62">
        <v>3.15333333333333</v>
      </c>
      <c r="AD332" s="62">
        <v>3.15333333333333</v>
      </c>
      <c r="AE332" s="62">
        <v>37.4366666666666</v>
      </c>
      <c r="AF332" s="62">
        <v>13.0</v>
      </c>
    </row>
    <row r="333">
      <c r="A333" s="68">
        <v>45908.0</v>
      </c>
      <c r="B333" s="62" t="s">
        <v>32</v>
      </c>
      <c r="C333" s="62" t="s">
        <v>168</v>
      </c>
      <c r="D333" s="62">
        <v>15.0</v>
      </c>
      <c r="E333" s="62">
        <v>15.0</v>
      </c>
      <c r="F333" s="62">
        <v>6.0</v>
      </c>
      <c r="G333" s="62">
        <v>0.0</v>
      </c>
      <c r="H333" s="62">
        <v>17.0</v>
      </c>
      <c r="I333" s="62">
        <v>7.0</v>
      </c>
      <c r="J333" s="62">
        <v>14.0</v>
      </c>
      <c r="K333" s="62">
        <v>13.0</v>
      </c>
      <c r="L333" s="62">
        <v>0.0</v>
      </c>
      <c r="M333" s="62">
        <v>14.0</v>
      </c>
      <c r="N333" s="62">
        <v>16.0</v>
      </c>
      <c r="O333" s="62">
        <v>7.0</v>
      </c>
      <c r="P333" s="62">
        <v>16.0</v>
      </c>
      <c r="Q333" s="62">
        <v>0.0</v>
      </c>
      <c r="R333" s="62">
        <v>33170.0</v>
      </c>
      <c r="S333" s="62">
        <v>32256.0</v>
      </c>
      <c r="T333" s="62">
        <v>2.64222222222222</v>
      </c>
      <c r="U333" s="62">
        <v>1.31416666666666</v>
      </c>
      <c r="V333" s="62">
        <v>0.0</v>
      </c>
      <c r="W333" s="62">
        <v>3.86361111111111</v>
      </c>
      <c r="X333" s="62">
        <v>1.55583333333333</v>
      </c>
      <c r="Y333" s="62">
        <v>3.22555555555555</v>
      </c>
      <c r="Z333" s="62">
        <v>2.98027777777777</v>
      </c>
      <c r="AA333" s="62">
        <v>0.0</v>
      </c>
      <c r="AB333" s="62">
        <v>3.23694444444444</v>
      </c>
      <c r="AC333" s="62">
        <v>3.71583333333333</v>
      </c>
      <c r="AD333" s="62">
        <v>1.46277777777777</v>
      </c>
      <c r="AE333" s="62">
        <v>3.71583333333333</v>
      </c>
      <c r="AF333" s="62">
        <v>12.0</v>
      </c>
    </row>
    <row r="334">
      <c r="A334" s="68">
        <v>45908.0</v>
      </c>
      <c r="B334" s="62" t="s">
        <v>26</v>
      </c>
      <c r="C334" s="62" t="s">
        <v>178</v>
      </c>
      <c r="D334" s="62">
        <v>17.0</v>
      </c>
      <c r="E334" s="62">
        <v>17.0</v>
      </c>
      <c r="F334" s="62">
        <v>13.0</v>
      </c>
      <c r="G334" s="62">
        <v>12.0</v>
      </c>
      <c r="H334" s="62">
        <v>13.0</v>
      </c>
      <c r="I334" s="62">
        <v>3.0</v>
      </c>
      <c r="J334" s="62">
        <v>14.0</v>
      </c>
      <c r="K334" s="62">
        <v>3.0</v>
      </c>
      <c r="L334" s="62">
        <v>1.0</v>
      </c>
      <c r="M334" s="62">
        <v>11.0</v>
      </c>
      <c r="N334" s="62">
        <v>12.0</v>
      </c>
      <c r="O334" s="62">
        <v>6.0</v>
      </c>
      <c r="P334" s="62">
        <v>12.0</v>
      </c>
      <c r="Q334" s="62">
        <v>0.0</v>
      </c>
      <c r="R334" s="62">
        <v>38258.0</v>
      </c>
      <c r="S334" s="62">
        <v>37102.0</v>
      </c>
      <c r="T334" s="62">
        <v>3.14583333333333</v>
      </c>
      <c r="U334" s="62">
        <v>2.53888888888888</v>
      </c>
      <c r="V334" s="62">
        <v>2.35638888888888</v>
      </c>
      <c r="W334" s="62">
        <v>2.54</v>
      </c>
      <c r="X334" s="62">
        <v>0.557777777777777</v>
      </c>
      <c r="Y334" s="62">
        <v>2.74361111111111</v>
      </c>
      <c r="Z334" s="62">
        <v>0.574444444444444</v>
      </c>
      <c r="AA334" s="62">
        <v>0.186111111111111</v>
      </c>
      <c r="AB334" s="62">
        <v>2.18083333333333</v>
      </c>
      <c r="AC334" s="62">
        <v>2.3925</v>
      </c>
      <c r="AD334" s="62">
        <v>1.29083333333333</v>
      </c>
      <c r="AE334" s="62">
        <v>2.3925</v>
      </c>
      <c r="AF334" s="62">
        <v>16.0</v>
      </c>
    </row>
    <row r="335">
      <c r="A335" s="68">
        <v>45901.0</v>
      </c>
      <c r="B335" s="62" t="s">
        <v>32</v>
      </c>
      <c r="C335" s="62" t="s">
        <v>168</v>
      </c>
      <c r="D335" s="62">
        <v>17.0</v>
      </c>
      <c r="E335" s="62">
        <v>11.0</v>
      </c>
      <c r="F335" s="62">
        <v>13.0</v>
      </c>
      <c r="G335" s="62">
        <v>1.0</v>
      </c>
      <c r="H335" s="62">
        <v>14.0</v>
      </c>
      <c r="I335" s="62">
        <v>4.0</v>
      </c>
      <c r="J335" s="62">
        <v>14.0</v>
      </c>
      <c r="K335" s="62">
        <v>10.0</v>
      </c>
      <c r="L335" s="62">
        <v>0.0</v>
      </c>
      <c r="M335" s="62">
        <v>13.0</v>
      </c>
      <c r="N335" s="62">
        <v>13.0</v>
      </c>
      <c r="O335" s="62">
        <v>5.0</v>
      </c>
      <c r="P335" s="62">
        <v>13.0</v>
      </c>
      <c r="Q335" s="62">
        <v>0.0</v>
      </c>
      <c r="R335" s="62">
        <v>35367.0</v>
      </c>
      <c r="S335" s="62">
        <v>25332.0</v>
      </c>
      <c r="T335" s="62">
        <v>3.96888888888888</v>
      </c>
      <c r="U335" s="62">
        <v>3.02861111111111</v>
      </c>
      <c r="V335" s="62">
        <v>0.220277777777777</v>
      </c>
      <c r="W335" s="62">
        <v>3.20888888888888</v>
      </c>
      <c r="X335" s="62">
        <v>0.940277777777777</v>
      </c>
      <c r="Y335" s="62">
        <v>3.17</v>
      </c>
      <c r="Z335" s="62">
        <v>2.25305555555555</v>
      </c>
      <c r="AA335" s="62">
        <v>0.0</v>
      </c>
      <c r="AB335" s="62">
        <v>2.93694444444444</v>
      </c>
      <c r="AC335" s="62">
        <v>2.9025</v>
      </c>
      <c r="AD335" s="62">
        <v>1.10583333333333</v>
      </c>
      <c r="AE335" s="62">
        <v>2.9025</v>
      </c>
      <c r="AF335" s="62">
        <v>17.0</v>
      </c>
    </row>
    <row r="336">
      <c r="A336" s="68">
        <v>45901.0</v>
      </c>
      <c r="B336" s="62" t="s">
        <v>26</v>
      </c>
      <c r="C336" s="62" t="s">
        <v>178</v>
      </c>
      <c r="D336" s="62">
        <v>14.0</v>
      </c>
      <c r="E336" s="62">
        <v>18.0</v>
      </c>
      <c r="F336" s="62">
        <v>14.0</v>
      </c>
      <c r="G336" s="62">
        <v>14.0</v>
      </c>
      <c r="H336" s="62">
        <v>17.0</v>
      </c>
      <c r="I336" s="62">
        <v>3.0</v>
      </c>
      <c r="J336" s="62">
        <v>16.0</v>
      </c>
      <c r="K336" s="62">
        <v>7.0</v>
      </c>
      <c r="L336" s="62">
        <v>4.0</v>
      </c>
      <c r="M336" s="62">
        <v>15.0</v>
      </c>
      <c r="N336" s="62">
        <v>10.0</v>
      </c>
      <c r="O336" s="62">
        <v>7.0</v>
      </c>
      <c r="P336" s="62">
        <v>10.0</v>
      </c>
      <c r="Q336" s="62">
        <v>0.0</v>
      </c>
      <c r="R336" s="62">
        <v>31735.0</v>
      </c>
      <c r="S336" s="62">
        <v>38144.0</v>
      </c>
      <c r="T336" s="62">
        <v>2.67638888888888</v>
      </c>
      <c r="U336" s="62">
        <v>2.93472222222222</v>
      </c>
      <c r="V336" s="62">
        <v>2.9425</v>
      </c>
      <c r="W336" s="62">
        <v>3.50805555555555</v>
      </c>
      <c r="X336" s="62">
        <v>0.565555555555555</v>
      </c>
      <c r="Y336" s="62">
        <v>3.31888888888888</v>
      </c>
      <c r="Z336" s="62">
        <v>1.47416666666666</v>
      </c>
      <c r="AA336" s="62">
        <v>0.823055555555555</v>
      </c>
      <c r="AB336" s="62">
        <v>3.13277777777777</v>
      </c>
      <c r="AC336" s="62">
        <v>2.12055555555555</v>
      </c>
      <c r="AD336" s="62">
        <v>1.55083333333333</v>
      </c>
      <c r="AE336" s="62">
        <v>2.12055555555555</v>
      </c>
      <c r="AF336" s="62">
        <v>13.0</v>
      </c>
    </row>
    <row r="337">
      <c r="A337" s="68">
        <v>45894.0</v>
      </c>
      <c r="B337" s="62" t="s">
        <v>32</v>
      </c>
      <c r="C337" s="62" t="s">
        <v>168</v>
      </c>
      <c r="D337" s="62">
        <v>27.0</v>
      </c>
      <c r="E337" s="62">
        <v>24.0</v>
      </c>
      <c r="F337" s="62">
        <v>6.0</v>
      </c>
      <c r="G337" s="62">
        <v>0.0</v>
      </c>
      <c r="H337" s="62">
        <v>13.0</v>
      </c>
      <c r="I337" s="62">
        <v>10.0</v>
      </c>
      <c r="J337" s="62">
        <v>14.0</v>
      </c>
      <c r="K337" s="62">
        <v>6.0</v>
      </c>
      <c r="L337" s="62">
        <v>0.0</v>
      </c>
      <c r="M337" s="62">
        <v>15.0</v>
      </c>
      <c r="N337" s="62">
        <v>13.0</v>
      </c>
      <c r="O337" s="62">
        <v>7.0</v>
      </c>
      <c r="P337" s="62">
        <v>13.0</v>
      </c>
      <c r="Q337" s="62">
        <v>0.0</v>
      </c>
      <c r="R337" s="62">
        <v>61456.0</v>
      </c>
      <c r="S337" s="62">
        <v>53139.0</v>
      </c>
      <c r="T337" s="62">
        <v>2.14666666666666</v>
      </c>
      <c r="U337" s="62">
        <v>1.30638888888888</v>
      </c>
      <c r="V337" s="62">
        <v>0.0</v>
      </c>
      <c r="W337" s="62">
        <v>2.70416666666666</v>
      </c>
      <c r="X337" s="62">
        <v>2.06305555555555</v>
      </c>
      <c r="Y337" s="62">
        <v>2.88944444444444</v>
      </c>
      <c r="Z337" s="62">
        <v>1.25416666666666</v>
      </c>
      <c r="AA337" s="62">
        <v>0.0</v>
      </c>
      <c r="AB337" s="62">
        <v>3.09666666666666</v>
      </c>
      <c r="AC337" s="62">
        <v>2.65222222222222</v>
      </c>
      <c r="AD337" s="62">
        <v>1.48333333333333</v>
      </c>
      <c r="AE337" s="62">
        <v>2.65222222222222</v>
      </c>
      <c r="AF337" s="62">
        <v>10.0</v>
      </c>
    </row>
    <row r="338">
      <c r="A338" s="68">
        <v>45894.0</v>
      </c>
      <c r="B338" s="62" t="s">
        <v>26</v>
      </c>
      <c r="C338" s="62" t="s">
        <v>178</v>
      </c>
      <c r="D338" s="62">
        <v>10.0</v>
      </c>
      <c r="E338" s="62">
        <v>7.0</v>
      </c>
      <c r="F338" s="62">
        <v>5.0</v>
      </c>
      <c r="G338" s="62">
        <v>12.0</v>
      </c>
      <c r="H338" s="62">
        <v>13.0</v>
      </c>
      <c r="I338" s="62">
        <v>1.0</v>
      </c>
      <c r="J338" s="62">
        <v>13.0</v>
      </c>
      <c r="K338" s="62">
        <v>5.0</v>
      </c>
      <c r="L338" s="62">
        <v>8.0</v>
      </c>
      <c r="M338" s="62">
        <v>16.0</v>
      </c>
      <c r="N338" s="62">
        <v>18.0</v>
      </c>
      <c r="O338" s="62">
        <v>6.0</v>
      </c>
      <c r="P338" s="62">
        <v>18.0</v>
      </c>
      <c r="Q338" s="62">
        <v>0.0</v>
      </c>
      <c r="R338" s="62">
        <v>22179.0</v>
      </c>
      <c r="S338" s="62">
        <v>17264.0</v>
      </c>
      <c r="T338" s="62">
        <v>1.37888888888888</v>
      </c>
      <c r="U338" s="62">
        <v>0.953611111111111</v>
      </c>
      <c r="V338" s="62">
        <v>2.31</v>
      </c>
      <c r="W338" s="62">
        <v>2.47722222222222</v>
      </c>
      <c r="X338" s="62">
        <v>0.167222222222222</v>
      </c>
      <c r="Y338" s="62">
        <v>2.47694444444444</v>
      </c>
      <c r="Z338" s="62">
        <v>0.970277777777777</v>
      </c>
      <c r="AA338" s="62">
        <v>1.595</v>
      </c>
      <c r="AB338" s="62">
        <v>3.1025</v>
      </c>
      <c r="AC338" s="62">
        <v>3.53555555555555</v>
      </c>
      <c r="AD338" s="62">
        <v>1.40444444444444</v>
      </c>
      <c r="AE338" s="62">
        <v>3.53555555555555</v>
      </c>
      <c r="AF338" s="62">
        <v>7.0</v>
      </c>
    </row>
    <row r="339">
      <c r="A339" s="68">
        <v>45887.0</v>
      </c>
      <c r="B339" s="62" t="s">
        <v>32</v>
      </c>
      <c r="C339" s="62" t="s">
        <v>168</v>
      </c>
      <c r="D339" s="62">
        <v>14.0</v>
      </c>
      <c r="E339" s="62">
        <v>2.0</v>
      </c>
      <c r="F339" s="62">
        <v>8.0</v>
      </c>
      <c r="G339" s="62">
        <v>1.0</v>
      </c>
      <c r="H339" s="62">
        <v>16.0</v>
      </c>
      <c r="I339" s="62">
        <v>5.0</v>
      </c>
      <c r="J339" s="62">
        <v>16.0</v>
      </c>
      <c r="K339" s="62">
        <v>12.0</v>
      </c>
      <c r="L339" s="62">
        <v>0.0</v>
      </c>
      <c r="M339" s="62">
        <v>16.0</v>
      </c>
      <c r="N339" s="62">
        <v>19.0</v>
      </c>
      <c r="O339" s="62">
        <v>6.0</v>
      </c>
      <c r="P339" s="62">
        <v>19.0</v>
      </c>
      <c r="Q339" s="62">
        <v>0.0</v>
      </c>
      <c r="R339" s="62">
        <v>30547.0</v>
      </c>
      <c r="S339" s="62">
        <v>4123.0</v>
      </c>
      <c r="T339" s="62">
        <v>3.54777777777777</v>
      </c>
      <c r="U339" s="62">
        <v>1.70222222222222</v>
      </c>
      <c r="V339" s="62">
        <v>0.2075</v>
      </c>
      <c r="W339" s="62">
        <v>3.29666666666666</v>
      </c>
      <c r="X339" s="62">
        <v>1.03666666666666</v>
      </c>
      <c r="Y339" s="62">
        <v>3.29972222222222</v>
      </c>
      <c r="Z339" s="62">
        <v>2.45055555555555</v>
      </c>
      <c r="AA339" s="62">
        <v>0.0</v>
      </c>
      <c r="AB339" s="62">
        <v>3.31027777777777</v>
      </c>
      <c r="AC339" s="62">
        <v>3.94277777777777</v>
      </c>
      <c r="AD339" s="62">
        <v>1.2225</v>
      </c>
      <c r="AE339" s="62">
        <v>3.94277777777777</v>
      </c>
      <c r="AF339" s="62">
        <v>17.0</v>
      </c>
    </row>
    <row r="340">
      <c r="A340" s="68">
        <v>45887.0</v>
      </c>
      <c r="B340" s="62" t="s">
        <v>26</v>
      </c>
      <c r="C340" s="62" t="s">
        <v>178</v>
      </c>
      <c r="D340" s="62">
        <v>15.0</v>
      </c>
      <c r="E340" s="62">
        <v>9.0</v>
      </c>
      <c r="F340" s="62">
        <v>10.0</v>
      </c>
      <c r="G340" s="62">
        <v>7.0</v>
      </c>
      <c r="H340" s="62">
        <v>9.0</v>
      </c>
      <c r="I340" s="62">
        <v>2.0</v>
      </c>
      <c r="J340" s="62">
        <v>14.0</v>
      </c>
      <c r="K340" s="62">
        <v>12.0</v>
      </c>
      <c r="L340" s="62">
        <v>9.0</v>
      </c>
      <c r="M340" s="62">
        <v>17.0</v>
      </c>
      <c r="N340" s="62">
        <v>16.0</v>
      </c>
      <c r="O340" s="62">
        <v>7.0</v>
      </c>
      <c r="P340" s="62">
        <v>16.0</v>
      </c>
      <c r="Q340" s="62">
        <v>0.0</v>
      </c>
      <c r="R340" s="62">
        <v>32903.0</v>
      </c>
      <c r="S340" s="62">
        <v>19141.0</v>
      </c>
      <c r="T340" s="62">
        <v>2.12916666666666</v>
      </c>
      <c r="U340" s="62">
        <v>1.98833333333333</v>
      </c>
      <c r="V340" s="62">
        <v>1.55611111111111</v>
      </c>
      <c r="W340" s="62">
        <v>1.96361111111111</v>
      </c>
      <c r="X340" s="62">
        <v>0.4075</v>
      </c>
      <c r="Y340" s="62">
        <v>3.02111111111111</v>
      </c>
      <c r="Z340" s="62">
        <v>2.58777777777777</v>
      </c>
      <c r="AA340" s="62">
        <v>1.96305555555555</v>
      </c>
      <c r="AB340" s="62">
        <v>3.71222222222222</v>
      </c>
      <c r="AC340" s="62">
        <v>3.52666666666666</v>
      </c>
      <c r="AD340" s="62">
        <v>1.65777777777777</v>
      </c>
      <c r="AE340" s="62">
        <v>3.52666666666666</v>
      </c>
      <c r="AF340" s="62">
        <v>11.0</v>
      </c>
    </row>
    <row r="341">
      <c r="A341" s="68">
        <v>45880.0</v>
      </c>
      <c r="B341" s="62" t="s">
        <v>32</v>
      </c>
      <c r="C341" s="62" t="s">
        <v>168</v>
      </c>
      <c r="D341" s="62">
        <v>6.0</v>
      </c>
      <c r="E341" s="62">
        <v>9.0</v>
      </c>
      <c r="F341" s="62">
        <v>7.0</v>
      </c>
      <c r="G341" s="62">
        <v>0.0</v>
      </c>
      <c r="H341" s="62">
        <v>12.0</v>
      </c>
      <c r="I341" s="62">
        <v>8.0</v>
      </c>
      <c r="J341" s="62">
        <v>10.0</v>
      </c>
      <c r="K341" s="62">
        <v>6.0</v>
      </c>
      <c r="L341" s="62">
        <v>0.0</v>
      </c>
      <c r="M341" s="62">
        <v>9.0</v>
      </c>
      <c r="N341" s="62">
        <v>8.0</v>
      </c>
      <c r="O341" s="62">
        <v>5.0</v>
      </c>
      <c r="P341" s="62">
        <v>8.0</v>
      </c>
      <c r="Q341" s="62">
        <v>0.0</v>
      </c>
      <c r="R341" s="62">
        <v>12743.0</v>
      </c>
      <c r="S341" s="62">
        <v>18600.0</v>
      </c>
      <c r="T341" s="62">
        <v>3.10305555555555</v>
      </c>
      <c r="U341" s="62">
        <v>1.42472222222222</v>
      </c>
      <c r="V341" s="62">
        <v>0.0</v>
      </c>
      <c r="W341" s="62">
        <v>2.57166666666666</v>
      </c>
      <c r="X341" s="62">
        <v>1.67833333333333</v>
      </c>
      <c r="Y341" s="62">
        <v>2.16166666666666</v>
      </c>
      <c r="Z341" s="62">
        <v>1.27444444444444</v>
      </c>
      <c r="AA341" s="62">
        <v>0.0</v>
      </c>
      <c r="AB341" s="62">
        <v>1.94388888888888</v>
      </c>
      <c r="AC341" s="62">
        <v>1.72222222222222</v>
      </c>
      <c r="AD341" s="62">
        <v>1.08111111111111</v>
      </c>
      <c r="AE341" s="62">
        <v>1.72222222222222</v>
      </c>
      <c r="AF341" s="62">
        <v>15.0</v>
      </c>
    </row>
    <row r="342">
      <c r="A342" s="68">
        <v>45880.0</v>
      </c>
      <c r="B342" s="62" t="s">
        <v>26</v>
      </c>
      <c r="C342" s="62" t="s">
        <v>178</v>
      </c>
      <c r="D342" s="62">
        <v>10.0</v>
      </c>
      <c r="E342" s="62">
        <v>8.0</v>
      </c>
      <c r="F342" s="62">
        <v>5.0</v>
      </c>
      <c r="G342" s="62">
        <v>5.0</v>
      </c>
      <c r="H342" s="62">
        <v>8.0</v>
      </c>
      <c r="I342" s="62">
        <v>3.0</v>
      </c>
      <c r="J342" s="62">
        <v>7.0</v>
      </c>
      <c r="K342" s="62">
        <v>7.0</v>
      </c>
      <c r="L342" s="62">
        <v>11.0</v>
      </c>
      <c r="M342" s="62">
        <v>5.0</v>
      </c>
      <c r="N342" s="62">
        <v>8.0</v>
      </c>
      <c r="O342" s="62">
        <v>5.0</v>
      </c>
      <c r="P342" s="62">
        <v>8.0</v>
      </c>
      <c r="Q342" s="62">
        <v>0.0</v>
      </c>
      <c r="R342" s="62">
        <v>20288.0</v>
      </c>
      <c r="S342" s="62">
        <v>16228.0</v>
      </c>
      <c r="T342" s="62">
        <v>2.57555555555555</v>
      </c>
      <c r="U342" s="62">
        <v>1.12222222222222</v>
      </c>
      <c r="V342" s="62">
        <v>1.06055555555555</v>
      </c>
      <c r="W342" s="62">
        <v>1.68138888888888</v>
      </c>
      <c r="X342" s="62">
        <v>0.620833333333333</v>
      </c>
      <c r="Y342" s="62">
        <v>1.56388888888888</v>
      </c>
      <c r="Z342" s="62">
        <v>1.56388888888888</v>
      </c>
      <c r="AA342" s="62">
        <v>2.55333333333333</v>
      </c>
      <c r="AB342" s="62">
        <v>1.23472222222222</v>
      </c>
      <c r="AC342" s="62">
        <v>1.91083333333333</v>
      </c>
      <c r="AD342" s="62">
        <v>1.24694444444444</v>
      </c>
      <c r="AE342" s="62">
        <v>1.91083333333333</v>
      </c>
      <c r="AF342" s="62">
        <v>12.0</v>
      </c>
    </row>
    <row r="343">
      <c r="A343" s="68">
        <v>45873.0</v>
      </c>
      <c r="B343" s="62" t="s">
        <v>32</v>
      </c>
      <c r="C343" s="62" t="s">
        <v>168</v>
      </c>
      <c r="D343" s="62">
        <v>31.0</v>
      </c>
      <c r="E343" s="62">
        <v>23.0</v>
      </c>
      <c r="F343" s="62">
        <v>2.0</v>
      </c>
      <c r="G343" s="62">
        <v>0.0</v>
      </c>
      <c r="H343" s="62">
        <v>5.0</v>
      </c>
      <c r="I343" s="62">
        <v>2.0</v>
      </c>
      <c r="J343" s="62">
        <v>5.0</v>
      </c>
      <c r="K343" s="62">
        <v>4.0</v>
      </c>
      <c r="L343" s="62">
        <v>0.0</v>
      </c>
      <c r="M343" s="62">
        <v>8.0</v>
      </c>
      <c r="N343" s="62">
        <v>6.0</v>
      </c>
      <c r="O343" s="62">
        <v>6.0</v>
      </c>
      <c r="P343" s="62">
        <v>6.0</v>
      </c>
      <c r="Q343" s="62">
        <v>0.0</v>
      </c>
      <c r="R343" s="62">
        <v>64762.0</v>
      </c>
      <c r="S343" s="62">
        <v>45361.0</v>
      </c>
      <c r="T343" s="62">
        <v>0.870277777777777</v>
      </c>
      <c r="U343" s="62">
        <v>0.457222222222222</v>
      </c>
      <c r="V343" s="62">
        <v>0.0</v>
      </c>
      <c r="W343" s="62">
        <v>1.04749999999999</v>
      </c>
      <c r="X343" s="62">
        <v>0.413055555555555</v>
      </c>
      <c r="Y343" s="62">
        <v>1.04527777777777</v>
      </c>
      <c r="Z343" s="62">
        <v>0.855277777777777</v>
      </c>
      <c r="AA343" s="62">
        <v>0.0</v>
      </c>
      <c r="AB343" s="62">
        <v>1.68611111111111</v>
      </c>
      <c r="AC343" s="62">
        <v>1.27527777777777</v>
      </c>
      <c r="AD343" s="62">
        <v>1.34694444444444</v>
      </c>
      <c r="AE343" s="62">
        <v>1.27527777777777</v>
      </c>
      <c r="AF343" s="62">
        <v>4.0</v>
      </c>
    </row>
    <row r="344">
      <c r="A344" s="68">
        <v>45873.0</v>
      </c>
      <c r="B344" s="62" t="s">
        <v>26</v>
      </c>
      <c r="C344" s="62" t="s">
        <v>178</v>
      </c>
      <c r="D344" s="62">
        <v>6.0</v>
      </c>
      <c r="E344" s="62">
        <v>1.0</v>
      </c>
      <c r="F344" s="62">
        <v>11.0</v>
      </c>
      <c r="G344" s="62">
        <v>15.0</v>
      </c>
      <c r="H344" s="62">
        <v>16.0</v>
      </c>
      <c r="I344" s="62">
        <v>1.0</v>
      </c>
      <c r="J344" s="62">
        <v>12.0</v>
      </c>
      <c r="K344" s="62">
        <v>10.0</v>
      </c>
      <c r="L344" s="62">
        <v>3.0</v>
      </c>
      <c r="M344" s="62">
        <v>8.0</v>
      </c>
      <c r="N344" s="62">
        <v>15.0</v>
      </c>
      <c r="O344" s="62">
        <v>5.0</v>
      </c>
      <c r="P344" s="62">
        <v>15.0</v>
      </c>
      <c r="Q344" s="62">
        <v>0.0</v>
      </c>
      <c r="R344" s="62">
        <v>13169.0</v>
      </c>
      <c r="S344" s="62">
        <v>2199.0</v>
      </c>
      <c r="T344" s="62">
        <v>1.29583333333333</v>
      </c>
      <c r="U344" s="62">
        <v>2.41916666666666</v>
      </c>
      <c r="V344" s="62">
        <v>3.63972222222222</v>
      </c>
      <c r="W344" s="62">
        <v>3.86638888888888</v>
      </c>
      <c r="X344" s="62">
        <v>0.226666666666666</v>
      </c>
      <c r="Y344" s="62">
        <v>2.94305555555555</v>
      </c>
      <c r="Z344" s="62">
        <v>2.49611111111111</v>
      </c>
      <c r="AA344" s="62">
        <v>0.785555555555555</v>
      </c>
      <c r="AB344" s="62">
        <v>1.95416666666666</v>
      </c>
      <c r="AC344" s="62">
        <v>3.86444444444444</v>
      </c>
      <c r="AD344" s="62">
        <v>1.305</v>
      </c>
      <c r="AE344" s="62">
        <v>3.86444444444444</v>
      </c>
      <c r="AF344" s="62">
        <v>6.0</v>
      </c>
    </row>
    <row r="345">
      <c r="A345" s="68">
        <v>45866.0</v>
      </c>
      <c r="B345" s="62" t="s">
        <v>32</v>
      </c>
      <c r="C345" s="62" t="s">
        <v>168</v>
      </c>
      <c r="D345" s="62">
        <v>18.0</v>
      </c>
      <c r="E345" s="62">
        <v>7.0</v>
      </c>
      <c r="F345" s="62">
        <v>9.0</v>
      </c>
      <c r="G345" s="62">
        <v>0.0</v>
      </c>
      <c r="H345" s="62">
        <v>14.0</v>
      </c>
      <c r="I345" s="62">
        <v>6.0</v>
      </c>
      <c r="J345" s="62">
        <v>13.0</v>
      </c>
      <c r="K345" s="62">
        <v>12.0</v>
      </c>
      <c r="L345" s="62">
        <v>0.0</v>
      </c>
      <c r="M345" s="62">
        <v>11.0</v>
      </c>
      <c r="N345" s="62">
        <v>17.0</v>
      </c>
      <c r="O345" s="62">
        <v>6.0</v>
      </c>
      <c r="P345" s="62">
        <v>17.0</v>
      </c>
      <c r="Q345" s="62">
        <v>0.0</v>
      </c>
      <c r="R345" s="62">
        <v>37919.0</v>
      </c>
      <c r="S345" s="62">
        <v>14461.0</v>
      </c>
      <c r="T345" s="62">
        <v>3.14055555555555</v>
      </c>
      <c r="U345" s="62">
        <v>1.90388888888888</v>
      </c>
      <c r="V345" s="62">
        <v>0.0</v>
      </c>
      <c r="W345" s="62">
        <v>2.92444444444444</v>
      </c>
      <c r="X345" s="62">
        <v>1.23666666666666</v>
      </c>
      <c r="Y345" s="62">
        <v>2.71527777777777</v>
      </c>
      <c r="Z345" s="62">
        <v>2.4975</v>
      </c>
      <c r="AA345" s="62">
        <v>0.0</v>
      </c>
      <c r="AB345" s="62">
        <v>2.29472222222222</v>
      </c>
      <c r="AC345" s="62">
        <v>3.58111111111111</v>
      </c>
      <c r="AD345" s="62">
        <v>1.49111111111111</v>
      </c>
      <c r="AE345" s="62">
        <v>3.58111111111111</v>
      </c>
      <c r="AF345" s="62">
        <v>15.0</v>
      </c>
    </row>
    <row r="346">
      <c r="A346" s="68">
        <v>45866.0</v>
      </c>
      <c r="B346" s="62" t="s">
        <v>26</v>
      </c>
      <c r="C346" s="62" t="s">
        <v>178</v>
      </c>
      <c r="D346" s="62">
        <v>15.0</v>
      </c>
      <c r="E346" s="62">
        <v>8.0</v>
      </c>
      <c r="F346" s="62">
        <v>8.0</v>
      </c>
      <c r="G346" s="62">
        <v>6.0</v>
      </c>
      <c r="H346" s="62">
        <v>11.0</v>
      </c>
      <c r="I346" s="62">
        <v>1.0</v>
      </c>
      <c r="J346" s="62">
        <v>12.0</v>
      </c>
      <c r="K346" s="62">
        <v>12.0</v>
      </c>
      <c r="L346" s="62">
        <v>4.0</v>
      </c>
      <c r="M346" s="62">
        <v>12.0</v>
      </c>
      <c r="N346" s="62">
        <v>1.0</v>
      </c>
      <c r="O346" s="62">
        <v>1.0</v>
      </c>
      <c r="P346" s="62">
        <v>1.0</v>
      </c>
      <c r="Q346" s="62">
        <v>0.0</v>
      </c>
      <c r="R346" s="62">
        <v>32897.0</v>
      </c>
      <c r="S346" s="62">
        <v>18077.0</v>
      </c>
      <c r="T346" s="62">
        <v>3.59</v>
      </c>
      <c r="U346" s="62">
        <v>1.98916666666666</v>
      </c>
      <c r="V346" s="62">
        <v>1.56138888888888</v>
      </c>
      <c r="W346" s="62">
        <v>2.77416666666666</v>
      </c>
      <c r="X346" s="62">
        <v>0.250833333333333</v>
      </c>
      <c r="Y346" s="62">
        <v>3.03944444444444</v>
      </c>
      <c r="Z346" s="62">
        <v>3.03944444444444</v>
      </c>
      <c r="AA346" s="62">
        <v>1.00722222222222</v>
      </c>
      <c r="AB346" s="62">
        <v>3.04</v>
      </c>
      <c r="AC346" s="62">
        <v>0.203333333333333</v>
      </c>
      <c r="AD346" s="62">
        <v>0.203333333333333</v>
      </c>
      <c r="AE346" s="62">
        <v>0.203333333333333</v>
      </c>
      <c r="AF346" s="62">
        <v>15.0</v>
      </c>
    </row>
    <row r="347">
      <c r="A347" s="68">
        <v>45859.0</v>
      </c>
      <c r="B347" s="62" t="s">
        <v>32</v>
      </c>
      <c r="C347" s="62" t="s">
        <v>168</v>
      </c>
      <c r="D347" s="62">
        <v>16.0</v>
      </c>
      <c r="E347" s="62">
        <v>2.0</v>
      </c>
      <c r="F347" s="62">
        <v>9.0</v>
      </c>
      <c r="G347" s="62">
        <v>0.0</v>
      </c>
      <c r="H347" s="62">
        <v>14.0</v>
      </c>
      <c r="I347" s="62">
        <v>3.0</v>
      </c>
      <c r="J347" s="62">
        <v>14.0</v>
      </c>
      <c r="K347" s="62">
        <v>12.0</v>
      </c>
      <c r="L347" s="62">
        <v>0.0</v>
      </c>
      <c r="M347" s="62">
        <v>13.0</v>
      </c>
      <c r="N347" s="62">
        <v>7.0</v>
      </c>
      <c r="O347" s="62">
        <v>6.0</v>
      </c>
      <c r="P347" s="62">
        <v>7.0</v>
      </c>
      <c r="Q347" s="62">
        <v>0.0</v>
      </c>
      <c r="R347" s="62">
        <v>31849.0</v>
      </c>
      <c r="S347" s="62">
        <v>4238.0</v>
      </c>
      <c r="T347" s="62">
        <v>1.72138888888888</v>
      </c>
      <c r="U347" s="62">
        <v>1.98666666666666</v>
      </c>
      <c r="V347" s="62">
        <v>0.0</v>
      </c>
      <c r="W347" s="62">
        <v>3.22666666666666</v>
      </c>
      <c r="X347" s="62">
        <v>0.668333333333333</v>
      </c>
      <c r="Y347" s="62">
        <v>3.22611111111111</v>
      </c>
      <c r="Z347" s="62">
        <v>2.78694444444444</v>
      </c>
      <c r="AA347" s="62">
        <v>0.0</v>
      </c>
      <c r="AB347" s="62">
        <v>3.00583333333333</v>
      </c>
      <c r="AC347" s="62">
        <v>1.71916666666666</v>
      </c>
      <c r="AD347" s="62">
        <v>1.41333333333333</v>
      </c>
      <c r="AE347" s="62">
        <v>1.71916666666666</v>
      </c>
      <c r="AF347" s="62">
        <v>8.0</v>
      </c>
    </row>
    <row r="348">
      <c r="A348" s="68">
        <v>45859.0</v>
      </c>
      <c r="B348" s="62" t="s">
        <v>26</v>
      </c>
      <c r="C348" s="62" t="s">
        <v>178</v>
      </c>
      <c r="D348" s="62">
        <v>15.0</v>
      </c>
      <c r="E348" s="62">
        <v>6.0</v>
      </c>
      <c r="F348" s="62">
        <v>10.0</v>
      </c>
      <c r="G348" s="62">
        <v>0.0</v>
      </c>
      <c r="H348" s="62">
        <v>1.0</v>
      </c>
      <c r="I348" s="62">
        <v>1.0</v>
      </c>
      <c r="J348" s="62">
        <v>0.0</v>
      </c>
      <c r="K348" s="62">
        <v>0.0</v>
      </c>
      <c r="L348" s="62">
        <v>0.0</v>
      </c>
      <c r="M348" s="62">
        <v>0.0</v>
      </c>
      <c r="N348" s="62">
        <v>0.0</v>
      </c>
      <c r="O348" s="62">
        <v>0.0</v>
      </c>
      <c r="P348" s="62">
        <v>0.0</v>
      </c>
      <c r="Q348" s="62">
        <v>0.0</v>
      </c>
      <c r="R348" s="62">
        <v>33187.0</v>
      </c>
      <c r="S348" s="62">
        <v>13882.0</v>
      </c>
      <c r="T348" s="62">
        <v>2.60277777777777</v>
      </c>
      <c r="U348" s="62">
        <v>2.60277777777777</v>
      </c>
      <c r="V348" s="62">
        <v>0.0</v>
      </c>
      <c r="W348" s="62">
        <v>0.261666666666666</v>
      </c>
      <c r="X348" s="62">
        <v>0.261666666666666</v>
      </c>
      <c r="Y348" s="62">
        <v>0.0</v>
      </c>
      <c r="Z348" s="62">
        <v>0.0</v>
      </c>
      <c r="AA348" s="62">
        <v>0.0</v>
      </c>
      <c r="AB348" s="62">
        <v>0.0</v>
      </c>
      <c r="AC348" s="62">
        <v>0.0</v>
      </c>
      <c r="AD348" s="62">
        <v>0.0</v>
      </c>
      <c r="AE348" s="62">
        <v>0.0</v>
      </c>
      <c r="AF348" s="62">
        <v>10.0</v>
      </c>
    </row>
    <row r="349">
      <c r="A349" s="68">
        <v>45852.0</v>
      </c>
      <c r="B349" s="62" t="s">
        <v>32</v>
      </c>
      <c r="C349" s="62" t="s">
        <v>168</v>
      </c>
      <c r="D349" s="62">
        <v>15.0</v>
      </c>
      <c r="E349" s="62">
        <v>16.0</v>
      </c>
      <c r="F349" s="62">
        <v>10.0</v>
      </c>
      <c r="G349" s="62">
        <v>0.0</v>
      </c>
      <c r="H349" s="62">
        <v>10.0</v>
      </c>
      <c r="I349" s="62">
        <v>1.0</v>
      </c>
      <c r="J349" s="62">
        <v>12.0</v>
      </c>
      <c r="K349" s="62">
        <v>12.0</v>
      </c>
      <c r="L349" s="62">
        <v>0.0</v>
      </c>
      <c r="M349" s="62">
        <v>12.0</v>
      </c>
      <c r="N349" s="62">
        <v>12.0</v>
      </c>
      <c r="O349" s="62">
        <v>6.0</v>
      </c>
      <c r="P349" s="62">
        <v>12.0</v>
      </c>
      <c r="Q349" s="62">
        <v>0.0</v>
      </c>
      <c r="R349" s="62">
        <v>32636.0</v>
      </c>
      <c r="S349" s="62">
        <v>28804.0</v>
      </c>
      <c r="T349" s="62">
        <v>3.61527777777777</v>
      </c>
      <c r="U349" s="62">
        <v>2.44555555555555</v>
      </c>
      <c r="V349" s="62">
        <v>0.0</v>
      </c>
      <c r="W349" s="62">
        <v>2.38138888888888</v>
      </c>
      <c r="X349" s="62">
        <v>0.236111111111111</v>
      </c>
      <c r="Y349" s="62">
        <v>2.82972222222222</v>
      </c>
      <c r="Z349" s="62">
        <v>2.82972222222222</v>
      </c>
      <c r="AA349" s="62">
        <v>0.0</v>
      </c>
      <c r="AB349" s="62">
        <v>2.82972222222222</v>
      </c>
      <c r="AC349" s="62">
        <v>2.82972222222222</v>
      </c>
      <c r="AD349" s="62">
        <v>1.41222222222222</v>
      </c>
      <c r="AE349" s="62">
        <v>2.82972222222222</v>
      </c>
      <c r="AF349" s="62">
        <v>15.0</v>
      </c>
    </row>
    <row r="350">
      <c r="A350" s="68">
        <v>45852.0</v>
      </c>
      <c r="B350" s="62" t="s">
        <v>26</v>
      </c>
      <c r="C350" s="62" t="s">
        <v>178</v>
      </c>
      <c r="D350" s="62">
        <v>12.0</v>
      </c>
      <c r="E350" s="62">
        <v>7.0</v>
      </c>
      <c r="F350" s="62">
        <v>1.0</v>
      </c>
      <c r="G350" s="62">
        <v>0.0</v>
      </c>
      <c r="H350" s="62">
        <v>0.0</v>
      </c>
      <c r="I350" s="62">
        <v>0.0</v>
      </c>
      <c r="J350" s="62">
        <v>0.0</v>
      </c>
      <c r="K350" s="62">
        <v>0.0</v>
      </c>
      <c r="L350" s="62">
        <v>0.0</v>
      </c>
      <c r="M350" s="62">
        <v>0.0</v>
      </c>
      <c r="N350" s="62">
        <v>0.0</v>
      </c>
      <c r="O350" s="62">
        <v>0.0</v>
      </c>
      <c r="P350" s="62">
        <v>0.0</v>
      </c>
      <c r="Q350" s="62">
        <v>0.0</v>
      </c>
      <c r="R350" s="62">
        <v>27708.0</v>
      </c>
      <c r="S350" s="62">
        <v>17275.0</v>
      </c>
      <c r="T350" s="62">
        <v>0.0</v>
      </c>
      <c r="U350" s="62">
        <v>0.190833333333333</v>
      </c>
      <c r="V350" s="62">
        <v>0.0</v>
      </c>
      <c r="W350" s="62">
        <v>0.0</v>
      </c>
      <c r="X350" s="62">
        <v>0.0</v>
      </c>
      <c r="Y350" s="62">
        <v>0.0</v>
      </c>
      <c r="Z350" s="62">
        <v>0.0</v>
      </c>
      <c r="AA350" s="62">
        <v>0.0</v>
      </c>
      <c r="AB350" s="62">
        <v>0.0</v>
      </c>
      <c r="AC350" s="62">
        <v>0.0</v>
      </c>
      <c r="AD350" s="62">
        <v>0.0</v>
      </c>
      <c r="AE350" s="62">
        <v>0.0</v>
      </c>
      <c r="AF350" s="62">
        <v>0.0</v>
      </c>
    </row>
    <row r="351">
      <c r="A351" s="68">
        <v>45845.0</v>
      </c>
      <c r="B351" s="62" t="s">
        <v>32</v>
      </c>
      <c r="C351" s="62" t="s">
        <v>168</v>
      </c>
      <c r="D351" s="62">
        <v>12.0</v>
      </c>
      <c r="E351" s="62">
        <v>10.0</v>
      </c>
      <c r="F351" s="62">
        <v>11.0</v>
      </c>
      <c r="G351" s="62">
        <v>0.0</v>
      </c>
      <c r="H351" s="62">
        <v>12.0</v>
      </c>
      <c r="I351" s="62">
        <v>3.0</v>
      </c>
      <c r="J351" s="62">
        <v>10.0</v>
      </c>
      <c r="K351" s="62">
        <v>9.0</v>
      </c>
      <c r="L351" s="62">
        <v>0.0</v>
      </c>
      <c r="M351" s="62">
        <v>10.0</v>
      </c>
      <c r="N351" s="62">
        <v>10.0</v>
      </c>
      <c r="O351" s="62">
        <v>6.0</v>
      </c>
      <c r="P351" s="62">
        <v>10.0</v>
      </c>
      <c r="Q351" s="62">
        <v>0.0</v>
      </c>
      <c r="R351" s="62">
        <v>25482.0</v>
      </c>
      <c r="S351" s="62">
        <v>23214.0</v>
      </c>
      <c r="T351" s="62">
        <v>3.39527777777777</v>
      </c>
      <c r="U351" s="62">
        <v>2.69416666666666</v>
      </c>
      <c r="V351" s="62">
        <v>0.0</v>
      </c>
      <c r="W351" s="62">
        <v>2.93805555555555</v>
      </c>
      <c r="X351" s="62">
        <v>0.701111111111111</v>
      </c>
      <c r="Y351" s="62">
        <v>2.49416666666666</v>
      </c>
      <c r="Z351" s="62">
        <v>2.27083333333333</v>
      </c>
      <c r="AA351" s="62">
        <v>0.0</v>
      </c>
      <c r="AB351" s="62">
        <v>2.49416666666666</v>
      </c>
      <c r="AC351" s="62">
        <v>2.49416666666666</v>
      </c>
      <c r="AD351" s="62">
        <v>1.55361111111111</v>
      </c>
      <c r="AE351" s="62">
        <v>2.49416666666666</v>
      </c>
      <c r="AF351" s="62">
        <v>14.0</v>
      </c>
    </row>
    <row r="352">
      <c r="A352" s="68">
        <v>45845.0</v>
      </c>
      <c r="B352" s="62" t="s">
        <v>26</v>
      </c>
      <c r="C352" s="62" t="s">
        <v>178</v>
      </c>
      <c r="D352" s="62">
        <v>21.0</v>
      </c>
      <c r="E352" s="62">
        <v>6.0</v>
      </c>
      <c r="F352" s="62">
        <v>0.0</v>
      </c>
      <c r="G352" s="62">
        <v>0.0</v>
      </c>
      <c r="H352" s="62">
        <v>0.0</v>
      </c>
      <c r="I352" s="62">
        <v>0.0</v>
      </c>
      <c r="J352" s="62">
        <v>0.0</v>
      </c>
      <c r="K352" s="62">
        <v>0.0</v>
      </c>
      <c r="L352" s="62">
        <v>0.0</v>
      </c>
      <c r="M352" s="62">
        <v>0.0</v>
      </c>
      <c r="N352" s="62">
        <v>0.0</v>
      </c>
      <c r="O352" s="62">
        <v>0.0</v>
      </c>
      <c r="P352" s="62">
        <v>0.0</v>
      </c>
      <c r="Q352" s="62">
        <v>0.0</v>
      </c>
      <c r="R352" s="62">
        <v>43896.0</v>
      </c>
      <c r="S352" s="62">
        <v>15380.0</v>
      </c>
      <c r="T352" s="62">
        <v>0.190833333333333</v>
      </c>
      <c r="U352" s="62">
        <v>0.0</v>
      </c>
      <c r="V352" s="62">
        <v>0.0</v>
      </c>
      <c r="W352" s="62">
        <v>0.0</v>
      </c>
      <c r="X352" s="62">
        <v>0.0</v>
      </c>
      <c r="Y352" s="62">
        <v>0.0</v>
      </c>
      <c r="Z352" s="62">
        <v>0.0</v>
      </c>
      <c r="AA352" s="62">
        <v>0.0</v>
      </c>
      <c r="AB352" s="62">
        <v>0.0</v>
      </c>
      <c r="AC352" s="62">
        <v>0.0</v>
      </c>
      <c r="AD352" s="62">
        <v>0.0</v>
      </c>
      <c r="AE352" s="62">
        <v>0.0</v>
      </c>
      <c r="AF352" s="62">
        <v>1.0</v>
      </c>
    </row>
    <row r="353">
      <c r="A353" s="68">
        <v>45838.0</v>
      </c>
      <c r="B353" s="62" t="s">
        <v>32</v>
      </c>
      <c r="C353" s="62" t="s">
        <v>168</v>
      </c>
      <c r="D353" s="62">
        <v>12.0</v>
      </c>
      <c r="E353" s="62">
        <v>1.0</v>
      </c>
      <c r="F353" s="62">
        <v>5.0</v>
      </c>
      <c r="G353" s="62">
        <v>0.0</v>
      </c>
      <c r="H353" s="62">
        <v>5.0</v>
      </c>
      <c r="I353" s="62">
        <v>0.0</v>
      </c>
      <c r="J353" s="62">
        <v>5.0</v>
      </c>
      <c r="K353" s="62">
        <v>4.0</v>
      </c>
      <c r="L353" s="62">
        <v>0.0</v>
      </c>
      <c r="M353" s="62">
        <v>5.0</v>
      </c>
      <c r="N353" s="62">
        <v>5.0</v>
      </c>
      <c r="O353" s="62">
        <v>3.0</v>
      </c>
      <c r="P353" s="62">
        <v>5.0</v>
      </c>
      <c r="Q353" s="62">
        <v>0.0</v>
      </c>
      <c r="R353" s="62">
        <v>23769.0</v>
      </c>
      <c r="S353" s="62">
        <v>2501.0</v>
      </c>
      <c r="T353" s="62">
        <v>1.24472222222222</v>
      </c>
      <c r="U353" s="62">
        <v>1.24472222222222</v>
      </c>
      <c r="V353" s="62">
        <v>0.0</v>
      </c>
      <c r="W353" s="62">
        <v>1.26833333333333</v>
      </c>
      <c r="X353" s="62">
        <v>0.0</v>
      </c>
      <c r="Y353" s="62">
        <v>1.26833333333333</v>
      </c>
      <c r="Z353" s="62">
        <v>0.995555555555555</v>
      </c>
      <c r="AA353" s="62">
        <v>0.0</v>
      </c>
      <c r="AB353" s="62">
        <v>1.26833333333333</v>
      </c>
      <c r="AC353" s="62">
        <v>1.26833333333333</v>
      </c>
      <c r="AD353" s="62">
        <v>0.746111111111111</v>
      </c>
      <c r="AE353" s="62">
        <v>1.26833333333333</v>
      </c>
      <c r="AF353" s="62">
        <v>5.0</v>
      </c>
    </row>
    <row r="354">
      <c r="A354" s="68">
        <v>45838.0</v>
      </c>
      <c r="B354" s="62" t="s">
        <v>26</v>
      </c>
      <c r="C354" s="62" t="s">
        <v>178</v>
      </c>
      <c r="D354" s="62">
        <v>109.0</v>
      </c>
      <c r="E354" s="62">
        <v>11.0</v>
      </c>
      <c r="F354" s="62">
        <v>0.0</v>
      </c>
      <c r="G354" s="62">
        <v>0.0</v>
      </c>
      <c r="H354" s="62">
        <v>0.0</v>
      </c>
      <c r="I354" s="62">
        <v>0.0</v>
      </c>
      <c r="J354" s="62">
        <v>0.0</v>
      </c>
      <c r="K354" s="62">
        <v>0.0</v>
      </c>
      <c r="L354" s="62">
        <v>0.0</v>
      </c>
      <c r="M354" s="62">
        <v>0.0</v>
      </c>
      <c r="N354" s="62">
        <v>0.0</v>
      </c>
      <c r="O354" s="62">
        <v>0.0</v>
      </c>
      <c r="P354" s="62">
        <v>0.0</v>
      </c>
      <c r="Q354" s="62">
        <v>0.0</v>
      </c>
      <c r="R354" s="62">
        <v>239787.0</v>
      </c>
      <c r="S354" s="62">
        <v>27971.0</v>
      </c>
      <c r="T354" s="62">
        <v>0.0</v>
      </c>
      <c r="U354" s="62">
        <v>0.0</v>
      </c>
      <c r="V354" s="62">
        <v>0.0</v>
      </c>
      <c r="W354" s="62">
        <v>0.0</v>
      </c>
      <c r="X354" s="62">
        <v>0.0</v>
      </c>
      <c r="Y354" s="62">
        <v>0.0</v>
      </c>
      <c r="Z354" s="62">
        <v>0.0</v>
      </c>
      <c r="AA354" s="62">
        <v>0.0</v>
      </c>
      <c r="AB354" s="62">
        <v>0.0</v>
      </c>
      <c r="AC354" s="62">
        <v>0.0</v>
      </c>
      <c r="AD354" s="62">
        <v>0.0</v>
      </c>
      <c r="AE354" s="62">
        <v>0.0</v>
      </c>
      <c r="AF354" s="62">
        <v>0.0</v>
      </c>
    </row>
    <row r="355">
      <c r="A355" s="68">
        <v>45831.0</v>
      </c>
      <c r="B355" s="62" t="s">
        <v>32</v>
      </c>
      <c r="C355" s="62" t="s">
        <v>168</v>
      </c>
      <c r="D355" s="62">
        <v>31.0</v>
      </c>
      <c r="E355" s="62">
        <v>14.0</v>
      </c>
      <c r="F355" s="62">
        <v>0.0</v>
      </c>
      <c r="G355" s="62">
        <v>0.0</v>
      </c>
      <c r="H355" s="62">
        <v>0.0</v>
      </c>
      <c r="I355" s="62">
        <v>0.0</v>
      </c>
      <c r="J355" s="62">
        <v>0.0</v>
      </c>
      <c r="K355" s="62">
        <v>0.0</v>
      </c>
      <c r="L355" s="62">
        <v>0.0</v>
      </c>
      <c r="M355" s="62">
        <v>0.0</v>
      </c>
      <c r="N355" s="62">
        <v>0.0</v>
      </c>
      <c r="O355" s="62">
        <v>0.0</v>
      </c>
      <c r="P355" s="62">
        <v>0.0</v>
      </c>
      <c r="Q355" s="62">
        <v>0.0</v>
      </c>
      <c r="R355" s="62">
        <v>66372.0</v>
      </c>
      <c r="S355" s="62">
        <v>32707.0</v>
      </c>
      <c r="T355" s="62">
        <v>0.0</v>
      </c>
      <c r="U355" s="62">
        <v>0.0</v>
      </c>
      <c r="V355" s="62">
        <v>0.0</v>
      </c>
      <c r="W355" s="62">
        <v>0.0</v>
      </c>
      <c r="X355" s="62">
        <v>0.0</v>
      </c>
      <c r="Y355" s="62">
        <v>0.0</v>
      </c>
      <c r="Z355" s="62">
        <v>0.0</v>
      </c>
      <c r="AA355" s="62">
        <v>0.0</v>
      </c>
      <c r="AB355" s="62">
        <v>0.0</v>
      </c>
      <c r="AC355" s="62">
        <v>0.0</v>
      </c>
      <c r="AD355" s="62">
        <v>0.0</v>
      </c>
      <c r="AE355" s="62">
        <v>0.0</v>
      </c>
      <c r="AF355" s="62">
        <v>0.0</v>
      </c>
    </row>
    <row r="356">
      <c r="A356" s="68">
        <v>45831.0</v>
      </c>
      <c r="B356" s="62" t="s">
        <v>26</v>
      </c>
      <c r="C356" s="62" t="s">
        <v>178</v>
      </c>
      <c r="D356" s="62">
        <v>5.0</v>
      </c>
      <c r="E356" s="62">
        <v>3.0</v>
      </c>
      <c r="F356" s="62">
        <v>0.0</v>
      </c>
      <c r="G356" s="62">
        <v>0.0</v>
      </c>
      <c r="H356" s="62">
        <v>0.0</v>
      </c>
      <c r="I356" s="62">
        <v>0.0</v>
      </c>
      <c r="J356" s="62">
        <v>0.0</v>
      </c>
      <c r="K356" s="62">
        <v>0.0</v>
      </c>
      <c r="L356" s="62">
        <v>0.0</v>
      </c>
      <c r="M356" s="62">
        <v>0.0</v>
      </c>
      <c r="N356" s="62">
        <v>0.0</v>
      </c>
      <c r="O356" s="62">
        <v>0.0</v>
      </c>
      <c r="P356" s="62">
        <v>0.0</v>
      </c>
      <c r="Q356" s="62">
        <v>0.0</v>
      </c>
      <c r="R356" s="62">
        <v>11487.0</v>
      </c>
      <c r="S356" s="62">
        <v>6422.0</v>
      </c>
      <c r="T356" s="62">
        <v>0.0</v>
      </c>
      <c r="U356" s="62">
        <v>0.0</v>
      </c>
      <c r="V356" s="62">
        <v>0.0</v>
      </c>
      <c r="W356" s="62">
        <v>0.0</v>
      </c>
      <c r="X356" s="62">
        <v>0.0</v>
      </c>
      <c r="Y356" s="62">
        <v>0.0</v>
      </c>
      <c r="Z356" s="62">
        <v>0.0</v>
      </c>
      <c r="AA356" s="62">
        <v>0.0</v>
      </c>
      <c r="AB356" s="62">
        <v>0.0</v>
      </c>
      <c r="AC356" s="62">
        <v>0.0</v>
      </c>
      <c r="AD356" s="62">
        <v>0.0</v>
      </c>
      <c r="AE356" s="62">
        <v>0.0</v>
      </c>
      <c r="AF356" s="62">
        <v>0.0</v>
      </c>
    </row>
    <row r="357">
      <c r="A357" s="68">
        <v>45824.0</v>
      </c>
      <c r="B357" s="62" t="s">
        <v>32</v>
      </c>
      <c r="C357" s="62" t="s">
        <v>168</v>
      </c>
      <c r="D357" s="62">
        <v>31.0</v>
      </c>
      <c r="E357" s="62">
        <v>4.0</v>
      </c>
      <c r="F357" s="62">
        <v>0.0</v>
      </c>
      <c r="G357" s="62">
        <v>0.0</v>
      </c>
      <c r="H357" s="62">
        <v>0.0</v>
      </c>
      <c r="I357" s="62">
        <v>0.0</v>
      </c>
      <c r="J357" s="62">
        <v>0.0</v>
      </c>
      <c r="K357" s="62">
        <v>0.0</v>
      </c>
      <c r="L357" s="62">
        <v>0.0</v>
      </c>
      <c r="M357" s="62">
        <v>0.0</v>
      </c>
      <c r="N357" s="62">
        <v>0.0</v>
      </c>
      <c r="O357" s="62">
        <v>0.0</v>
      </c>
      <c r="P357" s="62">
        <v>0.0</v>
      </c>
      <c r="Q357" s="62">
        <v>0.0</v>
      </c>
      <c r="R357" s="62">
        <v>61813.0</v>
      </c>
      <c r="S357" s="62">
        <v>9511.0</v>
      </c>
      <c r="T357" s="62">
        <v>0.0</v>
      </c>
      <c r="U357" s="62">
        <v>0.0</v>
      </c>
      <c r="V357" s="62">
        <v>0.0</v>
      </c>
      <c r="W357" s="62">
        <v>0.0</v>
      </c>
      <c r="X357" s="62">
        <v>0.0</v>
      </c>
      <c r="Y357" s="62">
        <v>0.0</v>
      </c>
      <c r="Z357" s="62">
        <v>0.0</v>
      </c>
      <c r="AA357" s="62">
        <v>0.0</v>
      </c>
      <c r="AB357" s="62">
        <v>0.0</v>
      </c>
      <c r="AC357" s="62">
        <v>0.0</v>
      </c>
      <c r="AD357" s="62">
        <v>0.0</v>
      </c>
      <c r="AE357" s="62">
        <v>0.0</v>
      </c>
      <c r="AF357" s="62">
        <v>0.0</v>
      </c>
    </row>
    <row r="358">
      <c r="A358" s="68">
        <v>45817.0</v>
      </c>
      <c r="B358" s="62" t="s">
        <v>32</v>
      </c>
      <c r="C358" s="62" t="s">
        <v>168</v>
      </c>
      <c r="D358" s="62">
        <v>18.0</v>
      </c>
      <c r="E358" s="62">
        <v>1.0</v>
      </c>
      <c r="F358" s="62">
        <v>0.0</v>
      </c>
      <c r="G358" s="62">
        <v>0.0</v>
      </c>
      <c r="H358" s="62">
        <v>0.0</v>
      </c>
      <c r="I358" s="62">
        <v>0.0</v>
      </c>
      <c r="J358" s="62">
        <v>0.0</v>
      </c>
      <c r="K358" s="62">
        <v>0.0</v>
      </c>
      <c r="L358" s="62">
        <v>0.0</v>
      </c>
      <c r="M358" s="62">
        <v>0.0</v>
      </c>
      <c r="N358" s="62">
        <v>0.0</v>
      </c>
      <c r="O358" s="62">
        <v>0.0</v>
      </c>
      <c r="P358" s="62">
        <v>0.0</v>
      </c>
      <c r="Q358" s="62">
        <v>0.0</v>
      </c>
      <c r="R358" s="62">
        <v>39347.0</v>
      </c>
      <c r="S358" s="62">
        <v>2349.0</v>
      </c>
      <c r="T358" s="62">
        <v>0.0</v>
      </c>
      <c r="U358" s="62">
        <v>0.0</v>
      </c>
      <c r="V358" s="62">
        <v>0.0</v>
      </c>
      <c r="W358" s="62">
        <v>0.0</v>
      </c>
      <c r="X358" s="62">
        <v>0.0</v>
      </c>
      <c r="Y358" s="62">
        <v>0.0</v>
      </c>
      <c r="Z358" s="62">
        <v>0.0</v>
      </c>
      <c r="AA358" s="62">
        <v>0.0</v>
      </c>
      <c r="AB358" s="62">
        <v>0.0</v>
      </c>
      <c r="AC358" s="62">
        <v>0.0</v>
      </c>
      <c r="AD358" s="62">
        <v>0.0</v>
      </c>
      <c r="AE358" s="62">
        <v>0.0</v>
      </c>
      <c r="AF358" s="62">
        <v>0.0</v>
      </c>
    </row>
    <row r="359">
      <c r="A359" s="68">
        <v>45810.0</v>
      </c>
      <c r="B359" s="62" t="s">
        <v>32</v>
      </c>
      <c r="C359" s="62" t="s">
        <v>168</v>
      </c>
      <c r="D359" s="62">
        <v>15.0</v>
      </c>
      <c r="E359" s="62">
        <v>1.0</v>
      </c>
      <c r="F359" s="62">
        <v>1.0</v>
      </c>
      <c r="G359" s="62">
        <v>0.0</v>
      </c>
      <c r="H359" s="62">
        <v>0.0</v>
      </c>
      <c r="I359" s="62">
        <v>0.0</v>
      </c>
      <c r="J359" s="62">
        <v>0.0</v>
      </c>
      <c r="K359" s="62">
        <v>0.0</v>
      </c>
      <c r="L359" s="62">
        <v>0.0</v>
      </c>
      <c r="M359" s="62">
        <v>0.0</v>
      </c>
      <c r="N359" s="62">
        <v>0.0</v>
      </c>
      <c r="O359" s="62">
        <v>0.0</v>
      </c>
      <c r="P359" s="62">
        <v>0.0</v>
      </c>
      <c r="Q359" s="62">
        <v>0.0</v>
      </c>
      <c r="R359" s="62">
        <v>35042.0</v>
      </c>
      <c r="S359" s="62">
        <v>2432.0</v>
      </c>
      <c r="T359" s="62">
        <v>0.265555555555555</v>
      </c>
      <c r="U359" s="62">
        <v>0.265555555555555</v>
      </c>
      <c r="V359" s="62">
        <v>0.0</v>
      </c>
      <c r="W359" s="62">
        <v>0.0</v>
      </c>
      <c r="X359" s="62">
        <v>0.0</v>
      </c>
      <c r="Y359" s="62">
        <v>0.0</v>
      </c>
      <c r="Z359" s="62">
        <v>0.0</v>
      </c>
      <c r="AA359" s="62">
        <v>0.0</v>
      </c>
      <c r="AB359" s="62">
        <v>0.0</v>
      </c>
      <c r="AC359" s="62">
        <v>0.0</v>
      </c>
      <c r="AD359" s="62">
        <v>0.0</v>
      </c>
      <c r="AE359" s="62">
        <v>0.0</v>
      </c>
      <c r="AF359" s="62">
        <v>1.0</v>
      </c>
    </row>
    <row r="360">
      <c r="A360" s="68">
        <v>45803.0</v>
      </c>
      <c r="B360" s="62" t="s">
        <v>32</v>
      </c>
      <c r="C360" s="62" t="s">
        <v>168</v>
      </c>
      <c r="D360" s="62">
        <v>5.0</v>
      </c>
      <c r="E360" s="62">
        <v>4.0</v>
      </c>
      <c r="F360" s="62">
        <v>0.0</v>
      </c>
      <c r="G360" s="62">
        <v>0.0</v>
      </c>
      <c r="H360" s="62">
        <v>0.0</v>
      </c>
      <c r="I360" s="62">
        <v>0.0</v>
      </c>
      <c r="J360" s="62">
        <v>0.0</v>
      </c>
      <c r="K360" s="62">
        <v>0.0</v>
      </c>
      <c r="L360" s="62">
        <v>0.0</v>
      </c>
      <c r="M360" s="62">
        <v>0.0</v>
      </c>
      <c r="N360" s="62">
        <v>0.0</v>
      </c>
      <c r="O360" s="62">
        <v>0.0</v>
      </c>
      <c r="P360" s="62">
        <v>0.0</v>
      </c>
      <c r="Q360" s="62">
        <v>0.0</v>
      </c>
      <c r="R360" s="62">
        <v>11453.0</v>
      </c>
      <c r="S360" s="62">
        <v>9021.0</v>
      </c>
      <c r="T360" s="62">
        <v>0.0</v>
      </c>
      <c r="U360" s="62">
        <v>0.0</v>
      </c>
      <c r="V360" s="62">
        <v>0.0</v>
      </c>
      <c r="W360" s="62">
        <v>0.0</v>
      </c>
      <c r="X360" s="62">
        <v>0.0</v>
      </c>
      <c r="Y360" s="62">
        <v>0.0</v>
      </c>
      <c r="Z360" s="62">
        <v>0.0</v>
      </c>
      <c r="AA360" s="62">
        <v>0.0</v>
      </c>
      <c r="AB360" s="62">
        <v>0.0</v>
      </c>
      <c r="AC360" s="62">
        <v>0.0</v>
      </c>
      <c r="AD360" s="62">
        <v>0.0</v>
      </c>
      <c r="AE360" s="62">
        <v>0.0</v>
      </c>
      <c r="AF360" s="62">
        <v>0.0</v>
      </c>
    </row>
  </sheetData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2" t="s">
        <v>130</v>
      </c>
      <c r="B1" s="62" t="s">
        <v>131</v>
      </c>
      <c r="C1" s="62" t="s">
        <v>132</v>
      </c>
      <c r="D1" s="62" t="s">
        <v>133</v>
      </c>
      <c r="E1" s="62" t="s">
        <v>134</v>
      </c>
      <c r="F1" s="62" t="s">
        <v>135</v>
      </c>
      <c r="G1" s="62" t="s">
        <v>136</v>
      </c>
      <c r="H1" s="62" t="s">
        <v>137</v>
      </c>
      <c r="I1" s="62" t="s">
        <v>138</v>
      </c>
      <c r="J1" s="62" t="s">
        <v>139</v>
      </c>
      <c r="K1" s="62" t="s">
        <v>140</v>
      </c>
      <c r="L1" s="62" t="s">
        <v>141</v>
      </c>
      <c r="M1" s="62" t="s">
        <v>142</v>
      </c>
      <c r="N1" s="62" t="s">
        <v>143</v>
      </c>
      <c r="O1" s="62" t="s">
        <v>144</v>
      </c>
      <c r="P1" s="62" t="s">
        <v>145</v>
      </c>
      <c r="Q1" s="62" t="s">
        <v>146</v>
      </c>
      <c r="R1" s="62" t="s">
        <v>147</v>
      </c>
      <c r="S1" s="62" t="s">
        <v>148</v>
      </c>
      <c r="T1" s="62" t="s">
        <v>149</v>
      </c>
      <c r="U1" s="62" t="s">
        <v>150</v>
      </c>
      <c r="V1" s="62" t="s">
        <v>151</v>
      </c>
      <c r="W1" s="62" t="s">
        <v>152</v>
      </c>
      <c r="X1" s="62" t="s">
        <v>153</v>
      </c>
      <c r="Y1" s="62" t="s">
        <v>154</v>
      </c>
      <c r="Z1" s="62" t="s">
        <v>155</v>
      </c>
      <c r="AA1" s="62" t="s">
        <v>156</v>
      </c>
      <c r="AB1" s="62" t="s">
        <v>157</v>
      </c>
      <c r="AC1" s="62" t="s">
        <v>158</v>
      </c>
      <c r="AD1" s="62" t="s">
        <v>159</v>
      </c>
      <c r="AE1" s="62" t="s">
        <v>160</v>
      </c>
      <c r="AF1" s="62" t="s">
        <v>161</v>
      </c>
    </row>
    <row r="2">
      <c r="A2" s="68">
        <v>46166.0</v>
      </c>
      <c r="B2" s="62" t="s">
        <v>79</v>
      </c>
      <c r="C2" s="62" t="s">
        <v>162</v>
      </c>
      <c r="D2" s="62">
        <v>16.0</v>
      </c>
      <c r="E2" s="62">
        <v>0.0</v>
      </c>
      <c r="F2" s="62">
        <v>0.0</v>
      </c>
      <c r="G2" s="62">
        <v>0.0</v>
      </c>
      <c r="H2" s="62">
        <v>0.0</v>
      </c>
      <c r="I2" s="62">
        <v>0.0</v>
      </c>
      <c r="J2" s="62">
        <v>0.0</v>
      </c>
      <c r="K2" s="62">
        <v>0.0</v>
      </c>
      <c r="L2" s="62">
        <v>0.0</v>
      </c>
      <c r="M2" s="62">
        <v>0.0</v>
      </c>
      <c r="N2" s="62">
        <v>0.0</v>
      </c>
      <c r="O2" s="62">
        <v>1.0</v>
      </c>
      <c r="P2" s="62">
        <v>0.0</v>
      </c>
      <c r="Q2" s="62">
        <v>0.0</v>
      </c>
      <c r="R2" s="62">
        <v>37528.0</v>
      </c>
      <c r="S2" s="62">
        <v>0.0</v>
      </c>
      <c r="T2" s="62">
        <v>0.0</v>
      </c>
      <c r="U2" s="62">
        <v>0.0</v>
      </c>
      <c r="V2" s="62">
        <v>0.0</v>
      </c>
      <c r="W2" s="62">
        <v>0.0</v>
      </c>
      <c r="X2" s="62">
        <v>0.0</v>
      </c>
      <c r="Y2" s="62">
        <v>0.0</v>
      </c>
      <c r="Z2" s="62">
        <v>0.0</v>
      </c>
      <c r="AA2" s="62">
        <v>0.0</v>
      </c>
      <c r="AB2" s="62">
        <v>0.0</v>
      </c>
      <c r="AC2" s="62">
        <v>0.0</v>
      </c>
      <c r="AD2" s="62">
        <v>0.199722222222222</v>
      </c>
      <c r="AE2" s="62">
        <v>0.0</v>
      </c>
      <c r="AF2" s="62">
        <v>0.0</v>
      </c>
    </row>
    <row r="3">
      <c r="A3" s="68">
        <v>46166.0</v>
      </c>
      <c r="B3" s="62" t="s">
        <v>96</v>
      </c>
      <c r="C3" s="62" t="s">
        <v>97</v>
      </c>
      <c r="D3" s="62">
        <v>0.0</v>
      </c>
      <c r="E3" s="62">
        <v>0.0</v>
      </c>
      <c r="F3" s="62">
        <v>0.0</v>
      </c>
      <c r="G3" s="62">
        <v>0.0</v>
      </c>
      <c r="H3" s="62">
        <v>0.0</v>
      </c>
      <c r="I3" s="62">
        <v>0.0</v>
      </c>
      <c r="J3" s="62">
        <v>0.0</v>
      </c>
      <c r="K3" s="62">
        <v>0.0</v>
      </c>
      <c r="L3" s="62">
        <v>0.0</v>
      </c>
      <c r="M3" s="62">
        <v>4.0</v>
      </c>
      <c r="N3" s="62">
        <v>4.0</v>
      </c>
      <c r="O3" s="62">
        <v>1.0</v>
      </c>
      <c r="P3" s="62">
        <v>4.0</v>
      </c>
      <c r="Q3" s="62">
        <v>0.0</v>
      </c>
      <c r="R3" s="62">
        <v>0.0</v>
      </c>
      <c r="S3" s="62">
        <v>0.0</v>
      </c>
      <c r="T3" s="62">
        <v>0.0</v>
      </c>
      <c r="U3" s="62">
        <v>0.0</v>
      </c>
      <c r="V3" s="62">
        <v>0.0</v>
      </c>
      <c r="W3" s="62">
        <v>0.0</v>
      </c>
      <c r="X3" s="62">
        <v>0.0</v>
      </c>
      <c r="Y3" s="62">
        <v>0.0</v>
      </c>
      <c r="Z3" s="62">
        <v>0.0</v>
      </c>
      <c r="AA3" s="62">
        <v>0.0</v>
      </c>
      <c r="AB3" s="62">
        <v>0.950277777777777</v>
      </c>
      <c r="AC3" s="62">
        <v>0.950277777777777</v>
      </c>
      <c r="AD3" s="62">
        <v>0.235555555555555</v>
      </c>
      <c r="AE3" s="62">
        <v>0.950277777777777</v>
      </c>
      <c r="AF3" s="62">
        <v>0.0</v>
      </c>
    </row>
    <row r="4">
      <c r="A4" s="68">
        <v>46166.0</v>
      </c>
      <c r="B4" s="62" t="s">
        <v>71</v>
      </c>
      <c r="C4" s="62" t="s">
        <v>163</v>
      </c>
      <c r="D4" s="62">
        <v>5.0</v>
      </c>
      <c r="E4" s="62">
        <v>0.0</v>
      </c>
      <c r="F4" s="62">
        <v>0.0</v>
      </c>
      <c r="G4" s="62">
        <v>0.0</v>
      </c>
      <c r="H4" s="62">
        <v>0.0</v>
      </c>
      <c r="I4" s="62">
        <v>0.0</v>
      </c>
      <c r="J4" s="62">
        <v>0.0</v>
      </c>
      <c r="K4" s="62">
        <v>0.0</v>
      </c>
      <c r="L4" s="62">
        <v>0.0</v>
      </c>
      <c r="M4" s="62">
        <v>0.0</v>
      </c>
      <c r="N4" s="62">
        <v>0.0</v>
      </c>
      <c r="O4" s="62">
        <v>1.0</v>
      </c>
      <c r="P4" s="62">
        <v>0.0</v>
      </c>
      <c r="Q4" s="62">
        <v>0.0</v>
      </c>
      <c r="R4" s="62">
        <v>12872.0</v>
      </c>
      <c r="S4" s="62">
        <v>0.0</v>
      </c>
      <c r="T4" s="62">
        <v>0.0</v>
      </c>
      <c r="U4" s="62">
        <v>0.0</v>
      </c>
      <c r="V4" s="62">
        <v>0.0</v>
      </c>
      <c r="W4" s="62">
        <v>0.0</v>
      </c>
      <c r="X4" s="62">
        <v>0.0</v>
      </c>
      <c r="Y4" s="62">
        <v>0.0</v>
      </c>
      <c r="Z4" s="62">
        <v>0.0</v>
      </c>
      <c r="AA4" s="62">
        <v>0.0</v>
      </c>
      <c r="AB4" s="62">
        <v>0.0</v>
      </c>
      <c r="AC4" s="62">
        <v>0.0</v>
      </c>
      <c r="AD4" s="62">
        <v>0.273055555555555</v>
      </c>
      <c r="AE4" s="62">
        <v>0.0</v>
      </c>
      <c r="AF4" s="62">
        <v>0.0</v>
      </c>
    </row>
    <row r="5">
      <c r="A5" s="68">
        <v>46166.0</v>
      </c>
      <c r="B5" s="62" t="s">
        <v>76</v>
      </c>
      <c r="C5" s="62" t="s">
        <v>165</v>
      </c>
      <c r="D5" s="62">
        <v>0.0</v>
      </c>
      <c r="E5" s="62">
        <v>0.0</v>
      </c>
      <c r="F5" s="62">
        <v>1.0</v>
      </c>
      <c r="G5" s="62">
        <v>0.0</v>
      </c>
      <c r="H5" s="62">
        <v>0.0</v>
      </c>
      <c r="I5" s="62">
        <v>0.0</v>
      </c>
      <c r="J5" s="62">
        <v>0.0</v>
      </c>
      <c r="K5" s="62">
        <v>0.0</v>
      </c>
      <c r="L5" s="62">
        <v>0.0</v>
      </c>
      <c r="M5" s="62">
        <v>0.0</v>
      </c>
      <c r="N5" s="62">
        <v>0.0</v>
      </c>
      <c r="O5" s="62">
        <v>1.0</v>
      </c>
      <c r="P5" s="62">
        <v>0.0</v>
      </c>
      <c r="Q5" s="62">
        <v>0.0</v>
      </c>
      <c r="R5" s="62">
        <v>0.0</v>
      </c>
      <c r="S5" s="62">
        <v>0.0</v>
      </c>
      <c r="T5" s="62">
        <v>0.0</v>
      </c>
      <c r="U5" s="62">
        <v>0.284444444444444</v>
      </c>
      <c r="V5" s="62">
        <v>0.0</v>
      </c>
      <c r="W5" s="62">
        <v>0.0</v>
      </c>
      <c r="X5" s="62">
        <v>0.0</v>
      </c>
      <c r="Y5" s="62">
        <v>0.0</v>
      </c>
      <c r="Z5" s="62">
        <v>0.0</v>
      </c>
      <c r="AA5" s="62">
        <v>0.0</v>
      </c>
      <c r="AB5" s="62">
        <v>0.0</v>
      </c>
      <c r="AC5" s="62">
        <v>0.0</v>
      </c>
      <c r="AD5" s="62">
        <v>0.211944444444444</v>
      </c>
      <c r="AE5" s="62">
        <v>0.0</v>
      </c>
      <c r="AF5" s="62">
        <v>0.0</v>
      </c>
    </row>
    <row r="6">
      <c r="A6" s="68">
        <v>46166.0</v>
      </c>
      <c r="B6" s="62" t="s">
        <v>100</v>
      </c>
      <c r="C6" s="62" t="s">
        <v>167</v>
      </c>
      <c r="D6" s="62">
        <v>0.0</v>
      </c>
      <c r="E6" s="62">
        <v>0.0</v>
      </c>
      <c r="F6" s="62">
        <v>0.0</v>
      </c>
      <c r="G6" s="62">
        <v>0.0</v>
      </c>
      <c r="H6" s="62">
        <v>0.0</v>
      </c>
      <c r="I6" s="62">
        <v>0.0</v>
      </c>
      <c r="J6" s="62">
        <v>0.0</v>
      </c>
      <c r="K6" s="62">
        <v>0.0</v>
      </c>
      <c r="L6" s="62">
        <v>0.0</v>
      </c>
      <c r="M6" s="62">
        <v>0.0</v>
      </c>
      <c r="N6" s="62">
        <v>0.0</v>
      </c>
      <c r="O6" s="62">
        <v>1.0</v>
      </c>
      <c r="P6" s="62">
        <v>0.0</v>
      </c>
      <c r="Q6" s="62">
        <v>0.0</v>
      </c>
      <c r="R6" s="62">
        <v>0.0</v>
      </c>
      <c r="S6" s="62">
        <v>0.0</v>
      </c>
      <c r="T6" s="62">
        <v>0.656944444444444</v>
      </c>
      <c r="U6" s="62">
        <v>0.0</v>
      </c>
      <c r="V6" s="62">
        <v>0.0</v>
      </c>
      <c r="W6" s="62">
        <v>0.0</v>
      </c>
      <c r="X6" s="62">
        <v>0.0</v>
      </c>
      <c r="Y6" s="62">
        <v>0.0</v>
      </c>
      <c r="Z6" s="62">
        <v>0.0</v>
      </c>
      <c r="AA6" s="62">
        <v>0.0</v>
      </c>
      <c r="AB6" s="62">
        <v>0.0</v>
      </c>
      <c r="AC6" s="62">
        <v>0.0</v>
      </c>
      <c r="AD6" s="62">
        <v>0.212222222222222</v>
      </c>
      <c r="AE6" s="62">
        <v>0.0</v>
      </c>
      <c r="AF6" s="62">
        <v>3.0</v>
      </c>
    </row>
    <row r="7">
      <c r="A7" s="68">
        <v>46166.0</v>
      </c>
      <c r="B7" s="62" t="s">
        <v>110</v>
      </c>
      <c r="C7" s="62" t="s">
        <v>169</v>
      </c>
      <c r="D7" s="62">
        <v>0.0</v>
      </c>
      <c r="E7" s="62">
        <v>0.0</v>
      </c>
      <c r="F7" s="62">
        <v>0.0</v>
      </c>
      <c r="G7" s="62">
        <v>0.0</v>
      </c>
      <c r="H7" s="62">
        <v>0.0</v>
      </c>
      <c r="I7" s="62">
        <v>0.0</v>
      </c>
      <c r="J7" s="62">
        <v>0.0</v>
      </c>
      <c r="K7" s="62">
        <v>0.0</v>
      </c>
      <c r="L7" s="62">
        <v>0.0</v>
      </c>
      <c r="M7" s="62">
        <v>0.0</v>
      </c>
      <c r="N7" s="62">
        <v>0.0</v>
      </c>
      <c r="O7" s="62">
        <v>1.0</v>
      </c>
      <c r="P7" s="62">
        <v>0.0</v>
      </c>
      <c r="Q7" s="62">
        <v>0.0</v>
      </c>
      <c r="R7" s="62">
        <v>0.0</v>
      </c>
      <c r="S7" s="62">
        <v>0.0</v>
      </c>
      <c r="T7" s="62">
        <v>0.713333333333333</v>
      </c>
      <c r="U7" s="62">
        <v>0.0</v>
      </c>
      <c r="V7" s="62">
        <v>0.0</v>
      </c>
      <c r="W7" s="62">
        <v>0.0</v>
      </c>
      <c r="X7" s="62">
        <v>0.0</v>
      </c>
      <c r="Y7" s="62">
        <v>0.0</v>
      </c>
      <c r="Z7" s="62">
        <v>0.0</v>
      </c>
      <c r="AA7" s="62">
        <v>0.0</v>
      </c>
      <c r="AB7" s="62">
        <v>0.0</v>
      </c>
      <c r="AC7" s="62">
        <v>0.0</v>
      </c>
      <c r="AD7" s="62">
        <v>0.270833333333333</v>
      </c>
      <c r="AE7" s="62">
        <v>0.0</v>
      </c>
      <c r="AF7" s="62">
        <v>3.0</v>
      </c>
    </row>
    <row r="8">
      <c r="A8" s="68">
        <v>46166.0</v>
      </c>
      <c r="B8" s="62" t="s">
        <v>102</v>
      </c>
      <c r="C8" s="62" t="s">
        <v>170</v>
      </c>
      <c r="D8" s="62">
        <v>0.0</v>
      </c>
      <c r="E8" s="62">
        <v>2.0</v>
      </c>
      <c r="F8" s="62">
        <v>0.0</v>
      </c>
      <c r="G8" s="62">
        <v>0.0</v>
      </c>
      <c r="H8" s="62">
        <v>0.0</v>
      </c>
      <c r="I8" s="62">
        <v>0.0</v>
      </c>
      <c r="J8" s="62">
        <v>0.0</v>
      </c>
      <c r="K8" s="62">
        <v>0.0</v>
      </c>
      <c r="L8" s="62">
        <v>0.0</v>
      </c>
      <c r="M8" s="62">
        <v>2.0</v>
      </c>
      <c r="N8" s="62">
        <v>0.0</v>
      </c>
      <c r="O8" s="62">
        <v>0.0</v>
      </c>
      <c r="P8" s="62">
        <v>0.0</v>
      </c>
      <c r="Q8" s="62">
        <v>0.0</v>
      </c>
      <c r="R8" s="62">
        <v>0.0</v>
      </c>
      <c r="S8" s="62">
        <v>4747.0</v>
      </c>
      <c r="T8" s="62">
        <v>0.0</v>
      </c>
      <c r="U8" s="62">
        <v>0.0</v>
      </c>
      <c r="V8" s="62">
        <v>0.0</v>
      </c>
      <c r="W8" s="62">
        <v>0.0</v>
      </c>
      <c r="X8" s="62">
        <v>0.0</v>
      </c>
      <c r="Y8" s="62">
        <v>0.0</v>
      </c>
      <c r="Z8" s="62">
        <v>0.0</v>
      </c>
      <c r="AA8" s="62">
        <v>0.0</v>
      </c>
      <c r="AB8" s="62">
        <v>0.496111111111111</v>
      </c>
      <c r="AC8" s="62">
        <v>0.0</v>
      </c>
      <c r="AD8" s="62">
        <v>0.0</v>
      </c>
      <c r="AE8" s="62">
        <v>0.0</v>
      </c>
      <c r="AF8" s="62">
        <v>0.0</v>
      </c>
    </row>
    <row r="9">
      <c r="A9" s="68">
        <v>46166.0</v>
      </c>
      <c r="B9" s="62" t="s">
        <v>124</v>
      </c>
      <c r="C9" s="62" t="s">
        <v>171</v>
      </c>
      <c r="D9" s="62">
        <v>7.0</v>
      </c>
      <c r="E9" s="62">
        <v>0.0</v>
      </c>
      <c r="F9" s="62">
        <v>0.0</v>
      </c>
      <c r="G9" s="62">
        <v>0.0</v>
      </c>
      <c r="H9" s="62">
        <v>0.0</v>
      </c>
      <c r="I9" s="62">
        <v>0.0</v>
      </c>
      <c r="J9" s="62">
        <v>0.0</v>
      </c>
      <c r="K9" s="62">
        <v>0.0</v>
      </c>
      <c r="L9" s="62">
        <v>0.0</v>
      </c>
      <c r="M9" s="62">
        <v>0.0</v>
      </c>
      <c r="N9" s="62">
        <v>0.0</v>
      </c>
      <c r="O9" s="62">
        <v>0.0</v>
      </c>
      <c r="P9" s="62">
        <v>0.0</v>
      </c>
      <c r="Q9" s="62">
        <v>0.0</v>
      </c>
      <c r="R9" s="62">
        <v>17026.0</v>
      </c>
      <c r="S9" s="62">
        <v>0.0</v>
      </c>
      <c r="T9" s="62">
        <v>0.0</v>
      </c>
      <c r="U9" s="62">
        <v>0.0</v>
      </c>
      <c r="V9" s="62">
        <v>0.0</v>
      </c>
      <c r="W9" s="62">
        <v>0.0</v>
      </c>
      <c r="X9" s="62">
        <v>0.0</v>
      </c>
      <c r="Y9" s="62">
        <v>0.0</v>
      </c>
      <c r="Z9" s="62">
        <v>0.0</v>
      </c>
      <c r="AA9" s="62">
        <v>0.0</v>
      </c>
      <c r="AB9" s="62">
        <v>0.0</v>
      </c>
      <c r="AC9" s="62">
        <v>0.0</v>
      </c>
      <c r="AD9" s="62">
        <v>0.0</v>
      </c>
      <c r="AE9" s="62">
        <v>0.0</v>
      </c>
      <c r="AF9" s="62">
        <v>0.0</v>
      </c>
    </row>
    <row r="10">
      <c r="A10" s="68">
        <v>46166.0</v>
      </c>
      <c r="B10" s="62" t="s">
        <v>41</v>
      </c>
      <c r="C10" s="62" t="s">
        <v>172</v>
      </c>
      <c r="D10" s="62">
        <v>0.0</v>
      </c>
      <c r="E10" s="62">
        <v>2.0</v>
      </c>
      <c r="F10" s="62">
        <v>0.0</v>
      </c>
      <c r="G10" s="62">
        <v>0.0</v>
      </c>
      <c r="H10" s="62">
        <v>0.0</v>
      </c>
      <c r="I10" s="62">
        <v>0.0</v>
      </c>
      <c r="J10" s="62">
        <v>0.0</v>
      </c>
      <c r="K10" s="62">
        <v>0.0</v>
      </c>
      <c r="L10" s="62">
        <v>0.0</v>
      </c>
      <c r="M10" s="62">
        <v>0.0</v>
      </c>
      <c r="N10" s="62">
        <v>0.0</v>
      </c>
      <c r="O10" s="62">
        <v>1.0</v>
      </c>
      <c r="P10" s="62">
        <v>0.0</v>
      </c>
      <c r="Q10" s="62">
        <v>0.0</v>
      </c>
      <c r="R10" s="62">
        <v>0.0</v>
      </c>
      <c r="S10" s="62">
        <v>6677.0</v>
      </c>
      <c r="T10" s="62">
        <v>0.0</v>
      </c>
      <c r="U10" s="62">
        <v>0.0</v>
      </c>
      <c r="V10" s="62">
        <v>0.0</v>
      </c>
      <c r="W10" s="62">
        <v>0.0</v>
      </c>
      <c r="X10" s="62">
        <v>0.0</v>
      </c>
      <c r="Y10" s="62">
        <v>0.0</v>
      </c>
      <c r="Z10" s="62">
        <v>0.0</v>
      </c>
      <c r="AA10" s="62">
        <v>0.0</v>
      </c>
      <c r="AB10" s="62">
        <v>0.0</v>
      </c>
      <c r="AC10" s="62">
        <v>0.0</v>
      </c>
      <c r="AD10" s="62">
        <v>0.236944444444444</v>
      </c>
      <c r="AE10" s="62">
        <v>0.0</v>
      </c>
      <c r="AF10" s="62">
        <v>0.0</v>
      </c>
    </row>
    <row r="11">
      <c r="A11" s="68">
        <v>46165.0</v>
      </c>
      <c r="B11" s="62" t="s">
        <v>79</v>
      </c>
      <c r="C11" s="62" t="s">
        <v>162</v>
      </c>
      <c r="D11" s="62">
        <v>0.0</v>
      </c>
      <c r="E11" s="62">
        <v>0.0</v>
      </c>
      <c r="F11" s="62">
        <v>0.0</v>
      </c>
      <c r="G11" s="62">
        <v>0.0</v>
      </c>
      <c r="H11" s="62">
        <v>0.0</v>
      </c>
      <c r="I11" s="62">
        <v>0.0</v>
      </c>
      <c r="J11" s="62">
        <v>0.0</v>
      </c>
      <c r="K11" s="62">
        <v>0.0</v>
      </c>
      <c r="L11" s="62">
        <v>0.0</v>
      </c>
      <c r="M11" s="62">
        <v>0.0</v>
      </c>
      <c r="N11" s="62">
        <v>11.0</v>
      </c>
      <c r="O11" s="62">
        <v>1.0</v>
      </c>
      <c r="P11" s="62">
        <v>11.0</v>
      </c>
      <c r="Q11" s="62">
        <v>0.0</v>
      </c>
      <c r="R11" s="62">
        <v>0.0</v>
      </c>
      <c r="S11" s="62">
        <v>0.0</v>
      </c>
      <c r="T11" s="62">
        <v>0.0</v>
      </c>
      <c r="U11" s="62">
        <v>0.0</v>
      </c>
      <c r="V11" s="62">
        <v>0.0</v>
      </c>
      <c r="W11" s="62">
        <v>0.0</v>
      </c>
      <c r="X11" s="62">
        <v>0.0</v>
      </c>
      <c r="Y11" s="62">
        <v>0.0</v>
      </c>
      <c r="Z11" s="62">
        <v>0.0</v>
      </c>
      <c r="AA11" s="62">
        <v>0.0</v>
      </c>
      <c r="AB11" s="62">
        <v>0.0</v>
      </c>
      <c r="AC11" s="62">
        <v>2.30888888888888</v>
      </c>
      <c r="AD11" s="62">
        <v>0.195555555555555</v>
      </c>
      <c r="AE11" s="62">
        <v>2.30888888888888</v>
      </c>
      <c r="AF11" s="62">
        <v>0.0</v>
      </c>
    </row>
    <row r="12">
      <c r="A12" s="68">
        <v>46165.0</v>
      </c>
      <c r="B12" s="62" t="s">
        <v>96</v>
      </c>
      <c r="C12" s="62" t="s">
        <v>97</v>
      </c>
      <c r="D12" s="62">
        <v>1.0</v>
      </c>
      <c r="E12" s="62">
        <v>2.0</v>
      </c>
      <c r="F12" s="62">
        <v>0.0</v>
      </c>
      <c r="G12" s="62">
        <v>0.0</v>
      </c>
      <c r="H12" s="62">
        <v>0.0</v>
      </c>
      <c r="I12" s="62">
        <v>0.0</v>
      </c>
      <c r="J12" s="62">
        <v>0.0</v>
      </c>
      <c r="K12" s="62">
        <v>0.0</v>
      </c>
      <c r="L12" s="62">
        <v>0.0</v>
      </c>
      <c r="M12" s="62">
        <v>6.0</v>
      </c>
      <c r="N12" s="62">
        <v>6.0</v>
      </c>
      <c r="O12" s="62">
        <v>1.0</v>
      </c>
      <c r="P12" s="62">
        <v>6.0</v>
      </c>
      <c r="Q12" s="62">
        <v>0.0</v>
      </c>
      <c r="R12" s="62">
        <v>2079.0</v>
      </c>
      <c r="S12" s="62">
        <v>4538.0</v>
      </c>
      <c r="T12" s="62">
        <v>0.5</v>
      </c>
      <c r="U12" s="62">
        <v>0.0</v>
      </c>
      <c r="V12" s="62">
        <v>0.0</v>
      </c>
      <c r="W12" s="62">
        <v>0.0</v>
      </c>
      <c r="X12" s="62">
        <v>0.0</v>
      </c>
      <c r="Y12" s="62">
        <v>0.0</v>
      </c>
      <c r="Z12" s="62">
        <v>0.0</v>
      </c>
      <c r="AA12" s="62">
        <v>0.0</v>
      </c>
      <c r="AB12" s="62">
        <v>1.51416666666666</v>
      </c>
      <c r="AC12" s="62">
        <v>1.51416666666666</v>
      </c>
      <c r="AD12" s="62">
        <v>0.231666666666666</v>
      </c>
      <c r="AE12" s="62">
        <v>1.51416666666666</v>
      </c>
      <c r="AF12" s="62">
        <v>2.0</v>
      </c>
    </row>
    <row r="13">
      <c r="A13" s="68">
        <v>46165.0</v>
      </c>
      <c r="B13" s="62" t="s">
        <v>76</v>
      </c>
      <c r="C13" s="62" t="s">
        <v>165</v>
      </c>
      <c r="D13" s="62">
        <v>0.0</v>
      </c>
      <c r="E13" s="62">
        <v>3.0</v>
      </c>
      <c r="F13" s="62">
        <v>0.0</v>
      </c>
      <c r="G13" s="62">
        <v>6.0</v>
      </c>
      <c r="H13" s="62">
        <v>6.0</v>
      </c>
      <c r="I13" s="62">
        <v>0.0</v>
      </c>
      <c r="J13" s="62">
        <v>6.0</v>
      </c>
      <c r="K13" s="62">
        <v>0.0</v>
      </c>
      <c r="L13" s="62">
        <v>0.0</v>
      </c>
      <c r="M13" s="62">
        <v>0.0</v>
      </c>
      <c r="N13" s="62">
        <v>10.0</v>
      </c>
      <c r="O13" s="62">
        <v>1.0</v>
      </c>
      <c r="P13" s="62">
        <v>10.0</v>
      </c>
      <c r="Q13" s="62">
        <v>0.0</v>
      </c>
      <c r="R13" s="62">
        <v>0.0</v>
      </c>
      <c r="S13" s="62">
        <v>8671.0</v>
      </c>
      <c r="T13" s="62">
        <v>0.284444444444444</v>
      </c>
      <c r="U13" s="62">
        <v>0.0</v>
      </c>
      <c r="V13" s="62">
        <v>1.79611111111111</v>
      </c>
      <c r="W13" s="62">
        <v>1.79611111111111</v>
      </c>
      <c r="X13" s="62">
        <v>0.0</v>
      </c>
      <c r="Y13" s="62">
        <v>1.79611111111111</v>
      </c>
      <c r="Z13" s="62">
        <v>0.0</v>
      </c>
      <c r="AA13" s="62">
        <v>0.0</v>
      </c>
      <c r="AB13" s="62">
        <v>0.0</v>
      </c>
      <c r="AC13" s="62">
        <v>3.21805555555555</v>
      </c>
      <c r="AD13" s="62">
        <v>0.235555555555555</v>
      </c>
      <c r="AE13" s="62">
        <v>3.21805555555555</v>
      </c>
      <c r="AF13" s="62">
        <v>1.0</v>
      </c>
    </row>
    <row r="14">
      <c r="A14" s="68">
        <v>46165.0</v>
      </c>
      <c r="B14" s="62" t="s">
        <v>104</v>
      </c>
      <c r="C14" s="62" t="s">
        <v>166</v>
      </c>
      <c r="D14" s="62">
        <v>0.0</v>
      </c>
      <c r="E14" s="62">
        <v>0.0</v>
      </c>
      <c r="F14" s="62">
        <v>0.0</v>
      </c>
      <c r="G14" s="62">
        <v>0.0</v>
      </c>
      <c r="H14" s="62">
        <v>0.0</v>
      </c>
      <c r="I14" s="62">
        <v>0.0</v>
      </c>
      <c r="J14" s="62">
        <v>0.0</v>
      </c>
      <c r="K14" s="62">
        <v>0.0</v>
      </c>
      <c r="L14" s="62">
        <v>0.0</v>
      </c>
      <c r="M14" s="62">
        <v>2.0</v>
      </c>
      <c r="N14" s="62">
        <v>8.0</v>
      </c>
      <c r="O14" s="62">
        <v>1.0</v>
      </c>
      <c r="P14" s="62">
        <v>8.0</v>
      </c>
      <c r="Q14" s="62">
        <v>0.0</v>
      </c>
      <c r="R14" s="62">
        <v>0.0</v>
      </c>
      <c r="S14" s="62">
        <v>0.0</v>
      </c>
      <c r="T14" s="62">
        <v>0.0</v>
      </c>
      <c r="U14" s="62">
        <v>0.0</v>
      </c>
      <c r="V14" s="62">
        <v>0.0</v>
      </c>
      <c r="W14" s="62">
        <v>0.0</v>
      </c>
      <c r="X14" s="62">
        <v>0.0</v>
      </c>
      <c r="Y14" s="62">
        <v>0.0</v>
      </c>
      <c r="Z14" s="62">
        <v>0.0</v>
      </c>
      <c r="AA14" s="62">
        <v>0.0</v>
      </c>
      <c r="AB14" s="62">
        <v>0.471388888888888</v>
      </c>
      <c r="AC14" s="62">
        <v>1.82527777777777</v>
      </c>
      <c r="AD14" s="62">
        <v>0.221111111111111</v>
      </c>
      <c r="AE14" s="62">
        <v>1.82527777777777</v>
      </c>
      <c r="AF14" s="62">
        <v>0.0</v>
      </c>
    </row>
    <row r="15">
      <c r="A15" s="68">
        <v>46165.0</v>
      </c>
      <c r="B15" s="62" t="s">
        <v>100</v>
      </c>
      <c r="C15" s="62" t="s">
        <v>167</v>
      </c>
      <c r="D15" s="62">
        <v>0.0</v>
      </c>
      <c r="E15" s="62">
        <v>0.0</v>
      </c>
      <c r="F15" s="62">
        <v>0.0</v>
      </c>
      <c r="G15" s="62">
        <v>0.0</v>
      </c>
      <c r="H15" s="62">
        <v>0.0</v>
      </c>
      <c r="I15" s="62">
        <v>0.0</v>
      </c>
      <c r="J15" s="62">
        <v>1.0</v>
      </c>
      <c r="K15" s="62">
        <v>0.0</v>
      </c>
      <c r="L15" s="62">
        <v>0.0</v>
      </c>
      <c r="M15" s="62">
        <v>0.0</v>
      </c>
      <c r="N15" s="62">
        <v>4.0</v>
      </c>
      <c r="O15" s="62">
        <v>1.0</v>
      </c>
      <c r="P15" s="62">
        <v>4.0</v>
      </c>
      <c r="Q15" s="62">
        <v>0.0</v>
      </c>
      <c r="R15" s="62">
        <v>0.0</v>
      </c>
      <c r="S15" s="62">
        <v>0.0</v>
      </c>
      <c r="T15" s="62">
        <v>0.0</v>
      </c>
      <c r="U15" s="62">
        <v>0.0</v>
      </c>
      <c r="V15" s="62">
        <v>0.0</v>
      </c>
      <c r="W15" s="62">
        <v>0.0</v>
      </c>
      <c r="X15" s="62">
        <v>0.0</v>
      </c>
      <c r="Y15" s="62">
        <v>0.237777777777777</v>
      </c>
      <c r="Z15" s="62">
        <v>0.0</v>
      </c>
      <c r="AA15" s="62">
        <v>0.0</v>
      </c>
      <c r="AB15" s="62">
        <v>0.0</v>
      </c>
      <c r="AC15" s="62">
        <v>0.866666666666666</v>
      </c>
      <c r="AD15" s="62">
        <v>0.246388888888888</v>
      </c>
      <c r="AE15" s="62">
        <v>0.866666666666666</v>
      </c>
      <c r="AF15" s="62">
        <v>0.0</v>
      </c>
    </row>
    <row r="16">
      <c r="A16" s="68">
        <v>46165.0</v>
      </c>
      <c r="B16" s="62" t="s">
        <v>32</v>
      </c>
      <c r="C16" s="62" t="s">
        <v>168</v>
      </c>
      <c r="D16" s="62">
        <v>0.0</v>
      </c>
      <c r="E16" s="62">
        <v>1.0</v>
      </c>
      <c r="F16" s="62">
        <v>0.0</v>
      </c>
      <c r="G16" s="62">
        <v>0.0</v>
      </c>
      <c r="H16" s="62">
        <v>0.0</v>
      </c>
      <c r="I16" s="62">
        <v>0.0</v>
      </c>
      <c r="J16" s="62">
        <v>0.0</v>
      </c>
      <c r="K16" s="62">
        <v>0.0</v>
      </c>
      <c r="L16" s="62">
        <v>0.0</v>
      </c>
      <c r="M16" s="62">
        <v>0.0</v>
      </c>
      <c r="N16" s="62">
        <v>0.0</v>
      </c>
      <c r="O16" s="62">
        <v>1.0</v>
      </c>
      <c r="P16" s="62">
        <v>0.0</v>
      </c>
      <c r="Q16" s="62">
        <v>0.0</v>
      </c>
      <c r="R16" s="62">
        <v>0.0</v>
      </c>
      <c r="S16" s="62">
        <v>2387.0</v>
      </c>
      <c r="T16" s="62">
        <v>0.0</v>
      </c>
      <c r="U16" s="62">
        <v>0.0</v>
      </c>
      <c r="V16" s="62">
        <v>0.0</v>
      </c>
      <c r="W16" s="62">
        <v>0.0</v>
      </c>
      <c r="X16" s="62">
        <v>0.0</v>
      </c>
      <c r="Y16" s="62">
        <v>0.0</v>
      </c>
      <c r="Z16" s="62">
        <v>0.0</v>
      </c>
      <c r="AA16" s="62">
        <v>0.0</v>
      </c>
      <c r="AB16" s="62">
        <v>0.0</v>
      </c>
      <c r="AC16" s="62">
        <v>0.0</v>
      </c>
      <c r="AD16" s="62">
        <v>0.218055555555555</v>
      </c>
      <c r="AE16" s="62">
        <v>0.0</v>
      </c>
      <c r="AF16" s="62">
        <v>0.0</v>
      </c>
    </row>
    <row r="17">
      <c r="A17" s="68">
        <v>46165.0</v>
      </c>
      <c r="B17" s="62" t="s">
        <v>110</v>
      </c>
      <c r="C17" s="62" t="s">
        <v>169</v>
      </c>
      <c r="D17" s="62">
        <v>0.0</v>
      </c>
      <c r="E17" s="62">
        <v>0.0</v>
      </c>
      <c r="F17" s="62">
        <v>0.0</v>
      </c>
      <c r="G17" s="62">
        <v>0.0</v>
      </c>
      <c r="H17" s="62">
        <v>0.0</v>
      </c>
      <c r="I17" s="62">
        <v>0.0</v>
      </c>
      <c r="J17" s="62">
        <v>0.0</v>
      </c>
      <c r="K17" s="62">
        <v>0.0</v>
      </c>
      <c r="L17" s="62">
        <v>0.0</v>
      </c>
      <c r="M17" s="62">
        <v>0.0</v>
      </c>
      <c r="N17" s="62">
        <v>0.0</v>
      </c>
      <c r="O17" s="62">
        <v>1.0</v>
      </c>
      <c r="P17" s="62">
        <v>0.0</v>
      </c>
      <c r="Q17" s="62">
        <v>0.0</v>
      </c>
      <c r="R17" s="62">
        <v>0.0</v>
      </c>
      <c r="S17" s="62">
        <v>0.0</v>
      </c>
      <c r="T17" s="62">
        <v>1.21888888888888</v>
      </c>
      <c r="U17" s="62">
        <v>0.0</v>
      </c>
      <c r="V17" s="62">
        <v>0.0</v>
      </c>
      <c r="W17" s="62">
        <v>0.0</v>
      </c>
      <c r="X17" s="62">
        <v>0.0</v>
      </c>
      <c r="Y17" s="62">
        <v>0.0</v>
      </c>
      <c r="Z17" s="62">
        <v>0.0</v>
      </c>
      <c r="AA17" s="62">
        <v>0.0</v>
      </c>
      <c r="AB17" s="62">
        <v>0.0</v>
      </c>
      <c r="AC17" s="62">
        <v>0.0</v>
      </c>
      <c r="AD17" s="62">
        <v>0.231111111111111</v>
      </c>
      <c r="AE17" s="62">
        <v>0.0</v>
      </c>
      <c r="AF17" s="62">
        <v>5.0</v>
      </c>
    </row>
    <row r="18">
      <c r="A18" s="68">
        <v>46165.0</v>
      </c>
      <c r="B18" s="62" t="s">
        <v>102</v>
      </c>
      <c r="C18" s="62" t="s">
        <v>170</v>
      </c>
      <c r="D18" s="62">
        <v>0.0</v>
      </c>
      <c r="E18" s="62">
        <v>2.0</v>
      </c>
      <c r="F18" s="62">
        <v>0.0</v>
      </c>
      <c r="G18" s="62">
        <v>0.0</v>
      </c>
      <c r="H18" s="62">
        <v>0.0</v>
      </c>
      <c r="I18" s="62">
        <v>0.0</v>
      </c>
      <c r="J18" s="62">
        <v>0.0</v>
      </c>
      <c r="K18" s="62">
        <v>0.0</v>
      </c>
      <c r="L18" s="62">
        <v>0.0</v>
      </c>
      <c r="M18" s="62">
        <v>2.0</v>
      </c>
      <c r="N18" s="62">
        <v>0.0</v>
      </c>
      <c r="O18" s="62">
        <v>1.0</v>
      </c>
      <c r="P18" s="62">
        <v>0.0</v>
      </c>
      <c r="Q18" s="62">
        <v>0.0</v>
      </c>
      <c r="R18" s="62">
        <v>0.0</v>
      </c>
      <c r="S18" s="62">
        <v>4368.0</v>
      </c>
      <c r="T18" s="62">
        <v>0.0</v>
      </c>
      <c r="U18" s="62">
        <v>0.0</v>
      </c>
      <c r="V18" s="62">
        <v>0.0</v>
      </c>
      <c r="W18" s="62">
        <v>0.0</v>
      </c>
      <c r="X18" s="62">
        <v>0.0</v>
      </c>
      <c r="Y18" s="62">
        <v>0.0</v>
      </c>
      <c r="Z18" s="62">
        <v>0.0</v>
      </c>
      <c r="AA18" s="62">
        <v>0.0</v>
      </c>
      <c r="AB18" s="62">
        <v>0.449166666666666</v>
      </c>
      <c r="AC18" s="62">
        <v>0.0</v>
      </c>
      <c r="AD18" s="62">
        <v>0.325277777777777</v>
      </c>
      <c r="AE18" s="62">
        <v>0.0</v>
      </c>
      <c r="AF18" s="62">
        <v>0.0</v>
      </c>
    </row>
    <row r="19">
      <c r="A19" s="68">
        <v>46165.0</v>
      </c>
      <c r="B19" s="62" t="s">
        <v>41</v>
      </c>
      <c r="C19" s="62" t="s">
        <v>172</v>
      </c>
      <c r="D19" s="62">
        <v>0.0</v>
      </c>
      <c r="E19" s="62">
        <v>0.0</v>
      </c>
      <c r="F19" s="62">
        <v>0.0</v>
      </c>
      <c r="G19" s="62">
        <v>0.0</v>
      </c>
      <c r="H19" s="62">
        <v>0.0</v>
      </c>
      <c r="I19" s="62">
        <v>0.0</v>
      </c>
      <c r="J19" s="62">
        <v>0.0</v>
      </c>
      <c r="K19" s="62">
        <v>0.0</v>
      </c>
      <c r="L19" s="62">
        <v>0.0</v>
      </c>
      <c r="M19" s="62">
        <v>0.0</v>
      </c>
      <c r="N19" s="62">
        <v>11.0</v>
      </c>
      <c r="O19" s="62">
        <v>1.0</v>
      </c>
      <c r="P19" s="62">
        <v>11.0</v>
      </c>
      <c r="Q19" s="62">
        <v>0.0</v>
      </c>
      <c r="R19" s="62">
        <v>0.0</v>
      </c>
      <c r="S19" s="62">
        <v>0.0</v>
      </c>
      <c r="T19" s="62">
        <v>0.0</v>
      </c>
      <c r="U19" s="62">
        <v>0.0</v>
      </c>
      <c r="V19" s="62">
        <v>0.0</v>
      </c>
      <c r="W19" s="62">
        <v>0.0</v>
      </c>
      <c r="X19" s="62">
        <v>0.0</v>
      </c>
      <c r="Y19" s="62">
        <v>0.0</v>
      </c>
      <c r="Z19" s="62">
        <v>0.0</v>
      </c>
      <c r="AA19" s="62">
        <v>0.0</v>
      </c>
      <c r="AB19" s="62">
        <v>0.0</v>
      </c>
      <c r="AC19" s="62">
        <v>3.07694444444444</v>
      </c>
      <c r="AD19" s="62">
        <v>0.241944444444444</v>
      </c>
      <c r="AE19" s="62">
        <v>3.07694444444444</v>
      </c>
      <c r="AF19" s="62">
        <v>0.0</v>
      </c>
    </row>
    <row r="20">
      <c r="A20" s="68">
        <v>46165.0</v>
      </c>
      <c r="B20" s="62" t="s">
        <v>65</v>
      </c>
      <c r="C20" s="62" t="s">
        <v>173</v>
      </c>
      <c r="D20" s="62">
        <v>0.0</v>
      </c>
      <c r="E20" s="62">
        <v>0.0</v>
      </c>
      <c r="F20" s="62">
        <v>0.0</v>
      </c>
      <c r="G20" s="62">
        <v>0.0</v>
      </c>
      <c r="H20" s="62">
        <v>0.0</v>
      </c>
      <c r="I20" s="62">
        <v>0.0</v>
      </c>
      <c r="J20" s="62">
        <v>0.0</v>
      </c>
      <c r="K20" s="62">
        <v>0.0</v>
      </c>
      <c r="L20" s="62">
        <v>0.0</v>
      </c>
      <c r="M20" s="62">
        <v>1.0</v>
      </c>
      <c r="N20" s="62">
        <v>0.0</v>
      </c>
      <c r="O20" s="62">
        <v>1.0</v>
      </c>
      <c r="P20" s="62">
        <v>0.0</v>
      </c>
      <c r="Q20" s="62">
        <v>0.0</v>
      </c>
      <c r="R20" s="62">
        <v>0.0</v>
      </c>
      <c r="S20" s="62">
        <v>0.0</v>
      </c>
      <c r="T20" s="62">
        <v>0.0</v>
      </c>
      <c r="U20" s="62">
        <v>0.0</v>
      </c>
      <c r="V20" s="62">
        <v>0.0</v>
      </c>
      <c r="W20" s="62">
        <v>0.0</v>
      </c>
      <c r="X20" s="62">
        <v>0.0</v>
      </c>
      <c r="Y20" s="62">
        <v>0.0</v>
      </c>
      <c r="Z20" s="62">
        <v>0.0</v>
      </c>
      <c r="AA20" s="62">
        <v>0.0</v>
      </c>
      <c r="AB20" s="62">
        <v>0.183055555555555</v>
      </c>
      <c r="AC20" s="62">
        <v>0.0</v>
      </c>
      <c r="AD20" s="62">
        <v>0.216666666666666</v>
      </c>
      <c r="AE20" s="62">
        <v>0.0</v>
      </c>
      <c r="AF20" s="62">
        <v>0.0</v>
      </c>
    </row>
    <row r="21">
      <c r="A21" s="68">
        <v>46165.0</v>
      </c>
      <c r="B21" s="62" t="s">
        <v>56</v>
      </c>
      <c r="C21" s="62" t="s">
        <v>176</v>
      </c>
      <c r="D21" s="62">
        <v>16.0</v>
      </c>
      <c r="E21" s="62">
        <v>0.0</v>
      </c>
      <c r="F21" s="62">
        <v>0.0</v>
      </c>
      <c r="G21" s="62">
        <v>0.0</v>
      </c>
      <c r="H21" s="62">
        <v>0.0</v>
      </c>
      <c r="I21" s="62">
        <v>0.0</v>
      </c>
      <c r="J21" s="62">
        <v>0.0</v>
      </c>
      <c r="K21" s="62">
        <v>0.0</v>
      </c>
      <c r="L21" s="62">
        <v>0.0</v>
      </c>
      <c r="M21" s="62">
        <v>0.0</v>
      </c>
      <c r="N21" s="62">
        <v>0.0</v>
      </c>
      <c r="O21" s="62">
        <v>1.0</v>
      </c>
      <c r="P21" s="62">
        <v>0.0</v>
      </c>
      <c r="Q21" s="62">
        <v>0.0</v>
      </c>
      <c r="R21" s="62">
        <v>35497.0</v>
      </c>
      <c r="S21" s="62">
        <v>0.0</v>
      </c>
      <c r="T21" s="62">
        <v>0.678888888888888</v>
      </c>
      <c r="U21" s="62">
        <v>0.0</v>
      </c>
      <c r="V21" s="62">
        <v>0.0</v>
      </c>
      <c r="W21" s="62">
        <v>0.0</v>
      </c>
      <c r="X21" s="62">
        <v>0.0</v>
      </c>
      <c r="Y21" s="62">
        <v>0.0</v>
      </c>
      <c r="Z21" s="62">
        <v>0.0</v>
      </c>
      <c r="AA21" s="62">
        <v>0.0</v>
      </c>
      <c r="AB21" s="62">
        <v>0.0</v>
      </c>
      <c r="AC21" s="62">
        <v>0.0</v>
      </c>
      <c r="AD21" s="62">
        <v>0.249166666666666</v>
      </c>
      <c r="AE21" s="62">
        <v>0.0</v>
      </c>
      <c r="AF21" s="62">
        <v>3.0</v>
      </c>
    </row>
    <row r="22">
      <c r="A22" s="68">
        <v>46165.0</v>
      </c>
      <c r="B22" s="62" t="s">
        <v>89</v>
      </c>
      <c r="C22" s="62" t="s">
        <v>180</v>
      </c>
      <c r="D22" s="62">
        <v>0.0</v>
      </c>
      <c r="E22" s="62">
        <v>0.0</v>
      </c>
      <c r="F22" s="62">
        <v>0.0</v>
      </c>
      <c r="G22" s="62">
        <v>0.0</v>
      </c>
      <c r="H22" s="62">
        <v>0.0</v>
      </c>
      <c r="I22" s="62">
        <v>0.0</v>
      </c>
      <c r="J22" s="62">
        <v>0.0</v>
      </c>
      <c r="K22" s="62">
        <v>0.0</v>
      </c>
      <c r="L22" s="62">
        <v>0.0</v>
      </c>
      <c r="M22" s="62">
        <v>4.0</v>
      </c>
      <c r="N22" s="62">
        <v>4.0</v>
      </c>
      <c r="O22" s="62">
        <v>1.0</v>
      </c>
      <c r="P22" s="62">
        <v>4.0</v>
      </c>
      <c r="Q22" s="62">
        <v>0.0</v>
      </c>
      <c r="R22" s="62">
        <v>0.0</v>
      </c>
      <c r="S22" s="62">
        <v>0.0</v>
      </c>
      <c r="T22" s="62">
        <v>0.0</v>
      </c>
      <c r="U22" s="62">
        <v>0.0</v>
      </c>
      <c r="V22" s="62">
        <v>0.0</v>
      </c>
      <c r="W22" s="62">
        <v>0.0</v>
      </c>
      <c r="X22" s="62">
        <v>0.0</v>
      </c>
      <c r="Y22" s="62">
        <v>0.0</v>
      </c>
      <c r="Z22" s="62">
        <v>0.0</v>
      </c>
      <c r="AA22" s="62">
        <v>0.0</v>
      </c>
      <c r="AB22" s="62">
        <v>0.93</v>
      </c>
      <c r="AC22" s="62">
        <v>0.93</v>
      </c>
      <c r="AD22" s="62">
        <v>0.192777777777777</v>
      </c>
      <c r="AE22" s="62">
        <v>0.93</v>
      </c>
      <c r="AF22" s="62">
        <v>0.0</v>
      </c>
    </row>
    <row r="23">
      <c r="A23" s="68">
        <v>46164.0</v>
      </c>
      <c r="B23" s="62" t="s">
        <v>79</v>
      </c>
      <c r="C23" s="62" t="s">
        <v>162</v>
      </c>
      <c r="D23" s="62">
        <v>11.0</v>
      </c>
      <c r="E23" s="62">
        <v>11.0</v>
      </c>
      <c r="F23" s="62">
        <v>0.0</v>
      </c>
      <c r="G23" s="62">
        <v>10.0</v>
      </c>
      <c r="H23" s="62">
        <v>10.0</v>
      </c>
      <c r="I23" s="62">
        <v>0.0</v>
      </c>
      <c r="J23" s="62">
        <v>10.0</v>
      </c>
      <c r="K23" s="62">
        <v>1.0</v>
      </c>
      <c r="L23" s="62">
        <v>0.0</v>
      </c>
      <c r="M23" s="62">
        <v>13.0</v>
      </c>
      <c r="N23" s="62">
        <v>5.0</v>
      </c>
      <c r="O23" s="62">
        <v>1.0</v>
      </c>
      <c r="P23" s="62">
        <v>5.0</v>
      </c>
      <c r="Q23" s="62">
        <v>0.0</v>
      </c>
      <c r="R23" s="62">
        <v>26371.0</v>
      </c>
      <c r="S23" s="62">
        <v>26212.0</v>
      </c>
      <c r="T23" s="62">
        <v>0.0</v>
      </c>
      <c r="U23" s="62">
        <v>0.0</v>
      </c>
      <c r="V23" s="62">
        <v>2.09805555555555</v>
      </c>
      <c r="W23" s="62">
        <v>2.09805555555555</v>
      </c>
      <c r="X23" s="62">
        <v>0.0</v>
      </c>
      <c r="Y23" s="62">
        <v>2.09805555555555</v>
      </c>
      <c r="Z23" s="62">
        <v>0.219444444444444</v>
      </c>
      <c r="AA23" s="62">
        <v>0.0</v>
      </c>
      <c r="AB23" s="62">
        <v>2.75722222222222</v>
      </c>
      <c r="AC23" s="62">
        <v>1.12333333333333</v>
      </c>
      <c r="AD23" s="62">
        <v>0.208333333333333</v>
      </c>
      <c r="AE23" s="62">
        <v>1.12333333333333</v>
      </c>
      <c r="AF23" s="62">
        <v>0.0</v>
      </c>
    </row>
    <row r="24">
      <c r="A24" s="68">
        <v>46164.0</v>
      </c>
      <c r="B24" s="62" t="s">
        <v>96</v>
      </c>
      <c r="C24" s="62" t="s">
        <v>97</v>
      </c>
      <c r="D24" s="62">
        <v>5.0</v>
      </c>
      <c r="E24" s="62">
        <v>4.0</v>
      </c>
      <c r="F24" s="62">
        <v>0.0</v>
      </c>
      <c r="G24" s="62">
        <v>0.0</v>
      </c>
      <c r="H24" s="62">
        <v>0.0</v>
      </c>
      <c r="I24" s="62">
        <v>0.0</v>
      </c>
      <c r="J24" s="62">
        <v>0.0</v>
      </c>
      <c r="K24" s="62">
        <v>0.0</v>
      </c>
      <c r="L24" s="62">
        <v>0.0</v>
      </c>
      <c r="M24" s="62">
        <v>0.0</v>
      </c>
      <c r="N24" s="62">
        <v>0.0</v>
      </c>
      <c r="O24" s="62">
        <v>1.0</v>
      </c>
      <c r="P24" s="62">
        <v>0.0</v>
      </c>
      <c r="Q24" s="62">
        <v>0.0</v>
      </c>
      <c r="R24" s="62">
        <v>11418.0</v>
      </c>
      <c r="S24" s="62">
        <v>9139.0</v>
      </c>
      <c r="T24" s="62">
        <v>0.974444444444444</v>
      </c>
      <c r="U24" s="62">
        <v>0.0</v>
      </c>
      <c r="V24" s="62">
        <v>0.0</v>
      </c>
      <c r="W24" s="62">
        <v>0.0</v>
      </c>
      <c r="X24" s="62">
        <v>0.0</v>
      </c>
      <c r="Y24" s="62">
        <v>0.0</v>
      </c>
      <c r="Z24" s="62">
        <v>0.0</v>
      </c>
      <c r="AA24" s="62">
        <v>0.0</v>
      </c>
      <c r="AB24" s="62">
        <v>0.0</v>
      </c>
      <c r="AC24" s="62">
        <v>0.0</v>
      </c>
      <c r="AD24" s="62">
        <v>0.23</v>
      </c>
      <c r="AE24" s="62">
        <v>0.0</v>
      </c>
      <c r="AF24" s="62">
        <v>4.0</v>
      </c>
    </row>
    <row r="25">
      <c r="A25" s="68">
        <v>46164.0</v>
      </c>
      <c r="B25" s="62" t="s">
        <v>71</v>
      </c>
      <c r="C25" s="62" t="s">
        <v>163</v>
      </c>
      <c r="D25" s="62">
        <v>0.0</v>
      </c>
      <c r="E25" s="62">
        <v>1.0</v>
      </c>
      <c r="F25" s="62">
        <v>0.0</v>
      </c>
      <c r="G25" s="62">
        <v>0.0</v>
      </c>
      <c r="H25" s="62">
        <v>0.0</v>
      </c>
      <c r="I25" s="62">
        <v>0.0</v>
      </c>
      <c r="J25" s="62">
        <v>0.0</v>
      </c>
      <c r="K25" s="62">
        <v>0.0</v>
      </c>
      <c r="L25" s="62">
        <v>0.0</v>
      </c>
      <c r="M25" s="62">
        <v>0.0</v>
      </c>
      <c r="N25" s="62">
        <v>0.0</v>
      </c>
      <c r="O25" s="62">
        <v>1.0</v>
      </c>
      <c r="P25" s="62">
        <v>0.0</v>
      </c>
      <c r="Q25" s="62">
        <v>0.0</v>
      </c>
      <c r="R25" s="62">
        <v>0.0</v>
      </c>
      <c r="S25" s="62">
        <v>2658.0</v>
      </c>
      <c r="T25" s="62">
        <v>0.0</v>
      </c>
      <c r="U25" s="62">
        <v>0.0</v>
      </c>
      <c r="V25" s="62">
        <v>0.0</v>
      </c>
      <c r="W25" s="62">
        <v>0.0</v>
      </c>
      <c r="X25" s="62">
        <v>0.0</v>
      </c>
      <c r="Y25" s="62">
        <v>0.0</v>
      </c>
      <c r="Z25" s="62">
        <v>0.0</v>
      </c>
      <c r="AA25" s="62">
        <v>0.0</v>
      </c>
      <c r="AB25" s="62">
        <v>0.0</v>
      </c>
      <c r="AC25" s="62">
        <v>0.0</v>
      </c>
      <c r="AD25" s="62">
        <v>0.286111111111111</v>
      </c>
      <c r="AE25" s="62">
        <v>0.0</v>
      </c>
      <c r="AF25" s="62">
        <v>0.0</v>
      </c>
    </row>
    <row r="26">
      <c r="A26" s="68">
        <v>46164.0</v>
      </c>
      <c r="B26" s="62" t="s">
        <v>118</v>
      </c>
      <c r="C26" s="62" t="s">
        <v>164</v>
      </c>
      <c r="D26" s="62">
        <v>10.0</v>
      </c>
      <c r="E26" s="62">
        <v>0.0</v>
      </c>
      <c r="F26" s="62">
        <v>0.0</v>
      </c>
      <c r="G26" s="62">
        <v>0.0</v>
      </c>
      <c r="H26" s="62">
        <v>0.0</v>
      </c>
      <c r="I26" s="62">
        <v>0.0</v>
      </c>
      <c r="J26" s="62">
        <v>0.0</v>
      </c>
      <c r="K26" s="62">
        <v>0.0</v>
      </c>
      <c r="L26" s="62">
        <v>0.0</v>
      </c>
      <c r="M26" s="62">
        <v>0.0</v>
      </c>
      <c r="N26" s="62">
        <v>0.0</v>
      </c>
      <c r="O26" s="62">
        <v>0.0</v>
      </c>
      <c r="P26" s="62">
        <v>0.0</v>
      </c>
      <c r="Q26" s="62">
        <v>0.0</v>
      </c>
      <c r="R26" s="62">
        <v>23345.0</v>
      </c>
      <c r="S26" s="62">
        <v>0.0</v>
      </c>
      <c r="T26" s="62">
        <v>0.0</v>
      </c>
      <c r="U26" s="62">
        <v>0.0</v>
      </c>
      <c r="V26" s="62">
        <v>0.0</v>
      </c>
      <c r="W26" s="62">
        <v>0.0</v>
      </c>
      <c r="X26" s="62">
        <v>0.0</v>
      </c>
      <c r="Y26" s="62">
        <v>0.0</v>
      </c>
      <c r="Z26" s="62">
        <v>0.0</v>
      </c>
      <c r="AA26" s="62">
        <v>0.0</v>
      </c>
      <c r="AB26" s="62">
        <v>0.0</v>
      </c>
      <c r="AC26" s="62">
        <v>0.0</v>
      </c>
      <c r="AD26" s="62">
        <v>0.0</v>
      </c>
      <c r="AE26" s="62">
        <v>0.0</v>
      </c>
      <c r="AF26" s="62">
        <v>0.0</v>
      </c>
    </row>
    <row r="27">
      <c r="A27" s="68">
        <v>46164.0</v>
      </c>
      <c r="B27" s="62" t="s">
        <v>76</v>
      </c>
      <c r="C27" s="62" t="s">
        <v>165</v>
      </c>
      <c r="D27" s="62">
        <v>0.0</v>
      </c>
      <c r="E27" s="62">
        <v>4.0</v>
      </c>
      <c r="F27" s="62">
        <v>6.0</v>
      </c>
      <c r="G27" s="62">
        <v>4.0</v>
      </c>
      <c r="H27" s="62">
        <v>4.0</v>
      </c>
      <c r="I27" s="62">
        <v>0.0</v>
      </c>
      <c r="J27" s="62">
        <v>10.0</v>
      </c>
      <c r="K27" s="62">
        <v>1.0</v>
      </c>
      <c r="L27" s="62">
        <v>1.0</v>
      </c>
      <c r="M27" s="62">
        <v>8.0</v>
      </c>
      <c r="N27" s="62">
        <v>9.0</v>
      </c>
      <c r="O27" s="62">
        <v>1.0</v>
      </c>
      <c r="P27" s="62">
        <v>9.0</v>
      </c>
      <c r="Q27" s="62">
        <v>0.0</v>
      </c>
      <c r="R27" s="62">
        <v>0.0</v>
      </c>
      <c r="S27" s="62">
        <v>11501.0</v>
      </c>
      <c r="T27" s="62">
        <v>1.79388888888888</v>
      </c>
      <c r="U27" s="62">
        <v>1.79388888888888</v>
      </c>
      <c r="V27" s="62">
        <v>1.41777777777777</v>
      </c>
      <c r="W27" s="62">
        <v>1.41777777777777</v>
      </c>
      <c r="X27" s="62">
        <v>0.0</v>
      </c>
      <c r="Y27" s="62">
        <v>3.17055555555555</v>
      </c>
      <c r="Z27" s="62">
        <v>0.311944444444444</v>
      </c>
      <c r="AA27" s="62">
        <v>0.311944444444444</v>
      </c>
      <c r="AB27" s="62">
        <v>2.355</v>
      </c>
      <c r="AC27" s="62">
        <v>2.64527777777777</v>
      </c>
      <c r="AD27" s="62">
        <v>0.231388888888888</v>
      </c>
      <c r="AE27" s="62">
        <v>2.64527777777777</v>
      </c>
      <c r="AF27" s="62">
        <v>6.0</v>
      </c>
    </row>
    <row r="28">
      <c r="A28" s="68">
        <v>46164.0</v>
      </c>
      <c r="B28" s="62" t="s">
        <v>104</v>
      </c>
      <c r="C28" s="62" t="s">
        <v>166</v>
      </c>
      <c r="D28" s="62">
        <v>0.0</v>
      </c>
      <c r="E28" s="62">
        <v>0.0</v>
      </c>
      <c r="F28" s="62">
        <v>0.0</v>
      </c>
      <c r="G28" s="62">
        <v>0.0</v>
      </c>
      <c r="H28" s="62">
        <v>0.0</v>
      </c>
      <c r="I28" s="62">
        <v>0.0</v>
      </c>
      <c r="J28" s="62">
        <v>4.0</v>
      </c>
      <c r="K28" s="62">
        <v>1.0</v>
      </c>
      <c r="L28" s="62">
        <v>3.0</v>
      </c>
      <c r="M28" s="62">
        <v>5.0</v>
      </c>
      <c r="N28" s="62">
        <v>5.0</v>
      </c>
      <c r="O28" s="62">
        <v>1.0</v>
      </c>
      <c r="P28" s="62">
        <v>5.0</v>
      </c>
      <c r="Q28" s="62">
        <v>0.0</v>
      </c>
      <c r="R28" s="62">
        <v>0.0</v>
      </c>
      <c r="S28" s="62">
        <v>0.0</v>
      </c>
      <c r="T28" s="62">
        <v>0.428055555555555</v>
      </c>
      <c r="U28" s="62">
        <v>0.0</v>
      </c>
      <c r="V28" s="62">
        <v>0.0</v>
      </c>
      <c r="W28" s="62">
        <v>0.0</v>
      </c>
      <c r="X28" s="62">
        <v>0.0</v>
      </c>
      <c r="Y28" s="62">
        <v>0.917777777777777</v>
      </c>
      <c r="Z28" s="62">
        <v>0.2375</v>
      </c>
      <c r="AA28" s="62">
        <v>0.686111111111111</v>
      </c>
      <c r="AB28" s="62">
        <v>1.12888888888888</v>
      </c>
      <c r="AC28" s="62">
        <v>1.13944444444444</v>
      </c>
      <c r="AD28" s="62">
        <v>0.233055555555555</v>
      </c>
      <c r="AE28" s="62">
        <v>1.13944444444444</v>
      </c>
      <c r="AF28" s="62">
        <v>2.0</v>
      </c>
    </row>
    <row r="29">
      <c r="A29" s="68">
        <v>46164.0</v>
      </c>
      <c r="B29" s="62" t="s">
        <v>100</v>
      </c>
      <c r="C29" s="62" t="s">
        <v>167</v>
      </c>
      <c r="D29" s="62">
        <v>0.0</v>
      </c>
      <c r="E29" s="62">
        <v>0.0</v>
      </c>
      <c r="F29" s="62">
        <v>1.0</v>
      </c>
      <c r="G29" s="62">
        <v>1.0</v>
      </c>
      <c r="H29" s="62">
        <v>5.0</v>
      </c>
      <c r="I29" s="62">
        <v>4.0</v>
      </c>
      <c r="J29" s="62">
        <v>10.0</v>
      </c>
      <c r="K29" s="62">
        <v>6.0</v>
      </c>
      <c r="L29" s="62">
        <v>0.0</v>
      </c>
      <c r="M29" s="62">
        <v>12.0</v>
      </c>
      <c r="N29" s="62">
        <v>10.0</v>
      </c>
      <c r="O29" s="62">
        <v>1.0</v>
      </c>
      <c r="P29" s="62">
        <v>10.0</v>
      </c>
      <c r="Q29" s="62">
        <v>0.0</v>
      </c>
      <c r="R29" s="62">
        <v>0.0</v>
      </c>
      <c r="S29" s="62">
        <v>0.0</v>
      </c>
      <c r="T29" s="62">
        <v>1.09861111111111</v>
      </c>
      <c r="U29" s="62">
        <v>0.211944444444444</v>
      </c>
      <c r="V29" s="62">
        <v>0.218888888888888</v>
      </c>
      <c r="W29" s="62">
        <v>1.08277777777777</v>
      </c>
      <c r="X29" s="62">
        <v>0.863888888888888</v>
      </c>
      <c r="Y29" s="62">
        <v>2.19277777777777</v>
      </c>
      <c r="Z29" s="62">
        <v>1.27416666666666</v>
      </c>
      <c r="AA29" s="62">
        <v>0.0</v>
      </c>
      <c r="AB29" s="62">
        <v>2.61361111111111</v>
      </c>
      <c r="AC29" s="62">
        <v>2.17944444444444</v>
      </c>
      <c r="AD29" s="62">
        <v>0.223611111111111</v>
      </c>
      <c r="AE29" s="62">
        <v>2.17944444444444</v>
      </c>
      <c r="AF29" s="62">
        <v>5.0</v>
      </c>
    </row>
    <row r="30">
      <c r="A30" s="68">
        <v>46164.0</v>
      </c>
      <c r="B30" s="62" t="s">
        <v>32</v>
      </c>
      <c r="C30" s="62" t="s">
        <v>168</v>
      </c>
      <c r="D30" s="62">
        <v>9.0</v>
      </c>
      <c r="E30" s="62">
        <v>4.0</v>
      </c>
      <c r="F30" s="62">
        <v>0.0</v>
      </c>
      <c r="G30" s="62">
        <v>0.0</v>
      </c>
      <c r="H30" s="62">
        <v>2.0</v>
      </c>
      <c r="I30" s="62">
        <v>0.0</v>
      </c>
      <c r="J30" s="62">
        <v>3.0</v>
      </c>
      <c r="K30" s="62">
        <v>0.0</v>
      </c>
      <c r="L30" s="62">
        <v>0.0</v>
      </c>
      <c r="M30" s="62">
        <v>2.0</v>
      </c>
      <c r="N30" s="62">
        <v>2.0</v>
      </c>
      <c r="O30" s="62">
        <v>1.0</v>
      </c>
      <c r="P30" s="62">
        <v>2.0</v>
      </c>
      <c r="Q30" s="62">
        <v>0.0</v>
      </c>
      <c r="R30" s="62">
        <v>16662.0</v>
      </c>
      <c r="S30" s="62">
        <v>9462.0</v>
      </c>
      <c r="T30" s="62">
        <v>0.0</v>
      </c>
      <c r="U30" s="62">
        <v>0.0</v>
      </c>
      <c r="V30" s="62">
        <v>0.0</v>
      </c>
      <c r="W30" s="62">
        <v>0.414444444444444</v>
      </c>
      <c r="X30" s="62">
        <v>0.0</v>
      </c>
      <c r="Y30" s="62">
        <v>0.637777777777777</v>
      </c>
      <c r="Z30" s="62">
        <v>0.0</v>
      </c>
      <c r="AA30" s="62">
        <v>0.0</v>
      </c>
      <c r="AB30" s="62">
        <v>0.424444444444444</v>
      </c>
      <c r="AC30" s="62">
        <v>0.424444444444444</v>
      </c>
      <c r="AD30" s="62">
        <v>0.219166666666666</v>
      </c>
      <c r="AE30" s="62">
        <v>0.424444444444444</v>
      </c>
      <c r="AF30" s="62">
        <v>0.0</v>
      </c>
    </row>
    <row r="31">
      <c r="A31" s="68">
        <v>46164.0</v>
      </c>
      <c r="B31" s="62" t="s">
        <v>110</v>
      </c>
      <c r="C31" s="62" t="s">
        <v>169</v>
      </c>
      <c r="D31" s="62">
        <v>0.0</v>
      </c>
      <c r="E31" s="62">
        <v>6.0</v>
      </c>
      <c r="F31" s="62">
        <v>0.0</v>
      </c>
      <c r="G31" s="62">
        <v>0.0</v>
      </c>
      <c r="H31" s="62">
        <v>0.0</v>
      </c>
      <c r="I31" s="62">
        <v>0.0</v>
      </c>
      <c r="J31" s="62">
        <v>0.0</v>
      </c>
      <c r="K31" s="62">
        <v>0.0</v>
      </c>
      <c r="L31" s="62">
        <v>0.0</v>
      </c>
      <c r="M31" s="62">
        <v>3.0</v>
      </c>
      <c r="N31" s="62">
        <v>12.0</v>
      </c>
      <c r="O31" s="62">
        <v>1.0</v>
      </c>
      <c r="P31" s="62">
        <v>12.0</v>
      </c>
      <c r="Q31" s="62">
        <v>0.0</v>
      </c>
      <c r="R31" s="62">
        <v>0.0</v>
      </c>
      <c r="S31" s="62">
        <v>13852.0</v>
      </c>
      <c r="T31" s="62">
        <v>0.0</v>
      </c>
      <c r="U31" s="62">
        <v>0.0</v>
      </c>
      <c r="V31" s="62">
        <v>0.0</v>
      </c>
      <c r="W31" s="62">
        <v>0.0</v>
      </c>
      <c r="X31" s="62">
        <v>0.0</v>
      </c>
      <c r="Y31" s="62">
        <v>0.0</v>
      </c>
      <c r="Z31" s="62">
        <v>0.0</v>
      </c>
      <c r="AA31" s="62">
        <v>0.0</v>
      </c>
      <c r="AB31" s="62">
        <v>0.678333333333333</v>
      </c>
      <c r="AC31" s="62">
        <v>2.71333333333333</v>
      </c>
      <c r="AD31" s="62">
        <v>0.267222222222222</v>
      </c>
      <c r="AE31" s="62">
        <v>2.71333333333333</v>
      </c>
      <c r="AF31" s="62">
        <v>0.0</v>
      </c>
    </row>
    <row r="32">
      <c r="A32" s="68">
        <v>46164.0</v>
      </c>
      <c r="B32" s="62" t="s">
        <v>102</v>
      </c>
      <c r="C32" s="62" t="s">
        <v>170</v>
      </c>
      <c r="D32" s="62">
        <v>0.0</v>
      </c>
      <c r="E32" s="62">
        <v>1.0</v>
      </c>
      <c r="F32" s="62">
        <v>0.0</v>
      </c>
      <c r="G32" s="62">
        <v>0.0</v>
      </c>
      <c r="H32" s="62">
        <v>0.0</v>
      </c>
      <c r="I32" s="62">
        <v>0.0</v>
      </c>
      <c r="J32" s="62">
        <v>0.0</v>
      </c>
      <c r="K32" s="62">
        <v>0.0</v>
      </c>
      <c r="L32" s="62">
        <v>0.0</v>
      </c>
      <c r="M32" s="62">
        <v>1.0</v>
      </c>
      <c r="N32" s="62">
        <v>2.0</v>
      </c>
      <c r="O32" s="62">
        <v>1.0</v>
      </c>
      <c r="P32" s="62">
        <v>2.0</v>
      </c>
      <c r="Q32" s="62">
        <v>0.0</v>
      </c>
      <c r="R32" s="62">
        <v>0.0</v>
      </c>
      <c r="S32" s="62">
        <v>2654.0</v>
      </c>
      <c r="T32" s="62">
        <v>0.325277777777777</v>
      </c>
      <c r="U32" s="62">
        <v>0.0</v>
      </c>
      <c r="V32" s="62">
        <v>0.0</v>
      </c>
      <c r="W32" s="62">
        <v>0.0</v>
      </c>
      <c r="X32" s="62">
        <v>0.0</v>
      </c>
      <c r="Y32" s="62">
        <v>0.0</v>
      </c>
      <c r="Z32" s="62">
        <v>0.0</v>
      </c>
      <c r="AA32" s="62">
        <v>0.0</v>
      </c>
      <c r="AB32" s="62">
        <v>0.325277777777777</v>
      </c>
      <c r="AC32" s="62">
        <v>0.528055555555555</v>
      </c>
      <c r="AD32" s="62">
        <v>0.202777777777777</v>
      </c>
      <c r="AE32" s="62">
        <v>0.528055555555555</v>
      </c>
      <c r="AF32" s="62">
        <v>1.0</v>
      </c>
    </row>
    <row r="33">
      <c r="A33" s="68">
        <v>46164.0</v>
      </c>
      <c r="B33" s="62" t="s">
        <v>41</v>
      </c>
      <c r="C33" s="62" t="s">
        <v>172</v>
      </c>
      <c r="D33" s="62">
        <v>0.0</v>
      </c>
      <c r="E33" s="62">
        <v>7.0</v>
      </c>
      <c r="F33" s="62">
        <v>0.0</v>
      </c>
      <c r="G33" s="62">
        <v>0.0</v>
      </c>
      <c r="H33" s="62">
        <v>3.0</v>
      </c>
      <c r="I33" s="62">
        <v>0.0</v>
      </c>
      <c r="J33" s="62">
        <v>3.0</v>
      </c>
      <c r="K33" s="62">
        <v>2.0</v>
      </c>
      <c r="L33" s="62">
        <v>0.0</v>
      </c>
      <c r="M33" s="62">
        <v>16.0</v>
      </c>
      <c r="N33" s="62">
        <v>10.0</v>
      </c>
      <c r="O33" s="62">
        <v>1.0</v>
      </c>
      <c r="P33" s="62">
        <v>10.0</v>
      </c>
      <c r="Q33" s="62">
        <v>0.0</v>
      </c>
      <c r="R33" s="62">
        <v>0.0</v>
      </c>
      <c r="S33" s="62">
        <v>20555.0</v>
      </c>
      <c r="T33" s="62">
        <v>0.561388888888888</v>
      </c>
      <c r="U33" s="62">
        <v>0.0</v>
      </c>
      <c r="V33" s="62">
        <v>0.0</v>
      </c>
      <c r="W33" s="62">
        <v>0.831666666666666</v>
      </c>
      <c r="X33" s="62">
        <v>0.0</v>
      </c>
      <c r="Y33" s="62">
        <v>0.831666666666666</v>
      </c>
      <c r="Z33" s="62">
        <v>0.534444444444444</v>
      </c>
      <c r="AA33" s="62">
        <v>0.0</v>
      </c>
      <c r="AB33" s="62">
        <v>4.42194444444444</v>
      </c>
      <c r="AC33" s="62">
        <v>2.73472222222222</v>
      </c>
      <c r="AD33" s="62">
        <v>0.223611111111111</v>
      </c>
      <c r="AE33" s="62">
        <v>2.73472222222222</v>
      </c>
      <c r="AF33" s="62">
        <v>2.0</v>
      </c>
    </row>
    <row r="34">
      <c r="A34" s="68">
        <v>46164.0</v>
      </c>
      <c r="B34" s="62" t="s">
        <v>65</v>
      </c>
      <c r="C34" s="62" t="s">
        <v>173</v>
      </c>
      <c r="D34" s="62">
        <v>0.0</v>
      </c>
      <c r="E34" s="62">
        <v>8.0</v>
      </c>
      <c r="F34" s="62">
        <v>0.0</v>
      </c>
      <c r="G34" s="62">
        <v>0.0</v>
      </c>
      <c r="H34" s="62">
        <v>4.0</v>
      </c>
      <c r="I34" s="62">
        <v>4.0</v>
      </c>
      <c r="J34" s="62">
        <v>2.0</v>
      </c>
      <c r="K34" s="62">
        <v>0.0</v>
      </c>
      <c r="L34" s="62">
        <v>0.0</v>
      </c>
      <c r="M34" s="62">
        <v>14.0</v>
      </c>
      <c r="N34" s="62">
        <v>19.0</v>
      </c>
      <c r="O34" s="62">
        <v>1.0</v>
      </c>
      <c r="P34" s="62">
        <v>19.0</v>
      </c>
      <c r="Q34" s="62">
        <v>0.0</v>
      </c>
      <c r="R34" s="62">
        <v>0.0</v>
      </c>
      <c r="S34" s="62">
        <v>16080.0</v>
      </c>
      <c r="T34" s="62">
        <v>0.788611111111111</v>
      </c>
      <c r="U34" s="62">
        <v>0.0</v>
      </c>
      <c r="V34" s="62">
        <v>0.0</v>
      </c>
      <c r="W34" s="62">
        <v>0.788611111111111</v>
      </c>
      <c r="X34" s="62">
        <v>0.788611111111111</v>
      </c>
      <c r="Y34" s="62">
        <v>0.403611111111111</v>
      </c>
      <c r="Z34" s="62">
        <v>0.0</v>
      </c>
      <c r="AA34" s="62">
        <v>0.0</v>
      </c>
      <c r="AB34" s="62">
        <v>2.80527777777777</v>
      </c>
      <c r="AC34" s="62">
        <v>3.88416666666666</v>
      </c>
      <c r="AD34" s="62">
        <v>0.232222222222222</v>
      </c>
      <c r="AE34" s="62">
        <v>3.88416666666666</v>
      </c>
      <c r="AF34" s="62">
        <v>4.0</v>
      </c>
    </row>
    <row r="35">
      <c r="A35" s="68">
        <v>46164.0</v>
      </c>
      <c r="B35" s="62" t="s">
        <v>37</v>
      </c>
      <c r="C35" s="62" t="s">
        <v>174</v>
      </c>
      <c r="D35" s="62">
        <v>5.0</v>
      </c>
      <c r="E35" s="62">
        <v>0.0</v>
      </c>
      <c r="F35" s="62">
        <v>0.0</v>
      </c>
      <c r="G35" s="62">
        <v>3.0</v>
      </c>
      <c r="H35" s="62">
        <v>3.0</v>
      </c>
      <c r="I35" s="62">
        <v>0.0</v>
      </c>
      <c r="J35" s="62">
        <v>3.0</v>
      </c>
      <c r="K35" s="62">
        <v>0.0</v>
      </c>
      <c r="L35" s="62">
        <v>0.0</v>
      </c>
      <c r="M35" s="62">
        <v>0.0</v>
      </c>
      <c r="N35" s="62">
        <v>5.0</v>
      </c>
      <c r="O35" s="62">
        <v>1.0</v>
      </c>
      <c r="P35" s="62">
        <v>5.0</v>
      </c>
      <c r="Q35" s="62">
        <v>0.0</v>
      </c>
      <c r="R35" s="62">
        <v>12456.0</v>
      </c>
      <c r="S35" s="62">
        <v>0.0</v>
      </c>
      <c r="T35" s="62">
        <v>0.0</v>
      </c>
      <c r="U35" s="62">
        <v>0.0</v>
      </c>
      <c r="V35" s="62">
        <v>0.774166666666666</v>
      </c>
      <c r="W35" s="62">
        <v>0.774166666666666</v>
      </c>
      <c r="X35" s="62">
        <v>0.0</v>
      </c>
      <c r="Y35" s="62">
        <v>0.774166666666666</v>
      </c>
      <c r="Z35" s="62">
        <v>0.0</v>
      </c>
      <c r="AA35" s="62">
        <v>0.0</v>
      </c>
      <c r="AB35" s="62">
        <v>0.0</v>
      </c>
      <c r="AC35" s="62">
        <v>1.34527777777777</v>
      </c>
      <c r="AD35" s="62">
        <v>0.224444444444444</v>
      </c>
      <c r="AE35" s="62">
        <v>1.34527777777777</v>
      </c>
      <c r="AF35" s="62">
        <v>0.0</v>
      </c>
    </row>
    <row r="36">
      <c r="A36" s="68">
        <v>46164.0</v>
      </c>
      <c r="B36" s="62" t="s">
        <v>108</v>
      </c>
      <c r="C36" s="62" t="s">
        <v>175</v>
      </c>
      <c r="D36" s="62">
        <v>0.0</v>
      </c>
      <c r="E36" s="62">
        <v>0.0</v>
      </c>
      <c r="F36" s="62">
        <v>1.0</v>
      </c>
      <c r="G36" s="62">
        <v>1.0</v>
      </c>
      <c r="H36" s="62">
        <v>2.0</v>
      </c>
      <c r="I36" s="62">
        <v>1.0</v>
      </c>
      <c r="J36" s="62">
        <v>3.0</v>
      </c>
      <c r="K36" s="62">
        <v>0.0</v>
      </c>
      <c r="L36" s="62">
        <v>0.0</v>
      </c>
      <c r="M36" s="62">
        <v>0.0</v>
      </c>
      <c r="N36" s="62">
        <v>5.0</v>
      </c>
      <c r="O36" s="62">
        <v>1.0</v>
      </c>
      <c r="P36" s="62">
        <v>5.0</v>
      </c>
      <c r="Q36" s="62">
        <v>0.0</v>
      </c>
      <c r="R36" s="62">
        <v>0.0</v>
      </c>
      <c r="S36" s="62">
        <v>0.0</v>
      </c>
      <c r="T36" s="62">
        <v>0.0</v>
      </c>
      <c r="U36" s="62">
        <v>0.248611111111111</v>
      </c>
      <c r="V36" s="62">
        <v>0.253055555555555</v>
      </c>
      <c r="W36" s="62">
        <v>0.479444444444444</v>
      </c>
      <c r="X36" s="62">
        <v>0.226388888888888</v>
      </c>
      <c r="Y36" s="62">
        <v>0.698611111111111</v>
      </c>
      <c r="Z36" s="62">
        <v>0.0</v>
      </c>
      <c r="AA36" s="62">
        <v>0.0</v>
      </c>
      <c r="AB36" s="62">
        <v>0.0</v>
      </c>
      <c r="AC36" s="62">
        <v>1.10305555555555</v>
      </c>
      <c r="AD36" s="62">
        <v>0.239444444444444</v>
      </c>
      <c r="AE36" s="62">
        <v>1.10305555555555</v>
      </c>
      <c r="AF36" s="62">
        <v>0.0</v>
      </c>
    </row>
    <row r="37">
      <c r="A37" s="68">
        <v>46164.0</v>
      </c>
      <c r="B37" s="62" t="s">
        <v>56</v>
      </c>
      <c r="C37" s="62" t="s">
        <v>176</v>
      </c>
      <c r="D37" s="62">
        <v>0.0</v>
      </c>
      <c r="E37" s="62">
        <v>20.0</v>
      </c>
      <c r="F37" s="62">
        <v>12.0</v>
      </c>
      <c r="G37" s="62">
        <v>9.0</v>
      </c>
      <c r="H37" s="62">
        <v>11.0</v>
      </c>
      <c r="I37" s="62">
        <v>2.0</v>
      </c>
      <c r="J37" s="62">
        <v>13.0</v>
      </c>
      <c r="K37" s="62">
        <v>6.0</v>
      </c>
      <c r="L37" s="62">
        <v>1.0</v>
      </c>
      <c r="M37" s="62">
        <v>18.0</v>
      </c>
      <c r="N37" s="62">
        <v>19.0</v>
      </c>
      <c r="O37" s="62">
        <v>1.0</v>
      </c>
      <c r="P37" s="62">
        <v>19.0</v>
      </c>
      <c r="Q37" s="62">
        <v>0.0</v>
      </c>
      <c r="R37" s="62">
        <v>0.0</v>
      </c>
      <c r="S37" s="62">
        <v>38388.0</v>
      </c>
      <c r="T37" s="62">
        <v>1.72333333333333</v>
      </c>
      <c r="U37" s="62">
        <v>2.95027777777777</v>
      </c>
      <c r="V37" s="62">
        <v>2.18222222222222</v>
      </c>
      <c r="W37" s="62">
        <v>2.62305555555555</v>
      </c>
      <c r="X37" s="62">
        <v>0.440833333333333</v>
      </c>
      <c r="Y37" s="62">
        <v>3.12611111111111</v>
      </c>
      <c r="Z37" s="62">
        <v>1.49472222222222</v>
      </c>
      <c r="AA37" s="62">
        <v>0.264444444444444</v>
      </c>
      <c r="AB37" s="62">
        <v>4.41833333333333</v>
      </c>
      <c r="AC37" s="62">
        <v>4.61333333333333</v>
      </c>
      <c r="AD37" s="62">
        <v>0.248888888888888</v>
      </c>
      <c r="AE37" s="62">
        <v>4.61333333333333</v>
      </c>
      <c r="AF37" s="62">
        <v>7.0</v>
      </c>
    </row>
    <row r="38">
      <c r="A38" s="68">
        <v>46164.0</v>
      </c>
      <c r="B38" s="62" t="s">
        <v>122</v>
      </c>
      <c r="C38" s="62" t="s">
        <v>177</v>
      </c>
      <c r="D38" s="62">
        <v>1.0</v>
      </c>
      <c r="E38" s="62">
        <v>0.0</v>
      </c>
      <c r="F38" s="62">
        <v>0.0</v>
      </c>
      <c r="G38" s="62">
        <v>0.0</v>
      </c>
      <c r="H38" s="62">
        <v>0.0</v>
      </c>
      <c r="I38" s="62">
        <v>0.0</v>
      </c>
      <c r="J38" s="62">
        <v>0.0</v>
      </c>
      <c r="K38" s="62">
        <v>0.0</v>
      </c>
      <c r="L38" s="62">
        <v>0.0</v>
      </c>
      <c r="M38" s="62">
        <v>0.0</v>
      </c>
      <c r="N38" s="62">
        <v>0.0</v>
      </c>
      <c r="O38" s="62">
        <v>0.0</v>
      </c>
      <c r="P38" s="62">
        <v>0.0</v>
      </c>
      <c r="Q38" s="62">
        <v>0.0</v>
      </c>
      <c r="R38" s="62">
        <v>2607.0</v>
      </c>
      <c r="S38" s="62">
        <v>0.0</v>
      </c>
      <c r="T38" s="62">
        <v>0.0</v>
      </c>
      <c r="U38" s="62">
        <v>0.0</v>
      </c>
      <c r="V38" s="62">
        <v>0.0</v>
      </c>
      <c r="W38" s="62">
        <v>0.0</v>
      </c>
      <c r="X38" s="62">
        <v>0.0</v>
      </c>
      <c r="Y38" s="62">
        <v>0.0</v>
      </c>
      <c r="Z38" s="62">
        <v>0.0</v>
      </c>
      <c r="AA38" s="62">
        <v>0.0</v>
      </c>
      <c r="AB38" s="62">
        <v>0.0</v>
      </c>
      <c r="AC38" s="62">
        <v>0.0</v>
      </c>
      <c r="AD38" s="62">
        <v>0.0</v>
      </c>
      <c r="AE38" s="62">
        <v>0.0</v>
      </c>
      <c r="AF38" s="62">
        <v>0.0</v>
      </c>
    </row>
    <row r="39">
      <c r="A39" s="68">
        <v>46164.0</v>
      </c>
      <c r="B39" s="62" t="s">
        <v>26</v>
      </c>
      <c r="C39" s="62" t="s">
        <v>178</v>
      </c>
      <c r="D39" s="62">
        <v>0.0</v>
      </c>
      <c r="E39" s="62">
        <v>0.0</v>
      </c>
      <c r="F39" s="62">
        <v>0.0</v>
      </c>
      <c r="G39" s="62">
        <v>2.0</v>
      </c>
      <c r="H39" s="62">
        <v>2.0</v>
      </c>
      <c r="I39" s="62">
        <v>0.0</v>
      </c>
      <c r="J39" s="62">
        <v>2.0</v>
      </c>
      <c r="K39" s="62">
        <v>0.0</v>
      </c>
      <c r="L39" s="62">
        <v>2.0</v>
      </c>
      <c r="M39" s="62">
        <v>0.0</v>
      </c>
      <c r="N39" s="62">
        <v>15.0</v>
      </c>
      <c r="O39" s="62">
        <v>1.0</v>
      </c>
      <c r="P39" s="62">
        <v>15.0</v>
      </c>
      <c r="Q39" s="62">
        <v>0.0</v>
      </c>
      <c r="R39" s="62">
        <v>0.0</v>
      </c>
      <c r="S39" s="62">
        <v>0.0</v>
      </c>
      <c r="T39" s="62">
        <v>0.0</v>
      </c>
      <c r="U39" s="62">
        <v>0.0</v>
      </c>
      <c r="V39" s="62">
        <v>0.361111111111111</v>
      </c>
      <c r="W39" s="62">
        <v>0.361111111111111</v>
      </c>
      <c r="X39" s="62">
        <v>0.0</v>
      </c>
      <c r="Y39" s="62">
        <v>0.361111111111111</v>
      </c>
      <c r="Z39" s="62">
        <v>0.0</v>
      </c>
      <c r="AA39" s="62">
        <v>0.341111111111111</v>
      </c>
      <c r="AB39" s="62">
        <v>0.0</v>
      </c>
      <c r="AC39" s="62">
        <v>2.6325</v>
      </c>
      <c r="AD39" s="62">
        <v>0.19</v>
      </c>
      <c r="AE39" s="62">
        <v>2.6325</v>
      </c>
      <c r="AF39" s="62">
        <v>0.0</v>
      </c>
    </row>
    <row r="40">
      <c r="A40" s="68">
        <v>46164.0</v>
      </c>
      <c r="B40" s="62" t="s">
        <v>116</v>
      </c>
      <c r="C40" s="62" t="s">
        <v>179</v>
      </c>
      <c r="D40" s="62">
        <v>16.0</v>
      </c>
      <c r="E40" s="62">
        <v>0.0</v>
      </c>
      <c r="F40" s="62">
        <v>0.0</v>
      </c>
      <c r="G40" s="62">
        <v>0.0</v>
      </c>
      <c r="H40" s="62">
        <v>0.0</v>
      </c>
      <c r="I40" s="62">
        <v>0.0</v>
      </c>
      <c r="J40" s="62">
        <v>0.0</v>
      </c>
      <c r="K40" s="62">
        <v>0.0</v>
      </c>
      <c r="L40" s="62">
        <v>0.0</v>
      </c>
      <c r="M40" s="62">
        <v>0.0</v>
      </c>
      <c r="N40" s="62">
        <v>0.0</v>
      </c>
      <c r="O40" s="62">
        <v>0.0</v>
      </c>
      <c r="P40" s="62">
        <v>0.0</v>
      </c>
      <c r="Q40" s="62">
        <v>0.0</v>
      </c>
      <c r="R40" s="62">
        <v>35061.0</v>
      </c>
      <c r="S40" s="62">
        <v>0.0</v>
      </c>
      <c r="T40" s="62">
        <v>0.0</v>
      </c>
      <c r="U40" s="62">
        <v>0.0</v>
      </c>
      <c r="V40" s="62">
        <v>0.0</v>
      </c>
      <c r="W40" s="62">
        <v>0.0</v>
      </c>
      <c r="X40" s="62">
        <v>0.0</v>
      </c>
      <c r="Y40" s="62">
        <v>0.0</v>
      </c>
      <c r="Z40" s="62">
        <v>0.0</v>
      </c>
      <c r="AA40" s="62">
        <v>0.0</v>
      </c>
      <c r="AB40" s="62">
        <v>0.0</v>
      </c>
      <c r="AC40" s="62">
        <v>0.0</v>
      </c>
      <c r="AD40" s="62">
        <v>0.0</v>
      </c>
      <c r="AE40" s="62">
        <v>0.0</v>
      </c>
      <c r="AF40" s="62">
        <v>0.0</v>
      </c>
    </row>
    <row r="41">
      <c r="A41" s="68">
        <v>46164.0</v>
      </c>
      <c r="B41" s="62" t="s">
        <v>89</v>
      </c>
      <c r="C41" s="62" t="s">
        <v>180</v>
      </c>
      <c r="D41" s="62">
        <v>0.0</v>
      </c>
      <c r="E41" s="62">
        <v>1.0</v>
      </c>
      <c r="F41" s="62">
        <v>0.0</v>
      </c>
      <c r="G41" s="62">
        <v>0.0</v>
      </c>
      <c r="H41" s="62">
        <v>0.0</v>
      </c>
      <c r="I41" s="62">
        <v>0.0</v>
      </c>
      <c r="J41" s="62">
        <v>0.0</v>
      </c>
      <c r="K41" s="62">
        <v>0.0</v>
      </c>
      <c r="L41" s="62">
        <v>0.0</v>
      </c>
      <c r="M41" s="62">
        <v>3.0</v>
      </c>
      <c r="N41" s="62">
        <v>5.0</v>
      </c>
      <c r="O41" s="62">
        <v>1.0</v>
      </c>
      <c r="P41" s="62">
        <v>5.0</v>
      </c>
      <c r="Q41" s="62">
        <v>0.0</v>
      </c>
      <c r="R41" s="62">
        <v>0.0</v>
      </c>
      <c r="S41" s="62">
        <v>2042.0</v>
      </c>
      <c r="T41" s="62">
        <v>0.229166666666666</v>
      </c>
      <c r="U41" s="62">
        <v>0.0</v>
      </c>
      <c r="V41" s="62">
        <v>0.0</v>
      </c>
      <c r="W41" s="62">
        <v>0.0</v>
      </c>
      <c r="X41" s="62">
        <v>0.0</v>
      </c>
      <c r="Y41" s="62">
        <v>0.0</v>
      </c>
      <c r="Z41" s="62">
        <v>0.0</v>
      </c>
      <c r="AA41" s="62">
        <v>0.0</v>
      </c>
      <c r="AB41" s="62">
        <v>0.690833333333333</v>
      </c>
      <c r="AC41" s="62">
        <v>1.16472222222222</v>
      </c>
      <c r="AD41" s="62">
        <v>0.245</v>
      </c>
      <c r="AE41" s="62">
        <v>1.16472222222222</v>
      </c>
      <c r="AF41" s="62">
        <v>1.0</v>
      </c>
    </row>
    <row r="42">
      <c r="A42" s="68">
        <v>46163.0</v>
      </c>
      <c r="B42" s="62" t="s">
        <v>79</v>
      </c>
      <c r="C42" s="62" t="s">
        <v>162</v>
      </c>
      <c r="D42" s="62">
        <v>11.0</v>
      </c>
      <c r="E42" s="62">
        <v>9.0</v>
      </c>
      <c r="F42" s="62">
        <v>0.0</v>
      </c>
      <c r="G42" s="62">
        <v>0.0</v>
      </c>
      <c r="H42" s="62">
        <v>0.0</v>
      </c>
      <c r="I42" s="62">
        <v>0.0</v>
      </c>
      <c r="J42" s="62">
        <v>0.0</v>
      </c>
      <c r="K42" s="62">
        <v>0.0</v>
      </c>
      <c r="L42" s="62">
        <v>1.0</v>
      </c>
      <c r="M42" s="62">
        <v>0.0</v>
      </c>
      <c r="N42" s="62">
        <v>1.0</v>
      </c>
      <c r="O42" s="62">
        <v>1.0</v>
      </c>
      <c r="P42" s="62">
        <v>1.0</v>
      </c>
      <c r="Q42" s="62">
        <v>0.0</v>
      </c>
      <c r="R42" s="62">
        <v>26212.0</v>
      </c>
      <c r="S42" s="62">
        <v>21431.0</v>
      </c>
      <c r="T42" s="62">
        <v>0.0</v>
      </c>
      <c r="U42" s="62">
        <v>0.0</v>
      </c>
      <c r="V42" s="62">
        <v>0.0</v>
      </c>
      <c r="W42" s="62">
        <v>0.0</v>
      </c>
      <c r="X42" s="62">
        <v>0.0</v>
      </c>
      <c r="Y42" s="62">
        <v>0.0</v>
      </c>
      <c r="Z42" s="62">
        <v>0.0</v>
      </c>
      <c r="AA42" s="62">
        <v>0.210555555555555</v>
      </c>
      <c r="AB42" s="62">
        <v>0.0</v>
      </c>
      <c r="AC42" s="62">
        <v>0.220555555555555</v>
      </c>
      <c r="AD42" s="62">
        <v>0.186944444444444</v>
      </c>
      <c r="AE42" s="62">
        <v>0.220555555555555</v>
      </c>
      <c r="AF42" s="62">
        <v>0.0</v>
      </c>
    </row>
    <row r="43">
      <c r="A43" s="68">
        <v>46163.0</v>
      </c>
      <c r="B43" s="62" t="s">
        <v>96</v>
      </c>
      <c r="C43" s="62" t="s">
        <v>97</v>
      </c>
      <c r="D43" s="62">
        <v>2.0</v>
      </c>
      <c r="E43" s="62">
        <v>3.0</v>
      </c>
      <c r="F43" s="62">
        <v>0.0</v>
      </c>
      <c r="G43" s="62">
        <v>0.0</v>
      </c>
      <c r="H43" s="62">
        <v>0.0</v>
      </c>
      <c r="I43" s="62">
        <v>0.0</v>
      </c>
      <c r="J43" s="62">
        <v>0.0</v>
      </c>
      <c r="K43" s="62">
        <v>0.0</v>
      </c>
      <c r="L43" s="62">
        <v>0.0</v>
      </c>
      <c r="M43" s="62">
        <v>0.0</v>
      </c>
      <c r="N43" s="62">
        <v>1.0</v>
      </c>
      <c r="O43" s="62">
        <v>1.0</v>
      </c>
      <c r="P43" s="62">
        <v>1.0</v>
      </c>
      <c r="Q43" s="62">
        <v>0.0</v>
      </c>
      <c r="R43" s="62">
        <v>4451.0</v>
      </c>
      <c r="S43" s="62">
        <v>6612.0</v>
      </c>
      <c r="T43" s="62">
        <v>0.994722222222222</v>
      </c>
      <c r="U43" s="62">
        <v>0.0</v>
      </c>
      <c r="V43" s="62">
        <v>0.0</v>
      </c>
      <c r="W43" s="62">
        <v>0.0</v>
      </c>
      <c r="X43" s="62">
        <v>0.0</v>
      </c>
      <c r="Y43" s="62">
        <v>0.0</v>
      </c>
      <c r="Z43" s="62">
        <v>0.0</v>
      </c>
      <c r="AA43" s="62">
        <v>0.0</v>
      </c>
      <c r="AB43" s="62">
        <v>0.0</v>
      </c>
      <c r="AC43" s="62">
        <v>0.244444444444444</v>
      </c>
      <c r="AD43" s="62">
        <v>0.254444444444444</v>
      </c>
      <c r="AE43" s="62">
        <v>0.244444444444444</v>
      </c>
      <c r="AF43" s="62">
        <v>4.0</v>
      </c>
    </row>
    <row r="44">
      <c r="A44" s="68">
        <v>46163.0</v>
      </c>
      <c r="B44" s="62" t="s">
        <v>71</v>
      </c>
      <c r="C44" s="62" t="s">
        <v>163</v>
      </c>
      <c r="D44" s="62">
        <v>1.0</v>
      </c>
      <c r="E44" s="62">
        <v>0.0</v>
      </c>
      <c r="F44" s="62">
        <v>0.0</v>
      </c>
      <c r="G44" s="62">
        <v>0.0</v>
      </c>
      <c r="H44" s="62">
        <v>0.0</v>
      </c>
      <c r="I44" s="62">
        <v>0.0</v>
      </c>
      <c r="J44" s="62">
        <v>0.0</v>
      </c>
      <c r="K44" s="62">
        <v>0.0</v>
      </c>
      <c r="L44" s="62">
        <v>0.0</v>
      </c>
      <c r="M44" s="62">
        <v>0.0</v>
      </c>
      <c r="N44" s="62">
        <v>0.0</v>
      </c>
      <c r="O44" s="62">
        <v>1.0</v>
      </c>
      <c r="P44" s="62">
        <v>0.0</v>
      </c>
      <c r="Q44" s="62">
        <v>0.0</v>
      </c>
      <c r="R44" s="62">
        <v>2658.0</v>
      </c>
      <c r="S44" s="62">
        <v>0.0</v>
      </c>
      <c r="T44" s="62">
        <v>0.0</v>
      </c>
      <c r="U44" s="62">
        <v>0.0</v>
      </c>
      <c r="V44" s="62">
        <v>0.0</v>
      </c>
      <c r="W44" s="62">
        <v>0.0</v>
      </c>
      <c r="X44" s="62">
        <v>0.0</v>
      </c>
      <c r="Y44" s="62">
        <v>0.0</v>
      </c>
      <c r="Z44" s="62">
        <v>0.0</v>
      </c>
      <c r="AA44" s="62">
        <v>0.0</v>
      </c>
      <c r="AB44" s="62">
        <v>0.0</v>
      </c>
      <c r="AC44" s="62">
        <v>0.0</v>
      </c>
      <c r="AD44" s="62">
        <v>0.291111111111111</v>
      </c>
      <c r="AE44" s="62">
        <v>0.0</v>
      </c>
      <c r="AF44" s="62">
        <v>0.0</v>
      </c>
    </row>
    <row r="45">
      <c r="A45" s="68">
        <v>46163.0</v>
      </c>
      <c r="B45" s="62" t="s">
        <v>118</v>
      </c>
      <c r="C45" s="62" t="s">
        <v>164</v>
      </c>
      <c r="D45" s="62">
        <v>10.0</v>
      </c>
      <c r="E45" s="62">
        <v>0.0</v>
      </c>
      <c r="F45" s="62">
        <v>0.0</v>
      </c>
      <c r="G45" s="62">
        <v>0.0</v>
      </c>
      <c r="H45" s="62">
        <v>0.0</v>
      </c>
      <c r="I45" s="62">
        <v>0.0</v>
      </c>
      <c r="J45" s="62">
        <v>0.0</v>
      </c>
      <c r="K45" s="62">
        <v>0.0</v>
      </c>
      <c r="L45" s="62">
        <v>0.0</v>
      </c>
      <c r="M45" s="62">
        <v>0.0</v>
      </c>
      <c r="N45" s="62">
        <v>0.0</v>
      </c>
      <c r="O45" s="62">
        <v>0.0</v>
      </c>
      <c r="P45" s="62">
        <v>0.0</v>
      </c>
      <c r="Q45" s="62">
        <v>0.0</v>
      </c>
      <c r="R45" s="62">
        <v>23949.0</v>
      </c>
      <c r="S45" s="62">
        <v>0.0</v>
      </c>
      <c r="T45" s="62">
        <v>0.0</v>
      </c>
      <c r="U45" s="62">
        <v>0.0</v>
      </c>
      <c r="V45" s="62">
        <v>0.0</v>
      </c>
      <c r="W45" s="62">
        <v>0.0</v>
      </c>
      <c r="X45" s="62">
        <v>0.0</v>
      </c>
      <c r="Y45" s="62">
        <v>0.0</v>
      </c>
      <c r="Z45" s="62">
        <v>0.0</v>
      </c>
      <c r="AA45" s="62">
        <v>0.0</v>
      </c>
      <c r="AB45" s="62">
        <v>0.0</v>
      </c>
      <c r="AC45" s="62">
        <v>0.0</v>
      </c>
      <c r="AD45" s="62">
        <v>0.0</v>
      </c>
      <c r="AE45" s="62">
        <v>0.0</v>
      </c>
      <c r="AF45" s="62">
        <v>0.0</v>
      </c>
    </row>
    <row r="46">
      <c r="A46" s="68">
        <v>46163.0</v>
      </c>
      <c r="B46" s="62" t="s">
        <v>76</v>
      </c>
      <c r="C46" s="62" t="s">
        <v>165</v>
      </c>
      <c r="D46" s="62">
        <v>0.0</v>
      </c>
      <c r="E46" s="62">
        <v>10.0</v>
      </c>
      <c r="F46" s="62">
        <v>4.0</v>
      </c>
      <c r="G46" s="62">
        <v>6.0</v>
      </c>
      <c r="H46" s="62">
        <v>6.0</v>
      </c>
      <c r="I46" s="62">
        <v>0.0</v>
      </c>
      <c r="J46" s="62">
        <v>2.0</v>
      </c>
      <c r="K46" s="62">
        <v>0.0</v>
      </c>
      <c r="L46" s="62">
        <v>0.0</v>
      </c>
      <c r="M46" s="62">
        <v>2.0</v>
      </c>
      <c r="N46" s="62">
        <v>0.0</v>
      </c>
      <c r="O46" s="62">
        <v>1.0</v>
      </c>
      <c r="P46" s="62">
        <v>0.0</v>
      </c>
      <c r="Q46" s="62">
        <v>0.0</v>
      </c>
      <c r="R46" s="62">
        <v>0.0</v>
      </c>
      <c r="S46" s="62">
        <v>28565.0</v>
      </c>
      <c r="T46" s="62">
        <v>1.43416666666666</v>
      </c>
      <c r="U46" s="62">
        <v>1.43416666666666</v>
      </c>
      <c r="V46" s="62">
        <v>1.75277777777777</v>
      </c>
      <c r="W46" s="62">
        <v>1.75277777777777</v>
      </c>
      <c r="X46" s="62">
        <v>0.0</v>
      </c>
      <c r="Y46" s="62">
        <v>0.657777777777777</v>
      </c>
      <c r="Z46" s="62">
        <v>0.0</v>
      </c>
      <c r="AA46" s="62">
        <v>0.0</v>
      </c>
      <c r="AB46" s="62">
        <v>0.657777777777777</v>
      </c>
      <c r="AC46" s="62">
        <v>0.0</v>
      </c>
      <c r="AD46" s="62">
        <v>0.239722222222222</v>
      </c>
      <c r="AE46" s="62">
        <v>0.0</v>
      </c>
      <c r="AF46" s="62">
        <v>4.0</v>
      </c>
    </row>
    <row r="47">
      <c r="A47" s="68">
        <v>46163.0</v>
      </c>
      <c r="B47" s="62" t="s">
        <v>104</v>
      </c>
      <c r="C47" s="62" t="s">
        <v>166</v>
      </c>
      <c r="D47" s="62">
        <v>0.0</v>
      </c>
      <c r="E47" s="62">
        <v>0.0</v>
      </c>
      <c r="F47" s="62">
        <v>0.0</v>
      </c>
      <c r="G47" s="62">
        <v>0.0</v>
      </c>
      <c r="H47" s="62">
        <v>6.0</v>
      </c>
      <c r="I47" s="62">
        <v>6.0</v>
      </c>
      <c r="J47" s="62">
        <v>3.0</v>
      </c>
      <c r="K47" s="62">
        <v>3.0</v>
      </c>
      <c r="L47" s="62">
        <v>0.0</v>
      </c>
      <c r="M47" s="62">
        <v>3.0</v>
      </c>
      <c r="N47" s="62">
        <v>0.0</v>
      </c>
      <c r="O47" s="62">
        <v>0.0</v>
      </c>
      <c r="P47" s="62">
        <v>0.0</v>
      </c>
      <c r="Q47" s="62">
        <v>0.0</v>
      </c>
      <c r="R47" s="62">
        <v>0.0</v>
      </c>
      <c r="S47" s="62">
        <v>0.0</v>
      </c>
      <c r="T47" s="62">
        <v>0.853611111111111</v>
      </c>
      <c r="U47" s="62">
        <v>0.0</v>
      </c>
      <c r="V47" s="62">
        <v>0.0</v>
      </c>
      <c r="W47" s="62">
        <v>1.3325</v>
      </c>
      <c r="X47" s="62">
        <v>1.3325</v>
      </c>
      <c r="Y47" s="62">
        <v>0.673611111111111</v>
      </c>
      <c r="Z47" s="62">
        <v>0.6825</v>
      </c>
      <c r="AA47" s="62">
        <v>0.0</v>
      </c>
      <c r="AB47" s="62">
        <v>0.693611111111111</v>
      </c>
      <c r="AC47" s="62">
        <v>0.0</v>
      </c>
      <c r="AD47" s="62">
        <v>0.0</v>
      </c>
      <c r="AE47" s="62">
        <v>0.0</v>
      </c>
      <c r="AF47" s="62">
        <v>4.0</v>
      </c>
    </row>
    <row r="48">
      <c r="A48" s="68">
        <v>46163.0</v>
      </c>
      <c r="B48" s="62" t="s">
        <v>100</v>
      </c>
      <c r="C48" s="62" t="s">
        <v>167</v>
      </c>
      <c r="D48" s="62">
        <v>0.0</v>
      </c>
      <c r="E48" s="62">
        <v>0.0</v>
      </c>
      <c r="F48" s="62">
        <v>1.0</v>
      </c>
      <c r="G48" s="62">
        <v>6.0</v>
      </c>
      <c r="H48" s="62">
        <v>8.0</v>
      </c>
      <c r="I48" s="62">
        <v>2.0</v>
      </c>
      <c r="J48" s="62">
        <v>2.0</v>
      </c>
      <c r="K48" s="62">
        <v>0.0</v>
      </c>
      <c r="L48" s="62">
        <v>0.0</v>
      </c>
      <c r="M48" s="62">
        <v>0.0</v>
      </c>
      <c r="N48" s="62">
        <v>0.0</v>
      </c>
      <c r="O48" s="62">
        <v>1.0</v>
      </c>
      <c r="P48" s="62">
        <v>0.0</v>
      </c>
      <c r="Q48" s="62">
        <v>0.0</v>
      </c>
      <c r="R48" s="62">
        <v>0.0</v>
      </c>
      <c r="S48" s="62">
        <v>0.0</v>
      </c>
      <c r="T48" s="62">
        <v>0.649444444444444</v>
      </c>
      <c r="U48" s="62">
        <v>0.202222222222222</v>
      </c>
      <c r="V48" s="62">
        <v>1.32611111111111</v>
      </c>
      <c r="W48" s="62">
        <v>1.7375</v>
      </c>
      <c r="X48" s="62">
        <v>0.411388888888888</v>
      </c>
      <c r="Y48" s="62">
        <v>0.420833333333333</v>
      </c>
      <c r="Z48" s="62">
        <v>0.0</v>
      </c>
      <c r="AA48" s="62">
        <v>0.0</v>
      </c>
      <c r="AB48" s="62">
        <v>0.0</v>
      </c>
      <c r="AC48" s="62">
        <v>0.0</v>
      </c>
      <c r="AD48" s="62">
        <v>0.242777777777777</v>
      </c>
      <c r="AE48" s="62">
        <v>0.0</v>
      </c>
      <c r="AF48" s="62">
        <v>3.0</v>
      </c>
    </row>
    <row r="49">
      <c r="A49" s="68">
        <v>46163.0</v>
      </c>
      <c r="B49" s="62" t="s">
        <v>32</v>
      </c>
      <c r="C49" s="62" t="s">
        <v>168</v>
      </c>
      <c r="D49" s="62">
        <v>6.0</v>
      </c>
      <c r="E49" s="62">
        <v>2.0</v>
      </c>
      <c r="F49" s="62">
        <v>4.0</v>
      </c>
      <c r="G49" s="62">
        <v>0.0</v>
      </c>
      <c r="H49" s="62">
        <v>3.0</v>
      </c>
      <c r="I49" s="62">
        <v>2.0</v>
      </c>
      <c r="J49" s="62">
        <v>2.0</v>
      </c>
      <c r="K49" s="62">
        <v>0.0</v>
      </c>
      <c r="L49" s="62">
        <v>0.0</v>
      </c>
      <c r="M49" s="62">
        <v>2.0</v>
      </c>
      <c r="N49" s="62">
        <v>14.0</v>
      </c>
      <c r="O49" s="62">
        <v>1.0</v>
      </c>
      <c r="P49" s="62">
        <v>14.0</v>
      </c>
      <c r="Q49" s="62">
        <v>0.0</v>
      </c>
      <c r="R49" s="62">
        <v>13761.0</v>
      </c>
      <c r="S49" s="62">
        <v>4529.0</v>
      </c>
      <c r="T49" s="62">
        <v>1.29444444444444</v>
      </c>
      <c r="U49" s="62">
        <v>0.848333333333333</v>
      </c>
      <c r="V49" s="62">
        <v>0.0</v>
      </c>
      <c r="W49" s="62">
        <v>0.658055555555555</v>
      </c>
      <c r="X49" s="62">
        <v>0.446111111111111</v>
      </c>
      <c r="Y49" s="62">
        <v>0.424444444444444</v>
      </c>
      <c r="Z49" s="62">
        <v>0.0</v>
      </c>
      <c r="AA49" s="62">
        <v>0.0</v>
      </c>
      <c r="AB49" s="62">
        <v>0.433611111111111</v>
      </c>
      <c r="AC49" s="62">
        <v>3.06333333333333</v>
      </c>
      <c r="AD49" s="62">
        <v>0.204722222222222</v>
      </c>
      <c r="AE49" s="62">
        <v>3.06333333333333</v>
      </c>
      <c r="AF49" s="62">
        <v>6.0</v>
      </c>
    </row>
    <row r="50">
      <c r="A50" s="68">
        <v>46163.0</v>
      </c>
      <c r="B50" s="62" t="s">
        <v>110</v>
      </c>
      <c r="C50" s="62" t="s">
        <v>169</v>
      </c>
      <c r="D50" s="62">
        <v>0.0</v>
      </c>
      <c r="E50" s="62">
        <v>0.0</v>
      </c>
      <c r="F50" s="62">
        <v>0.0</v>
      </c>
      <c r="G50" s="62">
        <v>0.0</v>
      </c>
      <c r="H50" s="62">
        <v>0.0</v>
      </c>
      <c r="I50" s="62">
        <v>0.0</v>
      </c>
      <c r="J50" s="62">
        <v>0.0</v>
      </c>
      <c r="K50" s="62">
        <v>0.0</v>
      </c>
      <c r="L50" s="62">
        <v>0.0</v>
      </c>
      <c r="M50" s="62">
        <v>4.0</v>
      </c>
      <c r="N50" s="62">
        <v>0.0</v>
      </c>
      <c r="O50" s="62">
        <v>0.0</v>
      </c>
      <c r="P50" s="62">
        <v>0.0</v>
      </c>
      <c r="Q50" s="62">
        <v>0.0</v>
      </c>
      <c r="R50" s="62">
        <v>0.0</v>
      </c>
      <c r="S50" s="62">
        <v>0.0</v>
      </c>
      <c r="T50" s="62">
        <v>0.0</v>
      </c>
      <c r="U50" s="62">
        <v>0.0</v>
      </c>
      <c r="V50" s="62">
        <v>0.0</v>
      </c>
      <c r="W50" s="62">
        <v>0.0</v>
      </c>
      <c r="X50" s="62">
        <v>0.0</v>
      </c>
      <c r="Y50" s="62">
        <v>0.0</v>
      </c>
      <c r="Z50" s="62">
        <v>0.0</v>
      </c>
      <c r="AA50" s="62">
        <v>0.0</v>
      </c>
      <c r="AB50" s="62">
        <v>0.846111111111111</v>
      </c>
      <c r="AC50" s="62">
        <v>0.0</v>
      </c>
      <c r="AD50" s="62">
        <v>0.0</v>
      </c>
      <c r="AE50" s="62">
        <v>0.0</v>
      </c>
      <c r="AF50" s="62">
        <v>0.0</v>
      </c>
    </row>
    <row r="51">
      <c r="A51" s="68">
        <v>46163.0</v>
      </c>
      <c r="B51" s="62" t="s">
        <v>41</v>
      </c>
      <c r="C51" s="62" t="s">
        <v>172</v>
      </c>
      <c r="D51" s="62">
        <v>19.0</v>
      </c>
      <c r="E51" s="62">
        <v>5.0</v>
      </c>
      <c r="F51" s="62">
        <v>0.0</v>
      </c>
      <c r="G51" s="62">
        <v>0.0</v>
      </c>
      <c r="H51" s="62">
        <v>2.0</v>
      </c>
      <c r="I51" s="62">
        <v>2.0</v>
      </c>
      <c r="J51" s="62">
        <v>4.0</v>
      </c>
      <c r="K51" s="62">
        <v>4.0</v>
      </c>
      <c r="L51" s="62">
        <v>1.0</v>
      </c>
      <c r="M51" s="62">
        <v>0.0</v>
      </c>
      <c r="N51" s="62">
        <v>0.0</v>
      </c>
      <c r="O51" s="62">
        <v>1.0</v>
      </c>
      <c r="P51" s="62">
        <v>0.0</v>
      </c>
      <c r="Q51" s="62">
        <v>0.0</v>
      </c>
      <c r="R51" s="62">
        <v>53898.0</v>
      </c>
      <c r="S51" s="62">
        <v>14616.0</v>
      </c>
      <c r="T51" s="62">
        <v>0.803611111111111</v>
      </c>
      <c r="U51" s="62">
        <v>0.0</v>
      </c>
      <c r="V51" s="62">
        <v>0.0</v>
      </c>
      <c r="W51" s="62">
        <v>0.531111111111111</v>
      </c>
      <c r="X51" s="62">
        <v>0.531111111111111</v>
      </c>
      <c r="Y51" s="62">
        <v>1.0875</v>
      </c>
      <c r="Z51" s="62">
        <v>1.13138888888888</v>
      </c>
      <c r="AA51" s="62">
        <v>0.304722222222222</v>
      </c>
      <c r="AB51" s="62">
        <v>0.0</v>
      </c>
      <c r="AC51" s="62">
        <v>0.0</v>
      </c>
      <c r="AD51" s="62">
        <v>0.215833333333333</v>
      </c>
      <c r="AE51" s="62">
        <v>0.0</v>
      </c>
      <c r="AF51" s="62">
        <v>3.0</v>
      </c>
    </row>
    <row r="52">
      <c r="A52" s="68">
        <v>46163.0</v>
      </c>
      <c r="B52" s="62" t="s">
        <v>65</v>
      </c>
      <c r="C52" s="62" t="s">
        <v>173</v>
      </c>
      <c r="D52" s="62">
        <v>21.0</v>
      </c>
      <c r="E52" s="62">
        <v>1.0</v>
      </c>
      <c r="F52" s="62">
        <v>0.0</v>
      </c>
      <c r="G52" s="62">
        <v>0.0</v>
      </c>
      <c r="H52" s="62">
        <v>4.0</v>
      </c>
      <c r="I52" s="62">
        <v>4.0</v>
      </c>
      <c r="J52" s="62">
        <v>6.0</v>
      </c>
      <c r="K52" s="62">
        <v>2.0</v>
      </c>
      <c r="L52" s="62">
        <v>10.0</v>
      </c>
      <c r="M52" s="62">
        <v>0.0</v>
      </c>
      <c r="N52" s="62">
        <v>0.0</v>
      </c>
      <c r="O52" s="62">
        <v>1.0</v>
      </c>
      <c r="P52" s="62">
        <v>0.0</v>
      </c>
      <c r="Q52" s="62">
        <v>0.0</v>
      </c>
      <c r="R52" s="62">
        <v>42381.0</v>
      </c>
      <c r="S52" s="62">
        <v>2371.0</v>
      </c>
      <c r="T52" s="62">
        <v>0.782222222222222</v>
      </c>
      <c r="U52" s="62">
        <v>0.0</v>
      </c>
      <c r="V52" s="62">
        <v>0.0</v>
      </c>
      <c r="W52" s="62">
        <v>0.782222222222222</v>
      </c>
      <c r="X52" s="62">
        <v>0.782222222222222</v>
      </c>
      <c r="Y52" s="62">
        <v>1.16194444444444</v>
      </c>
      <c r="Z52" s="62">
        <v>0.380833333333333</v>
      </c>
      <c r="AA52" s="62">
        <v>1.98916666666666</v>
      </c>
      <c r="AB52" s="62">
        <v>0.0</v>
      </c>
      <c r="AC52" s="62">
        <v>0.0</v>
      </c>
      <c r="AD52" s="62">
        <v>0.210277777777777</v>
      </c>
      <c r="AE52" s="62">
        <v>0.0</v>
      </c>
      <c r="AF52" s="62">
        <v>4.0</v>
      </c>
    </row>
    <row r="53">
      <c r="A53" s="68">
        <v>46163.0</v>
      </c>
      <c r="B53" s="62" t="s">
        <v>37</v>
      </c>
      <c r="C53" s="62" t="s">
        <v>174</v>
      </c>
      <c r="D53" s="62">
        <v>5.0</v>
      </c>
      <c r="E53" s="62">
        <v>2.0</v>
      </c>
      <c r="F53" s="62">
        <v>7.0</v>
      </c>
      <c r="G53" s="62">
        <v>3.0</v>
      </c>
      <c r="H53" s="62">
        <v>3.0</v>
      </c>
      <c r="I53" s="62">
        <v>0.0</v>
      </c>
      <c r="J53" s="62">
        <v>6.0</v>
      </c>
      <c r="K53" s="62">
        <v>0.0</v>
      </c>
      <c r="L53" s="62">
        <v>0.0</v>
      </c>
      <c r="M53" s="62">
        <v>6.0</v>
      </c>
      <c r="N53" s="62">
        <v>1.0</v>
      </c>
      <c r="O53" s="62">
        <v>1.0</v>
      </c>
      <c r="P53" s="62">
        <v>1.0</v>
      </c>
      <c r="Q53" s="62">
        <v>0.0</v>
      </c>
      <c r="R53" s="62">
        <v>10708.0</v>
      </c>
      <c r="S53" s="62">
        <v>4933.0</v>
      </c>
      <c r="T53" s="62">
        <v>1.79194444444444</v>
      </c>
      <c r="U53" s="62">
        <v>1.79194444444444</v>
      </c>
      <c r="V53" s="62">
        <v>0.8125</v>
      </c>
      <c r="W53" s="62">
        <v>0.8125</v>
      </c>
      <c r="X53" s="62">
        <v>0.0</v>
      </c>
      <c r="Y53" s="62">
        <v>1.60527777777777</v>
      </c>
      <c r="Z53" s="62">
        <v>0.0</v>
      </c>
      <c r="AA53" s="62">
        <v>0.0</v>
      </c>
      <c r="AB53" s="62">
        <v>1.60527777777777</v>
      </c>
      <c r="AC53" s="62">
        <v>0.259722222222222</v>
      </c>
      <c r="AD53" s="62">
        <v>0.295</v>
      </c>
      <c r="AE53" s="62">
        <v>0.259722222222222</v>
      </c>
      <c r="AF53" s="62">
        <v>7.0</v>
      </c>
    </row>
    <row r="54">
      <c r="A54" s="68">
        <v>46163.0</v>
      </c>
      <c r="B54" s="62" t="s">
        <v>108</v>
      </c>
      <c r="C54" s="62" t="s">
        <v>175</v>
      </c>
      <c r="D54" s="62">
        <v>0.0</v>
      </c>
      <c r="E54" s="62">
        <v>2.0</v>
      </c>
      <c r="F54" s="62">
        <v>1.0</v>
      </c>
      <c r="G54" s="62">
        <v>1.0</v>
      </c>
      <c r="H54" s="62">
        <v>2.0</v>
      </c>
      <c r="I54" s="62">
        <v>1.0</v>
      </c>
      <c r="J54" s="62">
        <v>5.0</v>
      </c>
      <c r="K54" s="62">
        <v>0.0</v>
      </c>
      <c r="L54" s="62">
        <v>0.0</v>
      </c>
      <c r="M54" s="62">
        <v>5.0</v>
      </c>
      <c r="N54" s="62">
        <v>2.0</v>
      </c>
      <c r="O54" s="62">
        <v>1.0</v>
      </c>
      <c r="P54" s="62">
        <v>2.0</v>
      </c>
      <c r="Q54" s="62">
        <v>0.0</v>
      </c>
      <c r="R54" s="62">
        <v>0.0</v>
      </c>
      <c r="S54" s="62">
        <v>4480.0</v>
      </c>
      <c r="T54" s="62">
        <v>0.475</v>
      </c>
      <c r="U54" s="62">
        <v>0.205</v>
      </c>
      <c r="V54" s="62">
        <v>0.21</v>
      </c>
      <c r="W54" s="62">
        <v>0.436111111111111</v>
      </c>
      <c r="X54" s="62">
        <v>0.226111111111111</v>
      </c>
      <c r="Y54" s="62">
        <v>1.11</v>
      </c>
      <c r="Z54" s="62">
        <v>0.0</v>
      </c>
      <c r="AA54" s="62">
        <v>0.0</v>
      </c>
      <c r="AB54" s="62">
        <v>1.10305555555555</v>
      </c>
      <c r="AC54" s="62">
        <v>0.390277777777777</v>
      </c>
      <c r="AD54" s="62">
        <v>0.229444444444444</v>
      </c>
      <c r="AE54" s="62">
        <v>0.390277777777777</v>
      </c>
      <c r="AF54" s="62">
        <v>2.0</v>
      </c>
    </row>
    <row r="55">
      <c r="A55" s="68">
        <v>46163.0</v>
      </c>
      <c r="B55" s="62" t="s">
        <v>56</v>
      </c>
      <c r="C55" s="62" t="s">
        <v>176</v>
      </c>
      <c r="D55" s="62">
        <v>16.0</v>
      </c>
      <c r="E55" s="62">
        <v>0.0</v>
      </c>
      <c r="F55" s="62">
        <v>6.0</v>
      </c>
      <c r="G55" s="62">
        <v>9.0</v>
      </c>
      <c r="H55" s="62">
        <v>10.0</v>
      </c>
      <c r="I55" s="62">
        <v>0.0</v>
      </c>
      <c r="J55" s="62">
        <v>9.0</v>
      </c>
      <c r="K55" s="62">
        <v>0.0</v>
      </c>
      <c r="L55" s="62">
        <v>0.0</v>
      </c>
      <c r="M55" s="62">
        <v>2.0</v>
      </c>
      <c r="N55" s="62">
        <v>0.0</v>
      </c>
      <c r="O55" s="62">
        <v>1.0</v>
      </c>
      <c r="P55" s="62">
        <v>0.0</v>
      </c>
      <c r="Q55" s="62">
        <v>0.0</v>
      </c>
      <c r="R55" s="62">
        <v>30592.0</v>
      </c>
      <c r="S55" s="62">
        <v>0.0</v>
      </c>
      <c r="T55" s="62">
        <v>2.17166666666666</v>
      </c>
      <c r="U55" s="62">
        <v>1.51249999999999</v>
      </c>
      <c r="V55" s="62">
        <v>2.265</v>
      </c>
      <c r="W55" s="62">
        <v>2.48805555555555</v>
      </c>
      <c r="X55" s="62">
        <v>0.0</v>
      </c>
      <c r="Y55" s="62">
        <v>2.19972222222222</v>
      </c>
      <c r="Z55" s="62">
        <v>0.0</v>
      </c>
      <c r="AA55" s="62">
        <v>0.0</v>
      </c>
      <c r="AB55" s="62">
        <v>0.441388888888888</v>
      </c>
      <c r="AC55" s="62">
        <v>0.0</v>
      </c>
      <c r="AD55" s="62">
        <v>0.261111111111111</v>
      </c>
      <c r="AE55" s="62">
        <v>0.0</v>
      </c>
      <c r="AF55" s="62">
        <v>9.0</v>
      </c>
    </row>
    <row r="56">
      <c r="A56" s="68">
        <v>46163.0</v>
      </c>
      <c r="B56" s="62" t="s">
        <v>122</v>
      </c>
      <c r="C56" s="62" t="s">
        <v>177</v>
      </c>
      <c r="D56" s="62">
        <v>12.0</v>
      </c>
      <c r="E56" s="62">
        <v>0.0</v>
      </c>
      <c r="F56" s="62">
        <v>0.0</v>
      </c>
      <c r="G56" s="62">
        <v>0.0</v>
      </c>
      <c r="H56" s="62">
        <v>0.0</v>
      </c>
      <c r="I56" s="62">
        <v>0.0</v>
      </c>
      <c r="J56" s="62">
        <v>0.0</v>
      </c>
      <c r="K56" s="62">
        <v>0.0</v>
      </c>
      <c r="L56" s="62">
        <v>0.0</v>
      </c>
      <c r="M56" s="62">
        <v>0.0</v>
      </c>
      <c r="N56" s="62">
        <v>0.0</v>
      </c>
      <c r="O56" s="62">
        <v>0.0</v>
      </c>
      <c r="P56" s="62">
        <v>0.0</v>
      </c>
      <c r="Q56" s="62">
        <v>0.0</v>
      </c>
      <c r="R56" s="62">
        <v>29110.0</v>
      </c>
      <c r="S56" s="62">
        <v>0.0</v>
      </c>
      <c r="T56" s="62">
        <v>0.0</v>
      </c>
      <c r="U56" s="62">
        <v>0.0</v>
      </c>
      <c r="V56" s="62">
        <v>0.0</v>
      </c>
      <c r="W56" s="62">
        <v>0.0</v>
      </c>
      <c r="X56" s="62">
        <v>0.0</v>
      </c>
      <c r="Y56" s="62">
        <v>0.0</v>
      </c>
      <c r="Z56" s="62">
        <v>0.0</v>
      </c>
      <c r="AA56" s="62">
        <v>0.0</v>
      </c>
      <c r="AB56" s="62">
        <v>0.0</v>
      </c>
      <c r="AC56" s="62">
        <v>0.0</v>
      </c>
      <c r="AD56" s="62">
        <v>0.0</v>
      </c>
      <c r="AE56" s="62">
        <v>0.0</v>
      </c>
      <c r="AF56" s="62">
        <v>0.0</v>
      </c>
    </row>
    <row r="57">
      <c r="A57" s="68">
        <v>46163.0</v>
      </c>
      <c r="B57" s="62" t="s">
        <v>26</v>
      </c>
      <c r="C57" s="62" t="s">
        <v>178</v>
      </c>
      <c r="D57" s="62">
        <v>0.0</v>
      </c>
      <c r="E57" s="62">
        <v>0.0</v>
      </c>
      <c r="F57" s="62">
        <v>0.0</v>
      </c>
      <c r="G57" s="62">
        <v>0.0</v>
      </c>
      <c r="H57" s="62">
        <v>0.0</v>
      </c>
      <c r="I57" s="62">
        <v>0.0</v>
      </c>
      <c r="J57" s="62">
        <v>4.0</v>
      </c>
      <c r="K57" s="62">
        <v>0.0</v>
      </c>
      <c r="L57" s="62">
        <v>0.0</v>
      </c>
      <c r="M57" s="62">
        <v>4.0</v>
      </c>
      <c r="N57" s="62">
        <v>0.0</v>
      </c>
      <c r="O57" s="62">
        <v>1.0</v>
      </c>
      <c r="P57" s="62">
        <v>0.0</v>
      </c>
      <c r="Q57" s="62">
        <v>0.0</v>
      </c>
      <c r="R57" s="62">
        <v>0.0</v>
      </c>
      <c r="S57" s="62">
        <v>0.0</v>
      </c>
      <c r="T57" s="62">
        <v>0.0</v>
      </c>
      <c r="U57" s="62">
        <v>0.0</v>
      </c>
      <c r="V57" s="62">
        <v>0.0</v>
      </c>
      <c r="W57" s="62">
        <v>0.0</v>
      </c>
      <c r="X57" s="62">
        <v>0.0</v>
      </c>
      <c r="Y57" s="62">
        <v>0.684444444444444</v>
      </c>
      <c r="Z57" s="62">
        <v>0.0</v>
      </c>
      <c r="AA57" s="62">
        <v>0.0</v>
      </c>
      <c r="AB57" s="62">
        <v>0.684444444444444</v>
      </c>
      <c r="AC57" s="62">
        <v>0.0</v>
      </c>
      <c r="AD57" s="62">
        <v>0.176111111111111</v>
      </c>
      <c r="AE57" s="62">
        <v>0.0</v>
      </c>
      <c r="AF57" s="62">
        <v>0.0</v>
      </c>
    </row>
    <row r="58">
      <c r="A58" s="68">
        <v>46163.0</v>
      </c>
      <c r="B58" s="62" t="s">
        <v>89</v>
      </c>
      <c r="C58" s="62" t="s">
        <v>180</v>
      </c>
      <c r="D58" s="62">
        <v>9.0</v>
      </c>
      <c r="E58" s="62">
        <v>4.0</v>
      </c>
      <c r="F58" s="62">
        <v>0.0</v>
      </c>
      <c r="G58" s="62">
        <v>0.0</v>
      </c>
      <c r="H58" s="62">
        <v>0.0</v>
      </c>
      <c r="I58" s="62">
        <v>0.0</v>
      </c>
      <c r="J58" s="62">
        <v>0.0</v>
      </c>
      <c r="K58" s="62">
        <v>0.0</v>
      </c>
      <c r="L58" s="62">
        <v>0.0</v>
      </c>
      <c r="M58" s="62">
        <v>2.0</v>
      </c>
      <c r="N58" s="62">
        <v>3.0</v>
      </c>
      <c r="O58" s="62">
        <v>1.0</v>
      </c>
      <c r="P58" s="62">
        <v>3.0</v>
      </c>
      <c r="Q58" s="62">
        <v>0.0</v>
      </c>
      <c r="R58" s="62">
        <v>19240.0</v>
      </c>
      <c r="S58" s="62">
        <v>8626.0</v>
      </c>
      <c r="T58" s="62">
        <v>0.9275</v>
      </c>
      <c r="U58" s="62">
        <v>0.0</v>
      </c>
      <c r="V58" s="62">
        <v>0.0</v>
      </c>
      <c r="W58" s="62">
        <v>0.0</v>
      </c>
      <c r="X58" s="62">
        <v>0.0</v>
      </c>
      <c r="Y58" s="62">
        <v>0.0</v>
      </c>
      <c r="Z58" s="62">
        <v>0.0</v>
      </c>
      <c r="AA58" s="62">
        <v>0.0</v>
      </c>
      <c r="AB58" s="62">
        <v>0.473888888888888</v>
      </c>
      <c r="AC58" s="62">
        <v>0.728611111111111</v>
      </c>
      <c r="AD58" s="62">
        <v>0.228611111111111</v>
      </c>
      <c r="AE58" s="62">
        <v>0.728611111111111</v>
      </c>
      <c r="AF58" s="62">
        <v>4.0</v>
      </c>
    </row>
    <row r="59">
      <c r="A59" s="68">
        <v>46162.0</v>
      </c>
      <c r="B59" s="62" t="s">
        <v>79</v>
      </c>
      <c r="C59" s="62" t="s">
        <v>162</v>
      </c>
      <c r="D59" s="62">
        <v>5.0</v>
      </c>
      <c r="E59" s="62">
        <v>6.0</v>
      </c>
      <c r="F59" s="62">
        <v>2.0</v>
      </c>
      <c r="G59" s="62">
        <v>0.0</v>
      </c>
      <c r="H59" s="62">
        <v>0.0</v>
      </c>
      <c r="I59" s="62">
        <v>0.0</v>
      </c>
      <c r="J59" s="62">
        <v>3.0</v>
      </c>
      <c r="K59" s="62">
        <v>2.0</v>
      </c>
      <c r="L59" s="62">
        <v>0.0</v>
      </c>
      <c r="M59" s="62">
        <v>2.0</v>
      </c>
      <c r="N59" s="62">
        <v>0.0</v>
      </c>
      <c r="O59" s="62">
        <v>1.0</v>
      </c>
      <c r="P59" s="62">
        <v>0.0</v>
      </c>
      <c r="Q59" s="62">
        <v>0.0</v>
      </c>
      <c r="R59" s="62">
        <v>11662.0</v>
      </c>
      <c r="S59" s="62">
        <v>14498.0</v>
      </c>
      <c r="T59" s="62">
        <v>0.403611111111111</v>
      </c>
      <c r="U59" s="62">
        <v>0.403611111111111</v>
      </c>
      <c r="V59" s="62">
        <v>0.0</v>
      </c>
      <c r="W59" s="62">
        <v>0.0</v>
      </c>
      <c r="X59" s="62">
        <v>0.0</v>
      </c>
      <c r="Y59" s="62">
        <v>0.678888888888888</v>
      </c>
      <c r="Z59" s="62">
        <v>0.448611111111111</v>
      </c>
      <c r="AA59" s="62">
        <v>0.0</v>
      </c>
      <c r="AB59" s="62">
        <v>0.441111111111111</v>
      </c>
      <c r="AC59" s="62">
        <v>0.0</v>
      </c>
      <c r="AD59" s="62">
        <v>0.212222222222222</v>
      </c>
      <c r="AE59" s="62">
        <v>0.0</v>
      </c>
      <c r="AF59" s="62">
        <v>2.0</v>
      </c>
    </row>
    <row r="60">
      <c r="A60" s="68">
        <v>46162.0</v>
      </c>
      <c r="B60" s="62" t="s">
        <v>96</v>
      </c>
      <c r="C60" s="62" t="s">
        <v>97</v>
      </c>
      <c r="D60" s="62">
        <v>3.0</v>
      </c>
      <c r="E60" s="62">
        <v>3.0</v>
      </c>
      <c r="F60" s="62">
        <v>0.0</v>
      </c>
      <c r="G60" s="62">
        <v>0.0</v>
      </c>
      <c r="H60" s="62">
        <v>0.0</v>
      </c>
      <c r="I60" s="62">
        <v>0.0</v>
      </c>
      <c r="J60" s="62">
        <v>0.0</v>
      </c>
      <c r="K60" s="62">
        <v>0.0</v>
      </c>
      <c r="L60" s="62">
        <v>0.0</v>
      </c>
      <c r="M60" s="62">
        <v>8.0</v>
      </c>
      <c r="N60" s="62">
        <v>7.0</v>
      </c>
      <c r="O60" s="62">
        <v>1.0</v>
      </c>
      <c r="P60" s="62">
        <v>7.0</v>
      </c>
      <c r="Q60" s="62">
        <v>0.0</v>
      </c>
      <c r="R60" s="62">
        <v>6713.0</v>
      </c>
      <c r="S60" s="62">
        <v>6775.0</v>
      </c>
      <c r="T60" s="62">
        <v>1.01305555555555</v>
      </c>
      <c r="U60" s="62">
        <v>0.0</v>
      </c>
      <c r="V60" s="62">
        <v>0.0</v>
      </c>
      <c r="W60" s="62">
        <v>0.0</v>
      </c>
      <c r="X60" s="62">
        <v>0.0</v>
      </c>
      <c r="Y60" s="62">
        <v>0.0</v>
      </c>
      <c r="Z60" s="62">
        <v>0.0</v>
      </c>
      <c r="AA60" s="62">
        <v>0.0</v>
      </c>
      <c r="AB60" s="62">
        <v>1.93472222222222</v>
      </c>
      <c r="AC60" s="62">
        <v>1.69027777777777</v>
      </c>
      <c r="AD60" s="62">
        <v>0.219444444444444</v>
      </c>
      <c r="AE60" s="62">
        <v>1.69027777777777</v>
      </c>
      <c r="AF60" s="62">
        <v>4.0</v>
      </c>
    </row>
    <row r="61">
      <c r="A61" s="68">
        <v>46162.0</v>
      </c>
      <c r="B61" s="62" t="s">
        <v>76</v>
      </c>
      <c r="C61" s="62" t="s">
        <v>165</v>
      </c>
      <c r="D61" s="62">
        <v>1.0</v>
      </c>
      <c r="E61" s="62">
        <v>16.0</v>
      </c>
      <c r="F61" s="62">
        <v>4.0</v>
      </c>
      <c r="G61" s="62">
        <v>2.0</v>
      </c>
      <c r="H61" s="62">
        <v>2.0</v>
      </c>
      <c r="I61" s="62">
        <v>0.0</v>
      </c>
      <c r="J61" s="62">
        <v>5.0</v>
      </c>
      <c r="K61" s="62">
        <v>0.0</v>
      </c>
      <c r="L61" s="62">
        <v>0.0</v>
      </c>
      <c r="M61" s="62">
        <v>5.0</v>
      </c>
      <c r="N61" s="62">
        <v>5.0</v>
      </c>
      <c r="O61" s="62">
        <v>1.0</v>
      </c>
      <c r="P61" s="62">
        <v>5.0</v>
      </c>
      <c r="Q61" s="62">
        <v>0.0</v>
      </c>
      <c r="R61" s="62">
        <v>3677.0</v>
      </c>
      <c r="S61" s="62">
        <v>46156.0</v>
      </c>
      <c r="T61" s="62">
        <v>1.09638888888888</v>
      </c>
      <c r="U61" s="62">
        <v>1.09638888888888</v>
      </c>
      <c r="V61" s="62">
        <v>0.657777777777777</v>
      </c>
      <c r="W61" s="62">
        <v>0.657777777777777</v>
      </c>
      <c r="X61" s="62">
        <v>0.0</v>
      </c>
      <c r="Y61" s="62">
        <v>1.38861111111111</v>
      </c>
      <c r="Z61" s="62">
        <v>0.0</v>
      </c>
      <c r="AA61" s="62">
        <v>0.0</v>
      </c>
      <c r="AB61" s="62">
        <v>1.38861111111111</v>
      </c>
      <c r="AC61" s="62">
        <v>1.4825</v>
      </c>
      <c r="AD61" s="62">
        <v>0.242777777777777</v>
      </c>
      <c r="AE61" s="62">
        <v>1.4825</v>
      </c>
      <c r="AF61" s="62">
        <v>4.0</v>
      </c>
    </row>
    <row r="62">
      <c r="A62" s="68">
        <v>46162.0</v>
      </c>
      <c r="B62" s="62" t="s">
        <v>104</v>
      </c>
      <c r="C62" s="62" t="s">
        <v>166</v>
      </c>
      <c r="D62" s="62">
        <v>0.0</v>
      </c>
      <c r="E62" s="62">
        <v>5.0</v>
      </c>
      <c r="F62" s="62">
        <v>0.0</v>
      </c>
      <c r="G62" s="62">
        <v>0.0</v>
      </c>
      <c r="H62" s="62">
        <v>0.0</v>
      </c>
      <c r="I62" s="62">
        <v>0.0</v>
      </c>
      <c r="J62" s="62">
        <v>3.0</v>
      </c>
      <c r="K62" s="62">
        <v>2.0</v>
      </c>
      <c r="L62" s="62">
        <v>0.0</v>
      </c>
      <c r="M62" s="62">
        <v>3.0</v>
      </c>
      <c r="N62" s="62">
        <v>0.0</v>
      </c>
      <c r="O62" s="62">
        <v>0.0</v>
      </c>
      <c r="P62" s="62">
        <v>0.0</v>
      </c>
      <c r="Q62" s="62">
        <v>0.0</v>
      </c>
      <c r="R62" s="62">
        <v>0.0</v>
      </c>
      <c r="S62" s="62">
        <v>12046.0</v>
      </c>
      <c r="T62" s="62">
        <v>0.662222222222222</v>
      </c>
      <c r="U62" s="62">
        <v>0.0</v>
      </c>
      <c r="V62" s="62">
        <v>0.0</v>
      </c>
      <c r="W62" s="62">
        <v>0.0</v>
      </c>
      <c r="X62" s="62">
        <v>0.0</v>
      </c>
      <c r="Y62" s="62">
        <v>0.689444444444444</v>
      </c>
      <c r="Z62" s="62">
        <v>0.468611111111111</v>
      </c>
      <c r="AA62" s="62">
        <v>0.0</v>
      </c>
      <c r="AB62" s="62">
        <v>0.670833333333333</v>
      </c>
      <c r="AC62" s="62">
        <v>0.0</v>
      </c>
      <c r="AD62" s="62">
        <v>0.0</v>
      </c>
      <c r="AE62" s="62">
        <v>0.0</v>
      </c>
      <c r="AF62" s="62">
        <v>3.0</v>
      </c>
    </row>
    <row r="63">
      <c r="A63" s="68">
        <v>46162.0</v>
      </c>
      <c r="B63" s="62" t="s">
        <v>100</v>
      </c>
      <c r="C63" s="62" t="s">
        <v>167</v>
      </c>
      <c r="D63" s="62">
        <v>0.0</v>
      </c>
      <c r="E63" s="62">
        <v>19.0</v>
      </c>
      <c r="F63" s="62">
        <v>1.0</v>
      </c>
      <c r="G63" s="62">
        <v>0.0</v>
      </c>
      <c r="H63" s="62">
        <v>1.0</v>
      </c>
      <c r="I63" s="62">
        <v>1.0</v>
      </c>
      <c r="J63" s="62">
        <v>1.0</v>
      </c>
      <c r="K63" s="62">
        <v>1.0</v>
      </c>
      <c r="L63" s="62">
        <v>0.0</v>
      </c>
      <c r="M63" s="62">
        <v>2.0</v>
      </c>
      <c r="N63" s="62">
        <v>9.0</v>
      </c>
      <c r="O63" s="62">
        <v>1.0</v>
      </c>
      <c r="P63" s="62">
        <v>9.0</v>
      </c>
      <c r="Q63" s="62">
        <v>0.0</v>
      </c>
      <c r="R63" s="62">
        <v>0.0</v>
      </c>
      <c r="S63" s="62">
        <v>46174.0</v>
      </c>
      <c r="T63" s="62">
        <v>0.613611111111111</v>
      </c>
      <c r="U63" s="62">
        <v>0.234166666666666</v>
      </c>
      <c r="V63" s="62">
        <v>0.0</v>
      </c>
      <c r="W63" s="62">
        <v>0.219444444444444</v>
      </c>
      <c r="X63" s="62">
        <v>0.219444444444444</v>
      </c>
      <c r="Y63" s="62">
        <v>0.223055555555555</v>
      </c>
      <c r="Z63" s="62">
        <v>0.223055555555555</v>
      </c>
      <c r="AA63" s="62">
        <v>0.0</v>
      </c>
      <c r="AB63" s="62">
        <v>0.4325</v>
      </c>
      <c r="AC63" s="62">
        <v>1.92388888888888</v>
      </c>
      <c r="AD63" s="62">
        <v>0.236111111111111</v>
      </c>
      <c r="AE63" s="62">
        <v>1.92388888888888</v>
      </c>
      <c r="AF63" s="62">
        <v>3.0</v>
      </c>
    </row>
    <row r="64">
      <c r="A64" s="68">
        <v>46162.0</v>
      </c>
      <c r="B64" s="62" t="s">
        <v>32</v>
      </c>
      <c r="C64" s="62" t="s">
        <v>168</v>
      </c>
      <c r="D64" s="62">
        <v>4.0</v>
      </c>
      <c r="E64" s="62">
        <v>4.0</v>
      </c>
      <c r="F64" s="62">
        <v>4.0</v>
      </c>
      <c r="G64" s="62">
        <v>0.0</v>
      </c>
      <c r="H64" s="62">
        <v>8.0</v>
      </c>
      <c r="I64" s="62">
        <v>2.0</v>
      </c>
      <c r="J64" s="62">
        <v>7.0</v>
      </c>
      <c r="K64" s="62">
        <v>0.0</v>
      </c>
      <c r="L64" s="62">
        <v>0.0</v>
      </c>
      <c r="M64" s="62">
        <v>9.0</v>
      </c>
      <c r="N64" s="62">
        <v>0.0</v>
      </c>
      <c r="O64" s="62">
        <v>1.0</v>
      </c>
      <c r="P64" s="62">
        <v>0.0</v>
      </c>
      <c r="Q64" s="62">
        <v>0.0</v>
      </c>
      <c r="R64" s="62">
        <v>9403.0</v>
      </c>
      <c r="S64" s="62">
        <v>9818.0</v>
      </c>
      <c r="T64" s="62">
        <v>1.06999999999999</v>
      </c>
      <c r="U64" s="62">
        <v>0.855555555555555</v>
      </c>
      <c r="V64" s="62">
        <v>0.0</v>
      </c>
      <c r="W64" s="62">
        <v>1.70416666666666</v>
      </c>
      <c r="X64" s="62">
        <v>0.426666666666666</v>
      </c>
      <c r="Y64" s="62">
        <v>1.49138888888888</v>
      </c>
      <c r="Z64" s="62">
        <v>0.0</v>
      </c>
      <c r="AA64" s="62">
        <v>0.0</v>
      </c>
      <c r="AB64" s="62">
        <v>1.97333333333333</v>
      </c>
      <c r="AC64" s="62">
        <v>0.0</v>
      </c>
      <c r="AD64" s="62">
        <v>0.214166666666666</v>
      </c>
      <c r="AE64" s="62">
        <v>0.0</v>
      </c>
      <c r="AF64" s="62">
        <v>5.0</v>
      </c>
    </row>
    <row r="65">
      <c r="A65" s="68">
        <v>46162.0</v>
      </c>
      <c r="B65" s="62" t="s">
        <v>110</v>
      </c>
      <c r="C65" s="62" t="s">
        <v>169</v>
      </c>
      <c r="D65" s="62">
        <v>0.0</v>
      </c>
      <c r="E65" s="62">
        <v>3.0</v>
      </c>
      <c r="F65" s="62">
        <v>0.0</v>
      </c>
      <c r="G65" s="62">
        <v>0.0</v>
      </c>
      <c r="H65" s="62">
        <v>0.0</v>
      </c>
      <c r="I65" s="62">
        <v>0.0</v>
      </c>
      <c r="J65" s="62">
        <v>0.0</v>
      </c>
      <c r="K65" s="62">
        <v>0.0</v>
      </c>
      <c r="L65" s="62">
        <v>0.0</v>
      </c>
      <c r="M65" s="62">
        <v>0.0</v>
      </c>
      <c r="N65" s="62">
        <v>0.0</v>
      </c>
      <c r="O65" s="62">
        <v>0.0</v>
      </c>
      <c r="P65" s="62">
        <v>0.0</v>
      </c>
      <c r="Q65" s="62">
        <v>0.0</v>
      </c>
      <c r="R65" s="62">
        <v>0.0</v>
      </c>
      <c r="S65" s="62">
        <v>6618.0</v>
      </c>
      <c r="T65" s="62">
        <v>0.441111111111111</v>
      </c>
      <c r="U65" s="62">
        <v>0.0</v>
      </c>
      <c r="V65" s="62">
        <v>0.0</v>
      </c>
      <c r="W65" s="62">
        <v>0.0</v>
      </c>
      <c r="X65" s="62">
        <v>0.0</v>
      </c>
      <c r="Y65" s="62">
        <v>0.0</v>
      </c>
      <c r="Z65" s="62">
        <v>0.0</v>
      </c>
      <c r="AA65" s="62">
        <v>0.0</v>
      </c>
      <c r="AB65" s="62">
        <v>0.0</v>
      </c>
      <c r="AC65" s="62">
        <v>0.0</v>
      </c>
      <c r="AD65" s="62">
        <v>0.0</v>
      </c>
      <c r="AE65" s="62">
        <v>0.0</v>
      </c>
      <c r="AF65" s="62">
        <v>2.0</v>
      </c>
    </row>
    <row r="66">
      <c r="A66" s="68">
        <v>46162.0</v>
      </c>
      <c r="B66" s="62" t="s">
        <v>41</v>
      </c>
      <c r="C66" s="62" t="s">
        <v>172</v>
      </c>
      <c r="D66" s="62">
        <v>4.0</v>
      </c>
      <c r="E66" s="62">
        <v>3.0</v>
      </c>
      <c r="F66" s="62">
        <v>0.0</v>
      </c>
      <c r="G66" s="62">
        <v>0.0</v>
      </c>
      <c r="H66" s="62">
        <v>4.0</v>
      </c>
      <c r="I66" s="62">
        <v>4.0</v>
      </c>
      <c r="J66" s="62">
        <v>5.0</v>
      </c>
      <c r="K66" s="62">
        <v>5.0</v>
      </c>
      <c r="L66" s="62">
        <v>0.0</v>
      </c>
      <c r="M66" s="62">
        <v>5.0</v>
      </c>
      <c r="N66" s="62">
        <v>3.0</v>
      </c>
      <c r="O66" s="62">
        <v>1.0</v>
      </c>
      <c r="P66" s="62">
        <v>3.0</v>
      </c>
      <c r="Q66" s="62">
        <v>0.0</v>
      </c>
      <c r="R66" s="62">
        <v>11912.0</v>
      </c>
      <c r="S66" s="62">
        <v>8664.0</v>
      </c>
      <c r="T66" s="62">
        <v>1.10527777777777</v>
      </c>
      <c r="U66" s="62">
        <v>0.0</v>
      </c>
      <c r="V66" s="62">
        <v>0.0</v>
      </c>
      <c r="W66" s="62">
        <v>1.10527777777777</v>
      </c>
      <c r="X66" s="62">
        <v>1.10527777777777</v>
      </c>
      <c r="Y66" s="62">
        <v>1.41472222222222</v>
      </c>
      <c r="Z66" s="62">
        <v>1.40305555555555</v>
      </c>
      <c r="AA66" s="62">
        <v>0.0</v>
      </c>
      <c r="AB66" s="62">
        <v>1.34666666666666</v>
      </c>
      <c r="AC66" s="62">
        <v>0.800833333333333</v>
      </c>
      <c r="AD66" s="62">
        <v>0.229166666666666</v>
      </c>
      <c r="AE66" s="62">
        <v>0.800833333333333</v>
      </c>
      <c r="AF66" s="62">
        <v>4.0</v>
      </c>
    </row>
    <row r="67">
      <c r="A67" s="68">
        <v>46162.0</v>
      </c>
      <c r="B67" s="62" t="s">
        <v>65</v>
      </c>
      <c r="C67" s="62" t="s">
        <v>173</v>
      </c>
      <c r="D67" s="62">
        <v>10.0</v>
      </c>
      <c r="E67" s="62">
        <v>5.0</v>
      </c>
      <c r="F67" s="62">
        <v>0.0</v>
      </c>
      <c r="G67" s="62">
        <v>0.0</v>
      </c>
      <c r="H67" s="62">
        <v>5.0</v>
      </c>
      <c r="I67" s="62">
        <v>5.0</v>
      </c>
      <c r="J67" s="62">
        <v>9.0</v>
      </c>
      <c r="K67" s="62">
        <v>7.0</v>
      </c>
      <c r="L67" s="62">
        <v>0.0</v>
      </c>
      <c r="M67" s="62">
        <v>8.0</v>
      </c>
      <c r="N67" s="62">
        <v>0.0</v>
      </c>
      <c r="O67" s="62">
        <v>1.0</v>
      </c>
      <c r="P67" s="62">
        <v>0.0</v>
      </c>
      <c r="Q67" s="62">
        <v>0.0</v>
      </c>
      <c r="R67" s="62">
        <v>18085.0</v>
      </c>
      <c r="S67" s="62">
        <v>9021.0</v>
      </c>
      <c r="T67" s="62">
        <v>0.974722222222222</v>
      </c>
      <c r="U67" s="62">
        <v>0.0</v>
      </c>
      <c r="V67" s="62">
        <v>0.0</v>
      </c>
      <c r="W67" s="62">
        <v>0.974722222222222</v>
      </c>
      <c r="X67" s="62">
        <v>0.974722222222222</v>
      </c>
      <c r="Y67" s="62">
        <v>1.81277777777777</v>
      </c>
      <c r="Z67" s="62">
        <v>1.39</v>
      </c>
      <c r="AA67" s="62">
        <v>0.0</v>
      </c>
      <c r="AB67" s="62">
        <v>1.67055555555555</v>
      </c>
      <c r="AC67" s="62">
        <v>0.0</v>
      </c>
      <c r="AD67" s="62">
        <v>0.276666666666666</v>
      </c>
      <c r="AE67" s="62">
        <v>0.0</v>
      </c>
      <c r="AF67" s="62">
        <v>5.0</v>
      </c>
    </row>
    <row r="68">
      <c r="A68" s="68">
        <v>46162.0</v>
      </c>
      <c r="B68" s="62" t="s">
        <v>37</v>
      </c>
      <c r="C68" s="62" t="s">
        <v>174</v>
      </c>
      <c r="D68" s="62">
        <v>5.0</v>
      </c>
      <c r="E68" s="62">
        <v>6.0</v>
      </c>
      <c r="F68" s="62">
        <v>0.0</v>
      </c>
      <c r="G68" s="62">
        <v>3.0</v>
      </c>
      <c r="H68" s="62">
        <v>3.0</v>
      </c>
      <c r="I68" s="62">
        <v>0.0</v>
      </c>
      <c r="J68" s="62">
        <v>0.0</v>
      </c>
      <c r="K68" s="62">
        <v>0.0</v>
      </c>
      <c r="L68" s="62">
        <v>0.0</v>
      </c>
      <c r="M68" s="62">
        <v>3.0</v>
      </c>
      <c r="N68" s="62">
        <v>5.0</v>
      </c>
      <c r="O68" s="62">
        <v>1.0</v>
      </c>
      <c r="P68" s="62">
        <v>5.0</v>
      </c>
      <c r="Q68" s="62">
        <v>0.0</v>
      </c>
      <c r="R68" s="62">
        <v>12221.0</v>
      </c>
      <c r="S68" s="62">
        <v>14683.0</v>
      </c>
      <c r="T68" s="62">
        <v>0.0</v>
      </c>
      <c r="U68" s="62">
        <v>0.0</v>
      </c>
      <c r="V68" s="62">
        <v>0.792777777777777</v>
      </c>
      <c r="W68" s="62">
        <v>0.792777777777777</v>
      </c>
      <c r="X68" s="62">
        <v>0.0</v>
      </c>
      <c r="Y68" s="62">
        <v>0.0</v>
      </c>
      <c r="Z68" s="62">
        <v>0.0</v>
      </c>
      <c r="AA68" s="62">
        <v>0.0</v>
      </c>
      <c r="AB68" s="62">
        <v>0.721388888888888</v>
      </c>
      <c r="AC68" s="62">
        <v>1.2125</v>
      </c>
      <c r="AD68" s="62">
        <v>0.276666666666666</v>
      </c>
      <c r="AE68" s="62">
        <v>1.2125</v>
      </c>
      <c r="AF68" s="62">
        <v>0.0</v>
      </c>
    </row>
    <row r="69">
      <c r="A69" s="68">
        <v>46162.0</v>
      </c>
      <c r="B69" s="62" t="s">
        <v>108</v>
      </c>
      <c r="C69" s="62" t="s">
        <v>175</v>
      </c>
      <c r="D69" s="62">
        <v>0.0</v>
      </c>
      <c r="E69" s="62">
        <v>2.0</v>
      </c>
      <c r="F69" s="62">
        <v>1.0</v>
      </c>
      <c r="G69" s="62">
        <v>4.0</v>
      </c>
      <c r="H69" s="62">
        <v>5.0</v>
      </c>
      <c r="I69" s="62">
        <v>1.0</v>
      </c>
      <c r="J69" s="62">
        <v>2.0</v>
      </c>
      <c r="K69" s="62">
        <v>1.0</v>
      </c>
      <c r="L69" s="62">
        <v>1.0</v>
      </c>
      <c r="M69" s="62">
        <v>3.0</v>
      </c>
      <c r="N69" s="62">
        <v>1.0</v>
      </c>
      <c r="O69" s="62">
        <v>1.0</v>
      </c>
      <c r="P69" s="62">
        <v>1.0</v>
      </c>
      <c r="Q69" s="62">
        <v>0.0</v>
      </c>
      <c r="R69" s="62">
        <v>0.0</v>
      </c>
      <c r="S69" s="62">
        <v>4364.0</v>
      </c>
      <c r="T69" s="62">
        <v>0.431111111111111</v>
      </c>
      <c r="U69" s="62">
        <v>0.241111111111111</v>
      </c>
      <c r="V69" s="62">
        <v>0.874722222222222</v>
      </c>
      <c r="W69" s="62">
        <v>1.09388888888888</v>
      </c>
      <c r="X69" s="62">
        <v>0.219166666666666</v>
      </c>
      <c r="Y69" s="62">
        <v>0.414166666666666</v>
      </c>
      <c r="Z69" s="62">
        <v>0.185833333333333</v>
      </c>
      <c r="AA69" s="62">
        <v>0.204444444444444</v>
      </c>
      <c r="AB69" s="62">
        <v>0.576111111111111</v>
      </c>
      <c r="AC69" s="62">
        <v>0.185833333333333</v>
      </c>
      <c r="AD69" s="62">
        <v>0.184444444444444</v>
      </c>
      <c r="AE69" s="62">
        <v>0.185833333333333</v>
      </c>
      <c r="AF69" s="62">
        <v>2.0</v>
      </c>
    </row>
    <row r="70">
      <c r="A70" s="68">
        <v>46162.0</v>
      </c>
      <c r="B70" s="62" t="s">
        <v>56</v>
      </c>
      <c r="C70" s="62" t="s">
        <v>176</v>
      </c>
      <c r="D70" s="62">
        <v>8.0</v>
      </c>
      <c r="E70" s="62">
        <v>13.0</v>
      </c>
      <c r="F70" s="62">
        <v>5.0</v>
      </c>
      <c r="G70" s="62">
        <v>3.0</v>
      </c>
      <c r="H70" s="62">
        <v>3.0</v>
      </c>
      <c r="I70" s="62">
        <v>0.0</v>
      </c>
      <c r="J70" s="62">
        <v>3.0</v>
      </c>
      <c r="K70" s="62">
        <v>2.0</v>
      </c>
      <c r="L70" s="62">
        <v>0.0</v>
      </c>
      <c r="M70" s="62">
        <v>3.0</v>
      </c>
      <c r="N70" s="62">
        <v>3.0</v>
      </c>
      <c r="O70" s="62">
        <v>1.0</v>
      </c>
      <c r="P70" s="62">
        <v>3.0</v>
      </c>
      <c r="Q70" s="62">
        <v>0.0</v>
      </c>
      <c r="R70" s="62">
        <v>14930.0</v>
      </c>
      <c r="S70" s="62">
        <v>27251.0</v>
      </c>
      <c r="T70" s="62">
        <v>2.06138888888888</v>
      </c>
      <c r="U70" s="62">
        <v>1.26861111111111</v>
      </c>
      <c r="V70" s="62">
        <v>0.746388888888889</v>
      </c>
      <c r="W70" s="62">
        <v>0.746388888888888</v>
      </c>
      <c r="X70" s="62">
        <v>0.0</v>
      </c>
      <c r="Y70" s="62">
        <v>0.746388888888888</v>
      </c>
      <c r="Z70" s="62">
        <v>0.502222222222222</v>
      </c>
      <c r="AA70" s="62">
        <v>0.0</v>
      </c>
      <c r="AB70" s="62">
        <v>0.746388888888888</v>
      </c>
      <c r="AC70" s="62">
        <v>0.746388888888889</v>
      </c>
      <c r="AD70" s="62">
        <v>0.262222222222222</v>
      </c>
      <c r="AE70" s="62">
        <v>0.746388888888888</v>
      </c>
      <c r="AF70" s="62">
        <v>8.0</v>
      </c>
    </row>
    <row r="71">
      <c r="A71" s="68">
        <v>46162.0</v>
      </c>
      <c r="B71" s="62" t="s">
        <v>26</v>
      </c>
      <c r="C71" s="62" t="s">
        <v>178</v>
      </c>
      <c r="D71" s="62">
        <v>0.0</v>
      </c>
      <c r="E71" s="62">
        <v>10.0</v>
      </c>
      <c r="F71" s="62">
        <v>6.0</v>
      </c>
      <c r="G71" s="62">
        <v>10.0</v>
      </c>
      <c r="H71" s="62">
        <v>10.0</v>
      </c>
      <c r="I71" s="62">
        <v>0.0</v>
      </c>
      <c r="J71" s="62">
        <v>6.0</v>
      </c>
      <c r="K71" s="62">
        <v>0.0</v>
      </c>
      <c r="L71" s="62">
        <v>0.0</v>
      </c>
      <c r="M71" s="62">
        <v>6.0</v>
      </c>
      <c r="N71" s="62">
        <v>0.0</v>
      </c>
      <c r="O71" s="62">
        <v>1.0</v>
      </c>
      <c r="P71" s="62">
        <v>0.0</v>
      </c>
      <c r="Q71" s="62">
        <v>0.0</v>
      </c>
      <c r="R71" s="62">
        <v>0.0</v>
      </c>
      <c r="S71" s="62">
        <v>22160.0</v>
      </c>
      <c r="T71" s="62">
        <v>0.0</v>
      </c>
      <c r="U71" s="62">
        <v>1.04888888888888</v>
      </c>
      <c r="V71" s="62">
        <v>1.76444444444444</v>
      </c>
      <c r="W71" s="62">
        <v>1.76444444444444</v>
      </c>
      <c r="X71" s="62">
        <v>0.0</v>
      </c>
      <c r="Y71" s="62">
        <v>1.08</v>
      </c>
      <c r="Z71" s="62">
        <v>0.0</v>
      </c>
      <c r="AA71" s="62">
        <v>0.0</v>
      </c>
      <c r="AB71" s="62">
        <v>1.08</v>
      </c>
      <c r="AC71" s="62">
        <v>0.0</v>
      </c>
      <c r="AD71" s="62">
        <v>0.187222222222222</v>
      </c>
      <c r="AE71" s="62">
        <v>0.0</v>
      </c>
      <c r="AF71" s="62">
        <v>0.0</v>
      </c>
    </row>
    <row r="72">
      <c r="A72" s="68">
        <v>46162.0</v>
      </c>
      <c r="B72" s="62" t="s">
        <v>89</v>
      </c>
      <c r="C72" s="62" t="s">
        <v>180</v>
      </c>
      <c r="D72" s="62">
        <v>0.0</v>
      </c>
      <c r="E72" s="62">
        <v>5.0</v>
      </c>
      <c r="F72" s="62">
        <v>0.0</v>
      </c>
      <c r="G72" s="62">
        <v>0.0</v>
      </c>
      <c r="H72" s="62">
        <v>0.0</v>
      </c>
      <c r="I72" s="62">
        <v>0.0</v>
      </c>
      <c r="J72" s="62">
        <v>0.0</v>
      </c>
      <c r="K72" s="62">
        <v>0.0</v>
      </c>
      <c r="L72" s="62">
        <v>0.0</v>
      </c>
      <c r="M72" s="62">
        <v>3.0</v>
      </c>
      <c r="N72" s="62">
        <v>3.0</v>
      </c>
      <c r="O72" s="62">
        <v>1.0</v>
      </c>
      <c r="P72" s="62">
        <v>3.0</v>
      </c>
      <c r="Q72" s="62">
        <v>0.0</v>
      </c>
      <c r="R72" s="62">
        <v>0.0</v>
      </c>
      <c r="S72" s="62">
        <v>10644.0</v>
      </c>
      <c r="T72" s="62">
        <v>1.19499999999999</v>
      </c>
      <c r="U72" s="62">
        <v>0.0</v>
      </c>
      <c r="V72" s="62">
        <v>0.0</v>
      </c>
      <c r="W72" s="62">
        <v>0.0</v>
      </c>
      <c r="X72" s="62">
        <v>0.0</v>
      </c>
      <c r="Y72" s="62">
        <v>0.0</v>
      </c>
      <c r="Z72" s="62">
        <v>0.0</v>
      </c>
      <c r="AA72" s="62">
        <v>0.0</v>
      </c>
      <c r="AB72" s="62">
        <v>0.728611111111111</v>
      </c>
      <c r="AC72" s="62">
        <v>0.744999999999999</v>
      </c>
      <c r="AD72" s="62">
        <v>0.158055555555555</v>
      </c>
      <c r="AE72" s="62">
        <v>0.745</v>
      </c>
      <c r="AF72" s="62">
        <v>5.0</v>
      </c>
    </row>
    <row r="73">
      <c r="A73" s="68">
        <v>46161.0</v>
      </c>
      <c r="B73" s="62" t="s">
        <v>79</v>
      </c>
      <c r="C73" s="62" t="s">
        <v>162</v>
      </c>
      <c r="D73" s="62">
        <v>13.0</v>
      </c>
      <c r="E73" s="62">
        <v>4.0</v>
      </c>
      <c r="F73" s="62">
        <v>7.0</v>
      </c>
      <c r="G73" s="62">
        <v>3.0</v>
      </c>
      <c r="H73" s="62">
        <v>4.0</v>
      </c>
      <c r="I73" s="62">
        <v>1.0</v>
      </c>
      <c r="J73" s="62">
        <v>2.0</v>
      </c>
      <c r="K73" s="62">
        <v>1.0</v>
      </c>
      <c r="L73" s="62">
        <v>0.0</v>
      </c>
      <c r="M73" s="62">
        <v>0.0</v>
      </c>
      <c r="N73" s="62">
        <v>1.0</v>
      </c>
      <c r="O73" s="62">
        <v>1.0</v>
      </c>
      <c r="P73" s="62">
        <v>1.0</v>
      </c>
      <c r="Q73" s="62">
        <v>0.0</v>
      </c>
      <c r="R73" s="62">
        <v>31435.0</v>
      </c>
      <c r="S73" s="62">
        <v>9705.0</v>
      </c>
      <c r="T73" s="62">
        <v>1.70666666666666</v>
      </c>
      <c r="U73" s="62">
        <v>1.495</v>
      </c>
      <c r="V73" s="62">
        <v>0.678888888888888</v>
      </c>
      <c r="W73" s="62">
        <v>0.890555555555555</v>
      </c>
      <c r="X73" s="62">
        <v>0.211666666666666</v>
      </c>
      <c r="Y73" s="62">
        <v>0.421388888888888</v>
      </c>
      <c r="Z73" s="62">
        <v>0.210555555555555</v>
      </c>
      <c r="AA73" s="62">
        <v>0.0</v>
      </c>
      <c r="AB73" s="62">
        <v>0.0</v>
      </c>
      <c r="AC73" s="62">
        <v>0.205833333333333</v>
      </c>
      <c r="AD73" s="62">
        <v>0.2025</v>
      </c>
      <c r="AE73" s="62">
        <v>0.205833333333333</v>
      </c>
      <c r="AF73" s="62">
        <v>8.0</v>
      </c>
    </row>
    <row r="74">
      <c r="A74" s="68">
        <v>46161.0</v>
      </c>
      <c r="B74" s="62" t="s">
        <v>96</v>
      </c>
      <c r="C74" s="62" t="s">
        <v>97</v>
      </c>
      <c r="D74" s="62">
        <v>4.0</v>
      </c>
      <c r="E74" s="62">
        <v>2.0</v>
      </c>
      <c r="F74" s="62">
        <v>0.0</v>
      </c>
      <c r="G74" s="62">
        <v>0.0</v>
      </c>
      <c r="H74" s="62">
        <v>0.0</v>
      </c>
      <c r="I74" s="62">
        <v>0.0</v>
      </c>
      <c r="J74" s="62">
        <v>0.0</v>
      </c>
      <c r="K74" s="62">
        <v>0.0</v>
      </c>
      <c r="L74" s="62">
        <v>0.0</v>
      </c>
      <c r="M74" s="62">
        <v>0.0</v>
      </c>
      <c r="N74" s="62">
        <v>0.0</v>
      </c>
      <c r="O74" s="62">
        <v>1.0</v>
      </c>
      <c r="P74" s="62">
        <v>0.0</v>
      </c>
      <c r="Q74" s="62">
        <v>0.0</v>
      </c>
      <c r="R74" s="62">
        <v>8905.0</v>
      </c>
      <c r="S74" s="62">
        <v>4423.0</v>
      </c>
      <c r="T74" s="62">
        <v>0.0</v>
      </c>
      <c r="U74" s="62">
        <v>0.0</v>
      </c>
      <c r="V74" s="62">
        <v>0.0</v>
      </c>
      <c r="W74" s="62">
        <v>0.0</v>
      </c>
      <c r="X74" s="62">
        <v>0.0</v>
      </c>
      <c r="Y74" s="62">
        <v>0.0</v>
      </c>
      <c r="Z74" s="62">
        <v>0.0</v>
      </c>
      <c r="AA74" s="62">
        <v>0.0</v>
      </c>
      <c r="AB74" s="62">
        <v>0.0</v>
      </c>
      <c r="AC74" s="62">
        <v>0.0</v>
      </c>
      <c r="AD74" s="62">
        <v>0.220555555555555</v>
      </c>
      <c r="AE74" s="62">
        <v>0.0</v>
      </c>
      <c r="AF74" s="62">
        <v>0.0</v>
      </c>
    </row>
    <row r="75">
      <c r="A75" s="68">
        <v>46161.0</v>
      </c>
      <c r="B75" s="62" t="s">
        <v>76</v>
      </c>
      <c r="C75" s="62" t="s">
        <v>165</v>
      </c>
      <c r="D75" s="62">
        <v>0.0</v>
      </c>
      <c r="E75" s="62">
        <v>4.0</v>
      </c>
      <c r="F75" s="62">
        <v>4.0</v>
      </c>
      <c r="G75" s="62">
        <v>5.0</v>
      </c>
      <c r="H75" s="62">
        <v>5.0</v>
      </c>
      <c r="I75" s="62">
        <v>0.0</v>
      </c>
      <c r="J75" s="62">
        <v>1.0</v>
      </c>
      <c r="K75" s="62">
        <v>0.0</v>
      </c>
      <c r="L75" s="62">
        <v>0.0</v>
      </c>
      <c r="M75" s="62">
        <v>1.0</v>
      </c>
      <c r="N75" s="62">
        <v>4.0</v>
      </c>
      <c r="O75" s="62">
        <v>1.0</v>
      </c>
      <c r="P75" s="62">
        <v>4.0</v>
      </c>
      <c r="Q75" s="62">
        <v>0.0</v>
      </c>
      <c r="R75" s="62">
        <v>0.0</v>
      </c>
      <c r="S75" s="62">
        <v>11252.0</v>
      </c>
      <c r="T75" s="62">
        <v>1.16166666666666</v>
      </c>
      <c r="U75" s="62">
        <v>1.16166666666666</v>
      </c>
      <c r="V75" s="62">
        <v>1.38861111111111</v>
      </c>
      <c r="W75" s="62">
        <v>1.38861111111111</v>
      </c>
      <c r="X75" s="62">
        <v>0.0</v>
      </c>
      <c r="Y75" s="62">
        <v>0.332777777777777</v>
      </c>
      <c r="Z75" s="62">
        <v>0.0</v>
      </c>
      <c r="AA75" s="62">
        <v>0.0</v>
      </c>
      <c r="AB75" s="62">
        <v>0.332777777777777</v>
      </c>
      <c r="AC75" s="62">
        <v>1.42944444444444</v>
      </c>
      <c r="AD75" s="62">
        <v>0.241944444444444</v>
      </c>
      <c r="AE75" s="62">
        <v>1.42944444444444</v>
      </c>
      <c r="AF75" s="62">
        <v>4.0</v>
      </c>
    </row>
    <row r="76">
      <c r="A76" s="68">
        <v>46161.0</v>
      </c>
      <c r="B76" s="62" t="s">
        <v>104</v>
      </c>
      <c r="C76" s="62" t="s">
        <v>166</v>
      </c>
      <c r="D76" s="62">
        <v>0.0</v>
      </c>
      <c r="E76" s="62">
        <v>7.0</v>
      </c>
      <c r="F76" s="62">
        <v>0.0</v>
      </c>
      <c r="G76" s="62">
        <v>0.0</v>
      </c>
      <c r="H76" s="62">
        <v>3.0</v>
      </c>
      <c r="I76" s="62">
        <v>3.0</v>
      </c>
      <c r="J76" s="62">
        <v>3.0</v>
      </c>
      <c r="K76" s="62">
        <v>0.0</v>
      </c>
      <c r="L76" s="62">
        <v>0.0</v>
      </c>
      <c r="M76" s="62">
        <v>0.0</v>
      </c>
      <c r="N76" s="62">
        <v>0.0</v>
      </c>
      <c r="O76" s="62">
        <v>0.0</v>
      </c>
      <c r="P76" s="62">
        <v>0.0</v>
      </c>
      <c r="Q76" s="62">
        <v>0.0</v>
      </c>
      <c r="R76" s="62">
        <v>0.0</v>
      </c>
      <c r="S76" s="62">
        <v>17162.0</v>
      </c>
      <c r="T76" s="62">
        <v>1.35694444444444</v>
      </c>
      <c r="U76" s="62">
        <v>0.0</v>
      </c>
      <c r="V76" s="62">
        <v>0.0</v>
      </c>
      <c r="W76" s="62">
        <v>0.686666666666666</v>
      </c>
      <c r="X76" s="62">
        <v>0.686666666666666</v>
      </c>
      <c r="Y76" s="62">
        <v>0.683888888888888</v>
      </c>
      <c r="Z76" s="62">
        <v>0.0</v>
      </c>
      <c r="AA76" s="62">
        <v>0.0</v>
      </c>
      <c r="AB76" s="62">
        <v>0.0</v>
      </c>
      <c r="AC76" s="62">
        <v>0.0</v>
      </c>
      <c r="AD76" s="62">
        <v>0.0</v>
      </c>
      <c r="AE76" s="62">
        <v>0.0</v>
      </c>
      <c r="AF76" s="62">
        <v>6.0</v>
      </c>
    </row>
    <row r="77">
      <c r="A77" s="68">
        <v>46161.0</v>
      </c>
      <c r="B77" s="62" t="s">
        <v>100</v>
      </c>
      <c r="C77" s="62" t="s">
        <v>167</v>
      </c>
      <c r="D77" s="62">
        <v>0.0</v>
      </c>
      <c r="E77" s="62">
        <v>14.0</v>
      </c>
      <c r="F77" s="62">
        <v>2.0</v>
      </c>
      <c r="G77" s="62">
        <v>0.0</v>
      </c>
      <c r="H77" s="62">
        <v>1.0</v>
      </c>
      <c r="I77" s="62">
        <v>1.0</v>
      </c>
      <c r="J77" s="62">
        <v>1.0</v>
      </c>
      <c r="K77" s="62">
        <v>1.0</v>
      </c>
      <c r="L77" s="62">
        <v>1.0</v>
      </c>
      <c r="M77" s="62">
        <v>2.0</v>
      </c>
      <c r="N77" s="62">
        <v>0.0</v>
      </c>
      <c r="O77" s="62">
        <v>1.0</v>
      </c>
      <c r="P77" s="62">
        <v>0.0</v>
      </c>
      <c r="Q77" s="62">
        <v>0.0</v>
      </c>
      <c r="R77" s="62">
        <v>0.0</v>
      </c>
      <c r="S77" s="62">
        <v>34604.0</v>
      </c>
      <c r="T77" s="62">
        <v>0.468333333333333</v>
      </c>
      <c r="U77" s="62">
        <v>0.4125</v>
      </c>
      <c r="V77" s="62">
        <v>0.0</v>
      </c>
      <c r="W77" s="62">
        <v>0.205</v>
      </c>
      <c r="X77" s="62">
        <v>0.205</v>
      </c>
      <c r="Y77" s="62">
        <v>0.209444444444444</v>
      </c>
      <c r="Z77" s="62">
        <v>0.209444444444444</v>
      </c>
      <c r="AA77" s="62">
        <v>0.209444444444444</v>
      </c>
      <c r="AB77" s="62">
        <v>0.419166666666666</v>
      </c>
      <c r="AC77" s="62">
        <v>0.0</v>
      </c>
      <c r="AD77" s="62">
        <v>0.228333333333333</v>
      </c>
      <c r="AE77" s="62">
        <v>0.0</v>
      </c>
      <c r="AF77" s="62">
        <v>2.0</v>
      </c>
    </row>
    <row r="78">
      <c r="A78" s="68">
        <v>46161.0</v>
      </c>
      <c r="B78" s="62" t="s">
        <v>32</v>
      </c>
      <c r="C78" s="62" t="s">
        <v>168</v>
      </c>
      <c r="D78" s="62">
        <v>4.0</v>
      </c>
      <c r="E78" s="62">
        <v>1.0</v>
      </c>
      <c r="F78" s="62">
        <v>5.0</v>
      </c>
      <c r="G78" s="62">
        <v>0.0</v>
      </c>
      <c r="H78" s="62">
        <v>3.0</v>
      </c>
      <c r="I78" s="62">
        <v>1.0</v>
      </c>
      <c r="J78" s="62">
        <v>4.0</v>
      </c>
      <c r="K78" s="62">
        <v>0.0</v>
      </c>
      <c r="L78" s="62">
        <v>0.0</v>
      </c>
      <c r="M78" s="62">
        <v>3.0</v>
      </c>
      <c r="N78" s="62">
        <v>1.0</v>
      </c>
      <c r="O78" s="62">
        <v>1.0</v>
      </c>
      <c r="P78" s="62">
        <v>1.0</v>
      </c>
      <c r="Q78" s="62">
        <v>0.0</v>
      </c>
      <c r="R78" s="62">
        <v>9818.0</v>
      </c>
      <c r="S78" s="62">
        <v>2454.0</v>
      </c>
      <c r="T78" s="62">
        <v>1.32472222222222</v>
      </c>
      <c r="U78" s="62">
        <v>1.09305555555555</v>
      </c>
      <c r="V78" s="62">
        <v>0.0</v>
      </c>
      <c r="W78" s="62">
        <v>0.691111111111111</v>
      </c>
      <c r="X78" s="62">
        <v>0.231666666666666</v>
      </c>
      <c r="Y78" s="62">
        <v>0.915555555555555</v>
      </c>
      <c r="Z78" s="62">
        <v>0.0</v>
      </c>
      <c r="AA78" s="62">
        <v>0.0</v>
      </c>
      <c r="AB78" s="62">
        <v>0.648611111111111</v>
      </c>
      <c r="AC78" s="62">
        <v>0.212222222222222</v>
      </c>
      <c r="AD78" s="62">
        <v>0.2125</v>
      </c>
      <c r="AE78" s="62">
        <v>0.212222222222222</v>
      </c>
      <c r="AF78" s="62">
        <v>6.0</v>
      </c>
    </row>
    <row r="79">
      <c r="A79" s="68">
        <v>46161.0</v>
      </c>
      <c r="B79" s="62" t="s">
        <v>110</v>
      </c>
      <c r="C79" s="62" t="s">
        <v>169</v>
      </c>
      <c r="D79" s="62">
        <v>0.0</v>
      </c>
      <c r="E79" s="62">
        <v>3.0</v>
      </c>
      <c r="F79" s="62">
        <v>0.0</v>
      </c>
      <c r="G79" s="62">
        <v>0.0</v>
      </c>
      <c r="H79" s="62">
        <v>0.0</v>
      </c>
      <c r="I79" s="62">
        <v>0.0</v>
      </c>
      <c r="J79" s="62">
        <v>0.0</v>
      </c>
      <c r="K79" s="62">
        <v>0.0</v>
      </c>
      <c r="L79" s="62">
        <v>0.0</v>
      </c>
      <c r="M79" s="62">
        <v>5.0</v>
      </c>
      <c r="N79" s="62">
        <v>0.0</v>
      </c>
      <c r="O79" s="62">
        <v>0.0</v>
      </c>
      <c r="P79" s="62">
        <v>0.0</v>
      </c>
      <c r="Q79" s="62">
        <v>0.0</v>
      </c>
      <c r="R79" s="62">
        <v>0.0</v>
      </c>
      <c r="S79" s="62">
        <v>6750.0</v>
      </c>
      <c r="T79" s="62">
        <v>0.0</v>
      </c>
      <c r="U79" s="62">
        <v>0.0</v>
      </c>
      <c r="V79" s="62">
        <v>0.0</v>
      </c>
      <c r="W79" s="62">
        <v>0.0</v>
      </c>
      <c r="X79" s="62">
        <v>0.0</v>
      </c>
      <c r="Y79" s="62">
        <v>0.0</v>
      </c>
      <c r="Z79" s="62">
        <v>0.0</v>
      </c>
      <c r="AA79" s="62">
        <v>0.0</v>
      </c>
      <c r="AB79" s="62">
        <v>1.18888888888888</v>
      </c>
      <c r="AC79" s="62">
        <v>0.0</v>
      </c>
      <c r="AD79" s="62">
        <v>0.0</v>
      </c>
      <c r="AE79" s="62">
        <v>0.0</v>
      </c>
      <c r="AF79" s="62">
        <v>0.0</v>
      </c>
    </row>
    <row r="80">
      <c r="A80" s="68">
        <v>46161.0</v>
      </c>
      <c r="B80" s="62" t="s">
        <v>102</v>
      </c>
      <c r="C80" s="62" t="s">
        <v>170</v>
      </c>
      <c r="D80" s="62">
        <v>0.0</v>
      </c>
      <c r="E80" s="62">
        <v>1.0</v>
      </c>
      <c r="F80" s="62">
        <v>0.0</v>
      </c>
      <c r="G80" s="62">
        <v>0.0</v>
      </c>
      <c r="H80" s="62">
        <v>0.0</v>
      </c>
      <c r="I80" s="62">
        <v>0.0</v>
      </c>
      <c r="J80" s="62">
        <v>0.0</v>
      </c>
      <c r="K80" s="62">
        <v>0.0</v>
      </c>
      <c r="L80" s="62">
        <v>0.0</v>
      </c>
      <c r="M80" s="62">
        <v>1.0</v>
      </c>
      <c r="N80" s="62">
        <v>0.0</v>
      </c>
      <c r="O80" s="62">
        <v>1.0</v>
      </c>
      <c r="P80" s="62">
        <v>0.0</v>
      </c>
      <c r="Q80" s="62">
        <v>0.0</v>
      </c>
      <c r="R80" s="62">
        <v>0.0</v>
      </c>
      <c r="S80" s="62">
        <v>2243.0</v>
      </c>
      <c r="T80" s="62">
        <v>0.0</v>
      </c>
      <c r="U80" s="62">
        <v>0.0</v>
      </c>
      <c r="V80" s="62">
        <v>0.0</v>
      </c>
      <c r="W80" s="62">
        <v>0.0</v>
      </c>
      <c r="X80" s="62">
        <v>0.0</v>
      </c>
      <c r="Y80" s="62">
        <v>0.0</v>
      </c>
      <c r="Z80" s="62">
        <v>0.0</v>
      </c>
      <c r="AA80" s="62">
        <v>0.0</v>
      </c>
      <c r="AB80" s="62">
        <v>0.202777777777777</v>
      </c>
      <c r="AC80" s="62">
        <v>0.0</v>
      </c>
      <c r="AD80" s="62">
        <v>0.246666666666666</v>
      </c>
      <c r="AE80" s="62">
        <v>0.0</v>
      </c>
      <c r="AF80" s="62">
        <v>0.0</v>
      </c>
    </row>
    <row r="81">
      <c r="A81" s="68">
        <v>46161.0</v>
      </c>
      <c r="B81" s="62" t="s">
        <v>41</v>
      </c>
      <c r="C81" s="62" t="s">
        <v>172</v>
      </c>
      <c r="D81" s="62">
        <v>7.0</v>
      </c>
      <c r="E81" s="62">
        <v>4.0</v>
      </c>
      <c r="F81" s="62">
        <v>0.0</v>
      </c>
      <c r="G81" s="62">
        <v>0.0</v>
      </c>
      <c r="H81" s="62">
        <v>10.0</v>
      </c>
      <c r="I81" s="62">
        <v>10.0</v>
      </c>
      <c r="J81" s="62">
        <v>7.0</v>
      </c>
      <c r="K81" s="62">
        <v>10.0</v>
      </c>
      <c r="L81" s="62">
        <v>0.0</v>
      </c>
      <c r="M81" s="62">
        <v>3.0</v>
      </c>
      <c r="N81" s="62">
        <v>0.0</v>
      </c>
      <c r="O81" s="62">
        <v>1.0</v>
      </c>
      <c r="P81" s="62">
        <v>0.0</v>
      </c>
      <c r="Q81" s="62">
        <v>0.0</v>
      </c>
      <c r="R81" s="62">
        <v>20334.0</v>
      </c>
      <c r="S81" s="62">
        <v>11357.0</v>
      </c>
      <c r="T81" s="62">
        <v>1.43694444444444</v>
      </c>
      <c r="U81" s="62">
        <v>0.0</v>
      </c>
      <c r="V81" s="62">
        <v>0.0</v>
      </c>
      <c r="W81" s="62">
        <v>2.84138888888888</v>
      </c>
      <c r="X81" s="62">
        <v>2.84138888888888</v>
      </c>
      <c r="Y81" s="62">
        <v>1.98027777777777</v>
      </c>
      <c r="Z81" s="62">
        <v>2.715</v>
      </c>
      <c r="AA81" s="62">
        <v>0.0</v>
      </c>
      <c r="AB81" s="62">
        <v>0.861111111111111</v>
      </c>
      <c r="AC81" s="62">
        <v>0.0</v>
      </c>
      <c r="AD81" s="62">
        <v>0.230277777777777</v>
      </c>
      <c r="AE81" s="62">
        <v>0.0</v>
      </c>
      <c r="AF81" s="62">
        <v>5.0</v>
      </c>
    </row>
    <row r="82">
      <c r="A82" s="68">
        <v>46161.0</v>
      </c>
      <c r="B82" s="62" t="s">
        <v>65</v>
      </c>
      <c r="C82" s="62" t="s">
        <v>173</v>
      </c>
      <c r="D82" s="62">
        <v>10.0</v>
      </c>
      <c r="E82" s="62">
        <v>6.0</v>
      </c>
      <c r="F82" s="62">
        <v>0.0</v>
      </c>
      <c r="G82" s="62">
        <v>0.0</v>
      </c>
      <c r="H82" s="62">
        <v>5.0</v>
      </c>
      <c r="I82" s="62">
        <v>5.0</v>
      </c>
      <c r="J82" s="62">
        <v>5.0</v>
      </c>
      <c r="K82" s="62">
        <v>8.0</v>
      </c>
      <c r="L82" s="62">
        <v>4.0</v>
      </c>
      <c r="M82" s="62">
        <v>0.0</v>
      </c>
      <c r="N82" s="62">
        <v>1.0</v>
      </c>
      <c r="O82" s="62">
        <v>1.0</v>
      </c>
      <c r="P82" s="62">
        <v>1.0</v>
      </c>
      <c r="Q82" s="62">
        <v>0.0</v>
      </c>
      <c r="R82" s="62">
        <v>17726.0</v>
      </c>
      <c r="S82" s="62">
        <v>11651.0</v>
      </c>
      <c r="T82" s="62">
        <v>1.03277777777777</v>
      </c>
      <c r="U82" s="62">
        <v>0.0</v>
      </c>
      <c r="V82" s="62">
        <v>0.0</v>
      </c>
      <c r="W82" s="62">
        <v>1.03277777777777</v>
      </c>
      <c r="X82" s="62">
        <v>1.03277777777777</v>
      </c>
      <c r="Y82" s="62">
        <v>1.0225</v>
      </c>
      <c r="Z82" s="62">
        <v>1.62194444444444</v>
      </c>
      <c r="AA82" s="62">
        <v>0.818333333333333</v>
      </c>
      <c r="AB82" s="62">
        <v>0.0</v>
      </c>
      <c r="AC82" s="62">
        <v>0.222222222222222</v>
      </c>
      <c r="AD82" s="62">
        <v>0.203888888888888</v>
      </c>
      <c r="AE82" s="62">
        <v>0.222222222222222</v>
      </c>
      <c r="AF82" s="62">
        <v>5.0</v>
      </c>
    </row>
    <row r="83">
      <c r="A83" s="68">
        <v>46161.0</v>
      </c>
      <c r="B83" s="62" t="s">
        <v>37</v>
      </c>
      <c r="C83" s="62" t="s">
        <v>174</v>
      </c>
      <c r="D83" s="62">
        <v>5.0</v>
      </c>
      <c r="E83" s="62">
        <v>10.0</v>
      </c>
      <c r="F83" s="62">
        <v>4.0</v>
      </c>
      <c r="G83" s="62">
        <v>3.0</v>
      </c>
      <c r="H83" s="62">
        <v>3.0</v>
      </c>
      <c r="I83" s="62">
        <v>0.0</v>
      </c>
      <c r="J83" s="62">
        <v>3.0</v>
      </c>
      <c r="K83" s="62">
        <v>0.0</v>
      </c>
      <c r="L83" s="62">
        <v>0.0</v>
      </c>
      <c r="M83" s="62">
        <v>3.0</v>
      </c>
      <c r="N83" s="62">
        <v>1.0</v>
      </c>
      <c r="O83" s="62">
        <v>1.0</v>
      </c>
      <c r="P83" s="62">
        <v>1.0</v>
      </c>
      <c r="Q83" s="62">
        <v>0.0</v>
      </c>
      <c r="R83" s="62">
        <v>11750.0</v>
      </c>
      <c r="S83" s="62">
        <v>24030.0</v>
      </c>
      <c r="T83" s="62">
        <v>0.0</v>
      </c>
      <c r="U83" s="62">
        <v>1.08888888888888</v>
      </c>
      <c r="V83" s="62">
        <v>0.721388888888888</v>
      </c>
      <c r="W83" s="62">
        <v>0.721388888888888</v>
      </c>
      <c r="X83" s="62">
        <v>0.0</v>
      </c>
      <c r="Y83" s="62">
        <v>0.721388888888888</v>
      </c>
      <c r="Z83" s="62">
        <v>0.0</v>
      </c>
      <c r="AA83" s="62">
        <v>0.0</v>
      </c>
      <c r="AB83" s="62">
        <v>0.753888888888888</v>
      </c>
      <c r="AC83" s="62">
        <v>0.262777777777777</v>
      </c>
      <c r="AD83" s="62">
        <v>0.265555555555555</v>
      </c>
      <c r="AE83" s="62">
        <v>0.262777777777777</v>
      </c>
      <c r="AF83" s="62">
        <v>0.0</v>
      </c>
    </row>
    <row r="84">
      <c r="A84" s="68">
        <v>46161.0</v>
      </c>
      <c r="B84" s="62" t="s">
        <v>108</v>
      </c>
      <c r="C84" s="62" t="s">
        <v>175</v>
      </c>
      <c r="D84" s="62">
        <v>0.0</v>
      </c>
      <c r="E84" s="62">
        <v>2.0</v>
      </c>
      <c r="F84" s="62">
        <v>3.0</v>
      </c>
      <c r="G84" s="62">
        <v>3.0</v>
      </c>
      <c r="H84" s="62">
        <v>3.0</v>
      </c>
      <c r="I84" s="62">
        <v>0.0</v>
      </c>
      <c r="J84" s="62">
        <v>2.0</v>
      </c>
      <c r="K84" s="62">
        <v>0.0</v>
      </c>
      <c r="L84" s="62">
        <v>0.0</v>
      </c>
      <c r="M84" s="62">
        <v>0.0</v>
      </c>
      <c r="N84" s="62">
        <v>1.0</v>
      </c>
      <c r="O84" s="62">
        <v>1.0</v>
      </c>
      <c r="P84" s="62">
        <v>1.0</v>
      </c>
      <c r="Q84" s="62">
        <v>0.0</v>
      </c>
      <c r="R84" s="62">
        <v>0.0</v>
      </c>
      <c r="S84" s="62">
        <v>4380.0</v>
      </c>
      <c r="T84" s="62">
        <v>0.655833333333333</v>
      </c>
      <c r="U84" s="62">
        <v>0.601666666666666</v>
      </c>
      <c r="V84" s="62">
        <v>0.5575</v>
      </c>
      <c r="W84" s="62">
        <v>0.5575</v>
      </c>
      <c r="X84" s="62">
        <v>0.0</v>
      </c>
      <c r="Y84" s="62">
        <v>0.371666666666666</v>
      </c>
      <c r="Z84" s="62">
        <v>0.0</v>
      </c>
      <c r="AA84" s="62">
        <v>0.0</v>
      </c>
      <c r="AB84" s="62">
        <v>0.0</v>
      </c>
      <c r="AC84" s="62">
        <v>0.180833333333333</v>
      </c>
      <c r="AD84" s="62">
        <v>0.165833333333333</v>
      </c>
      <c r="AE84" s="62">
        <v>0.180833333333333</v>
      </c>
      <c r="AF84" s="62">
        <v>3.0</v>
      </c>
    </row>
    <row r="85">
      <c r="A85" s="68">
        <v>46161.0</v>
      </c>
      <c r="B85" s="62" t="s">
        <v>56</v>
      </c>
      <c r="C85" s="62" t="s">
        <v>176</v>
      </c>
      <c r="D85" s="62">
        <v>8.0</v>
      </c>
      <c r="E85" s="62">
        <v>14.0</v>
      </c>
      <c r="F85" s="62">
        <v>3.0</v>
      </c>
      <c r="G85" s="62">
        <v>5.0</v>
      </c>
      <c r="H85" s="62">
        <v>6.0</v>
      </c>
      <c r="I85" s="62">
        <v>1.0</v>
      </c>
      <c r="J85" s="62">
        <v>5.0</v>
      </c>
      <c r="K85" s="62">
        <v>1.0</v>
      </c>
      <c r="L85" s="62">
        <v>0.0</v>
      </c>
      <c r="M85" s="62">
        <v>11.0</v>
      </c>
      <c r="N85" s="62">
        <v>23.0</v>
      </c>
      <c r="O85" s="62">
        <v>1.0</v>
      </c>
      <c r="P85" s="62">
        <v>23.0</v>
      </c>
      <c r="Q85" s="62">
        <v>0.0</v>
      </c>
      <c r="R85" s="62">
        <v>16826.0</v>
      </c>
      <c r="S85" s="62">
        <v>30038.0</v>
      </c>
      <c r="T85" s="62">
        <v>1.15888888888888</v>
      </c>
      <c r="U85" s="62">
        <v>0.715277777777777</v>
      </c>
      <c r="V85" s="62">
        <v>1.24805555555555</v>
      </c>
      <c r="W85" s="62">
        <v>1.46888888888888</v>
      </c>
      <c r="X85" s="62">
        <v>0.220833333333333</v>
      </c>
      <c r="Y85" s="62">
        <v>1.24805555555555</v>
      </c>
      <c r="Z85" s="62">
        <v>0.231111111111111</v>
      </c>
      <c r="AA85" s="62">
        <v>0.0</v>
      </c>
      <c r="AB85" s="62">
        <v>2.6925</v>
      </c>
      <c r="AC85" s="62">
        <v>5.77166666666666</v>
      </c>
      <c r="AD85" s="62">
        <v>0.254722222222222</v>
      </c>
      <c r="AE85" s="62">
        <v>5.77166666666666</v>
      </c>
      <c r="AF85" s="62">
        <v>5.0</v>
      </c>
    </row>
    <row r="86">
      <c r="A86" s="68">
        <v>46161.0</v>
      </c>
      <c r="B86" s="62" t="s">
        <v>122</v>
      </c>
      <c r="C86" s="62" t="s">
        <v>177</v>
      </c>
      <c r="D86" s="62">
        <v>1.0</v>
      </c>
      <c r="E86" s="62">
        <v>0.0</v>
      </c>
      <c r="F86" s="62">
        <v>0.0</v>
      </c>
      <c r="G86" s="62">
        <v>0.0</v>
      </c>
      <c r="H86" s="62">
        <v>0.0</v>
      </c>
      <c r="I86" s="62">
        <v>0.0</v>
      </c>
      <c r="J86" s="62">
        <v>0.0</v>
      </c>
      <c r="K86" s="62">
        <v>0.0</v>
      </c>
      <c r="L86" s="62">
        <v>0.0</v>
      </c>
      <c r="M86" s="62">
        <v>0.0</v>
      </c>
      <c r="N86" s="62">
        <v>0.0</v>
      </c>
      <c r="O86" s="62">
        <v>0.0</v>
      </c>
      <c r="P86" s="62">
        <v>0.0</v>
      </c>
      <c r="Q86" s="62">
        <v>0.0</v>
      </c>
      <c r="R86" s="62">
        <v>2608.0</v>
      </c>
      <c r="S86" s="62">
        <v>0.0</v>
      </c>
      <c r="T86" s="62">
        <v>0.0</v>
      </c>
      <c r="U86" s="62">
        <v>0.0</v>
      </c>
      <c r="V86" s="62">
        <v>0.0</v>
      </c>
      <c r="W86" s="62">
        <v>0.0</v>
      </c>
      <c r="X86" s="62">
        <v>0.0</v>
      </c>
      <c r="Y86" s="62">
        <v>0.0</v>
      </c>
      <c r="Z86" s="62">
        <v>0.0</v>
      </c>
      <c r="AA86" s="62">
        <v>0.0</v>
      </c>
      <c r="AB86" s="62">
        <v>0.0</v>
      </c>
      <c r="AC86" s="62">
        <v>0.0</v>
      </c>
      <c r="AD86" s="62">
        <v>0.0</v>
      </c>
      <c r="AE86" s="62">
        <v>0.0</v>
      </c>
      <c r="AF86" s="62">
        <v>0.0</v>
      </c>
    </row>
    <row r="87">
      <c r="A87" s="68">
        <v>46161.0</v>
      </c>
      <c r="B87" s="62" t="s">
        <v>26</v>
      </c>
      <c r="C87" s="62" t="s">
        <v>178</v>
      </c>
      <c r="D87" s="62">
        <v>0.0</v>
      </c>
      <c r="E87" s="62">
        <v>5.0</v>
      </c>
      <c r="F87" s="62">
        <v>6.0</v>
      </c>
      <c r="G87" s="62">
        <v>0.0</v>
      </c>
      <c r="H87" s="62">
        <v>0.0</v>
      </c>
      <c r="I87" s="62">
        <v>0.0</v>
      </c>
      <c r="J87" s="62">
        <v>6.0</v>
      </c>
      <c r="K87" s="62">
        <v>2.0</v>
      </c>
      <c r="L87" s="62">
        <v>0.0</v>
      </c>
      <c r="M87" s="62">
        <v>5.0</v>
      </c>
      <c r="N87" s="62">
        <v>4.0</v>
      </c>
      <c r="O87" s="62">
        <v>1.0</v>
      </c>
      <c r="P87" s="62">
        <v>4.0</v>
      </c>
      <c r="Q87" s="62">
        <v>0.0</v>
      </c>
      <c r="R87" s="62">
        <v>0.0</v>
      </c>
      <c r="S87" s="62">
        <v>10466.0</v>
      </c>
      <c r="T87" s="62">
        <v>1.04888888888888</v>
      </c>
      <c r="U87" s="62">
        <v>1.08055555555555</v>
      </c>
      <c r="V87" s="62">
        <v>0.0</v>
      </c>
      <c r="W87" s="62">
        <v>0.0</v>
      </c>
      <c r="X87" s="62">
        <v>0.0</v>
      </c>
      <c r="Y87" s="62">
        <v>1.03916666666666</v>
      </c>
      <c r="Z87" s="62">
        <v>0.344444444444444</v>
      </c>
      <c r="AA87" s="62">
        <v>0.0</v>
      </c>
      <c r="AB87" s="62">
        <v>0.905</v>
      </c>
      <c r="AC87" s="62">
        <v>0.739166666666666</v>
      </c>
      <c r="AD87" s="62">
        <v>0.200555555555555</v>
      </c>
      <c r="AE87" s="62">
        <v>0.739166666666666</v>
      </c>
      <c r="AF87" s="62">
        <v>6.0</v>
      </c>
    </row>
    <row r="88">
      <c r="A88" s="68">
        <v>46161.0</v>
      </c>
      <c r="B88" s="62" t="s">
        <v>62</v>
      </c>
      <c r="C88" s="62" t="s">
        <v>63</v>
      </c>
      <c r="D88" s="62">
        <v>0.0</v>
      </c>
      <c r="E88" s="62">
        <v>3.0</v>
      </c>
      <c r="F88" s="62">
        <v>0.0</v>
      </c>
      <c r="G88" s="62">
        <v>0.0</v>
      </c>
      <c r="H88" s="62">
        <v>0.0</v>
      </c>
      <c r="I88" s="62">
        <v>0.0</v>
      </c>
      <c r="J88" s="62">
        <v>0.0</v>
      </c>
      <c r="K88" s="62">
        <v>0.0</v>
      </c>
      <c r="L88" s="62">
        <v>0.0</v>
      </c>
      <c r="M88" s="62">
        <v>0.0</v>
      </c>
      <c r="N88" s="62">
        <v>0.0</v>
      </c>
      <c r="O88" s="62">
        <v>1.0</v>
      </c>
      <c r="P88" s="62">
        <v>0.0</v>
      </c>
      <c r="Q88" s="62">
        <v>0.0</v>
      </c>
      <c r="R88" s="62">
        <v>0.0</v>
      </c>
      <c r="S88" s="62">
        <v>7585.0</v>
      </c>
      <c r="T88" s="62">
        <v>0.0</v>
      </c>
      <c r="U88" s="62">
        <v>0.0</v>
      </c>
      <c r="V88" s="62">
        <v>0.0</v>
      </c>
      <c r="W88" s="62">
        <v>0.0</v>
      </c>
      <c r="X88" s="62">
        <v>0.0</v>
      </c>
      <c r="Y88" s="62">
        <v>0.0</v>
      </c>
      <c r="Z88" s="62">
        <v>0.0</v>
      </c>
      <c r="AA88" s="62">
        <v>0.0</v>
      </c>
      <c r="AB88" s="62">
        <v>0.0</v>
      </c>
      <c r="AC88" s="62">
        <v>0.0</v>
      </c>
      <c r="AD88" s="62">
        <v>0.211388888888888</v>
      </c>
      <c r="AE88" s="62">
        <v>0.0</v>
      </c>
      <c r="AF88" s="62">
        <v>0.0</v>
      </c>
    </row>
    <row r="89">
      <c r="A89" s="68">
        <v>46161.0</v>
      </c>
      <c r="B89" s="62" t="s">
        <v>116</v>
      </c>
      <c r="C89" s="62" t="s">
        <v>179</v>
      </c>
      <c r="D89" s="62">
        <v>4.0</v>
      </c>
      <c r="E89" s="62">
        <v>0.0</v>
      </c>
      <c r="F89" s="62">
        <v>0.0</v>
      </c>
      <c r="G89" s="62">
        <v>0.0</v>
      </c>
      <c r="H89" s="62">
        <v>0.0</v>
      </c>
      <c r="I89" s="62">
        <v>0.0</v>
      </c>
      <c r="J89" s="62">
        <v>0.0</v>
      </c>
      <c r="K89" s="62">
        <v>0.0</v>
      </c>
      <c r="L89" s="62">
        <v>0.0</v>
      </c>
      <c r="M89" s="62">
        <v>0.0</v>
      </c>
      <c r="N89" s="62">
        <v>0.0</v>
      </c>
      <c r="O89" s="62">
        <v>0.0</v>
      </c>
      <c r="P89" s="62">
        <v>0.0</v>
      </c>
      <c r="Q89" s="62">
        <v>0.0</v>
      </c>
      <c r="R89" s="62">
        <v>8757.0</v>
      </c>
      <c r="S89" s="62">
        <v>0.0</v>
      </c>
      <c r="T89" s="62">
        <v>0.0</v>
      </c>
      <c r="U89" s="62">
        <v>0.0</v>
      </c>
      <c r="V89" s="62">
        <v>0.0</v>
      </c>
      <c r="W89" s="62">
        <v>0.0</v>
      </c>
      <c r="X89" s="62">
        <v>0.0</v>
      </c>
      <c r="Y89" s="62">
        <v>0.0</v>
      </c>
      <c r="Z89" s="62">
        <v>0.0</v>
      </c>
      <c r="AA89" s="62">
        <v>0.0</v>
      </c>
      <c r="AB89" s="62">
        <v>0.0</v>
      </c>
      <c r="AC89" s="62">
        <v>0.0</v>
      </c>
      <c r="AD89" s="62">
        <v>0.0</v>
      </c>
      <c r="AE89" s="62">
        <v>0.0</v>
      </c>
      <c r="AF89" s="62">
        <v>0.0</v>
      </c>
    </row>
    <row r="90">
      <c r="A90" s="68">
        <v>46161.0</v>
      </c>
      <c r="B90" s="62" t="s">
        <v>89</v>
      </c>
      <c r="C90" s="62" t="s">
        <v>180</v>
      </c>
      <c r="D90" s="62">
        <v>0.0</v>
      </c>
      <c r="E90" s="62">
        <v>3.0</v>
      </c>
      <c r="F90" s="62">
        <v>0.0</v>
      </c>
      <c r="G90" s="62">
        <v>0.0</v>
      </c>
      <c r="H90" s="62">
        <v>0.0</v>
      </c>
      <c r="I90" s="62">
        <v>0.0</v>
      </c>
      <c r="J90" s="62">
        <v>0.0</v>
      </c>
      <c r="K90" s="62">
        <v>0.0</v>
      </c>
      <c r="L90" s="62">
        <v>0.0</v>
      </c>
      <c r="M90" s="62">
        <v>0.0</v>
      </c>
      <c r="N90" s="62">
        <v>0.0</v>
      </c>
      <c r="O90" s="62">
        <v>1.0</v>
      </c>
      <c r="P90" s="62">
        <v>0.0</v>
      </c>
      <c r="Q90" s="62">
        <v>0.0</v>
      </c>
      <c r="R90" s="62">
        <v>0.0</v>
      </c>
      <c r="S90" s="62">
        <v>6458.0</v>
      </c>
      <c r="T90" s="62">
        <v>0.738055555555555</v>
      </c>
      <c r="U90" s="62">
        <v>0.0</v>
      </c>
      <c r="V90" s="62">
        <v>0.0</v>
      </c>
      <c r="W90" s="62">
        <v>0.0</v>
      </c>
      <c r="X90" s="62">
        <v>0.0</v>
      </c>
      <c r="Y90" s="62">
        <v>0.0</v>
      </c>
      <c r="Z90" s="62">
        <v>0.0</v>
      </c>
      <c r="AA90" s="62">
        <v>0.0</v>
      </c>
      <c r="AB90" s="62">
        <v>0.0</v>
      </c>
      <c r="AC90" s="62">
        <v>0.0</v>
      </c>
      <c r="AD90" s="62">
        <v>0.208611111111111</v>
      </c>
      <c r="AE90" s="62">
        <v>0.0</v>
      </c>
      <c r="AF90" s="62">
        <v>3.0</v>
      </c>
    </row>
    <row r="91">
      <c r="A91" s="68">
        <v>46160.0</v>
      </c>
      <c r="B91" s="62" t="s">
        <v>79</v>
      </c>
      <c r="C91" s="62" t="s">
        <v>162</v>
      </c>
      <c r="D91" s="62">
        <v>1.0</v>
      </c>
      <c r="E91" s="62">
        <v>4.0</v>
      </c>
      <c r="F91" s="62">
        <v>4.0</v>
      </c>
      <c r="G91" s="62">
        <v>0.0</v>
      </c>
      <c r="H91" s="62">
        <v>1.0</v>
      </c>
      <c r="I91" s="62">
        <v>1.0</v>
      </c>
      <c r="J91" s="62">
        <v>2.0</v>
      </c>
      <c r="K91" s="62">
        <v>3.0</v>
      </c>
      <c r="L91" s="62">
        <v>0.0</v>
      </c>
      <c r="M91" s="62">
        <v>7.0</v>
      </c>
      <c r="N91" s="62">
        <v>9.0</v>
      </c>
      <c r="O91" s="62">
        <v>1.0</v>
      </c>
      <c r="P91" s="62">
        <v>9.0</v>
      </c>
      <c r="Q91" s="62">
        <v>0.0</v>
      </c>
      <c r="R91" s="62">
        <v>2537.0</v>
      </c>
      <c r="S91" s="62">
        <v>9491.0</v>
      </c>
      <c r="T91" s="62">
        <v>1.09944444444444</v>
      </c>
      <c r="U91" s="62">
        <v>0.888333333333333</v>
      </c>
      <c r="V91" s="62">
        <v>0.0</v>
      </c>
      <c r="W91" s="62">
        <v>0.211111111111111</v>
      </c>
      <c r="X91" s="62">
        <v>0.211111111111111</v>
      </c>
      <c r="Y91" s="62">
        <v>0.444166666666666</v>
      </c>
      <c r="Z91" s="62">
        <v>0.672222222222222</v>
      </c>
      <c r="AA91" s="62">
        <v>0.0</v>
      </c>
      <c r="AB91" s="62">
        <v>1.52805555555555</v>
      </c>
      <c r="AC91" s="62">
        <v>1.93888888888888</v>
      </c>
      <c r="AD91" s="62">
        <v>0.206388888888888</v>
      </c>
      <c r="AE91" s="62">
        <v>1.93888888888888</v>
      </c>
      <c r="AF91" s="62">
        <v>5.0</v>
      </c>
    </row>
    <row r="92">
      <c r="A92" s="68">
        <v>46160.0</v>
      </c>
      <c r="B92" s="62" t="s">
        <v>96</v>
      </c>
      <c r="C92" s="62" t="s">
        <v>97</v>
      </c>
      <c r="D92" s="62">
        <v>0.0</v>
      </c>
      <c r="E92" s="62">
        <v>0.0</v>
      </c>
      <c r="F92" s="62">
        <v>0.0</v>
      </c>
      <c r="G92" s="62">
        <v>0.0</v>
      </c>
      <c r="H92" s="62">
        <v>0.0</v>
      </c>
      <c r="I92" s="62">
        <v>0.0</v>
      </c>
      <c r="J92" s="62">
        <v>0.0</v>
      </c>
      <c r="K92" s="62">
        <v>0.0</v>
      </c>
      <c r="L92" s="62">
        <v>0.0</v>
      </c>
      <c r="M92" s="62">
        <v>1.0</v>
      </c>
      <c r="N92" s="62">
        <v>1.0</v>
      </c>
      <c r="O92" s="62">
        <v>1.0</v>
      </c>
      <c r="P92" s="62">
        <v>1.0</v>
      </c>
      <c r="Q92" s="62">
        <v>0.0</v>
      </c>
      <c r="R92" s="62">
        <v>0.0</v>
      </c>
      <c r="S92" s="62">
        <v>0.0</v>
      </c>
      <c r="T92" s="62">
        <v>1.18027777777777</v>
      </c>
      <c r="U92" s="62">
        <v>0.0</v>
      </c>
      <c r="V92" s="62">
        <v>0.0</v>
      </c>
      <c r="W92" s="62">
        <v>0.0</v>
      </c>
      <c r="X92" s="62">
        <v>0.0</v>
      </c>
      <c r="Y92" s="62">
        <v>0.0</v>
      </c>
      <c r="Z92" s="62">
        <v>0.0</v>
      </c>
      <c r="AA92" s="62">
        <v>0.0</v>
      </c>
      <c r="AB92" s="62">
        <v>0.237222222222222</v>
      </c>
      <c r="AC92" s="62">
        <v>0.237222222222222</v>
      </c>
      <c r="AD92" s="62">
        <v>0.231666666666666</v>
      </c>
      <c r="AE92" s="62">
        <v>0.237222222222222</v>
      </c>
      <c r="AF92" s="62">
        <v>5.0</v>
      </c>
    </row>
    <row r="93">
      <c r="A93" s="68">
        <v>46160.0</v>
      </c>
      <c r="B93" s="62" t="s">
        <v>76</v>
      </c>
      <c r="C93" s="62" t="s">
        <v>165</v>
      </c>
      <c r="D93" s="62">
        <v>0.0</v>
      </c>
      <c r="E93" s="62">
        <v>13.0</v>
      </c>
      <c r="F93" s="62">
        <v>5.0</v>
      </c>
      <c r="G93" s="62">
        <v>1.0</v>
      </c>
      <c r="H93" s="62">
        <v>1.0</v>
      </c>
      <c r="I93" s="62">
        <v>0.0</v>
      </c>
      <c r="J93" s="62">
        <v>4.0</v>
      </c>
      <c r="K93" s="62">
        <v>0.0</v>
      </c>
      <c r="L93" s="62">
        <v>0.0</v>
      </c>
      <c r="M93" s="62">
        <v>4.0</v>
      </c>
      <c r="N93" s="62">
        <v>0.0</v>
      </c>
      <c r="O93" s="62">
        <v>1.0</v>
      </c>
      <c r="P93" s="62">
        <v>0.0</v>
      </c>
      <c r="Q93" s="62">
        <v>0.0</v>
      </c>
      <c r="R93" s="62">
        <v>0.0</v>
      </c>
      <c r="S93" s="62">
        <v>38984.0</v>
      </c>
      <c r="T93" s="62">
        <v>1.5725</v>
      </c>
      <c r="U93" s="62">
        <v>1.57249999999999</v>
      </c>
      <c r="V93" s="62">
        <v>0.332777777777777</v>
      </c>
      <c r="W93" s="62">
        <v>0.332777777777777</v>
      </c>
      <c r="X93" s="62">
        <v>0.0</v>
      </c>
      <c r="Y93" s="62">
        <v>1.42944444444444</v>
      </c>
      <c r="Z93" s="62">
        <v>0.0</v>
      </c>
      <c r="AA93" s="62">
        <v>0.0</v>
      </c>
      <c r="AB93" s="62">
        <v>1.42944444444444</v>
      </c>
      <c r="AC93" s="62">
        <v>0.0</v>
      </c>
      <c r="AD93" s="62">
        <v>0.261111111111111</v>
      </c>
      <c r="AE93" s="62">
        <v>0.0</v>
      </c>
      <c r="AF93" s="62">
        <v>5.0</v>
      </c>
    </row>
    <row r="94">
      <c r="A94" s="68">
        <v>46160.0</v>
      </c>
      <c r="B94" s="62" t="s">
        <v>104</v>
      </c>
      <c r="C94" s="62" t="s">
        <v>166</v>
      </c>
      <c r="D94" s="62">
        <v>0.0</v>
      </c>
      <c r="E94" s="62">
        <v>0.0</v>
      </c>
      <c r="F94" s="62">
        <v>0.0</v>
      </c>
      <c r="G94" s="62">
        <v>0.0</v>
      </c>
      <c r="H94" s="62">
        <v>10.0</v>
      </c>
      <c r="I94" s="62">
        <v>10.0</v>
      </c>
      <c r="J94" s="62">
        <v>0.0</v>
      </c>
      <c r="K94" s="62">
        <v>0.0</v>
      </c>
      <c r="L94" s="62">
        <v>0.0</v>
      </c>
      <c r="M94" s="62">
        <v>0.0</v>
      </c>
      <c r="N94" s="62">
        <v>0.0</v>
      </c>
      <c r="O94" s="62">
        <v>0.0</v>
      </c>
      <c r="P94" s="62">
        <v>0.0</v>
      </c>
      <c r="Q94" s="62">
        <v>0.0</v>
      </c>
      <c r="R94" s="62">
        <v>0.0</v>
      </c>
      <c r="S94" s="62">
        <v>0.0</v>
      </c>
      <c r="T94" s="62">
        <v>0.228055555555555</v>
      </c>
      <c r="U94" s="62">
        <v>0.0</v>
      </c>
      <c r="V94" s="62">
        <v>0.0</v>
      </c>
      <c r="W94" s="62">
        <v>2.26833333333333</v>
      </c>
      <c r="X94" s="62">
        <v>2.26833333333333</v>
      </c>
      <c r="Y94" s="62">
        <v>0.0</v>
      </c>
      <c r="Z94" s="62">
        <v>0.0</v>
      </c>
      <c r="AA94" s="62">
        <v>0.0</v>
      </c>
      <c r="AB94" s="62">
        <v>0.0</v>
      </c>
      <c r="AC94" s="62">
        <v>0.0</v>
      </c>
      <c r="AD94" s="62">
        <v>0.0</v>
      </c>
      <c r="AE94" s="62">
        <v>0.0</v>
      </c>
      <c r="AF94" s="62">
        <v>1.0</v>
      </c>
    </row>
    <row r="95">
      <c r="A95" s="68">
        <v>46160.0</v>
      </c>
      <c r="B95" s="62" t="s">
        <v>100</v>
      </c>
      <c r="C95" s="62" t="s">
        <v>167</v>
      </c>
      <c r="D95" s="62">
        <v>0.0</v>
      </c>
      <c r="E95" s="62">
        <v>6.0</v>
      </c>
      <c r="F95" s="62">
        <v>3.0</v>
      </c>
      <c r="G95" s="62">
        <v>2.0</v>
      </c>
      <c r="H95" s="62">
        <v>4.0</v>
      </c>
      <c r="I95" s="62">
        <v>2.0</v>
      </c>
      <c r="J95" s="62">
        <v>4.0</v>
      </c>
      <c r="K95" s="62">
        <v>5.0</v>
      </c>
      <c r="L95" s="62">
        <v>2.0</v>
      </c>
      <c r="M95" s="62">
        <v>7.0</v>
      </c>
      <c r="N95" s="62">
        <v>0.0</v>
      </c>
      <c r="O95" s="62">
        <v>1.0</v>
      </c>
      <c r="P95" s="62">
        <v>0.0</v>
      </c>
      <c r="Q95" s="62">
        <v>0.0</v>
      </c>
      <c r="R95" s="62">
        <v>0.0</v>
      </c>
      <c r="S95" s="62">
        <v>14416.0</v>
      </c>
      <c r="T95" s="62">
        <v>1.06583333333333</v>
      </c>
      <c r="U95" s="62">
        <v>0.656944444444444</v>
      </c>
      <c r="V95" s="62">
        <v>0.434444444444444</v>
      </c>
      <c r="W95" s="62">
        <v>0.844722222222222</v>
      </c>
      <c r="X95" s="62">
        <v>0.410277777777777</v>
      </c>
      <c r="Y95" s="62">
        <v>0.853611111111111</v>
      </c>
      <c r="Z95" s="62">
        <v>1.07194444444444</v>
      </c>
      <c r="AA95" s="62">
        <v>0.430277777777777</v>
      </c>
      <c r="AB95" s="62">
        <v>1.50472222222222</v>
      </c>
      <c r="AC95" s="62">
        <v>0.0</v>
      </c>
      <c r="AD95" s="62">
        <v>0.198888888888888</v>
      </c>
      <c r="AE95" s="62">
        <v>0.0</v>
      </c>
      <c r="AF95" s="62">
        <v>5.0</v>
      </c>
    </row>
    <row r="96">
      <c r="A96" s="68">
        <v>46160.0</v>
      </c>
      <c r="B96" s="62" t="s">
        <v>32</v>
      </c>
      <c r="C96" s="62" t="s">
        <v>168</v>
      </c>
      <c r="D96" s="62">
        <v>0.0</v>
      </c>
      <c r="E96" s="62">
        <v>4.0</v>
      </c>
      <c r="F96" s="62">
        <v>4.0</v>
      </c>
      <c r="G96" s="62">
        <v>0.0</v>
      </c>
      <c r="H96" s="62">
        <v>5.0</v>
      </c>
      <c r="I96" s="62">
        <v>2.0</v>
      </c>
      <c r="J96" s="62">
        <v>4.0</v>
      </c>
      <c r="K96" s="62">
        <v>0.0</v>
      </c>
      <c r="L96" s="62">
        <v>0.0</v>
      </c>
      <c r="M96" s="62">
        <v>1.0</v>
      </c>
      <c r="N96" s="62">
        <v>0.0</v>
      </c>
      <c r="O96" s="62">
        <v>1.0</v>
      </c>
      <c r="P96" s="62">
        <v>0.0</v>
      </c>
      <c r="Q96" s="62">
        <v>0.0</v>
      </c>
      <c r="R96" s="62">
        <v>0.0</v>
      </c>
      <c r="S96" s="62">
        <v>9416.0</v>
      </c>
      <c r="T96" s="62">
        <v>0.444722222222222</v>
      </c>
      <c r="U96" s="62">
        <v>0.853333333333333</v>
      </c>
      <c r="V96" s="62">
        <v>0.0</v>
      </c>
      <c r="W96" s="62">
        <v>1.09166666666666</v>
      </c>
      <c r="X96" s="62">
        <v>0.443055555555555</v>
      </c>
      <c r="Y96" s="62">
        <v>0.868611111111111</v>
      </c>
      <c r="Z96" s="62">
        <v>0.0</v>
      </c>
      <c r="AA96" s="62">
        <v>0.0</v>
      </c>
      <c r="AB96" s="62">
        <v>0.22</v>
      </c>
      <c r="AC96" s="62">
        <v>0.0</v>
      </c>
      <c r="AD96" s="62">
        <v>0.213611111111111</v>
      </c>
      <c r="AE96" s="62">
        <v>0.0</v>
      </c>
      <c r="AF96" s="62">
        <v>2.0</v>
      </c>
    </row>
    <row r="97">
      <c r="A97" s="68">
        <v>46160.0</v>
      </c>
      <c r="B97" s="62" t="s">
        <v>110</v>
      </c>
      <c r="C97" s="62" t="s">
        <v>169</v>
      </c>
      <c r="D97" s="62">
        <v>0.0</v>
      </c>
      <c r="E97" s="62">
        <v>0.0</v>
      </c>
      <c r="F97" s="62">
        <v>0.0</v>
      </c>
      <c r="G97" s="62">
        <v>0.0</v>
      </c>
      <c r="H97" s="62">
        <v>0.0</v>
      </c>
      <c r="I97" s="62">
        <v>0.0</v>
      </c>
      <c r="J97" s="62">
        <v>0.0</v>
      </c>
      <c r="K97" s="62">
        <v>0.0</v>
      </c>
      <c r="L97" s="62">
        <v>0.0</v>
      </c>
      <c r="M97" s="62">
        <v>0.0</v>
      </c>
      <c r="N97" s="62">
        <v>0.0</v>
      </c>
      <c r="O97" s="62">
        <v>0.0</v>
      </c>
      <c r="P97" s="62">
        <v>0.0</v>
      </c>
      <c r="Q97" s="62">
        <v>0.0</v>
      </c>
      <c r="R97" s="62">
        <v>0.0</v>
      </c>
      <c r="S97" s="62">
        <v>0.0</v>
      </c>
      <c r="T97" s="62">
        <v>1.08166666666666</v>
      </c>
      <c r="U97" s="62">
        <v>0.0</v>
      </c>
      <c r="V97" s="62">
        <v>0.0</v>
      </c>
      <c r="W97" s="62">
        <v>0.0</v>
      </c>
      <c r="X97" s="62">
        <v>0.0</v>
      </c>
      <c r="Y97" s="62">
        <v>0.0</v>
      </c>
      <c r="Z97" s="62">
        <v>0.0</v>
      </c>
      <c r="AA97" s="62">
        <v>0.0</v>
      </c>
      <c r="AB97" s="62">
        <v>0.0</v>
      </c>
      <c r="AC97" s="62">
        <v>0.0</v>
      </c>
      <c r="AD97" s="62">
        <v>0.0</v>
      </c>
      <c r="AE97" s="62">
        <v>0.0</v>
      </c>
      <c r="AF97" s="62">
        <v>5.0</v>
      </c>
    </row>
    <row r="98">
      <c r="A98" s="68">
        <v>46160.0</v>
      </c>
      <c r="B98" s="62" t="s">
        <v>102</v>
      </c>
      <c r="C98" s="62" t="s">
        <v>170</v>
      </c>
      <c r="D98" s="62">
        <v>0.0</v>
      </c>
      <c r="E98" s="62">
        <v>3.0</v>
      </c>
      <c r="F98" s="62">
        <v>0.0</v>
      </c>
      <c r="G98" s="62">
        <v>0.0</v>
      </c>
      <c r="H98" s="62">
        <v>0.0</v>
      </c>
      <c r="I98" s="62">
        <v>0.0</v>
      </c>
      <c r="J98" s="62">
        <v>0.0</v>
      </c>
      <c r="K98" s="62">
        <v>0.0</v>
      </c>
      <c r="L98" s="62">
        <v>0.0</v>
      </c>
      <c r="M98" s="62">
        <v>2.0</v>
      </c>
      <c r="N98" s="62">
        <v>4.0</v>
      </c>
      <c r="O98" s="62">
        <v>1.0</v>
      </c>
      <c r="P98" s="62">
        <v>4.0</v>
      </c>
      <c r="Q98" s="62">
        <v>0.0</v>
      </c>
      <c r="R98" s="62">
        <v>0.0</v>
      </c>
      <c r="S98" s="62">
        <v>6824.0</v>
      </c>
      <c r="T98" s="62">
        <v>0.246666666666666</v>
      </c>
      <c r="U98" s="62">
        <v>0.0</v>
      </c>
      <c r="V98" s="62">
        <v>0.0</v>
      </c>
      <c r="W98" s="62">
        <v>0.0</v>
      </c>
      <c r="X98" s="62">
        <v>0.0</v>
      </c>
      <c r="Y98" s="62">
        <v>0.0</v>
      </c>
      <c r="Z98" s="62">
        <v>0.0</v>
      </c>
      <c r="AA98" s="62">
        <v>0.0</v>
      </c>
      <c r="AB98" s="62">
        <v>0.4925</v>
      </c>
      <c r="AC98" s="62">
        <v>0.988888888888888</v>
      </c>
      <c r="AD98" s="62">
        <v>0.249722222222222</v>
      </c>
      <c r="AE98" s="62">
        <v>0.988888888888888</v>
      </c>
      <c r="AF98" s="62">
        <v>1.0</v>
      </c>
    </row>
    <row r="99">
      <c r="A99" s="68">
        <v>46160.0</v>
      </c>
      <c r="B99" s="62" t="s">
        <v>41</v>
      </c>
      <c r="C99" s="62" t="s">
        <v>172</v>
      </c>
      <c r="D99" s="62">
        <v>0.0</v>
      </c>
      <c r="E99" s="62">
        <v>0.0</v>
      </c>
      <c r="F99" s="62">
        <v>0.0</v>
      </c>
      <c r="G99" s="62">
        <v>0.0</v>
      </c>
      <c r="H99" s="62">
        <v>0.0</v>
      </c>
      <c r="I99" s="62">
        <v>0.0</v>
      </c>
      <c r="J99" s="62">
        <v>7.0</v>
      </c>
      <c r="K99" s="62">
        <v>2.0</v>
      </c>
      <c r="L99" s="62">
        <v>0.0</v>
      </c>
      <c r="M99" s="62">
        <v>4.0</v>
      </c>
      <c r="N99" s="62">
        <v>3.0</v>
      </c>
      <c r="O99" s="62">
        <v>1.0</v>
      </c>
      <c r="P99" s="62">
        <v>3.0</v>
      </c>
      <c r="Q99" s="62">
        <v>0.0</v>
      </c>
      <c r="R99" s="62">
        <v>0.0</v>
      </c>
      <c r="S99" s="62">
        <v>0.0</v>
      </c>
      <c r="T99" s="62">
        <v>1.42666666666666</v>
      </c>
      <c r="U99" s="62">
        <v>0.0</v>
      </c>
      <c r="V99" s="62">
        <v>0.0</v>
      </c>
      <c r="W99" s="62">
        <v>0.0</v>
      </c>
      <c r="X99" s="62">
        <v>0.0</v>
      </c>
      <c r="Y99" s="62">
        <v>1.87111111111111</v>
      </c>
      <c r="Z99" s="62">
        <v>0.569722222222222</v>
      </c>
      <c r="AA99" s="62">
        <v>0.0</v>
      </c>
      <c r="AB99" s="62">
        <v>1.07805555555555</v>
      </c>
      <c r="AC99" s="62">
        <v>0.829444444444444</v>
      </c>
      <c r="AD99" s="62">
        <v>0.233611111111111</v>
      </c>
      <c r="AE99" s="62">
        <v>0.829444444444444</v>
      </c>
      <c r="AF99" s="62">
        <v>5.0</v>
      </c>
    </row>
    <row r="100">
      <c r="A100" s="68">
        <v>46160.0</v>
      </c>
      <c r="B100" s="62" t="s">
        <v>65</v>
      </c>
      <c r="C100" s="62" t="s">
        <v>173</v>
      </c>
      <c r="D100" s="62">
        <v>8.0</v>
      </c>
      <c r="E100" s="62">
        <v>4.0</v>
      </c>
      <c r="F100" s="62">
        <v>0.0</v>
      </c>
      <c r="G100" s="62">
        <v>0.0</v>
      </c>
      <c r="H100" s="62">
        <v>13.0</v>
      </c>
      <c r="I100" s="62">
        <v>13.0</v>
      </c>
      <c r="J100" s="62">
        <v>7.0</v>
      </c>
      <c r="K100" s="62">
        <v>2.0</v>
      </c>
      <c r="L100" s="62">
        <v>0.0</v>
      </c>
      <c r="M100" s="62">
        <v>1.0</v>
      </c>
      <c r="N100" s="62">
        <v>0.0</v>
      </c>
      <c r="O100" s="62">
        <v>1.0</v>
      </c>
      <c r="P100" s="62">
        <v>0.0</v>
      </c>
      <c r="Q100" s="62">
        <v>0.0</v>
      </c>
      <c r="R100" s="62">
        <v>15613.0</v>
      </c>
      <c r="S100" s="62">
        <v>7500.0</v>
      </c>
      <c r="T100" s="62">
        <v>1.06694444444444</v>
      </c>
      <c r="U100" s="62">
        <v>0.0</v>
      </c>
      <c r="V100" s="62">
        <v>0.0</v>
      </c>
      <c r="W100" s="62">
        <v>2.65416666666666</v>
      </c>
      <c r="X100" s="62">
        <v>2.65416666666666</v>
      </c>
      <c r="Y100" s="62">
        <v>1.44416666666666</v>
      </c>
      <c r="Z100" s="62">
        <v>0.415277777777777</v>
      </c>
      <c r="AA100" s="62">
        <v>0.0</v>
      </c>
      <c r="AB100" s="62">
        <v>0.222222222222222</v>
      </c>
      <c r="AC100" s="62">
        <v>0.0</v>
      </c>
      <c r="AD100" s="62">
        <v>0.216666666666666</v>
      </c>
      <c r="AE100" s="62">
        <v>0.0</v>
      </c>
      <c r="AF100" s="62">
        <v>5.0</v>
      </c>
    </row>
    <row r="101">
      <c r="A101" s="68">
        <v>46160.0</v>
      </c>
      <c r="B101" s="62" t="s">
        <v>37</v>
      </c>
      <c r="C101" s="62" t="s">
        <v>174</v>
      </c>
      <c r="D101" s="62">
        <v>6.0</v>
      </c>
      <c r="E101" s="62">
        <v>0.0</v>
      </c>
      <c r="F101" s="62">
        <v>0.0</v>
      </c>
      <c r="G101" s="62">
        <v>2.0</v>
      </c>
      <c r="H101" s="62">
        <v>2.0</v>
      </c>
      <c r="I101" s="62">
        <v>0.0</v>
      </c>
      <c r="J101" s="62">
        <v>3.0</v>
      </c>
      <c r="K101" s="62">
        <v>3.0</v>
      </c>
      <c r="L101" s="62">
        <v>0.0</v>
      </c>
      <c r="M101" s="62">
        <v>0.0</v>
      </c>
      <c r="N101" s="62">
        <v>3.0</v>
      </c>
      <c r="O101" s="62">
        <v>1.0</v>
      </c>
      <c r="P101" s="62">
        <v>3.0</v>
      </c>
      <c r="Q101" s="62">
        <v>0.0</v>
      </c>
      <c r="R101" s="62">
        <v>14680.0</v>
      </c>
      <c r="S101" s="62">
        <v>0.0</v>
      </c>
      <c r="T101" s="62">
        <v>1.08888888888888</v>
      </c>
      <c r="U101" s="62">
        <v>0.0</v>
      </c>
      <c r="V101" s="62">
        <v>0.505</v>
      </c>
      <c r="W101" s="62">
        <v>0.505</v>
      </c>
      <c r="X101" s="62">
        <v>0.0</v>
      </c>
      <c r="Y101" s="62">
        <v>0.753888888888888</v>
      </c>
      <c r="Z101" s="62">
        <v>0.753888888888888</v>
      </c>
      <c r="AA101" s="62">
        <v>0.0</v>
      </c>
      <c r="AB101" s="62">
        <v>0.0</v>
      </c>
      <c r="AC101" s="62">
        <v>0.770555555555555</v>
      </c>
      <c r="AD101" s="62">
        <v>0.294444444444444</v>
      </c>
      <c r="AE101" s="62">
        <v>0.770555555555555</v>
      </c>
      <c r="AF101" s="62">
        <v>4.0</v>
      </c>
    </row>
    <row r="102">
      <c r="A102" s="68">
        <v>46160.0</v>
      </c>
      <c r="B102" s="62" t="s">
        <v>108</v>
      </c>
      <c r="C102" s="62" t="s">
        <v>175</v>
      </c>
      <c r="D102" s="62">
        <v>15.0</v>
      </c>
      <c r="E102" s="62">
        <v>2.0</v>
      </c>
      <c r="F102" s="62">
        <v>3.0</v>
      </c>
      <c r="G102" s="62">
        <v>0.0</v>
      </c>
      <c r="H102" s="62">
        <v>0.0</v>
      </c>
      <c r="I102" s="62">
        <v>0.0</v>
      </c>
      <c r="J102" s="62">
        <v>2.0</v>
      </c>
      <c r="K102" s="62">
        <v>0.0</v>
      </c>
      <c r="L102" s="62">
        <v>0.0</v>
      </c>
      <c r="M102" s="62">
        <v>4.0</v>
      </c>
      <c r="N102" s="62">
        <v>3.0</v>
      </c>
      <c r="O102" s="62">
        <v>1.0</v>
      </c>
      <c r="P102" s="62">
        <v>3.0</v>
      </c>
      <c r="Q102" s="62">
        <v>0.0</v>
      </c>
      <c r="R102" s="62">
        <v>34222.0</v>
      </c>
      <c r="S102" s="62">
        <v>4175.0</v>
      </c>
      <c r="T102" s="62">
        <v>0.406111111111111</v>
      </c>
      <c r="U102" s="62">
        <v>0.558888888888888</v>
      </c>
      <c r="V102" s="62">
        <v>0.0</v>
      </c>
      <c r="W102" s="62">
        <v>0.0</v>
      </c>
      <c r="X102" s="62">
        <v>0.0</v>
      </c>
      <c r="Y102" s="62">
        <v>0.406944444444444</v>
      </c>
      <c r="Z102" s="62">
        <v>0.0</v>
      </c>
      <c r="AA102" s="62">
        <v>0.0</v>
      </c>
      <c r="AB102" s="62">
        <v>0.803055555555555</v>
      </c>
      <c r="AC102" s="62">
        <v>0.622222222222222</v>
      </c>
      <c r="AD102" s="62">
        <v>0.194444444444444</v>
      </c>
      <c r="AE102" s="62">
        <v>0.622222222222222</v>
      </c>
      <c r="AF102" s="62">
        <v>2.0</v>
      </c>
    </row>
    <row r="103">
      <c r="A103" s="68">
        <v>46160.0</v>
      </c>
      <c r="B103" s="62" t="s">
        <v>56</v>
      </c>
      <c r="C103" s="62" t="s">
        <v>176</v>
      </c>
      <c r="D103" s="62">
        <v>16.0</v>
      </c>
      <c r="E103" s="62">
        <v>12.0</v>
      </c>
      <c r="F103" s="62">
        <v>3.0</v>
      </c>
      <c r="G103" s="62">
        <v>14.0</v>
      </c>
      <c r="H103" s="62">
        <v>14.0</v>
      </c>
      <c r="I103" s="62">
        <v>0.0</v>
      </c>
      <c r="J103" s="62">
        <v>13.0</v>
      </c>
      <c r="K103" s="62">
        <v>3.0</v>
      </c>
      <c r="L103" s="62">
        <v>0.0</v>
      </c>
      <c r="M103" s="62">
        <v>8.0</v>
      </c>
      <c r="N103" s="62">
        <v>2.0</v>
      </c>
      <c r="O103" s="62">
        <v>1.0</v>
      </c>
      <c r="P103" s="62">
        <v>2.0</v>
      </c>
      <c r="Q103" s="62">
        <v>0.0</v>
      </c>
      <c r="R103" s="62">
        <v>33992.0</v>
      </c>
      <c r="S103" s="62">
        <v>25333.0</v>
      </c>
      <c r="T103" s="62">
        <v>0.498333333333333</v>
      </c>
      <c r="U103" s="62">
        <v>0.765</v>
      </c>
      <c r="V103" s="62">
        <v>3.53666666666666</v>
      </c>
      <c r="W103" s="62">
        <v>3.53666666666666</v>
      </c>
      <c r="X103" s="62">
        <v>0.0</v>
      </c>
      <c r="Y103" s="62">
        <v>3.28972222222222</v>
      </c>
      <c r="Z103" s="62">
        <v>0.761666666666666</v>
      </c>
      <c r="AA103" s="62">
        <v>0.0</v>
      </c>
      <c r="AB103" s="62">
        <v>2.09222222222222</v>
      </c>
      <c r="AC103" s="62">
        <v>0.500277777777777</v>
      </c>
      <c r="AD103" s="62">
        <v>0.258055555555555</v>
      </c>
      <c r="AE103" s="62">
        <v>0.500277777777777</v>
      </c>
      <c r="AF103" s="62">
        <v>2.0</v>
      </c>
    </row>
    <row r="104">
      <c r="A104" s="68">
        <v>46160.0</v>
      </c>
      <c r="B104" s="62" t="s">
        <v>122</v>
      </c>
      <c r="C104" s="62" t="s">
        <v>177</v>
      </c>
      <c r="D104" s="62">
        <v>5.0</v>
      </c>
      <c r="E104" s="62">
        <v>0.0</v>
      </c>
      <c r="F104" s="62">
        <v>0.0</v>
      </c>
      <c r="G104" s="62">
        <v>0.0</v>
      </c>
      <c r="H104" s="62">
        <v>0.0</v>
      </c>
      <c r="I104" s="62">
        <v>0.0</v>
      </c>
      <c r="J104" s="62">
        <v>0.0</v>
      </c>
      <c r="K104" s="62">
        <v>0.0</v>
      </c>
      <c r="L104" s="62">
        <v>0.0</v>
      </c>
      <c r="M104" s="62">
        <v>0.0</v>
      </c>
      <c r="N104" s="62">
        <v>0.0</v>
      </c>
      <c r="O104" s="62">
        <v>0.0</v>
      </c>
      <c r="P104" s="62">
        <v>0.0</v>
      </c>
      <c r="Q104" s="62">
        <v>0.0</v>
      </c>
      <c r="R104" s="62">
        <v>12726.0</v>
      </c>
      <c r="S104" s="62">
        <v>0.0</v>
      </c>
      <c r="T104" s="62">
        <v>0.0</v>
      </c>
      <c r="U104" s="62">
        <v>0.0</v>
      </c>
      <c r="V104" s="62">
        <v>0.0</v>
      </c>
      <c r="W104" s="62">
        <v>0.0</v>
      </c>
      <c r="X104" s="62">
        <v>0.0</v>
      </c>
      <c r="Y104" s="62">
        <v>0.0</v>
      </c>
      <c r="Z104" s="62">
        <v>0.0</v>
      </c>
      <c r="AA104" s="62">
        <v>0.0</v>
      </c>
      <c r="AB104" s="62">
        <v>0.0</v>
      </c>
      <c r="AC104" s="62">
        <v>0.0</v>
      </c>
      <c r="AD104" s="62">
        <v>0.0</v>
      </c>
      <c r="AE104" s="62">
        <v>0.0</v>
      </c>
      <c r="AF104" s="62">
        <v>0.0</v>
      </c>
    </row>
    <row r="105">
      <c r="A105" s="68">
        <v>46160.0</v>
      </c>
      <c r="B105" s="62" t="s">
        <v>26</v>
      </c>
      <c r="C105" s="62" t="s">
        <v>178</v>
      </c>
      <c r="D105" s="62">
        <v>5.0</v>
      </c>
      <c r="E105" s="62">
        <v>10.0</v>
      </c>
      <c r="F105" s="62">
        <v>6.0</v>
      </c>
      <c r="G105" s="62">
        <v>6.0</v>
      </c>
      <c r="H105" s="62">
        <v>7.0</v>
      </c>
      <c r="I105" s="62">
        <v>2.0</v>
      </c>
      <c r="J105" s="62">
        <v>1.0</v>
      </c>
      <c r="K105" s="62">
        <v>0.0</v>
      </c>
      <c r="L105" s="62">
        <v>0.0</v>
      </c>
      <c r="M105" s="62">
        <v>0.0</v>
      </c>
      <c r="N105" s="62">
        <v>0.0</v>
      </c>
      <c r="O105" s="62">
        <v>1.0</v>
      </c>
      <c r="P105" s="62">
        <v>0.0</v>
      </c>
      <c r="Q105" s="62">
        <v>0.0</v>
      </c>
      <c r="R105" s="62">
        <v>10898.0</v>
      </c>
      <c r="S105" s="62">
        <v>21772.0</v>
      </c>
      <c r="T105" s="62">
        <v>2.32388888888888</v>
      </c>
      <c r="U105" s="62">
        <v>1.03333333333333</v>
      </c>
      <c r="V105" s="62">
        <v>1.03916666666666</v>
      </c>
      <c r="W105" s="62">
        <v>1.24777777777777</v>
      </c>
      <c r="X105" s="62">
        <v>0.373888888888888</v>
      </c>
      <c r="Y105" s="62">
        <v>0.210277777777777</v>
      </c>
      <c r="Z105" s="62">
        <v>0.0</v>
      </c>
      <c r="AA105" s="62">
        <v>0.0</v>
      </c>
      <c r="AB105" s="62">
        <v>0.0</v>
      </c>
      <c r="AC105" s="62">
        <v>0.0</v>
      </c>
      <c r="AD105" s="62">
        <v>0.204444444444444</v>
      </c>
      <c r="AE105" s="62">
        <v>0.0</v>
      </c>
      <c r="AF105" s="62">
        <v>13.0</v>
      </c>
    </row>
    <row r="106">
      <c r="A106" s="68">
        <v>46160.0</v>
      </c>
      <c r="B106" s="62" t="s">
        <v>62</v>
      </c>
      <c r="C106" s="62" t="s">
        <v>63</v>
      </c>
      <c r="D106" s="62">
        <v>0.0</v>
      </c>
      <c r="E106" s="62">
        <v>0.0</v>
      </c>
      <c r="F106" s="62">
        <v>0.0</v>
      </c>
      <c r="G106" s="62">
        <v>0.0</v>
      </c>
      <c r="H106" s="62">
        <v>0.0</v>
      </c>
      <c r="I106" s="62">
        <v>0.0</v>
      </c>
      <c r="J106" s="62">
        <v>0.0</v>
      </c>
      <c r="K106" s="62">
        <v>0.0</v>
      </c>
      <c r="L106" s="62">
        <v>0.0</v>
      </c>
      <c r="M106" s="62">
        <v>4.0</v>
      </c>
      <c r="N106" s="62">
        <v>12.0</v>
      </c>
      <c r="O106" s="62">
        <v>1.0</v>
      </c>
      <c r="P106" s="62">
        <v>12.0</v>
      </c>
      <c r="Q106" s="62">
        <v>0.0</v>
      </c>
      <c r="R106" s="62">
        <v>0.0</v>
      </c>
      <c r="S106" s="62">
        <v>0.0</v>
      </c>
      <c r="T106" s="62">
        <v>0.0</v>
      </c>
      <c r="U106" s="62">
        <v>0.0</v>
      </c>
      <c r="V106" s="62">
        <v>0.0</v>
      </c>
      <c r="W106" s="62">
        <v>0.0</v>
      </c>
      <c r="X106" s="62">
        <v>0.0</v>
      </c>
      <c r="Y106" s="62">
        <v>0.0</v>
      </c>
      <c r="Z106" s="62">
        <v>0.0</v>
      </c>
      <c r="AA106" s="62">
        <v>0.0</v>
      </c>
      <c r="AB106" s="62">
        <v>0.763333333333333</v>
      </c>
      <c r="AC106" s="62">
        <v>2.36666666666666</v>
      </c>
      <c r="AD106" s="62">
        <v>0.214166666666666</v>
      </c>
      <c r="AE106" s="62">
        <v>2.36666666666666</v>
      </c>
      <c r="AF106" s="62">
        <v>0.0</v>
      </c>
    </row>
    <row r="107">
      <c r="A107" s="68">
        <v>46160.0</v>
      </c>
      <c r="B107" s="62" t="s">
        <v>89</v>
      </c>
      <c r="C107" s="62" t="s">
        <v>180</v>
      </c>
      <c r="D107" s="62">
        <v>0.0</v>
      </c>
      <c r="E107" s="62">
        <v>2.0</v>
      </c>
      <c r="F107" s="62">
        <v>0.0</v>
      </c>
      <c r="G107" s="62">
        <v>0.0</v>
      </c>
      <c r="H107" s="62">
        <v>0.0</v>
      </c>
      <c r="I107" s="62">
        <v>0.0</v>
      </c>
      <c r="J107" s="62">
        <v>0.0</v>
      </c>
      <c r="K107" s="62">
        <v>0.0</v>
      </c>
      <c r="L107" s="62">
        <v>0.0</v>
      </c>
      <c r="M107" s="62">
        <v>3.0</v>
      </c>
      <c r="N107" s="62">
        <v>4.0</v>
      </c>
      <c r="O107" s="62">
        <v>1.0</v>
      </c>
      <c r="P107" s="62">
        <v>4.0</v>
      </c>
      <c r="Q107" s="62">
        <v>0.0</v>
      </c>
      <c r="R107" s="62">
        <v>0.0</v>
      </c>
      <c r="S107" s="62">
        <v>4218.0</v>
      </c>
      <c r="T107" s="62">
        <v>0.497499999999999</v>
      </c>
      <c r="U107" s="62">
        <v>0.0</v>
      </c>
      <c r="V107" s="62">
        <v>0.0</v>
      </c>
      <c r="W107" s="62">
        <v>0.0</v>
      </c>
      <c r="X107" s="62">
        <v>0.0</v>
      </c>
      <c r="Y107" s="62">
        <v>0.0</v>
      </c>
      <c r="Z107" s="62">
        <v>0.0</v>
      </c>
      <c r="AA107" s="62">
        <v>0.0</v>
      </c>
      <c r="AB107" s="62">
        <v>0.744999999999999</v>
      </c>
      <c r="AC107" s="62">
        <v>1.09722222222222</v>
      </c>
      <c r="AD107" s="62">
        <v>0.263888888888888</v>
      </c>
      <c r="AE107" s="62">
        <v>1.09722222222222</v>
      </c>
      <c r="AF107" s="62">
        <v>2.0</v>
      </c>
    </row>
    <row r="108">
      <c r="A108" s="68">
        <v>46159.0</v>
      </c>
      <c r="B108" s="62" t="s">
        <v>96</v>
      </c>
      <c r="C108" s="62" t="s">
        <v>97</v>
      </c>
      <c r="D108" s="62">
        <v>0.0</v>
      </c>
      <c r="E108" s="62">
        <v>0.0</v>
      </c>
      <c r="F108" s="62">
        <v>0.0</v>
      </c>
      <c r="G108" s="62">
        <v>0.0</v>
      </c>
      <c r="H108" s="62">
        <v>3.0</v>
      </c>
      <c r="I108" s="62">
        <v>0.0</v>
      </c>
      <c r="J108" s="62">
        <v>3.0</v>
      </c>
      <c r="K108" s="62">
        <v>0.0</v>
      </c>
      <c r="L108" s="62">
        <v>0.0</v>
      </c>
      <c r="M108" s="62">
        <v>6.0</v>
      </c>
      <c r="N108" s="62">
        <v>6.0</v>
      </c>
      <c r="O108" s="62">
        <v>1.0</v>
      </c>
      <c r="P108" s="62">
        <v>6.0</v>
      </c>
      <c r="Q108" s="62">
        <v>0.0</v>
      </c>
      <c r="R108" s="62">
        <v>0.0</v>
      </c>
      <c r="S108" s="62">
        <v>0.0</v>
      </c>
      <c r="T108" s="62">
        <v>0.239444444444444</v>
      </c>
      <c r="U108" s="62">
        <v>0.0</v>
      </c>
      <c r="V108" s="62">
        <v>0.0</v>
      </c>
      <c r="W108" s="62">
        <v>0.715555555555555</v>
      </c>
      <c r="X108" s="62">
        <v>0.0</v>
      </c>
      <c r="Y108" s="62">
        <v>0.715555555555555</v>
      </c>
      <c r="Z108" s="62">
        <v>0.0</v>
      </c>
      <c r="AA108" s="62">
        <v>0.0</v>
      </c>
      <c r="AB108" s="62">
        <v>1.44666666666666</v>
      </c>
      <c r="AC108" s="62">
        <v>1.44666666666666</v>
      </c>
      <c r="AD108" s="62">
        <v>0.224166666666666</v>
      </c>
      <c r="AE108" s="62">
        <v>1.44666666666666</v>
      </c>
      <c r="AF108" s="62">
        <v>1.0</v>
      </c>
    </row>
    <row r="109">
      <c r="A109" s="68">
        <v>46159.0</v>
      </c>
      <c r="B109" s="62" t="s">
        <v>104</v>
      </c>
      <c r="C109" s="62" t="s">
        <v>166</v>
      </c>
      <c r="D109" s="62">
        <v>0.0</v>
      </c>
      <c r="E109" s="62">
        <v>0.0</v>
      </c>
      <c r="F109" s="62">
        <v>0.0</v>
      </c>
      <c r="G109" s="62">
        <v>0.0</v>
      </c>
      <c r="H109" s="62">
        <v>0.0</v>
      </c>
      <c r="I109" s="62">
        <v>0.0</v>
      </c>
      <c r="J109" s="62">
        <v>0.0</v>
      </c>
      <c r="K109" s="62">
        <v>0.0</v>
      </c>
      <c r="L109" s="62">
        <v>0.0</v>
      </c>
      <c r="M109" s="62">
        <v>0.0</v>
      </c>
      <c r="N109" s="62">
        <v>0.0</v>
      </c>
      <c r="O109" s="62">
        <v>0.0</v>
      </c>
      <c r="P109" s="62">
        <v>0.0</v>
      </c>
      <c r="Q109" s="62">
        <v>0.0</v>
      </c>
      <c r="R109" s="62">
        <v>0.0</v>
      </c>
      <c r="S109" s="62">
        <v>0.0</v>
      </c>
      <c r="T109" s="62">
        <v>1.35916666666666</v>
      </c>
      <c r="U109" s="62">
        <v>0.0</v>
      </c>
      <c r="V109" s="62">
        <v>0.0</v>
      </c>
      <c r="W109" s="62">
        <v>0.0</v>
      </c>
      <c r="X109" s="62">
        <v>0.0</v>
      </c>
      <c r="Y109" s="62">
        <v>0.0</v>
      </c>
      <c r="Z109" s="62">
        <v>0.0</v>
      </c>
      <c r="AA109" s="62">
        <v>0.0</v>
      </c>
      <c r="AB109" s="62">
        <v>0.0</v>
      </c>
      <c r="AC109" s="62">
        <v>0.0</v>
      </c>
      <c r="AD109" s="62">
        <v>0.0</v>
      </c>
      <c r="AE109" s="62">
        <v>0.0</v>
      </c>
      <c r="AF109" s="62">
        <v>6.0</v>
      </c>
    </row>
    <row r="110">
      <c r="A110" s="68">
        <v>46159.0</v>
      </c>
      <c r="B110" s="62" t="s">
        <v>100</v>
      </c>
      <c r="C110" s="62" t="s">
        <v>167</v>
      </c>
      <c r="D110" s="62">
        <v>0.0</v>
      </c>
      <c r="E110" s="62">
        <v>0.0</v>
      </c>
      <c r="F110" s="62">
        <v>0.0</v>
      </c>
      <c r="G110" s="62">
        <v>0.0</v>
      </c>
      <c r="H110" s="62">
        <v>0.0</v>
      </c>
      <c r="I110" s="62">
        <v>0.0</v>
      </c>
      <c r="J110" s="62">
        <v>0.0</v>
      </c>
      <c r="K110" s="62">
        <v>0.0</v>
      </c>
      <c r="L110" s="62">
        <v>0.0</v>
      </c>
      <c r="M110" s="62">
        <v>0.0</v>
      </c>
      <c r="N110" s="62">
        <v>9.0</v>
      </c>
      <c r="O110" s="62">
        <v>1.0</v>
      </c>
      <c r="P110" s="62">
        <v>9.0</v>
      </c>
      <c r="Q110" s="62">
        <v>0.0</v>
      </c>
      <c r="R110" s="62">
        <v>0.0</v>
      </c>
      <c r="S110" s="62">
        <v>0.0</v>
      </c>
      <c r="T110" s="62">
        <v>0.0</v>
      </c>
      <c r="U110" s="62">
        <v>0.0</v>
      </c>
      <c r="V110" s="62">
        <v>0.0</v>
      </c>
      <c r="W110" s="62">
        <v>0.0</v>
      </c>
      <c r="X110" s="62">
        <v>0.0</v>
      </c>
      <c r="Y110" s="62">
        <v>0.0</v>
      </c>
      <c r="Z110" s="62">
        <v>0.0</v>
      </c>
      <c r="AA110" s="62">
        <v>0.0</v>
      </c>
      <c r="AB110" s="62">
        <v>0.0</v>
      </c>
      <c r="AC110" s="62">
        <v>1.98361111111111</v>
      </c>
      <c r="AD110" s="62">
        <v>0.232222222222222</v>
      </c>
      <c r="AE110" s="62">
        <v>1.98361111111111</v>
      </c>
      <c r="AF110" s="62">
        <v>0.0</v>
      </c>
    </row>
    <row r="111">
      <c r="A111" s="68">
        <v>46159.0</v>
      </c>
      <c r="B111" s="62" t="s">
        <v>32</v>
      </c>
      <c r="C111" s="62" t="s">
        <v>168</v>
      </c>
      <c r="D111" s="62">
        <v>0.0</v>
      </c>
      <c r="E111" s="62">
        <v>0.0</v>
      </c>
      <c r="F111" s="62">
        <v>0.0</v>
      </c>
      <c r="G111" s="62">
        <v>0.0</v>
      </c>
      <c r="H111" s="62">
        <v>0.0</v>
      </c>
      <c r="I111" s="62">
        <v>0.0</v>
      </c>
      <c r="J111" s="62">
        <v>0.0</v>
      </c>
      <c r="K111" s="62">
        <v>0.0</v>
      </c>
      <c r="L111" s="62">
        <v>0.0</v>
      </c>
      <c r="M111" s="62">
        <v>0.0</v>
      </c>
      <c r="N111" s="62">
        <v>1.0</v>
      </c>
      <c r="O111" s="62">
        <v>1.0</v>
      </c>
      <c r="P111" s="62">
        <v>1.0</v>
      </c>
      <c r="Q111" s="62">
        <v>0.0</v>
      </c>
      <c r="R111" s="62">
        <v>0.0</v>
      </c>
      <c r="S111" s="62">
        <v>0.0</v>
      </c>
      <c r="T111" s="62">
        <v>0.851666666666666</v>
      </c>
      <c r="U111" s="62">
        <v>0.0</v>
      </c>
      <c r="V111" s="62">
        <v>0.0</v>
      </c>
      <c r="W111" s="62">
        <v>0.0</v>
      </c>
      <c r="X111" s="62">
        <v>0.0</v>
      </c>
      <c r="Y111" s="62">
        <v>0.0</v>
      </c>
      <c r="Z111" s="62">
        <v>0.0</v>
      </c>
      <c r="AA111" s="62">
        <v>0.0</v>
      </c>
      <c r="AB111" s="62">
        <v>0.0</v>
      </c>
      <c r="AC111" s="62">
        <v>0.235833333333333</v>
      </c>
      <c r="AD111" s="62">
        <v>0.2075</v>
      </c>
      <c r="AE111" s="62">
        <v>0.235833333333333</v>
      </c>
      <c r="AF111" s="62">
        <v>4.0</v>
      </c>
    </row>
    <row r="112">
      <c r="A112" s="68">
        <v>46159.0</v>
      </c>
      <c r="B112" s="62" t="s">
        <v>41</v>
      </c>
      <c r="C112" s="62" t="s">
        <v>172</v>
      </c>
      <c r="D112" s="62">
        <v>0.0</v>
      </c>
      <c r="E112" s="62">
        <v>0.0</v>
      </c>
      <c r="F112" s="62">
        <v>0.0</v>
      </c>
      <c r="G112" s="62">
        <v>0.0</v>
      </c>
      <c r="H112" s="62">
        <v>7.0</v>
      </c>
      <c r="I112" s="62">
        <v>7.0</v>
      </c>
      <c r="J112" s="62">
        <v>0.0</v>
      </c>
      <c r="K112" s="62">
        <v>0.0</v>
      </c>
      <c r="L112" s="62">
        <v>0.0</v>
      </c>
      <c r="M112" s="62">
        <v>0.0</v>
      </c>
      <c r="N112" s="62">
        <v>9.0</v>
      </c>
      <c r="O112" s="62">
        <v>1.0</v>
      </c>
      <c r="P112" s="62">
        <v>9.0</v>
      </c>
      <c r="Q112" s="62">
        <v>0.0</v>
      </c>
      <c r="R112" s="62">
        <v>0.0</v>
      </c>
      <c r="S112" s="62">
        <v>0.0</v>
      </c>
      <c r="T112" s="62">
        <v>1.2925</v>
      </c>
      <c r="U112" s="62">
        <v>0.0</v>
      </c>
      <c r="V112" s="62">
        <v>0.0</v>
      </c>
      <c r="W112" s="62">
        <v>1.865</v>
      </c>
      <c r="X112" s="62">
        <v>1.865</v>
      </c>
      <c r="Y112" s="62">
        <v>0.0</v>
      </c>
      <c r="Z112" s="62">
        <v>0.0</v>
      </c>
      <c r="AA112" s="62">
        <v>0.0</v>
      </c>
      <c r="AB112" s="62">
        <v>0.0</v>
      </c>
      <c r="AC112" s="62">
        <v>2.19416666666666</v>
      </c>
      <c r="AD112" s="62">
        <v>0.233333333333333</v>
      </c>
      <c r="AE112" s="62">
        <v>2.19416666666666</v>
      </c>
      <c r="AF112" s="62">
        <v>5.0</v>
      </c>
    </row>
    <row r="113">
      <c r="A113" s="68">
        <v>46159.0</v>
      </c>
      <c r="B113" s="62" t="s">
        <v>65</v>
      </c>
      <c r="C113" s="62" t="s">
        <v>173</v>
      </c>
      <c r="D113" s="62">
        <v>0.0</v>
      </c>
      <c r="E113" s="62">
        <v>0.0</v>
      </c>
      <c r="F113" s="62">
        <v>0.0</v>
      </c>
      <c r="G113" s="62">
        <v>0.0</v>
      </c>
      <c r="H113" s="62">
        <v>0.0</v>
      </c>
      <c r="I113" s="62">
        <v>0.0</v>
      </c>
      <c r="J113" s="62">
        <v>0.0</v>
      </c>
      <c r="K113" s="62">
        <v>0.0</v>
      </c>
      <c r="L113" s="62">
        <v>0.0</v>
      </c>
      <c r="M113" s="62">
        <v>0.0</v>
      </c>
      <c r="N113" s="62">
        <v>8.0</v>
      </c>
      <c r="O113" s="62">
        <v>2.0</v>
      </c>
      <c r="P113" s="62">
        <v>8.0</v>
      </c>
      <c r="Q113" s="62">
        <v>0.0</v>
      </c>
      <c r="R113" s="62">
        <v>0.0</v>
      </c>
      <c r="S113" s="62">
        <v>0.0</v>
      </c>
      <c r="T113" s="62">
        <v>0.0</v>
      </c>
      <c r="U113" s="62">
        <v>0.0</v>
      </c>
      <c r="V113" s="62">
        <v>0.0</v>
      </c>
      <c r="W113" s="62">
        <v>0.0</v>
      </c>
      <c r="X113" s="62">
        <v>0.0</v>
      </c>
      <c r="Y113" s="62">
        <v>0.0</v>
      </c>
      <c r="Z113" s="62">
        <v>0.0</v>
      </c>
      <c r="AA113" s="62">
        <v>0.0</v>
      </c>
      <c r="AB113" s="62">
        <v>0.0</v>
      </c>
      <c r="AC113" s="62">
        <v>1.90194444444444</v>
      </c>
      <c r="AD113" s="62">
        <v>0.498333333333333</v>
      </c>
      <c r="AE113" s="62">
        <v>1.90194444444444</v>
      </c>
      <c r="AF113" s="62">
        <v>0.0</v>
      </c>
    </row>
    <row r="114">
      <c r="A114" s="68">
        <v>46159.0</v>
      </c>
      <c r="B114" s="62" t="s">
        <v>37</v>
      </c>
      <c r="C114" s="62" t="s">
        <v>174</v>
      </c>
      <c r="D114" s="62">
        <v>0.0</v>
      </c>
      <c r="E114" s="62">
        <v>3.0</v>
      </c>
      <c r="F114" s="62">
        <v>0.0</v>
      </c>
      <c r="G114" s="62">
        <v>0.0</v>
      </c>
      <c r="H114" s="62">
        <v>0.0</v>
      </c>
      <c r="I114" s="62">
        <v>0.0</v>
      </c>
      <c r="J114" s="62">
        <v>0.0</v>
      </c>
      <c r="K114" s="62">
        <v>0.0</v>
      </c>
      <c r="L114" s="62">
        <v>0.0</v>
      </c>
      <c r="M114" s="62">
        <v>0.0</v>
      </c>
      <c r="N114" s="62">
        <v>2.0</v>
      </c>
      <c r="O114" s="62">
        <v>1.0</v>
      </c>
      <c r="P114" s="62">
        <v>2.0</v>
      </c>
      <c r="Q114" s="62">
        <v>0.0</v>
      </c>
      <c r="R114" s="62">
        <v>0.0</v>
      </c>
      <c r="S114" s="62">
        <v>7099.0</v>
      </c>
      <c r="T114" s="62">
        <v>0.0</v>
      </c>
      <c r="U114" s="62">
        <v>0.0</v>
      </c>
      <c r="V114" s="62">
        <v>0.0</v>
      </c>
      <c r="W114" s="62">
        <v>0.0</v>
      </c>
      <c r="X114" s="62">
        <v>0.0</v>
      </c>
      <c r="Y114" s="62">
        <v>0.0</v>
      </c>
      <c r="Z114" s="62">
        <v>0.0</v>
      </c>
      <c r="AA114" s="62">
        <v>0.0</v>
      </c>
      <c r="AB114" s="62">
        <v>0.0</v>
      </c>
      <c r="AC114" s="62">
        <v>0.546111111111111</v>
      </c>
      <c r="AD114" s="62">
        <v>0.296944444444444</v>
      </c>
      <c r="AE114" s="62">
        <v>0.546111111111111</v>
      </c>
      <c r="AF114" s="62">
        <v>0.0</v>
      </c>
    </row>
    <row r="115">
      <c r="A115" s="68">
        <v>46159.0</v>
      </c>
      <c r="B115" s="62" t="s">
        <v>108</v>
      </c>
      <c r="C115" s="62" t="s">
        <v>175</v>
      </c>
      <c r="D115" s="62">
        <v>0.0</v>
      </c>
      <c r="E115" s="62">
        <v>2.0</v>
      </c>
      <c r="F115" s="62">
        <v>0.0</v>
      </c>
      <c r="G115" s="62">
        <v>1.0</v>
      </c>
      <c r="H115" s="62">
        <v>1.0</v>
      </c>
      <c r="I115" s="62">
        <v>0.0</v>
      </c>
      <c r="J115" s="62">
        <v>2.0</v>
      </c>
      <c r="K115" s="62">
        <v>0.0</v>
      </c>
      <c r="L115" s="62">
        <v>0.0</v>
      </c>
      <c r="M115" s="62">
        <v>0.0</v>
      </c>
      <c r="N115" s="62">
        <v>0.0</v>
      </c>
      <c r="O115" s="62">
        <v>1.0</v>
      </c>
      <c r="P115" s="62">
        <v>0.0</v>
      </c>
      <c r="Q115" s="62">
        <v>0.0</v>
      </c>
      <c r="R115" s="62">
        <v>0.0</v>
      </c>
      <c r="S115" s="62">
        <v>3996.0</v>
      </c>
      <c r="T115" s="62">
        <v>0.183333333333333</v>
      </c>
      <c r="U115" s="62">
        <v>0.0</v>
      </c>
      <c r="V115" s="62">
        <v>0.226111111111111</v>
      </c>
      <c r="W115" s="62">
        <v>0.226111111111111</v>
      </c>
      <c r="X115" s="62">
        <v>0.0</v>
      </c>
      <c r="Y115" s="62">
        <v>0.396111111111111</v>
      </c>
      <c r="Z115" s="62">
        <v>0.0</v>
      </c>
      <c r="AA115" s="62">
        <v>0.0</v>
      </c>
      <c r="AB115" s="62">
        <v>0.0</v>
      </c>
      <c r="AC115" s="62">
        <v>0.0</v>
      </c>
      <c r="AD115" s="62">
        <v>0.165277777777777</v>
      </c>
      <c r="AE115" s="62">
        <v>0.0</v>
      </c>
      <c r="AF115" s="62">
        <v>1.0</v>
      </c>
    </row>
    <row r="116">
      <c r="A116" s="68">
        <v>46159.0</v>
      </c>
      <c r="B116" s="62" t="s">
        <v>56</v>
      </c>
      <c r="C116" s="62" t="s">
        <v>176</v>
      </c>
      <c r="D116" s="62">
        <v>0.0</v>
      </c>
      <c r="E116" s="62">
        <v>0.0</v>
      </c>
      <c r="F116" s="62">
        <v>3.0</v>
      </c>
      <c r="G116" s="62">
        <v>0.0</v>
      </c>
      <c r="H116" s="62">
        <v>0.0</v>
      </c>
      <c r="I116" s="62">
        <v>0.0</v>
      </c>
      <c r="J116" s="62">
        <v>0.0</v>
      </c>
      <c r="K116" s="62">
        <v>0.0</v>
      </c>
      <c r="L116" s="62">
        <v>0.0</v>
      </c>
      <c r="M116" s="62">
        <v>0.0</v>
      </c>
      <c r="N116" s="62">
        <v>0.0</v>
      </c>
      <c r="O116" s="62">
        <v>1.0</v>
      </c>
      <c r="P116" s="62">
        <v>0.0</v>
      </c>
      <c r="Q116" s="62">
        <v>0.0</v>
      </c>
      <c r="R116" s="62">
        <v>0.0</v>
      </c>
      <c r="S116" s="62">
        <v>0.0</v>
      </c>
      <c r="T116" s="62">
        <v>0.0</v>
      </c>
      <c r="U116" s="62">
        <v>0.753055555555555</v>
      </c>
      <c r="V116" s="62">
        <v>0.0</v>
      </c>
      <c r="W116" s="62">
        <v>0.0</v>
      </c>
      <c r="X116" s="62">
        <v>0.0</v>
      </c>
      <c r="Y116" s="62">
        <v>0.0</v>
      </c>
      <c r="Z116" s="62">
        <v>0.0</v>
      </c>
      <c r="AA116" s="62">
        <v>0.0</v>
      </c>
      <c r="AB116" s="62">
        <v>0.0</v>
      </c>
      <c r="AC116" s="62">
        <v>0.0</v>
      </c>
      <c r="AD116" s="62">
        <v>0.234166666666666</v>
      </c>
      <c r="AE116" s="62">
        <v>0.0</v>
      </c>
      <c r="AF116" s="62">
        <v>0.0</v>
      </c>
    </row>
    <row r="117">
      <c r="A117" s="68">
        <v>46159.0</v>
      </c>
      <c r="B117" s="62" t="s">
        <v>116</v>
      </c>
      <c r="C117" s="62" t="s">
        <v>179</v>
      </c>
      <c r="D117" s="62">
        <v>2.0</v>
      </c>
      <c r="E117" s="62">
        <v>0.0</v>
      </c>
      <c r="F117" s="62">
        <v>0.0</v>
      </c>
      <c r="G117" s="62">
        <v>0.0</v>
      </c>
      <c r="H117" s="62">
        <v>0.0</v>
      </c>
      <c r="I117" s="62">
        <v>0.0</v>
      </c>
      <c r="J117" s="62">
        <v>0.0</v>
      </c>
      <c r="K117" s="62">
        <v>0.0</v>
      </c>
      <c r="L117" s="62">
        <v>0.0</v>
      </c>
      <c r="M117" s="62">
        <v>0.0</v>
      </c>
      <c r="N117" s="62">
        <v>0.0</v>
      </c>
      <c r="O117" s="62">
        <v>0.0</v>
      </c>
      <c r="P117" s="62">
        <v>0.0</v>
      </c>
      <c r="Q117" s="62">
        <v>0.0</v>
      </c>
      <c r="R117" s="62">
        <v>4399.0</v>
      </c>
      <c r="S117" s="62">
        <v>0.0</v>
      </c>
      <c r="T117" s="62">
        <v>0.0</v>
      </c>
      <c r="U117" s="62">
        <v>0.0</v>
      </c>
      <c r="V117" s="62">
        <v>0.0</v>
      </c>
      <c r="W117" s="62">
        <v>0.0</v>
      </c>
      <c r="X117" s="62">
        <v>0.0</v>
      </c>
      <c r="Y117" s="62">
        <v>0.0</v>
      </c>
      <c r="Z117" s="62">
        <v>0.0</v>
      </c>
      <c r="AA117" s="62">
        <v>0.0</v>
      </c>
      <c r="AB117" s="62">
        <v>0.0</v>
      </c>
      <c r="AC117" s="62">
        <v>0.0</v>
      </c>
      <c r="AD117" s="62">
        <v>0.0</v>
      </c>
      <c r="AE117" s="62">
        <v>0.0</v>
      </c>
      <c r="AF117" s="62">
        <v>0.0</v>
      </c>
    </row>
    <row r="118">
      <c r="A118" s="68">
        <v>46158.0</v>
      </c>
      <c r="B118" s="62" t="s">
        <v>79</v>
      </c>
      <c r="C118" s="62" t="s">
        <v>162</v>
      </c>
      <c r="D118" s="62">
        <v>0.0</v>
      </c>
      <c r="E118" s="62">
        <v>0.0</v>
      </c>
      <c r="F118" s="62">
        <v>0.0</v>
      </c>
      <c r="G118" s="62">
        <v>0.0</v>
      </c>
      <c r="H118" s="62">
        <v>0.0</v>
      </c>
      <c r="I118" s="62">
        <v>0.0</v>
      </c>
      <c r="J118" s="62">
        <v>0.0</v>
      </c>
      <c r="K118" s="62">
        <v>0.0</v>
      </c>
      <c r="L118" s="62">
        <v>0.0</v>
      </c>
      <c r="M118" s="62">
        <v>0.0</v>
      </c>
      <c r="N118" s="62">
        <v>2.0</v>
      </c>
      <c r="O118" s="62">
        <v>1.0</v>
      </c>
      <c r="P118" s="62">
        <v>2.0</v>
      </c>
      <c r="Q118" s="62">
        <v>0.0</v>
      </c>
      <c r="R118" s="62">
        <v>0.0</v>
      </c>
      <c r="S118" s="62">
        <v>0.0</v>
      </c>
      <c r="T118" s="62">
        <v>0.0</v>
      </c>
      <c r="U118" s="62">
        <v>0.0</v>
      </c>
      <c r="V118" s="62">
        <v>0.0</v>
      </c>
      <c r="W118" s="62">
        <v>0.0</v>
      </c>
      <c r="X118" s="62">
        <v>0.0</v>
      </c>
      <c r="Y118" s="62">
        <v>0.0</v>
      </c>
      <c r="Z118" s="62">
        <v>0.0</v>
      </c>
      <c r="AA118" s="62">
        <v>0.0</v>
      </c>
      <c r="AB118" s="62">
        <v>0.0</v>
      </c>
      <c r="AC118" s="62">
        <v>0.425277777777777</v>
      </c>
      <c r="AD118" s="62">
        <v>0.189166666666666</v>
      </c>
      <c r="AE118" s="62">
        <v>0.425277777777777</v>
      </c>
      <c r="AF118" s="62">
        <v>0.0</v>
      </c>
    </row>
    <row r="119">
      <c r="A119" s="68">
        <v>46158.0</v>
      </c>
      <c r="B119" s="62" t="s">
        <v>96</v>
      </c>
      <c r="C119" s="62" t="s">
        <v>97</v>
      </c>
      <c r="D119" s="62">
        <v>0.0</v>
      </c>
      <c r="E119" s="62">
        <v>4.0</v>
      </c>
      <c r="F119" s="62">
        <v>0.0</v>
      </c>
      <c r="G119" s="62">
        <v>0.0</v>
      </c>
      <c r="H119" s="62">
        <v>1.0</v>
      </c>
      <c r="I119" s="62">
        <v>0.0</v>
      </c>
      <c r="J119" s="62">
        <v>1.0</v>
      </c>
      <c r="K119" s="62">
        <v>0.0</v>
      </c>
      <c r="L119" s="62">
        <v>0.0</v>
      </c>
      <c r="M119" s="62">
        <v>2.0</v>
      </c>
      <c r="N119" s="62">
        <v>6.0</v>
      </c>
      <c r="O119" s="62">
        <v>1.0</v>
      </c>
      <c r="P119" s="62">
        <v>6.0</v>
      </c>
      <c r="Q119" s="62">
        <v>0.0</v>
      </c>
      <c r="R119" s="62">
        <v>0.0</v>
      </c>
      <c r="S119" s="62">
        <v>8856.0</v>
      </c>
      <c r="T119" s="62">
        <v>0.0</v>
      </c>
      <c r="U119" s="62">
        <v>0.0</v>
      </c>
      <c r="V119" s="62">
        <v>0.0</v>
      </c>
      <c r="W119" s="62">
        <v>0.235555555555555</v>
      </c>
      <c r="X119" s="62">
        <v>0.0</v>
      </c>
      <c r="Y119" s="62">
        <v>0.235555555555555</v>
      </c>
      <c r="Z119" s="62">
        <v>0.0</v>
      </c>
      <c r="AA119" s="62">
        <v>0.0</v>
      </c>
      <c r="AB119" s="62">
        <v>0.521111111111111</v>
      </c>
      <c r="AC119" s="62">
        <v>1.51388888888888</v>
      </c>
      <c r="AD119" s="62">
        <v>0.217777777777777</v>
      </c>
      <c r="AE119" s="62">
        <v>1.51388888888888</v>
      </c>
      <c r="AF119" s="62">
        <v>0.0</v>
      </c>
    </row>
    <row r="120">
      <c r="A120" s="68">
        <v>46158.0</v>
      </c>
      <c r="B120" s="62" t="s">
        <v>76</v>
      </c>
      <c r="C120" s="62" t="s">
        <v>165</v>
      </c>
      <c r="D120" s="62">
        <v>0.0</v>
      </c>
      <c r="E120" s="62">
        <v>0.0</v>
      </c>
      <c r="F120" s="62">
        <v>0.0</v>
      </c>
      <c r="G120" s="62">
        <v>3.0</v>
      </c>
      <c r="H120" s="62">
        <v>3.0</v>
      </c>
      <c r="I120" s="62">
        <v>0.0</v>
      </c>
      <c r="J120" s="62">
        <v>0.0</v>
      </c>
      <c r="K120" s="62">
        <v>0.0</v>
      </c>
      <c r="L120" s="62">
        <v>0.0</v>
      </c>
      <c r="M120" s="62">
        <v>0.0</v>
      </c>
      <c r="N120" s="62">
        <v>6.0</v>
      </c>
      <c r="O120" s="62">
        <v>1.0</v>
      </c>
      <c r="P120" s="62">
        <v>6.0</v>
      </c>
      <c r="Q120" s="62">
        <v>0.0</v>
      </c>
      <c r="R120" s="62">
        <v>0.0</v>
      </c>
      <c r="S120" s="62">
        <v>0.0</v>
      </c>
      <c r="T120" s="62">
        <v>0.0</v>
      </c>
      <c r="U120" s="62">
        <v>0.0</v>
      </c>
      <c r="V120" s="62">
        <v>1.0775</v>
      </c>
      <c r="W120" s="62">
        <v>1.0775</v>
      </c>
      <c r="X120" s="62">
        <v>0.0</v>
      </c>
      <c r="Y120" s="62">
        <v>0.0</v>
      </c>
      <c r="Z120" s="62">
        <v>0.0</v>
      </c>
      <c r="AA120" s="62">
        <v>0.0</v>
      </c>
      <c r="AB120" s="62">
        <v>0.0</v>
      </c>
      <c r="AC120" s="62">
        <v>2.11027777777777</v>
      </c>
      <c r="AD120" s="62">
        <v>0.233611111111111</v>
      </c>
      <c r="AE120" s="62">
        <v>2.11027777777777</v>
      </c>
      <c r="AF120" s="62">
        <v>0.0</v>
      </c>
    </row>
    <row r="121">
      <c r="A121" s="68">
        <v>46158.0</v>
      </c>
      <c r="B121" s="62" t="s">
        <v>104</v>
      </c>
      <c r="C121" s="62" t="s">
        <v>166</v>
      </c>
      <c r="D121" s="62">
        <v>10.0</v>
      </c>
      <c r="E121" s="62">
        <v>4.0</v>
      </c>
      <c r="F121" s="62">
        <v>0.0</v>
      </c>
      <c r="G121" s="62">
        <v>0.0</v>
      </c>
      <c r="H121" s="62">
        <v>0.0</v>
      </c>
      <c r="I121" s="62">
        <v>0.0</v>
      </c>
      <c r="J121" s="62">
        <v>0.0</v>
      </c>
      <c r="K121" s="62">
        <v>0.0</v>
      </c>
      <c r="L121" s="62">
        <v>0.0</v>
      </c>
      <c r="M121" s="62">
        <v>0.0</v>
      </c>
      <c r="N121" s="62">
        <v>0.0</v>
      </c>
      <c r="O121" s="62">
        <v>0.0</v>
      </c>
      <c r="P121" s="62">
        <v>0.0</v>
      </c>
      <c r="Q121" s="62">
        <v>0.0</v>
      </c>
      <c r="R121" s="62">
        <v>21823.0</v>
      </c>
      <c r="S121" s="62">
        <v>10006.0</v>
      </c>
      <c r="T121" s="62">
        <v>0.681111111111111</v>
      </c>
      <c r="U121" s="62">
        <v>0.0</v>
      </c>
      <c r="V121" s="62">
        <v>0.0</v>
      </c>
      <c r="W121" s="62">
        <v>0.0</v>
      </c>
      <c r="X121" s="62">
        <v>0.0</v>
      </c>
      <c r="Y121" s="62">
        <v>0.0</v>
      </c>
      <c r="Z121" s="62">
        <v>0.0</v>
      </c>
      <c r="AA121" s="62">
        <v>0.0</v>
      </c>
      <c r="AB121" s="62">
        <v>0.0</v>
      </c>
      <c r="AC121" s="62">
        <v>0.0</v>
      </c>
      <c r="AD121" s="62">
        <v>0.0</v>
      </c>
      <c r="AE121" s="62">
        <v>0.0</v>
      </c>
      <c r="AF121" s="62">
        <v>3.0</v>
      </c>
    </row>
    <row r="122">
      <c r="A122" s="68">
        <v>46158.0</v>
      </c>
      <c r="B122" s="62" t="s">
        <v>100</v>
      </c>
      <c r="C122" s="62" t="s">
        <v>167</v>
      </c>
      <c r="D122" s="62">
        <v>4.0</v>
      </c>
      <c r="E122" s="62">
        <v>0.0</v>
      </c>
      <c r="F122" s="62">
        <v>0.0</v>
      </c>
      <c r="G122" s="62">
        <v>0.0</v>
      </c>
      <c r="H122" s="62">
        <v>0.0</v>
      </c>
      <c r="I122" s="62">
        <v>0.0</v>
      </c>
      <c r="J122" s="62">
        <v>1.0</v>
      </c>
      <c r="K122" s="62">
        <v>0.0</v>
      </c>
      <c r="L122" s="62">
        <v>0.0</v>
      </c>
      <c r="M122" s="62">
        <v>0.0</v>
      </c>
      <c r="N122" s="62">
        <v>0.0</v>
      </c>
      <c r="O122" s="62">
        <v>1.0</v>
      </c>
      <c r="P122" s="62">
        <v>0.0</v>
      </c>
      <c r="Q122" s="62">
        <v>0.0</v>
      </c>
      <c r="R122" s="62">
        <v>9881.0</v>
      </c>
      <c r="S122" s="62">
        <v>0.0</v>
      </c>
      <c r="T122" s="62">
        <v>0.618888888888888</v>
      </c>
      <c r="U122" s="62">
        <v>0.0</v>
      </c>
      <c r="V122" s="62">
        <v>0.0</v>
      </c>
      <c r="W122" s="62">
        <v>0.0</v>
      </c>
      <c r="X122" s="62">
        <v>0.0</v>
      </c>
      <c r="Y122" s="62">
        <v>0.216666666666666</v>
      </c>
      <c r="Z122" s="62">
        <v>0.0</v>
      </c>
      <c r="AA122" s="62">
        <v>0.0</v>
      </c>
      <c r="AB122" s="62">
        <v>0.0</v>
      </c>
      <c r="AC122" s="62">
        <v>0.0</v>
      </c>
      <c r="AD122" s="62">
        <v>0.246388888888888</v>
      </c>
      <c r="AE122" s="62">
        <v>0.0</v>
      </c>
      <c r="AF122" s="62">
        <v>3.0</v>
      </c>
    </row>
    <row r="123">
      <c r="A123" s="68">
        <v>46158.0</v>
      </c>
      <c r="B123" s="62" t="s">
        <v>32</v>
      </c>
      <c r="C123" s="62" t="s">
        <v>168</v>
      </c>
      <c r="D123" s="62">
        <v>0.0</v>
      </c>
      <c r="E123" s="62">
        <v>0.0</v>
      </c>
      <c r="F123" s="62">
        <v>0.0</v>
      </c>
      <c r="G123" s="62">
        <v>0.0</v>
      </c>
      <c r="H123" s="62">
        <v>0.0</v>
      </c>
      <c r="I123" s="62">
        <v>0.0</v>
      </c>
      <c r="J123" s="62">
        <v>0.0</v>
      </c>
      <c r="K123" s="62">
        <v>0.0</v>
      </c>
      <c r="L123" s="62">
        <v>0.0</v>
      </c>
      <c r="M123" s="62">
        <v>1.0</v>
      </c>
      <c r="N123" s="62">
        <v>0.0</v>
      </c>
      <c r="O123" s="62">
        <v>1.0</v>
      </c>
      <c r="P123" s="62">
        <v>0.0</v>
      </c>
      <c r="Q123" s="62">
        <v>0.0</v>
      </c>
      <c r="R123" s="62">
        <v>0.0</v>
      </c>
      <c r="S123" s="62">
        <v>0.0</v>
      </c>
      <c r="T123" s="62">
        <v>0.0</v>
      </c>
      <c r="U123" s="62">
        <v>0.0</v>
      </c>
      <c r="V123" s="62">
        <v>0.0</v>
      </c>
      <c r="W123" s="62">
        <v>0.0</v>
      </c>
      <c r="X123" s="62">
        <v>0.0</v>
      </c>
      <c r="Y123" s="62">
        <v>0.0</v>
      </c>
      <c r="Z123" s="62">
        <v>0.0</v>
      </c>
      <c r="AA123" s="62">
        <v>0.0</v>
      </c>
      <c r="AB123" s="62">
        <v>0.235833333333333</v>
      </c>
      <c r="AC123" s="62">
        <v>0.0</v>
      </c>
      <c r="AD123" s="62">
        <v>0.214722222222222</v>
      </c>
      <c r="AE123" s="62">
        <v>0.0</v>
      </c>
      <c r="AF123" s="62">
        <v>0.0</v>
      </c>
    </row>
    <row r="124">
      <c r="A124" s="68">
        <v>46158.0</v>
      </c>
      <c r="B124" s="62" t="s">
        <v>110</v>
      </c>
      <c r="C124" s="62" t="s">
        <v>169</v>
      </c>
      <c r="D124" s="62">
        <v>0.0</v>
      </c>
      <c r="E124" s="62">
        <v>0.0</v>
      </c>
      <c r="F124" s="62">
        <v>0.0</v>
      </c>
      <c r="G124" s="62">
        <v>0.0</v>
      </c>
      <c r="H124" s="62">
        <v>0.0</v>
      </c>
      <c r="I124" s="62">
        <v>0.0</v>
      </c>
      <c r="J124" s="62">
        <v>0.0</v>
      </c>
      <c r="K124" s="62">
        <v>0.0</v>
      </c>
      <c r="L124" s="62">
        <v>0.0</v>
      </c>
      <c r="M124" s="62">
        <v>0.0</v>
      </c>
      <c r="N124" s="62">
        <v>0.0</v>
      </c>
      <c r="O124" s="62">
        <v>0.0</v>
      </c>
      <c r="P124" s="62">
        <v>0.0</v>
      </c>
      <c r="Q124" s="62">
        <v>0.0</v>
      </c>
      <c r="R124" s="62">
        <v>0.0</v>
      </c>
      <c r="S124" s="62">
        <v>0.0</v>
      </c>
      <c r="T124" s="62">
        <v>0.419444444444444</v>
      </c>
      <c r="U124" s="62">
        <v>0.0</v>
      </c>
      <c r="V124" s="62">
        <v>0.0</v>
      </c>
      <c r="W124" s="62">
        <v>0.0</v>
      </c>
      <c r="X124" s="62">
        <v>0.0</v>
      </c>
      <c r="Y124" s="62">
        <v>0.0</v>
      </c>
      <c r="Z124" s="62">
        <v>0.0</v>
      </c>
      <c r="AA124" s="62">
        <v>0.0</v>
      </c>
      <c r="AB124" s="62">
        <v>0.0</v>
      </c>
      <c r="AC124" s="62">
        <v>0.0</v>
      </c>
      <c r="AD124" s="62">
        <v>0.0</v>
      </c>
      <c r="AE124" s="62">
        <v>0.0</v>
      </c>
      <c r="AF124" s="62">
        <v>2.0</v>
      </c>
    </row>
    <row r="125">
      <c r="A125" s="68">
        <v>46158.0</v>
      </c>
      <c r="B125" s="62" t="s">
        <v>41</v>
      </c>
      <c r="C125" s="62" t="s">
        <v>172</v>
      </c>
      <c r="D125" s="62">
        <v>0.0</v>
      </c>
      <c r="E125" s="62">
        <v>5.0</v>
      </c>
      <c r="F125" s="62">
        <v>0.0</v>
      </c>
      <c r="G125" s="62">
        <v>0.0</v>
      </c>
      <c r="H125" s="62">
        <v>0.0</v>
      </c>
      <c r="I125" s="62">
        <v>0.0</v>
      </c>
      <c r="J125" s="62">
        <v>0.0</v>
      </c>
      <c r="K125" s="62">
        <v>0.0</v>
      </c>
      <c r="L125" s="62">
        <v>0.0</v>
      </c>
      <c r="M125" s="62">
        <v>1.0</v>
      </c>
      <c r="N125" s="62">
        <v>0.0</v>
      </c>
      <c r="O125" s="62">
        <v>1.0</v>
      </c>
      <c r="P125" s="62">
        <v>0.0</v>
      </c>
      <c r="Q125" s="62">
        <v>0.0</v>
      </c>
      <c r="R125" s="62">
        <v>0.0</v>
      </c>
      <c r="S125" s="62">
        <v>15005.0</v>
      </c>
      <c r="T125" s="62">
        <v>0.0</v>
      </c>
      <c r="U125" s="62">
        <v>0.0</v>
      </c>
      <c r="V125" s="62">
        <v>0.0</v>
      </c>
      <c r="W125" s="62">
        <v>0.0</v>
      </c>
      <c r="X125" s="62">
        <v>0.0</v>
      </c>
      <c r="Y125" s="62">
        <v>0.0</v>
      </c>
      <c r="Z125" s="62">
        <v>0.0</v>
      </c>
      <c r="AA125" s="62">
        <v>0.0</v>
      </c>
      <c r="AB125" s="62">
        <v>0.219722222222222</v>
      </c>
      <c r="AC125" s="62">
        <v>0.0</v>
      </c>
      <c r="AD125" s="62">
        <v>0.226388888888888</v>
      </c>
      <c r="AE125" s="62">
        <v>0.0</v>
      </c>
      <c r="AF125" s="62">
        <v>0.0</v>
      </c>
    </row>
    <row r="126">
      <c r="A126" s="68">
        <v>46158.0</v>
      </c>
      <c r="B126" s="62" t="s">
        <v>65</v>
      </c>
      <c r="C126" s="62" t="s">
        <v>173</v>
      </c>
      <c r="D126" s="62">
        <v>0.0</v>
      </c>
      <c r="E126" s="62">
        <v>0.0</v>
      </c>
      <c r="F126" s="62">
        <v>0.0</v>
      </c>
      <c r="G126" s="62">
        <v>0.0</v>
      </c>
      <c r="H126" s="62">
        <v>0.0</v>
      </c>
      <c r="I126" s="62">
        <v>0.0</v>
      </c>
      <c r="J126" s="62">
        <v>0.0</v>
      </c>
      <c r="K126" s="62">
        <v>0.0</v>
      </c>
      <c r="L126" s="62">
        <v>2.0</v>
      </c>
      <c r="M126" s="62">
        <v>5.0</v>
      </c>
      <c r="N126" s="62">
        <v>10.0</v>
      </c>
      <c r="O126" s="62">
        <v>1.0</v>
      </c>
      <c r="P126" s="62">
        <v>10.0</v>
      </c>
      <c r="Q126" s="62">
        <v>0.0</v>
      </c>
      <c r="R126" s="62">
        <v>0.0</v>
      </c>
      <c r="S126" s="62">
        <v>0.0</v>
      </c>
      <c r="T126" s="62">
        <v>1.58722222222222</v>
      </c>
      <c r="U126" s="62">
        <v>0.0</v>
      </c>
      <c r="V126" s="62">
        <v>0.0</v>
      </c>
      <c r="W126" s="62">
        <v>0.0</v>
      </c>
      <c r="X126" s="62">
        <v>0.0</v>
      </c>
      <c r="Y126" s="62">
        <v>0.0</v>
      </c>
      <c r="Z126" s="62">
        <v>0.0</v>
      </c>
      <c r="AA126" s="62">
        <v>0.476111111111111</v>
      </c>
      <c r="AB126" s="62">
        <v>1.23916666666666</v>
      </c>
      <c r="AC126" s="62">
        <v>2.02222222222222</v>
      </c>
      <c r="AD126" s="62">
        <v>0.258055555555555</v>
      </c>
      <c r="AE126" s="62">
        <v>2.02222222222222</v>
      </c>
      <c r="AF126" s="62">
        <v>8.0</v>
      </c>
    </row>
    <row r="127">
      <c r="A127" s="68">
        <v>46158.0</v>
      </c>
      <c r="B127" s="62" t="s">
        <v>108</v>
      </c>
      <c r="C127" s="62" t="s">
        <v>175</v>
      </c>
      <c r="D127" s="62">
        <v>0.0</v>
      </c>
      <c r="E127" s="62">
        <v>1.0</v>
      </c>
      <c r="F127" s="62">
        <v>0.0</v>
      </c>
      <c r="G127" s="62">
        <v>0.0</v>
      </c>
      <c r="H127" s="62">
        <v>0.0</v>
      </c>
      <c r="I127" s="62">
        <v>0.0</v>
      </c>
      <c r="J127" s="62">
        <v>0.0</v>
      </c>
      <c r="K127" s="62">
        <v>0.0</v>
      </c>
      <c r="L127" s="62">
        <v>0.0</v>
      </c>
      <c r="M127" s="62">
        <v>0.0</v>
      </c>
      <c r="N127" s="62">
        <v>3.0</v>
      </c>
      <c r="O127" s="62">
        <v>1.0</v>
      </c>
      <c r="P127" s="62">
        <v>3.0</v>
      </c>
      <c r="Q127" s="62">
        <v>0.0</v>
      </c>
      <c r="R127" s="62">
        <v>0.0</v>
      </c>
      <c r="S127" s="62">
        <v>1866.0</v>
      </c>
      <c r="T127" s="62">
        <v>0.0</v>
      </c>
      <c r="U127" s="62">
        <v>0.0</v>
      </c>
      <c r="V127" s="62">
        <v>0.0</v>
      </c>
      <c r="W127" s="62">
        <v>0.0</v>
      </c>
      <c r="X127" s="62">
        <v>0.0</v>
      </c>
      <c r="Y127" s="62">
        <v>0.0</v>
      </c>
      <c r="Z127" s="62">
        <v>0.0</v>
      </c>
      <c r="AA127" s="62">
        <v>0.0</v>
      </c>
      <c r="AB127" s="62">
        <v>0.0</v>
      </c>
      <c r="AC127" s="62">
        <v>0.582777777777777</v>
      </c>
      <c r="AD127" s="62">
        <v>0.170277777777777</v>
      </c>
      <c r="AE127" s="62">
        <v>0.582777777777777</v>
      </c>
      <c r="AF127" s="62">
        <v>0.0</v>
      </c>
    </row>
    <row r="128">
      <c r="A128" s="68">
        <v>46158.0</v>
      </c>
      <c r="B128" s="62" t="s">
        <v>56</v>
      </c>
      <c r="C128" s="62" t="s">
        <v>176</v>
      </c>
      <c r="D128" s="62">
        <v>0.0</v>
      </c>
      <c r="E128" s="62">
        <v>0.0</v>
      </c>
      <c r="F128" s="62">
        <v>1.0</v>
      </c>
      <c r="G128" s="62">
        <v>0.0</v>
      </c>
      <c r="H128" s="62">
        <v>0.0</v>
      </c>
      <c r="I128" s="62">
        <v>0.0</v>
      </c>
      <c r="J128" s="62">
        <v>0.0</v>
      </c>
      <c r="K128" s="62">
        <v>0.0</v>
      </c>
      <c r="L128" s="62">
        <v>0.0</v>
      </c>
      <c r="M128" s="62">
        <v>0.0</v>
      </c>
      <c r="N128" s="62">
        <v>0.0</v>
      </c>
      <c r="O128" s="62">
        <v>1.0</v>
      </c>
      <c r="P128" s="62">
        <v>0.0</v>
      </c>
      <c r="Q128" s="62">
        <v>0.0</v>
      </c>
      <c r="R128" s="62">
        <v>0.0</v>
      </c>
      <c r="S128" s="62">
        <v>0.0</v>
      </c>
      <c r="T128" s="62">
        <v>0.0</v>
      </c>
      <c r="U128" s="62">
        <v>0.233611111111111</v>
      </c>
      <c r="V128" s="62">
        <v>0.0</v>
      </c>
      <c r="W128" s="62">
        <v>0.0</v>
      </c>
      <c r="X128" s="62">
        <v>0.0</v>
      </c>
      <c r="Y128" s="62">
        <v>0.0</v>
      </c>
      <c r="Z128" s="62">
        <v>0.0</v>
      </c>
      <c r="AA128" s="62">
        <v>0.0</v>
      </c>
      <c r="AB128" s="62">
        <v>0.0</v>
      </c>
      <c r="AC128" s="62">
        <v>0.0</v>
      </c>
      <c r="AD128" s="62">
        <v>0.230555555555555</v>
      </c>
      <c r="AE128" s="62">
        <v>0.0</v>
      </c>
      <c r="AF128" s="62">
        <v>0.0</v>
      </c>
    </row>
    <row r="129">
      <c r="A129" s="68">
        <v>46158.0</v>
      </c>
      <c r="B129" s="62" t="s">
        <v>26</v>
      </c>
      <c r="C129" s="62" t="s">
        <v>178</v>
      </c>
      <c r="D129" s="62">
        <v>0.0</v>
      </c>
      <c r="E129" s="62">
        <v>0.0</v>
      </c>
      <c r="F129" s="62">
        <v>0.0</v>
      </c>
      <c r="G129" s="62">
        <v>3.0</v>
      </c>
      <c r="H129" s="62">
        <v>3.0</v>
      </c>
      <c r="I129" s="62">
        <v>0.0</v>
      </c>
      <c r="J129" s="62">
        <v>7.0</v>
      </c>
      <c r="K129" s="62">
        <v>0.0</v>
      </c>
      <c r="L129" s="62">
        <v>1.0</v>
      </c>
      <c r="M129" s="62">
        <v>1.0</v>
      </c>
      <c r="N129" s="62">
        <v>35.0</v>
      </c>
      <c r="O129" s="62">
        <v>1.0</v>
      </c>
      <c r="P129" s="62">
        <v>35.0</v>
      </c>
      <c r="Q129" s="62">
        <v>0.0</v>
      </c>
      <c r="R129" s="62">
        <v>0.0</v>
      </c>
      <c r="S129" s="62">
        <v>0.0</v>
      </c>
      <c r="T129" s="62">
        <v>0.0</v>
      </c>
      <c r="U129" s="62">
        <v>0.0</v>
      </c>
      <c r="V129" s="62">
        <v>0.536388888888888</v>
      </c>
      <c r="W129" s="62">
        <v>0.536388888888888</v>
      </c>
      <c r="X129" s="62">
        <v>0.0</v>
      </c>
      <c r="Y129" s="62">
        <v>1.21638888888888</v>
      </c>
      <c r="Z129" s="62">
        <v>0.0</v>
      </c>
      <c r="AA129" s="62">
        <v>0.199722222222222</v>
      </c>
      <c r="AB129" s="62">
        <v>0.199722222222222</v>
      </c>
      <c r="AC129" s="62">
        <v>6.17111111111111</v>
      </c>
      <c r="AD129" s="62">
        <v>0.194722222222222</v>
      </c>
      <c r="AE129" s="62">
        <v>6.17111111111111</v>
      </c>
      <c r="AF129" s="62">
        <v>0.0</v>
      </c>
    </row>
    <row r="130">
      <c r="A130" s="68">
        <v>46158.0</v>
      </c>
      <c r="B130" s="62" t="s">
        <v>116</v>
      </c>
      <c r="C130" s="62" t="s">
        <v>179</v>
      </c>
      <c r="D130" s="62">
        <v>4.0</v>
      </c>
      <c r="E130" s="62">
        <v>0.0</v>
      </c>
      <c r="F130" s="62">
        <v>0.0</v>
      </c>
      <c r="G130" s="62">
        <v>0.0</v>
      </c>
      <c r="H130" s="62">
        <v>0.0</v>
      </c>
      <c r="I130" s="62">
        <v>0.0</v>
      </c>
      <c r="J130" s="62">
        <v>0.0</v>
      </c>
      <c r="K130" s="62">
        <v>0.0</v>
      </c>
      <c r="L130" s="62">
        <v>0.0</v>
      </c>
      <c r="M130" s="62">
        <v>0.0</v>
      </c>
      <c r="N130" s="62">
        <v>0.0</v>
      </c>
      <c r="O130" s="62">
        <v>0.0</v>
      </c>
      <c r="P130" s="62">
        <v>0.0</v>
      </c>
      <c r="Q130" s="62">
        <v>0.0</v>
      </c>
      <c r="R130" s="62">
        <v>8792.0</v>
      </c>
      <c r="S130" s="62">
        <v>0.0</v>
      </c>
      <c r="T130" s="62">
        <v>0.0</v>
      </c>
      <c r="U130" s="62">
        <v>0.0</v>
      </c>
      <c r="V130" s="62">
        <v>0.0</v>
      </c>
      <c r="W130" s="62">
        <v>0.0</v>
      </c>
      <c r="X130" s="62">
        <v>0.0</v>
      </c>
      <c r="Y130" s="62">
        <v>0.0</v>
      </c>
      <c r="Z130" s="62">
        <v>0.0</v>
      </c>
      <c r="AA130" s="62">
        <v>0.0</v>
      </c>
      <c r="AB130" s="62">
        <v>0.0</v>
      </c>
      <c r="AC130" s="62">
        <v>0.0</v>
      </c>
      <c r="AD130" s="62">
        <v>0.0</v>
      </c>
      <c r="AE130" s="62">
        <v>0.0</v>
      </c>
      <c r="AF130" s="62">
        <v>0.0</v>
      </c>
    </row>
    <row r="131">
      <c r="A131" s="68">
        <v>46157.0</v>
      </c>
      <c r="B131" s="62" t="s">
        <v>79</v>
      </c>
      <c r="C131" s="62" t="s">
        <v>162</v>
      </c>
      <c r="D131" s="62">
        <v>0.0</v>
      </c>
      <c r="E131" s="62">
        <v>13.0</v>
      </c>
      <c r="F131" s="62">
        <v>4.0</v>
      </c>
      <c r="G131" s="62">
        <v>12.0</v>
      </c>
      <c r="H131" s="62">
        <v>15.0</v>
      </c>
      <c r="I131" s="62">
        <v>3.0</v>
      </c>
      <c r="J131" s="62">
        <v>14.0</v>
      </c>
      <c r="K131" s="62">
        <v>1.0</v>
      </c>
      <c r="L131" s="62">
        <v>0.0</v>
      </c>
      <c r="M131" s="62">
        <v>11.0</v>
      </c>
      <c r="N131" s="62">
        <v>7.0</v>
      </c>
      <c r="O131" s="62">
        <v>1.0</v>
      </c>
      <c r="P131" s="62">
        <v>7.0</v>
      </c>
      <c r="Q131" s="62">
        <v>0.0</v>
      </c>
      <c r="R131" s="62">
        <v>0.0</v>
      </c>
      <c r="S131" s="62">
        <v>32064.0</v>
      </c>
      <c r="T131" s="62">
        <v>1.06972222222222</v>
      </c>
      <c r="U131" s="62">
        <v>0.865833333333333</v>
      </c>
      <c r="V131" s="62">
        <v>2.58277777777777</v>
      </c>
      <c r="W131" s="62">
        <v>3.23083333333333</v>
      </c>
      <c r="X131" s="62">
        <v>0.648055555555555</v>
      </c>
      <c r="Y131" s="62">
        <v>3.01472222222222</v>
      </c>
      <c r="Z131" s="62">
        <v>0.224166666666666</v>
      </c>
      <c r="AA131" s="62">
        <v>0.0</v>
      </c>
      <c r="AB131" s="62">
        <v>2.34055555555555</v>
      </c>
      <c r="AC131" s="62">
        <v>1.505</v>
      </c>
      <c r="AD131" s="62">
        <v>0.194166666666666</v>
      </c>
      <c r="AE131" s="62">
        <v>1.505</v>
      </c>
      <c r="AF131" s="62">
        <v>5.0</v>
      </c>
    </row>
    <row r="132">
      <c r="A132" s="68">
        <v>46157.0</v>
      </c>
      <c r="B132" s="62" t="s">
        <v>96</v>
      </c>
      <c r="C132" s="62" t="s">
        <v>97</v>
      </c>
      <c r="D132" s="62">
        <v>4.0</v>
      </c>
      <c r="E132" s="62">
        <v>0.0</v>
      </c>
      <c r="F132" s="62">
        <v>0.0</v>
      </c>
      <c r="G132" s="62">
        <v>0.0</v>
      </c>
      <c r="H132" s="62">
        <v>1.0</v>
      </c>
      <c r="I132" s="62">
        <v>0.0</v>
      </c>
      <c r="J132" s="62">
        <v>1.0</v>
      </c>
      <c r="K132" s="62">
        <v>0.0</v>
      </c>
      <c r="L132" s="62">
        <v>0.0</v>
      </c>
      <c r="M132" s="62">
        <v>3.0</v>
      </c>
      <c r="N132" s="62">
        <v>0.0</v>
      </c>
      <c r="O132" s="62">
        <v>1.0</v>
      </c>
      <c r="P132" s="62">
        <v>0.0</v>
      </c>
      <c r="Q132" s="62">
        <v>0.0</v>
      </c>
      <c r="R132" s="62">
        <v>8856.0</v>
      </c>
      <c r="S132" s="62">
        <v>0.0</v>
      </c>
      <c r="T132" s="62">
        <v>1.79472222222222</v>
      </c>
      <c r="U132" s="62">
        <v>0.0</v>
      </c>
      <c r="V132" s="62">
        <v>0.0</v>
      </c>
      <c r="W132" s="62">
        <v>0.250555555555555</v>
      </c>
      <c r="X132" s="62">
        <v>0.0</v>
      </c>
      <c r="Y132" s="62">
        <v>0.250555555555555</v>
      </c>
      <c r="Z132" s="62">
        <v>0.0</v>
      </c>
      <c r="AA132" s="62">
        <v>0.0</v>
      </c>
      <c r="AB132" s="62">
        <v>0.757222222222222</v>
      </c>
      <c r="AC132" s="62">
        <v>0.0</v>
      </c>
      <c r="AD132" s="62">
        <v>0.229444444444444</v>
      </c>
      <c r="AE132" s="62">
        <v>0.0</v>
      </c>
      <c r="AF132" s="62">
        <v>7.0</v>
      </c>
    </row>
    <row r="133">
      <c r="A133" s="68">
        <v>46157.0</v>
      </c>
      <c r="B133" s="62" t="s">
        <v>76</v>
      </c>
      <c r="C133" s="62" t="s">
        <v>165</v>
      </c>
      <c r="D133" s="62">
        <v>0.0</v>
      </c>
      <c r="E133" s="62">
        <v>0.0</v>
      </c>
      <c r="F133" s="62">
        <v>5.0</v>
      </c>
      <c r="G133" s="62">
        <v>3.0</v>
      </c>
      <c r="H133" s="62">
        <v>3.0</v>
      </c>
      <c r="I133" s="62">
        <v>0.0</v>
      </c>
      <c r="J133" s="62">
        <v>10.0</v>
      </c>
      <c r="K133" s="62">
        <v>1.0</v>
      </c>
      <c r="L133" s="62">
        <v>1.0</v>
      </c>
      <c r="M133" s="62">
        <v>10.0</v>
      </c>
      <c r="N133" s="62">
        <v>6.0</v>
      </c>
      <c r="O133" s="62">
        <v>1.0</v>
      </c>
      <c r="P133" s="62">
        <v>6.0</v>
      </c>
      <c r="Q133" s="62">
        <v>0.0</v>
      </c>
      <c r="R133" s="62">
        <v>0.0</v>
      </c>
      <c r="S133" s="62">
        <v>0.0</v>
      </c>
      <c r="T133" s="62">
        <v>1.71694444444444</v>
      </c>
      <c r="U133" s="62">
        <v>1.71694444444444</v>
      </c>
      <c r="V133" s="62">
        <v>0.9425</v>
      </c>
      <c r="W133" s="62">
        <v>0.9425</v>
      </c>
      <c r="X133" s="62">
        <v>0.0</v>
      </c>
      <c r="Y133" s="62">
        <v>3.45</v>
      </c>
      <c r="Z133" s="62">
        <v>0.273333333333333</v>
      </c>
      <c r="AA133" s="62">
        <v>0.273333333333333</v>
      </c>
      <c r="AB133" s="62">
        <v>3.44999999999999</v>
      </c>
      <c r="AC133" s="62">
        <v>1.97083333333333</v>
      </c>
      <c r="AD133" s="62">
        <v>0.249166666666666</v>
      </c>
      <c r="AE133" s="62">
        <v>1.97083333333333</v>
      </c>
      <c r="AF133" s="62">
        <v>5.0</v>
      </c>
    </row>
    <row r="134">
      <c r="A134" s="68">
        <v>46157.0</v>
      </c>
      <c r="B134" s="62" t="s">
        <v>104</v>
      </c>
      <c r="C134" s="62" t="s">
        <v>166</v>
      </c>
      <c r="D134" s="62">
        <v>6.0</v>
      </c>
      <c r="E134" s="62">
        <v>0.0</v>
      </c>
      <c r="F134" s="62">
        <v>0.0</v>
      </c>
      <c r="G134" s="62">
        <v>0.0</v>
      </c>
      <c r="H134" s="62">
        <v>0.0</v>
      </c>
      <c r="I134" s="62">
        <v>0.0</v>
      </c>
      <c r="J134" s="62">
        <v>0.0</v>
      </c>
      <c r="K134" s="62">
        <v>0.0</v>
      </c>
      <c r="L134" s="62">
        <v>0.0</v>
      </c>
      <c r="M134" s="62">
        <v>0.0</v>
      </c>
      <c r="N134" s="62">
        <v>0.0</v>
      </c>
      <c r="O134" s="62">
        <v>0.0</v>
      </c>
      <c r="P134" s="62">
        <v>0.0</v>
      </c>
      <c r="Q134" s="62">
        <v>0.0</v>
      </c>
      <c r="R134" s="62">
        <v>14900.0</v>
      </c>
      <c r="S134" s="62">
        <v>0.0</v>
      </c>
      <c r="T134" s="62">
        <v>0.0</v>
      </c>
      <c r="U134" s="62">
        <v>0.0</v>
      </c>
      <c r="V134" s="62">
        <v>0.0</v>
      </c>
      <c r="W134" s="62">
        <v>0.0</v>
      </c>
      <c r="X134" s="62">
        <v>0.0</v>
      </c>
      <c r="Y134" s="62">
        <v>0.0</v>
      </c>
      <c r="Z134" s="62">
        <v>0.0</v>
      </c>
      <c r="AA134" s="62">
        <v>0.0</v>
      </c>
      <c r="AB134" s="62">
        <v>0.0</v>
      </c>
      <c r="AC134" s="62">
        <v>0.0</v>
      </c>
      <c r="AD134" s="62">
        <v>0.0</v>
      </c>
      <c r="AE134" s="62">
        <v>0.0</v>
      </c>
      <c r="AF134" s="62">
        <v>0.0</v>
      </c>
    </row>
    <row r="135">
      <c r="A135" s="68">
        <v>46157.0</v>
      </c>
      <c r="B135" s="62" t="s">
        <v>100</v>
      </c>
      <c r="C135" s="62" t="s">
        <v>167</v>
      </c>
      <c r="D135" s="62">
        <v>11.0</v>
      </c>
      <c r="E135" s="62">
        <v>3.0</v>
      </c>
      <c r="F135" s="62">
        <v>0.0</v>
      </c>
      <c r="G135" s="62">
        <v>0.0</v>
      </c>
      <c r="H135" s="62">
        <v>2.0</v>
      </c>
      <c r="I135" s="62">
        <v>2.0</v>
      </c>
      <c r="J135" s="62">
        <v>3.0</v>
      </c>
      <c r="K135" s="62">
        <v>0.0</v>
      </c>
      <c r="L135" s="62">
        <v>1.0</v>
      </c>
      <c r="M135" s="62">
        <v>8.0</v>
      </c>
      <c r="N135" s="62">
        <v>1.0</v>
      </c>
      <c r="O135" s="62">
        <v>1.0</v>
      </c>
      <c r="P135" s="62">
        <v>1.0</v>
      </c>
      <c r="Q135" s="62">
        <v>0.0</v>
      </c>
      <c r="R135" s="62">
        <v>26798.0</v>
      </c>
      <c r="S135" s="62">
        <v>7116.0</v>
      </c>
      <c r="T135" s="62">
        <v>0.0</v>
      </c>
      <c r="U135" s="62">
        <v>0.0</v>
      </c>
      <c r="V135" s="62">
        <v>0.0</v>
      </c>
      <c r="W135" s="62">
        <v>0.416388888888888</v>
      </c>
      <c r="X135" s="62">
        <v>0.416388888888888</v>
      </c>
      <c r="Y135" s="62">
        <v>0.652777777777777</v>
      </c>
      <c r="Z135" s="62">
        <v>0.0</v>
      </c>
      <c r="AA135" s="62">
        <v>0.213333333333333</v>
      </c>
      <c r="AB135" s="62">
        <v>1.77416666666666</v>
      </c>
      <c r="AC135" s="62">
        <v>0.228611111111111</v>
      </c>
      <c r="AD135" s="62">
        <v>0.253333333333333</v>
      </c>
      <c r="AE135" s="62">
        <v>0.228611111111111</v>
      </c>
      <c r="AF135" s="62">
        <v>0.0</v>
      </c>
    </row>
    <row r="136">
      <c r="A136" s="68">
        <v>46157.0</v>
      </c>
      <c r="B136" s="62" t="s">
        <v>32</v>
      </c>
      <c r="C136" s="62" t="s">
        <v>168</v>
      </c>
      <c r="D136" s="62">
        <v>3.0</v>
      </c>
      <c r="E136" s="62">
        <v>12.0</v>
      </c>
      <c r="F136" s="62">
        <v>2.0</v>
      </c>
      <c r="G136" s="62">
        <v>0.0</v>
      </c>
      <c r="H136" s="62">
        <v>11.0</v>
      </c>
      <c r="I136" s="62">
        <v>3.0</v>
      </c>
      <c r="J136" s="62">
        <v>11.0</v>
      </c>
      <c r="K136" s="62">
        <v>2.0</v>
      </c>
      <c r="L136" s="62">
        <v>0.0</v>
      </c>
      <c r="M136" s="62">
        <v>13.0</v>
      </c>
      <c r="N136" s="62">
        <v>13.0</v>
      </c>
      <c r="O136" s="62">
        <v>1.0</v>
      </c>
      <c r="P136" s="62">
        <v>13.0</v>
      </c>
      <c r="Q136" s="62">
        <v>0.0</v>
      </c>
      <c r="R136" s="62">
        <v>7092.0</v>
      </c>
      <c r="S136" s="62">
        <v>28981.0</v>
      </c>
      <c r="T136" s="62">
        <v>1.58777777777777</v>
      </c>
      <c r="U136" s="62">
        <v>0.456944444444444</v>
      </c>
      <c r="V136" s="62">
        <v>0.0</v>
      </c>
      <c r="W136" s="62">
        <v>2.49972222222222</v>
      </c>
      <c r="X136" s="62">
        <v>0.658055555555555</v>
      </c>
      <c r="Y136" s="62">
        <v>2.5</v>
      </c>
      <c r="Z136" s="62">
        <v>0.474444444444444</v>
      </c>
      <c r="AA136" s="62">
        <v>0.0</v>
      </c>
      <c r="AB136" s="62">
        <v>2.93916666666666</v>
      </c>
      <c r="AC136" s="62">
        <v>2.93916666666666</v>
      </c>
      <c r="AD136" s="62">
        <v>0.213888888888888</v>
      </c>
      <c r="AE136" s="62">
        <v>2.93916666666666</v>
      </c>
      <c r="AF136" s="62">
        <v>7.0</v>
      </c>
    </row>
    <row r="137">
      <c r="A137" s="68">
        <v>46157.0</v>
      </c>
      <c r="B137" s="62" t="s">
        <v>110</v>
      </c>
      <c r="C137" s="62" t="s">
        <v>169</v>
      </c>
      <c r="D137" s="62">
        <v>2.0</v>
      </c>
      <c r="E137" s="62">
        <v>0.0</v>
      </c>
      <c r="F137" s="62">
        <v>0.0</v>
      </c>
      <c r="G137" s="62">
        <v>0.0</v>
      </c>
      <c r="H137" s="62">
        <v>0.0</v>
      </c>
      <c r="I137" s="62">
        <v>0.0</v>
      </c>
      <c r="J137" s="62">
        <v>0.0</v>
      </c>
      <c r="K137" s="62">
        <v>0.0</v>
      </c>
      <c r="L137" s="62">
        <v>0.0</v>
      </c>
      <c r="M137" s="62">
        <v>0.0</v>
      </c>
      <c r="N137" s="62">
        <v>0.0</v>
      </c>
      <c r="O137" s="62">
        <v>0.0</v>
      </c>
      <c r="P137" s="62">
        <v>0.0</v>
      </c>
      <c r="Q137" s="62">
        <v>0.0</v>
      </c>
      <c r="R137" s="62">
        <v>4987.0</v>
      </c>
      <c r="S137" s="62">
        <v>0.0</v>
      </c>
      <c r="T137" s="62">
        <v>0.766388888888888</v>
      </c>
      <c r="U137" s="62">
        <v>0.0</v>
      </c>
      <c r="V137" s="62">
        <v>0.0</v>
      </c>
      <c r="W137" s="62">
        <v>0.0</v>
      </c>
      <c r="X137" s="62">
        <v>0.0</v>
      </c>
      <c r="Y137" s="62">
        <v>0.0</v>
      </c>
      <c r="Z137" s="62">
        <v>0.0</v>
      </c>
      <c r="AA137" s="62">
        <v>0.0</v>
      </c>
      <c r="AB137" s="62">
        <v>0.0</v>
      </c>
      <c r="AC137" s="62">
        <v>0.0</v>
      </c>
      <c r="AD137" s="62">
        <v>0.0</v>
      </c>
      <c r="AE137" s="62">
        <v>0.0</v>
      </c>
      <c r="AF137" s="62">
        <v>3.0</v>
      </c>
    </row>
    <row r="138">
      <c r="A138" s="68">
        <v>46157.0</v>
      </c>
      <c r="B138" s="62" t="s">
        <v>41</v>
      </c>
      <c r="C138" s="62" t="s">
        <v>172</v>
      </c>
      <c r="D138" s="62">
        <v>17.0</v>
      </c>
      <c r="E138" s="62">
        <v>13.0</v>
      </c>
      <c r="F138" s="62">
        <v>0.0</v>
      </c>
      <c r="G138" s="62">
        <v>0.0</v>
      </c>
      <c r="H138" s="62">
        <v>6.0</v>
      </c>
      <c r="I138" s="62">
        <v>2.0</v>
      </c>
      <c r="J138" s="62">
        <v>6.0</v>
      </c>
      <c r="K138" s="62">
        <v>9.0</v>
      </c>
      <c r="L138" s="62">
        <v>0.0</v>
      </c>
      <c r="M138" s="62">
        <v>4.0</v>
      </c>
      <c r="N138" s="62">
        <v>3.0</v>
      </c>
      <c r="O138" s="62">
        <v>1.0</v>
      </c>
      <c r="P138" s="62">
        <v>3.0</v>
      </c>
      <c r="Q138" s="62">
        <v>0.0</v>
      </c>
      <c r="R138" s="62">
        <v>49646.0</v>
      </c>
      <c r="S138" s="62">
        <v>38289.0</v>
      </c>
      <c r="T138" s="62">
        <v>1.92694444444444</v>
      </c>
      <c r="U138" s="62">
        <v>0.0</v>
      </c>
      <c r="V138" s="62">
        <v>0.0</v>
      </c>
      <c r="W138" s="62">
        <v>1.63222222222222</v>
      </c>
      <c r="X138" s="62">
        <v>0.531944444444444</v>
      </c>
      <c r="Y138" s="62">
        <v>1.63027777777777</v>
      </c>
      <c r="Z138" s="62">
        <v>2.38416666666666</v>
      </c>
      <c r="AA138" s="62">
        <v>0.0</v>
      </c>
      <c r="AB138" s="62">
        <v>1.0</v>
      </c>
      <c r="AC138" s="62">
        <v>0.671388888888888</v>
      </c>
      <c r="AD138" s="62">
        <v>0.25</v>
      </c>
      <c r="AE138" s="62">
        <v>0.671388888888888</v>
      </c>
      <c r="AF138" s="62">
        <v>7.0</v>
      </c>
    </row>
    <row r="139">
      <c r="A139" s="68">
        <v>46157.0</v>
      </c>
      <c r="B139" s="62" t="s">
        <v>65</v>
      </c>
      <c r="C139" s="62" t="s">
        <v>173</v>
      </c>
      <c r="D139" s="62">
        <v>0.0</v>
      </c>
      <c r="E139" s="62">
        <v>20.0</v>
      </c>
      <c r="F139" s="62">
        <v>0.0</v>
      </c>
      <c r="G139" s="62">
        <v>0.0</v>
      </c>
      <c r="H139" s="62">
        <v>6.0</v>
      </c>
      <c r="I139" s="62">
        <v>6.0</v>
      </c>
      <c r="J139" s="62">
        <v>6.0</v>
      </c>
      <c r="K139" s="62">
        <v>9.0</v>
      </c>
      <c r="L139" s="62">
        <v>2.0</v>
      </c>
      <c r="M139" s="62">
        <v>11.0</v>
      </c>
      <c r="N139" s="62">
        <v>2.0</v>
      </c>
      <c r="O139" s="62">
        <v>1.0</v>
      </c>
      <c r="P139" s="62">
        <v>2.0</v>
      </c>
      <c r="Q139" s="62">
        <v>0.0</v>
      </c>
      <c r="R139" s="62">
        <v>0.0</v>
      </c>
      <c r="S139" s="62">
        <v>40109.0</v>
      </c>
      <c r="T139" s="62">
        <v>1.42388888888888</v>
      </c>
      <c r="U139" s="62">
        <v>0.0</v>
      </c>
      <c r="V139" s="62">
        <v>0.0</v>
      </c>
      <c r="W139" s="62">
        <v>1.42388888888888</v>
      </c>
      <c r="X139" s="62">
        <v>1.42388888888888</v>
      </c>
      <c r="Y139" s="62">
        <v>1.4275</v>
      </c>
      <c r="Z139" s="62">
        <v>2.07361111111111</v>
      </c>
      <c r="AA139" s="62">
        <v>0.419444444444444</v>
      </c>
      <c r="AB139" s="62">
        <v>2.33805555555555</v>
      </c>
      <c r="AC139" s="62">
        <v>0.440555555555555</v>
      </c>
      <c r="AD139" s="62">
        <v>0.283888888888888</v>
      </c>
      <c r="AE139" s="62">
        <v>0.440555555555555</v>
      </c>
      <c r="AF139" s="62">
        <v>6.0</v>
      </c>
    </row>
    <row r="140">
      <c r="A140" s="68">
        <v>46157.0</v>
      </c>
      <c r="B140" s="62" t="s">
        <v>37</v>
      </c>
      <c r="C140" s="62" t="s">
        <v>174</v>
      </c>
      <c r="D140" s="62">
        <v>3.0</v>
      </c>
      <c r="E140" s="62">
        <v>6.0</v>
      </c>
      <c r="F140" s="62">
        <v>5.0</v>
      </c>
      <c r="G140" s="62">
        <v>3.0</v>
      </c>
      <c r="H140" s="62">
        <v>3.0</v>
      </c>
      <c r="I140" s="62">
        <v>0.0</v>
      </c>
      <c r="J140" s="62">
        <v>3.0</v>
      </c>
      <c r="K140" s="62">
        <v>0.0</v>
      </c>
      <c r="L140" s="62">
        <v>0.0</v>
      </c>
      <c r="M140" s="62">
        <v>3.0</v>
      </c>
      <c r="N140" s="62">
        <v>7.0</v>
      </c>
      <c r="O140" s="62">
        <v>1.0</v>
      </c>
      <c r="P140" s="62">
        <v>7.0</v>
      </c>
      <c r="Q140" s="62">
        <v>0.0</v>
      </c>
      <c r="R140" s="62">
        <v>6864.0</v>
      </c>
      <c r="S140" s="62">
        <v>14728.0</v>
      </c>
      <c r="T140" s="62">
        <v>0.0</v>
      </c>
      <c r="U140" s="62">
        <v>1.23694444444444</v>
      </c>
      <c r="V140" s="62">
        <v>0.770555555555555</v>
      </c>
      <c r="W140" s="62">
        <v>0.770555555555555</v>
      </c>
      <c r="X140" s="62">
        <v>0.0</v>
      </c>
      <c r="Y140" s="62">
        <v>0.770555555555555</v>
      </c>
      <c r="Z140" s="62">
        <v>0.0</v>
      </c>
      <c r="AA140" s="62">
        <v>0.0</v>
      </c>
      <c r="AB140" s="62">
        <v>0.770555555555555</v>
      </c>
      <c r="AC140" s="62">
        <v>1.83777777777777</v>
      </c>
      <c r="AD140" s="62">
        <v>0.2725</v>
      </c>
      <c r="AE140" s="62">
        <v>1.83777777777777</v>
      </c>
      <c r="AF140" s="62">
        <v>0.0</v>
      </c>
    </row>
    <row r="141">
      <c r="A141" s="68">
        <v>46157.0</v>
      </c>
      <c r="B141" s="62" t="s">
        <v>108</v>
      </c>
      <c r="C141" s="62" t="s">
        <v>175</v>
      </c>
      <c r="D141" s="62">
        <v>0.0</v>
      </c>
      <c r="E141" s="62">
        <v>3.0</v>
      </c>
      <c r="F141" s="62">
        <v>2.0</v>
      </c>
      <c r="G141" s="62">
        <v>2.0</v>
      </c>
      <c r="H141" s="62">
        <v>5.0</v>
      </c>
      <c r="I141" s="62">
        <v>3.0</v>
      </c>
      <c r="J141" s="62">
        <v>6.0</v>
      </c>
      <c r="K141" s="62">
        <v>0.0</v>
      </c>
      <c r="L141" s="62">
        <v>0.0</v>
      </c>
      <c r="M141" s="62">
        <v>6.0</v>
      </c>
      <c r="N141" s="62">
        <v>7.0</v>
      </c>
      <c r="O141" s="62">
        <v>1.0</v>
      </c>
      <c r="P141" s="62">
        <v>7.0</v>
      </c>
      <c r="Q141" s="62">
        <v>0.0</v>
      </c>
      <c r="R141" s="62">
        <v>0.0</v>
      </c>
      <c r="S141" s="62">
        <v>5938.0</v>
      </c>
      <c r="T141" s="62">
        <v>0.935555555555555</v>
      </c>
      <c r="U141" s="62">
        <v>0.409444444444444</v>
      </c>
      <c r="V141" s="62">
        <v>0.379722222222222</v>
      </c>
      <c r="W141" s="62">
        <v>0.939722222222222</v>
      </c>
      <c r="X141" s="62">
        <v>0.56</v>
      </c>
      <c r="Y141" s="62">
        <v>1.18861111111111</v>
      </c>
      <c r="Z141" s="62">
        <v>0.0</v>
      </c>
      <c r="AA141" s="62">
        <v>0.0</v>
      </c>
      <c r="AB141" s="62">
        <v>1.18861111111111</v>
      </c>
      <c r="AC141" s="62">
        <v>1.445</v>
      </c>
      <c r="AD141" s="62">
        <v>0.159444444444444</v>
      </c>
      <c r="AE141" s="62">
        <v>1.445</v>
      </c>
      <c r="AF141" s="62">
        <v>5.0</v>
      </c>
    </row>
    <row r="142">
      <c r="A142" s="68">
        <v>46157.0</v>
      </c>
      <c r="B142" s="62" t="s">
        <v>56</v>
      </c>
      <c r="C142" s="62" t="s">
        <v>176</v>
      </c>
      <c r="D142" s="62">
        <v>16.0</v>
      </c>
      <c r="E142" s="62">
        <v>10.0</v>
      </c>
      <c r="F142" s="62">
        <v>0.0</v>
      </c>
      <c r="G142" s="62">
        <v>5.0</v>
      </c>
      <c r="H142" s="62">
        <v>5.0</v>
      </c>
      <c r="I142" s="62">
        <v>0.0</v>
      </c>
      <c r="J142" s="62">
        <v>6.0</v>
      </c>
      <c r="K142" s="62">
        <v>1.0</v>
      </c>
      <c r="L142" s="62">
        <v>1.0</v>
      </c>
      <c r="M142" s="62">
        <v>9.0</v>
      </c>
      <c r="N142" s="62">
        <v>3.0</v>
      </c>
      <c r="O142" s="62">
        <v>2.0</v>
      </c>
      <c r="P142" s="62">
        <v>3.0</v>
      </c>
      <c r="Q142" s="62">
        <v>0.0</v>
      </c>
      <c r="R142" s="62">
        <v>33902.0</v>
      </c>
      <c r="S142" s="62">
        <v>21778.0</v>
      </c>
      <c r="T142" s="62">
        <v>1.25333333333333</v>
      </c>
      <c r="U142" s="62">
        <v>0.0</v>
      </c>
      <c r="V142" s="62">
        <v>1.23388888888888</v>
      </c>
      <c r="W142" s="62">
        <v>1.23388888888888</v>
      </c>
      <c r="X142" s="62">
        <v>0.0</v>
      </c>
      <c r="Y142" s="62">
        <v>1.48722222222222</v>
      </c>
      <c r="Z142" s="62">
        <v>0.251388888888888</v>
      </c>
      <c r="AA142" s="62">
        <v>0.251111111111111</v>
      </c>
      <c r="AB142" s="62">
        <v>2.25833333333333</v>
      </c>
      <c r="AC142" s="62">
        <v>0.770833333333333</v>
      </c>
      <c r="AD142" s="62">
        <v>0.445277777777777</v>
      </c>
      <c r="AE142" s="62">
        <v>0.770833333333333</v>
      </c>
      <c r="AF142" s="62">
        <v>5.0</v>
      </c>
    </row>
    <row r="143">
      <c r="A143" s="68">
        <v>46157.0</v>
      </c>
      <c r="B143" s="62" t="s">
        <v>26</v>
      </c>
      <c r="C143" s="62" t="s">
        <v>178</v>
      </c>
      <c r="D143" s="62">
        <v>3.0</v>
      </c>
      <c r="E143" s="62">
        <v>17.0</v>
      </c>
      <c r="F143" s="62">
        <v>5.0</v>
      </c>
      <c r="G143" s="62">
        <v>5.0</v>
      </c>
      <c r="H143" s="62">
        <v>6.0</v>
      </c>
      <c r="I143" s="62">
        <v>1.0</v>
      </c>
      <c r="J143" s="62">
        <v>5.0</v>
      </c>
      <c r="K143" s="62">
        <v>1.0</v>
      </c>
      <c r="L143" s="62">
        <v>0.0</v>
      </c>
      <c r="M143" s="62">
        <v>11.0</v>
      </c>
      <c r="N143" s="62">
        <v>0.0</v>
      </c>
      <c r="O143" s="62">
        <v>1.0</v>
      </c>
      <c r="P143" s="62">
        <v>0.0</v>
      </c>
      <c r="Q143" s="62">
        <v>0.0</v>
      </c>
      <c r="R143" s="62">
        <v>7218.0</v>
      </c>
      <c r="S143" s="62">
        <v>38243.0</v>
      </c>
      <c r="T143" s="62">
        <v>1.03416666666666</v>
      </c>
      <c r="U143" s="62">
        <v>0.8375</v>
      </c>
      <c r="V143" s="62">
        <v>0.844444444444444</v>
      </c>
      <c r="W143" s="62">
        <v>1.04111111111111</v>
      </c>
      <c r="X143" s="62">
        <v>0.196666666666666</v>
      </c>
      <c r="Y143" s="62">
        <v>0.918888888888888</v>
      </c>
      <c r="Z143" s="62">
        <v>0.199722222222222</v>
      </c>
      <c r="AA143" s="62">
        <v>0.0</v>
      </c>
      <c r="AB143" s="62">
        <v>1.92416666666666</v>
      </c>
      <c r="AC143" s="62">
        <v>0.0</v>
      </c>
      <c r="AD143" s="62">
        <v>0.204166666666666</v>
      </c>
      <c r="AE143" s="62">
        <v>0.0</v>
      </c>
      <c r="AF143" s="62">
        <v>6.0</v>
      </c>
    </row>
    <row r="144">
      <c r="A144" s="68">
        <v>46157.0</v>
      </c>
      <c r="B144" s="62" t="s">
        <v>62</v>
      </c>
      <c r="C144" s="62" t="s">
        <v>63</v>
      </c>
      <c r="D144" s="62">
        <v>0.0</v>
      </c>
      <c r="E144" s="62">
        <v>0.0</v>
      </c>
      <c r="F144" s="62">
        <v>0.0</v>
      </c>
      <c r="G144" s="62">
        <v>0.0</v>
      </c>
      <c r="H144" s="62">
        <v>3.0</v>
      </c>
      <c r="I144" s="62">
        <v>3.0</v>
      </c>
      <c r="J144" s="62">
        <v>6.0</v>
      </c>
      <c r="K144" s="62">
        <v>4.0</v>
      </c>
      <c r="L144" s="62">
        <v>0.0</v>
      </c>
      <c r="M144" s="62">
        <v>3.0</v>
      </c>
      <c r="N144" s="62">
        <v>0.0</v>
      </c>
      <c r="O144" s="62">
        <v>1.0</v>
      </c>
      <c r="P144" s="62">
        <v>0.0</v>
      </c>
      <c r="Q144" s="62">
        <v>0.0</v>
      </c>
      <c r="R144" s="62">
        <v>0.0</v>
      </c>
      <c r="S144" s="62">
        <v>0.0</v>
      </c>
      <c r="T144" s="62">
        <v>0.0</v>
      </c>
      <c r="U144" s="62">
        <v>0.0</v>
      </c>
      <c r="V144" s="62">
        <v>0.0</v>
      </c>
      <c r="W144" s="62">
        <v>0.578611111111111</v>
      </c>
      <c r="X144" s="62">
        <v>0.578611111111111</v>
      </c>
      <c r="Y144" s="62">
        <v>1.20194444444444</v>
      </c>
      <c r="Z144" s="62">
        <v>0.776666666666666</v>
      </c>
      <c r="AA144" s="62">
        <v>0.0</v>
      </c>
      <c r="AB144" s="62">
        <v>0.611944444444444</v>
      </c>
      <c r="AC144" s="62">
        <v>0.0</v>
      </c>
      <c r="AD144" s="62">
        <v>0.216111111111111</v>
      </c>
      <c r="AE144" s="62">
        <v>0.0</v>
      </c>
      <c r="AF144" s="62">
        <v>0.0</v>
      </c>
    </row>
    <row r="145">
      <c r="A145" s="68">
        <v>46157.0</v>
      </c>
      <c r="B145" s="62" t="s">
        <v>89</v>
      </c>
      <c r="C145" s="62" t="s">
        <v>180</v>
      </c>
      <c r="D145" s="62">
        <v>10.0</v>
      </c>
      <c r="E145" s="62">
        <v>1.0</v>
      </c>
      <c r="F145" s="62">
        <v>0.0</v>
      </c>
      <c r="G145" s="62">
        <v>0.0</v>
      </c>
      <c r="H145" s="62">
        <v>0.0</v>
      </c>
      <c r="I145" s="62">
        <v>0.0</v>
      </c>
      <c r="J145" s="62">
        <v>0.0</v>
      </c>
      <c r="K145" s="62">
        <v>0.0</v>
      </c>
      <c r="L145" s="62">
        <v>0.0</v>
      </c>
      <c r="M145" s="62">
        <v>1.0</v>
      </c>
      <c r="N145" s="62">
        <v>0.0</v>
      </c>
      <c r="O145" s="62">
        <v>1.0</v>
      </c>
      <c r="P145" s="62">
        <v>0.0</v>
      </c>
      <c r="Q145" s="62">
        <v>0.0</v>
      </c>
      <c r="R145" s="62">
        <v>21559.0</v>
      </c>
      <c r="S145" s="62">
        <v>2206.0</v>
      </c>
      <c r="T145" s="62">
        <v>0.267777777777777</v>
      </c>
      <c r="U145" s="62">
        <v>0.0</v>
      </c>
      <c r="V145" s="62">
        <v>0.0</v>
      </c>
      <c r="W145" s="62">
        <v>0.0</v>
      </c>
      <c r="X145" s="62">
        <v>0.0</v>
      </c>
      <c r="Y145" s="62">
        <v>0.0</v>
      </c>
      <c r="Z145" s="62">
        <v>0.0</v>
      </c>
      <c r="AA145" s="62">
        <v>0.0</v>
      </c>
      <c r="AB145" s="62">
        <v>0.265277777777777</v>
      </c>
      <c r="AC145" s="62">
        <v>0.0</v>
      </c>
      <c r="AD145" s="62">
        <v>0.182222222222222</v>
      </c>
      <c r="AE145" s="62">
        <v>0.0</v>
      </c>
      <c r="AF145" s="62">
        <v>1.0</v>
      </c>
    </row>
    <row r="146">
      <c r="A146" s="68">
        <v>46156.0</v>
      </c>
      <c r="B146" s="62" t="s">
        <v>79</v>
      </c>
      <c r="C146" s="62" t="s">
        <v>162</v>
      </c>
      <c r="D146" s="62">
        <v>17.0</v>
      </c>
      <c r="E146" s="62">
        <v>10.0</v>
      </c>
      <c r="F146" s="62">
        <v>6.0</v>
      </c>
      <c r="G146" s="62">
        <v>0.0</v>
      </c>
      <c r="H146" s="62">
        <v>2.0</v>
      </c>
      <c r="I146" s="62">
        <v>2.0</v>
      </c>
      <c r="J146" s="62">
        <v>3.0</v>
      </c>
      <c r="K146" s="62">
        <v>2.0</v>
      </c>
      <c r="L146" s="62">
        <v>0.0</v>
      </c>
      <c r="M146" s="62">
        <v>3.0</v>
      </c>
      <c r="N146" s="62">
        <v>2.0</v>
      </c>
      <c r="O146" s="62">
        <v>1.0</v>
      </c>
      <c r="P146" s="62">
        <v>2.0</v>
      </c>
      <c r="Q146" s="62">
        <v>0.0</v>
      </c>
      <c r="R146" s="62">
        <v>41555.0</v>
      </c>
      <c r="S146" s="62">
        <v>24832.0</v>
      </c>
      <c r="T146" s="62">
        <v>1.30749999999999</v>
      </c>
      <c r="U146" s="62">
        <v>1.30749999999999</v>
      </c>
      <c r="V146" s="62">
        <v>0.0</v>
      </c>
      <c r="W146" s="62">
        <v>0.428055555555555</v>
      </c>
      <c r="X146" s="62">
        <v>0.428055555555555</v>
      </c>
      <c r="Y146" s="62">
        <v>0.6325</v>
      </c>
      <c r="Z146" s="62">
        <v>0.411388888888888</v>
      </c>
      <c r="AA146" s="62">
        <v>0.0</v>
      </c>
      <c r="AB146" s="62">
        <v>0.650833333333333</v>
      </c>
      <c r="AC146" s="62">
        <v>0.423888888888888</v>
      </c>
      <c r="AD146" s="62">
        <v>0.201944444444444</v>
      </c>
      <c r="AE146" s="62">
        <v>0.423888888888888</v>
      </c>
      <c r="AF146" s="62">
        <v>6.0</v>
      </c>
    </row>
    <row r="147">
      <c r="A147" s="68">
        <v>46156.0</v>
      </c>
      <c r="B147" s="62" t="s">
        <v>96</v>
      </c>
      <c r="C147" s="62" t="s">
        <v>97</v>
      </c>
      <c r="D147" s="62">
        <v>0.0</v>
      </c>
      <c r="E147" s="62">
        <v>2.0</v>
      </c>
      <c r="F147" s="62">
        <v>0.0</v>
      </c>
      <c r="G147" s="62">
        <v>0.0</v>
      </c>
      <c r="H147" s="62">
        <v>0.0</v>
      </c>
      <c r="I147" s="62">
        <v>0.0</v>
      </c>
      <c r="J147" s="62">
        <v>0.0</v>
      </c>
      <c r="K147" s="62">
        <v>0.0</v>
      </c>
      <c r="L147" s="62">
        <v>0.0</v>
      </c>
      <c r="M147" s="62">
        <v>0.0</v>
      </c>
      <c r="N147" s="62">
        <v>0.0</v>
      </c>
      <c r="O147" s="62">
        <v>1.0</v>
      </c>
      <c r="P147" s="62">
        <v>0.0</v>
      </c>
      <c r="Q147" s="62">
        <v>0.0</v>
      </c>
      <c r="R147" s="62">
        <v>0.0</v>
      </c>
      <c r="S147" s="62">
        <v>4385.0</v>
      </c>
      <c r="T147" s="62">
        <v>0.0</v>
      </c>
      <c r="U147" s="62">
        <v>0.0</v>
      </c>
      <c r="V147" s="62">
        <v>0.0</v>
      </c>
      <c r="W147" s="62">
        <v>0.0</v>
      </c>
      <c r="X147" s="62">
        <v>0.0</v>
      </c>
      <c r="Y147" s="62">
        <v>0.0</v>
      </c>
      <c r="Z147" s="62">
        <v>0.0</v>
      </c>
      <c r="AA147" s="62">
        <v>0.0</v>
      </c>
      <c r="AB147" s="62">
        <v>0.0</v>
      </c>
      <c r="AC147" s="62">
        <v>0.0</v>
      </c>
      <c r="AD147" s="62">
        <v>0.218333333333333</v>
      </c>
      <c r="AE147" s="62">
        <v>0.0</v>
      </c>
      <c r="AF147" s="62">
        <v>0.0</v>
      </c>
    </row>
    <row r="148">
      <c r="A148" s="68">
        <v>46156.0</v>
      </c>
      <c r="B148" s="62" t="s">
        <v>76</v>
      </c>
      <c r="C148" s="62" t="s">
        <v>165</v>
      </c>
      <c r="D148" s="62">
        <v>0.0</v>
      </c>
      <c r="E148" s="62">
        <v>3.0</v>
      </c>
      <c r="F148" s="62">
        <v>4.0</v>
      </c>
      <c r="G148" s="62">
        <v>8.0</v>
      </c>
      <c r="H148" s="62">
        <v>8.0</v>
      </c>
      <c r="I148" s="62">
        <v>0.0</v>
      </c>
      <c r="J148" s="62">
        <v>1.0</v>
      </c>
      <c r="K148" s="62">
        <v>0.0</v>
      </c>
      <c r="L148" s="62">
        <v>0.0</v>
      </c>
      <c r="M148" s="62">
        <v>1.0</v>
      </c>
      <c r="N148" s="62">
        <v>0.0</v>
      </c>
      <c r="O148" s="62">
        <v>1.0</v>
      </c>
      <c r="P148" s="62">
        <v>0.0</v>
      </c>
      <c r="Q148" s="62">
        <v>0.0</v>
      </c>
      <c r="R148" s="62">
        <v>0.0</v>
      </c>
      <c r="S148" s="62">
        <v>9020.0</v>
      </c>
      <c r="T148" s="62">
        <v>1.35777777777777</v>
      </c>
      <c r="U148" s="62">
        <v>1.35777777777777</v>
      </c>
      <c r="V148" s="62">
        <v>2.85944444444444</v>
      </c>
      <c r="W148" s="62">
        <v>2.85944444444444</v>
      </c>
      <c r="X148" s="62">
        <v>0.0</v>
      </c>
      <c r="Y148" s="62">
        <v>0.291666666666666</v>
      </c>
      <c r="Z148" s="62">
        <v>0.0</v>
      </c>
      <c r="AA148" s="62">
        <v>0.0</v>
      </c>
      <c r="AB148" s="62">
        <v>0.291666666666666</v>
      </c>
      <c r="AC148" s="62">
        <v>0.0</v>
      </c>
      <c r="AD148" s="62">
        <v>0.224444444444444</v>
      </c>
      <c r="AE148" s="62">
        <v>0.0</v>
      </c>
      <c r="AF148" s="62">
        <v>4.0</v>
      </c>
    </row>
    <row r="149">
      <c r="A149" s="68">
        <v>46156.0</v>
      </c>
      <c r="B149" s="62" t="s">
        <v>104</v>
      </c>
      <c r="C149" s="62" t="s">
        <v>166</v>
      </c>
      <c r="D149" s="62">
        <v>0.0</v>
      </c>
      <c r="E149" s="62">
        <v>2.0</v>
      </c>
      <c r="F149" s="62">
        <v>0.0</v>
      </c>
      <c r="G149" s="62">
        <v>0.0</v>
      </c>
      <c r="H149" s="62">
        <v>0.0</v>
      </c>
      <c r="I149" s="62">
        <v>0.0</v>
      </c>
      <c r="J149" s="62">
        <v>0.0</v>
      </c>
      <c r="K149" s="62">
        <v>0.0</v>
      </c>
      <c r="L149" s="62">
        <v>0.0</v>
      </c>
      <c r="M149" s="62">
        <v>0.0</v>
      </c>
      <c r="N149" s="62">
        <v>0.0</v>
      </c>
      <c r="O149" s="62">
        <v>0.0</v>
      </c>
      <c r="P149" s="62">
        <v>0.0</v>
      </c>
      <c r="Q149" s="62">
        <v>0.0</v>
      </c>
      <c r="R149" s="62">
        <v>0.0</v>
      </c>
      <c r="S149" s="62">
        <v>5021.0</v>
      </c>
      <c r="T149" s="62">
        <v>0.0</v>
      </c>
      <c r="U149" s="62">
        <v>0.0</v>
      </c>
      <c r="V149" s="62">
        <v>0.0</v>
      </c>
      <c r="W149" s="62">
        <v>0.0</v>
      </c>
      <c r="X149" s="62">
        <v>0.0</v>
      </c>
      <c r="Y149" s="62">
        <v>0.0</v>
      </c>
      <c r="Z149" s="62">
        <v>0.0</v>
      </c>
      <c r="AA149" s="62">
        <v>0.0</v>
      </c>
      <c r="AB149" s="62">
        <v>0.0</v>
      </c>
      <c r="AC149" s="62">
        <v>0.0</v>
      </c>
      <c r="AD149" s="62">
        <v>0.0</v>
      </c>
      <c r="AE149" s="62">
        <v>0.0</v>
      </c>
      <c r="AF149" s="62">
        <v>0.0</v>
      </c>
    </row>
    <row r="150">
      <c r="A150" s="68">
        <v>46156.0</v>
      </c>
      <c r="B150" s="62" t="s">
        <v>100</v>
      </c>
      <c r="C150" s="62" t="s">
        <v>167</v>
      </c>
      <c r="D150" s="62">
        <v>15.0</v>
      </c>
      <c r="E150" s="62">
        <v>16.0</v>
      </c>
      <c r="F150" s="62">
        <v>1.0</v>
      </c>
      <c r="G150" s="62">
        <v>0.0</v>
      </c>
      <c r="H150" s="62">
        <v>3.0</v>
      </c>
      <c r="I150" s="62">
        <v>3.0</v>
      </c>
      <c r="J150" s="62">
        <v>3.0</v>
      </c>
      <c r="K150" s="62">
        <v>2.0</v>
      </c>
      <c r="L150" s="62">
        <v>0.0</v>
      </c>
      <c r="M150" s="62">
        <v>1.0</v>
      </c>
      <c r="N150" s="62">
        <v>0.0</v>
      </c>
      <c r="O150" s="62">
        <v>1.0</v>
      </c>
      <c r="P150" s="62">
        <v>0.0</v>
      </c>
      <c r="Q150" s="62">
        <v>0.0</v>
      </c>
      <c r="R150" s="62">
        <v>36719.0</v>
      </c>
      <c r="S150" s="62">
        <v>35601.0</v>
      </c>
      <c r="T150" s="62">
        <v>0.416388888888888</v>
      </c>
      <c r="U150" s="62">
        <v>0.216111111111111</v>
      </c>
      <c r="V150" s="62">
        <v>0.0</v>
      </c>
      <c r="W150" s="62">
        <v>0.622777777777777</v>
      </c>
      <c r="X150" s="62">
        <v>0.622777777777777</v>
      </c>
      <c r="Y150" s="62">
        <v>0.628611111111111</v>
      </c>
      <c r="Z150" s="62">
        <v>0.431111111111111</v>
      </c>
      <c r="AA150" s="62">
        <v>0.0</v>
      </c>
      <c r="AB150" s="62">
        <v>0.209444444444444</v>
      </c>
      <c r="AC150" s="62">
        <v>0.0</v>
      </c>
      <c r="AD150" s="62">
        <v>0.202222222222222</v>
      </c>
      <c r="AE150" s="62">
        <v>0.0</v>
      </c>
      <c r="AF150" s="62">
        <v>2.0</v>
      </c>
    </row>
    <row r="151">
      <c r="A151" s="68">
        <v>46156.0</v>
      </c>
      <c r="B151" s="62" t="s">
        <v>32</v>
      </c>
      <c r="C151" s="62" t="s">
        <v>168</v>
      </c>
      <c r="D151" s="62">
        <v>0.0</v>
      </c>
      <c r="E151" s="62">
        <v>4.0</v>
      </c>
      <c r="F151" s="62">
        <v>2.0</v>
      </c>
      <c r="G151" s="62">
        <v>0.0</v>
      </c>
      <c r="H151" s="62">
        <v>1.0</v>
      </c>
      <c r="I151" s="62">
        <v>1.0</v>
      </c>
      <c r="J151" s="62">
        <v>3.0</v>
      </c>
      <c r="K151" s="62">
        <v>0.0</v>
      </c>
      <c r="L151" s="62">
        <v>0.0</v>
      </c>
      <c r="M151" s="62">
        <v>0.0</v>
      </c>
      <c r="N151" s="62">
        <v>0.0</v>
      </c>
      <c r="O151" s="62">
        <v>1.0</v>
      </c>
      <c r="P151" s="62">
        <v>0.0</v>
      </c>
      <c r="Q151" s="62">
        <v>0.0</v>
      </c>
      <c r="R151" s="62">
        <v>0.0</v>
      </c>
      <c r="S151" s="62">
        <v>9567.0</v>
      </c>
      <c r="T151" s="62">
        <v>0.445555555555555</v>
      </c>
      <c r="U151" s="62">
        <v>0.445555555555555</v>
      </c>
      <c r="V151" s="62">
        <v>0.0</v>
      </c>
      <c r="W151" s="62">
        <v>0.219166666666666</v>
      </c>
      <c r="X151" s="62">
        <v>0.219166666666666</v>
      </c>
      <c r="Y151" s="62">
        <v>0.675</v>
      </c>
      <c r="Z151" s="62">
        <v>0.0</v>
      </c>
      <c r="AA151" s="62">
        <v>0.0</v>
      </c>
      <c r="AB151" s="62">
        <v>0.0</v>
      </c>
      <c r="AC151" s="62">
        <v>0.0</v>
      </c>
      <c r="AD151" s="62">
        <v>0.211944444444444</v>
      </c>
      <c r="AE151" s="62">
        <v>0.0</v>
      </c>
      <c r="AF151" s="62">
        <v>2.0</v>
      </c>
    </row>
    <row r="152">
      <c r="A152" s="68">
        <v>46156.0</v>
      </c>
      <c r="B152" s="62" t="s">
        <v>110</v>
      </c>
      <c r="C152" s="62" t="s">
        <v>169</v>
      </c>
      <c r="D152" s="62">
        <v>3.0</v>
      </c>
      <c r="E152" s="62">
        <v>1.0</v>
      </c>
      <c r="F152" s="62">
        <v>0.0</v>
      </c>
      <c r="G152" s="62">
        <v>0.0</v>
      </c>
      <c r="H152" s="62">
        <v>0.0</v>
      </c>
      <c r="I152" s="62">
        <v>0.0</v>
      </c>
      <c r="J152" s="62">
        <v>0.0</v>
      </c>
      <c r="K152" s="62">
        <v>0.0</v>
      </c>
      <c r="L152" s="62">
        <v>0.0</v>
      </c>
      <c r="M152" s="62">
        <v>0.0</v>
      </c>
      <c r="N152" s="62">
        <v>0.0</v>
      </c>
      <c r="O152" s="62">
        <v>0.0</v>
      </c>
      <c r="P152" s="62">
        <v>0.0</v>
      </c>
      <c r="Q152" s="62">
        <v>0.0</v>
      </c>
      <c r="R152" s="62">
        <v>7487.0</v>
      </c>
      <c r="S152" s="62">
        <v>2265.0</v>
      </c>
      <c r="T152" s="62">
        <v>0.0</v>
      </c>
      <c r="U152" s="62">
        <v>0.0</v>
      </c>
      <c r="V152" s="62">
        <v>0.0</v>
      </c>
      <c r="W152" s="62">
        <v>0.0</v>
      </c>
      <c r="X152" s="62">
        <v>0.0</v>
      </c>
      <c r="Y152" s="62">
        <v>0.0</v>
      </c>
      <c r="Z152" s="62">
        <v>0.0</v>
      </c>
      <c r="AA152" s="62">
        <v>0.0</v>
      </c>
      <c r="AB152" s="62">
        <v>0.0</v>
      </c>
      <c r="AC152" s="62">
        <v>0.0</v>
      </c>
      <c r="AD152" s="62">
        <v>0.0</v>
      </c>
      <c r="AE152" s="62">
        <v>0.0</v>
      </c>
      <c r="AF152" s="62">
        <v>0.0</v>
      </c>
    </row>
    <row r="153">
      <c r="A153" s="68">
        <v>46156.0</v>
      </c>
      <c r="B153" s="62" t="s">
        <v>41</v>
      </c>
      <c r="C153" s="62" t="s">
        <v>172</v>
      </c>
      <c r="D153" s="62">
        <v>5.0</v>
      </c>
      <c r="E153" s="62">
        <v>0.0</v>
      </c>
      <c r="F153" s="62">
        <v>0.0</v>
      </c>
      <c r="G153" s="62">
        <v>0.0</v>
      </c>
      <c r="H153" s="62">
        <v>3.0</v>
      </c>
      <c r="I153" s="62">
        <v>3.0</v>
      </c>
      <c r="J153" s="62">
        <v>3.0</v>
      </c>
      <c r="K153" s="62">
        <v>2.0</v>
      </c>
      <c r="L153" s="62">
        <v>0.0</v>
      </c>
      <c r="M153" s="62">
        <v>4.0</v>
      </c>
      <c r="N153" s="62">
        <v>2.0</v>
      </c>
      <c r="O153" s="62">
        <v>1.0</v>
      </c>
      <c r="P153" s="62">
        <v>2.0</v>
      </c>
      <c r="Q153" s="62">
        <v>0.0</v>
      </c>
      <c r="R153" s="62">
        <v>15005.0</v>
      </c>
      <c r="S153" s="62">
        <v>0.0</v>
      </c>
      <c r="T153" s="62">
        <v>0.566111111111111</v>
      </c>
      <c r="U153" s="62">
        <v>0.0</v>
      </c>
      <c r="V153" s="62">
        <v>0.0</v>
      </c>
      <c r="W153" s="62">
        <v>0.754444444444444</v>
      </c>
      <c r="X153" s="62">
        <v>0.754444444444444</v>
      </c>
      <c r="Y153" s="62">
        <v>0.753888888888888</v>
      </c>
      <c r="Z153" s="62">
        <v>0.486111111111111</v>
      </c>
      <c r="AA153" s="62">
        <v>0.0</v>
      </c>
      <c r="AB153" s="62">
        <v>0.919722222222222</v>
      </c>
      <c r="AC153" s="62">
        <v>0.456111111111111</v>
      </c>
      <c r="AD153" s="62">
        <v>0.226666666666666</v>
      </c>
      <c r="AE153" s="62">
        <v>0.456111111111111</v>
      </c>
      <c r="AF153" s="62">
        <v>2.0</v>
      </c>
    </row>
    <row r="154">
      <c r="A154" s="68">
        <v>46156.0</v>
      </c>
      <c r="B154" s="62" t="s">
        <v>65</v>
      </c>
      <c r="C154" s="62" t="s">
        <v>173</v>
      </c>
      <c r="D154" s="62">
        <v>13.0</v>
      </c>
      <c r="E154" s="62">
        <v>7.0</v>
      </c>
      <c r="F154" s="62">
        <v>0.0</v>
      </c>
      <c r="G154" s="62">
        <v>0.0</v>
      </c>
      <c r="H154" s="62">
        <v>5.0</v>
      </c>
      <c r="I154" s="62">
        <v>5.0</v>
      </c>
      <c r="J154" s="62">
        <v>6.0</v>
      </c>
      <c r="K154" s="62">
        <v>1.0</v>
      </c>
      <c r="L154" s="62">
        <v>0.0</v>
      </c>
      <c r="M154" s="62">
        <v>2.0</v>
      </c>
      <c r="N154" s="62">
        <v>0.0</v>
      </c>
      <c r="O154" s="62">
        <v>1.0</v>
      </c>
      <c r="P154" s="62">
        <v>0.0</v>
      </c>
      <c r="Q154" s="62">
        <v>0.0</v>
      </c>
      <c r="R154" s="62">
        <v>25484.0</v>
      </c>
      <c r="S154" s="62">
        <v>15237.0</v>
      </c>
      <c r="T154" s="62">
        <v>1.0675</v>
      </c>
      <c r="U154" s="62">
        <v>0.0</v>
      </c>
      <c r="V154" s="62">
        <v>0.0</v>
      </c>
      <c r="W154" s="62">
        <v>1.0675</v>
      </c>
      <c r="X154" s="62">
        <v>1.0675</v>
      </c>
      <c r="Y154" s="62">
        <v>1.27888888888888</v>
      </c>
      <c r="Z154" s="62">
        <v>0.213611111111111</v>
      </c>
      <c r="AA154" s="62">
        <v>0.0</v>
      </c>
      <c r="AB154" s="62">
        <v>0.402222222222222</v>
      </c>
      <c r="AC154" s="62">
        <v>0.0</v>
      </c>
      <c r="AD154" s="62">
        <v>0.282777777777777</v>
      </c>
      <c r="AE154" s="62">
        <v>0.0</v>
      </c>
      <c r="AF154" s="62">
        <v>5.0</v>
      </c>
    </row>
    <row r="155">
      <c r="A155" s="68">
        <v>46156.0</v>
      </c>
      <c r="B155" s="62" t="s">
        <v>37</v>
      </c>
      <c r="C155" s="62" t="s">
        <v>174</v>
      </c>
      <c r="D155" s="62">
        <v>7.0</v>
      </c>
      <c r="E155" s="62">
        <v>0.0</v>
      </c>
      <c r="F155" s="62">
        <v>5.0</v>
      </c>
      <c r="G155" s="62">
        <v>3.0</v>
      </c>
      <c r="H155" s="62">
        <v>4.0</v>
      </c>
      <c r="I155" s="62">
        <v>1.0</v>
      </c>
      <c r="J155" s="62">
        <v>3.0</v>
      </c>
      <c r="K155" s="62">
        <v>0.0</v>
      </c>
      <c r="L155" s="62">
        <v>0.0</v>
      </c>
      <c r="M155" s="62">
        <v>3.0</v>
      </c>
      <c r="N155" s="62">
        <v>0.0</v>
      </c>
      <c r="O155" s="62">
        <v>1.0</v>
      </c>
      <c r="P155" s="62">
        <v>0.0</v>
      </c>
      <c r="Q155" s="62">
        <v>0.0</v>
      </c>
      <c r="R155" s="62">
        <v>17169.0</v>
      </c>
      <c r="S155" s="62">
        <v>0.0</v>
      </c>
      <c r="T155" s="62">
        <v>1.23694444444444</v>
      </c>
      <c r="U155" s="62">
        <v>1.27555555555555</v>
      </c>
      <c r="V155" s="62">
        <v>0.803611111111111</v>
      </c>
      <c r="W155" s="62">
        <v>1.0525</v>
      </c>
      <c r="X155" s="62">
        <v>0.248888888888888</v>
      </c>
      <c r="Y155" s="62">
        <v>0.803611111111111</v>
      </c>
      <c r="Z155" s="62">
        <v>0.0</v>
      </c>
      <c r="AA155" s="62">
        <v>0.0</v>
      </c>
      <c r="AB155" s="62">
        <v>0.803611111111111</v>
      </c>
      <c r="AC155" s="62">
        <v>0.0</v>
      </c>
      <c r="AD155" s="62">
        <v>0.313333333333333</v>
      </c>
      <c r="AE155" s="62">
        <v>0.0</v>
      </c>
      <c r="AF155" s="62">
        <v>5.0</v>
      </c>
    </row>
    <row r="156">
      <c r="A156" s="68">
        <v>46156.0</v>
      </c>
      <c r="B156" s="62" t="s">
        <v>108</v>
      </c>
      <c r="C156" s="62" t="s">
        <v>175</v>
      </c>
      <c r="D156" s="62">
        <v>0.0</v>
      </c>
      <c r="E156" s="62">
        <v>2.0</v>
      </c>
      <c r="F156" s="62">
        <v>3.0</v>
      </c>
      <c r="G156" s="62">
        <v>3.0</v>
      </c>
      <c r="H156" s="62">
        <v>4.0</v>
      </c>
      <c r="I156" s="62">
        <v>1.0</v>
      </c>
      <c r="J156" s="62">
        <v>0.0</v>
      </c>
      <c r="K156" s="62">
        <v>0.0</v>
      </c>
      <c r="L156" s="62">
        <v>0.0</v>
      </c>
      <c r="M156" s="62">
        <v>0.0</v>
      </c>
      <c r="N156" s="62">
        <v>3.0</v>
      </c>
      <c r="O156" s="62">
        <v>1.0</v>
      </c>
      <c r="P156" s="62">
        <v>3.0</v>
      </c>
      <c r="Q156" s="62">
        <v>0.0</v>
      </c>
      <c r="R156" s="62">
        <v>0.0</v>
      </c>
      <c r="S156" s="62">
        <v>4047.0</v>
      </c>
      <c r="T156" s="62">
        <v>0.214722222222222</v>
      </c>
      <c r="U156" s="62">
        <v>0.568888888888888</v>
      </c>
      <c r="V156" s="62">
        <v>0.605833333333333</v>
      </c>
      <c r="W156" s="62">
        <v>0.802222222222222</v>
      </c>
      <c r="X156" s="62">
        <v>0.196388888888888</v>
      </c>
      <c r="Y156" s="62">
        <v>0.0</v>
      </c>
      <c r="Z156" s="62">
        <v>0.0</v>
      </c>
      <c r="AA156" s="62">
        <v>0.0</v>
      </c>
      <c r="AB156" s="62">
        <v>0.0</v>
      </c>
      <c r="AC156" s="62">
        <v>0.683888888888888</v>
      </c>
      <c r="AD156" s="62">
        <v>0.234722222222222</v>
      </c>
      <c r="AE156" s="62">
        <v>0.683888888888888</v>
      </c>
      <c r="AF156" s="62">
        <v>1.0</v>
      </c>
    </row>
    <row r="157">
      <c r="A157" s="68">
        <v>46156.0</v>
      </c>
      <c r="B157" s="62" t="s">
        <v>56</v>
      </c>
      <c r="C157" s="62" t="s">
        <v>176</v>
      </c>
      <c r="D157" s="62">
        <v>12.0</v>
      </c>
      <c r="E157" s="62">
        <v>8.0</v>
      </c>
      <c r="F157" s="62">
        <v>13.0</v>
      </c>
      <c r="G157" s="62">
        <v>4.0</v>
      </c>
      <c r="H157" s="62">
        <v>4.0</v>
      </c>
      <c r="I157" s="62">
        <v>0.0</v>
      </c>
      <c r="J157" s="62">
        <v>3.0</v>
      </c>
      <c r="K157" s="62">
        <v>0.0</v>
      </c>
      <c r="L157" s="62">
        <v>0.0</v>
      </c>
      <c r="M157" s="62">
        <v>0.0</v>
      </c>
      <c r="N157" s="62">
        <v>0.0</v>
      </c>
      <c r="O157" s="62">
        <v>1.0</v>
      </c>
      <c r="P157" s="62">
        <v>0.0</v>
      </c>
      <c r="Q157" s="62">
        <v>0.0</v>
      </c>
      <c r="R157" s="62">
        <v>26767.0</v>
      </c>
      <c r="S157" s="62">
        <v>19214.0</v>
      </c>
      <c r="T157" s="62">
        <v>1.70055555555555</v>
      </c>
      <c r="U157" s="62">
        <v>3.35666666666666</v>
      </c>
      <c r="V157" s="62">
        <v>1.02444444444444</v>
      </c>
      <c r="W157" s="62">
        <v>1.02444444444444</v>
      </c>
      <c r="X157" s="62">
        <v>0.0</v>
      </c>
      <c r="Y157" s="62">
        <v>0.771111111111111</v>
      </c>
      <c r="Z157" s="62">
        <v>0.0</v>
      </c>
      <c r="AA157" s="62">
        <v>0.0</v>
      </c>
      <c r="AB157" s="62">
        <v>0.0</v>
      </c>
      <c r="AC157" s="62">
        <v>0.0</v>
      </c>
      <c r="AD157" s="62">
        <v>0.208055555555555</v>
      </c>
      <c r="AE157" s="62">
        <v>0.0</v>
      </c>
      <c r="AF157" s="62">
        <v>7.0</v>
      </c>
    </row>
    <row r="158">
      <c r="A158" s="68">
        <v>46156.0</v>
      </c>
      <c r="B158" s="62" t="s">
        <v>26</v>
      </c>
      <c r="C158" s="62" t="s">
        <v>178</v>
      </c>
      <c r="D158" s="62">
        <v>3.0</v>
      </c>
      <c r="E158" s="62">
        <v>21.0</v>
      </c>
      <c r="F158" s="62">
        <v>5.0</v>
      </c>
      <c r="G158" s="62">
        <v>9.0</v>
      </c>
      <c r="H158" s="62">
        <v>14.0</v>
      </c>
      <c r="I158" s="62">
        <v>5.0</v>
      </c>
      <c r="J158" s="62">
        <v>13.0</v>
      </c>
      <c r="K158" s="62">
        <v>0.0</v>
      </c>
      <c r="L158" s="62">
        <v>0.0</v>
      </c>
      <c r="M158" s="62">
        <v>7.0</v>
      </c>
      <c r="N158" s="62">
        <v>0.0</v>
      </c>
      <c r="O158" s="62">
        <v>1.0</v>
      </c>
      <c r="P158" s="62">
        <v>0.0</v>
      </c>
      <c r="Q158" s="62">
        <v>0.0</v>
      </c>
      <c r="R158" s="62">
        <v>7020.0</v>
      </c>
      <c r="S158" s="62">
        <v>46969.0</v>
      </c>
      <c r="T158" s="62">
        <v>1.07666666666666</v>
      </c>
      <c r="U158" s="62">
        <v>0.870555555555555</v>
      </c>
      <c r="V158" s="62">
        <v>1.56083333333333</v>
      </c>
      <c r="W158" s="62">
        <v>2.455</v>
      </c>
      <c r="X158" s="62">
        <v>0.894166666666666</v>
      </c>
      <c r="Y158" s="62">
        <v>2.29055555555555</v>
      </c>
      <c r="Z158" s="62">
        <v>0.0</v>
      </c>
      <c r="AA158" s="62">
        <v>0.0</v>
      </c>
      <c r="AB158" s="62">
        <v>1.25833333333333</v>
      </c>
      <c r="AC158" s="62">
        <v>0.0</v>
      </c>
      <c r="AD158" s="62">
        <v>0.198611111111111</v>
      </c>
      <c r="AE158" s="62">
        <v>0.0</v>
      </c>
      <c r="AF158" s="62">
        <v>6.0</v>
      </c>
    </row>
    <row r="159">
      <c r="A159" s="68">
        <v>46156.0</v>
      </c>
      <c r="B159" s="62" t="s">
        <v>62</v>
      </c>
      <c r="C159" s="62" t="s">
        <v>63</v>
      </c>
      <c r="D159" s="62">
        <v>0.0</v>
      </c>
      <c r="E159" s="62">
        <v>12.0</v>
      </c>
      <c r="F159" s="62">
        <v>0.0</v>
      </c>
      <c r="G159" s="62">
        <v>0.0</v>
      </c>
      <c r="H159" s="62">
        <v>3.0</v>
      </c>
      <c r="I159" s="62">
        <v>3.0</v>
      </c>
      <c r="J159" s="62">
        <v>0.0</v>
      </c>
      <c r="K159" s="62">
        <v>2.0</v>
      </c>
      <c r="L159" s="62">
        <v>0.0</v>
      </c>
      <c r="M159" s="62">
        <v>2.0</v>
      </c>
      <c r="N159" s="62">
        <v>0.0</v>
      </c>
      <c r="O159" s="62">
        <v>1.0</v>
      </c>
      <c r="P159" s="62">
        <v>0.0</v>
      </c>
      <c r="Q159" s="62">
        <v>0.0</v>
      </c>
      <c r="R159" s="62">
        <v>0.0</v>
      </c>
      <c r="S159" s="62">
        <v>27871.0</v>
      </c>
      <c r="T159" s="62">
        <v>0.578611111111111</v>
      </c>
      <c r="U159" s="62">
        <v>0.0</v>
      </c>
      <c r="V159" s="62">
        <v>0.0</v>
      </c>
      <c r="W159" s="62">
        <v>0.589166666666666</v>
      </c>
      <c r="X159" s="62">
        <v>0.589166666666666</v>
      </c>
      <c r="Y159" s="62">
        <v>0.0</v>
      </c>
      <c r="Z159" s="62">
        <v>0.377222222222222</v>
      </c>
      <c r="AA159" s="62">
        <v>0.0</v>
      </c>
      <c r="AB159" s="62">
        <v>0.401666666666666</v>
      </c>
      <c r="AC159" s="62">
        <v>0.0</v>
      </c>
      <c r="AD159" s="62">
        <v>0.195833333333333</v>
      </c>
      <c r="AE159" s="62">
        <v>0.0</v>
      </c>
      <c r="AF159" s="62">
        <v>3.0</v>
      </c>
    </row>
    <row r="160">
      <c r="A160" s="68">
        <v>46156.0</v>
      </c>
      <c r="B160" s="62" t="s">
        <v>89</v>
      </c>
      <c r="C160" s="62" t="s">
        <v>180</v>
      </c>
      <c r="D160" s="62">
        <v>0.0</v>
      </c>
      <c r="E160" s="62">
        <v>1.0</v>
      </c>
      <c r="F160" s="62">
        <v>0.0</v>
      </c>
      <c r="G160" s="62">
        <v>0.0</v>
      </c>
      <c r="H160" s="62">
        <v>0.0</v>
      </c>
      <c r="I160" s="62">
        <v>0.0</v>
      </c>
      <c r="J160" s="62">
        <v>0.0</v>
      </c>
      <c r="K160" s="62">
        <v>0.0</v>
      </c>
      <c r="L160" s="62">
        <v>0.0</v>
      </c>
      <c r="M160" s="62">
        <v>0.0</v>
      </c>
      <c r="N160" s="62">
        <v>0.0</v>
      </c>
      <c r="O160" s="62">
        <v>1.0</v>
      </c>
      <c r="P160" s="62">
        <v>0.0</v>
      </c>
      <c r="Q160" s="62">
        <v>0.0</v>
      </c>
      <c r="R160" s="62">
        <v>0.0</v>
      </c>
      <c r="S160" s="62">
        <v>2265.0</v>
      </c>
      <c r="T160" s="62">
        <v>0.253611111111111</v>
      </c>
      <c r="U160" s="62">
        <v>0.0</v>
      </c>
      <c r="V160" s="62">
        <v>0.0</v>
      </c>
      <c r="W160" s="62">
        <v>0.0</v>
      </c>
      <c r="X160" s="62">
        <v>0.0</v>
      </c>
      <c r="Y160" s="62">
        <v>0.0</v>
      </c>
      <c r="Z160" s="62">
        <v>0.0</v>
      </c>
      <c r="AA160" s="62">
        <v>0.0</v>
      </c>
      <c r="AB160" s="62">
        <v>0.0</v>
      </c>
      <c r="AC160" s="62">
        <v>0.0</v>
      </c>
      <c r="AD160" s="62">
        <v>0.235833333333333</v>
      </c>
      <c r="AE160" s="62">
        <v>0.0</v>
      </c>
      <c r="AF160" s="62">
        <v>1.0</v>
      </c>
    </row>
    <row r="161">
      <c r="A161" s="68">
        <v>46155.0</v>
      </c>
      <c r="B161" s="62" t="s">
        <v>79</v>
      </c>
      <c r="C161" s="62" t="s">
        <v>162</v>
      </c>
      <c r="D161" s="62">
        <v>4.0</v>
      </c>
      <c r="E161" s="62">
        <v>10.0</v>
      </c>
      <c r="F161" s="62">
        <v>5.0</v>
      </c>
      <c r="G161" s="62">
        <v>4.0</v>
      </c>
      <c r="H161" s="62">
        <v>5.0</v>
      </c>
      <c r="I161" s="62">
        <v>2.0</v>
      </c>
      <c r="J161" s="62">
        <v>4.0</v>
      </c>
      <c r="K161" s="62">
        <v>2.0</v>
      </c>
      <c r="L161" s="62">
        <v>0.0</v>
      </c>
      <c r="M161" s="62">
        <v>2.0</v>
      </c>
      <c r="N161" s="62">
        <v>0.0</v>
      </c>
      <c r="O161" s="62">
        <v>1.0</v>
      </c>
      <c r="P161" s="62">
        <v>0.0</v>
      </c>
      <c r="Q161" s="62">
        <v>0.0</v>
      </c>
      <c r="R161" s="62">
        <v>9869.0</v>
      </c>
      <c r="S161" s="62">
        <v>22165.0</v>
      </c>
      <c r="T161" s="62">
        <v>1.05722222222222</v>
      </c>
      <c r="U161" s="62">
        <v>1.05722222222222</v>
      </c>
      <c r="V161" s="62">
        <v>0.861111111111111</v>
      </c>
      <c r="W161" s="62">
        <v>1.08194444444444</v>
      </c>
      <c r="X161" s="62">
        <v>0.447222222222222</v>
      </c>
      <c r="Y161" s="62">
        <v>0.863611111111111</v>
      </c>
      <c r="Z161" s="62">
        <v>0.433888888888888</v>
      </c>
      <c r="AA161" s="62">
        <v>0.0</v>
      </c>
      <c r="AB161" s="62">
        <v>0.433888888888888</v>
      </c>
      <c r="AC161" s="62">
        <v>0.0</v>
      </c>
      <c r="AD161" s="62">
        <v>0.196388888888888</v>
      </c>
      <c r="AE161" s="62">
        <v>0.0</v>
      </c>
      <c r="AF161" s="62">
        <v>5.0</v>
      </c>
    </row>
    <row r="162">
      <c r="A162" s="68">
        <v>46155.0</v>
      </c>
      <c r="B162" s="62" t="s">
        <v>96</v>
      </c>
      <c r="C162" s="62" t="s">
        <v>97</v>
      </c>
      <c r="D162" s="62">
        <v>2.0</v>
      </c>
      <c r="E162" s="62">
        <v>9.0</v>
      </c>
      <c r="F162" s="62">
        <v>0.0</v>
      </c>
      <c r="G162" s="62">
        <v>0.0</v>
      </c>
      <c r="H162" s="62">
        <v>0.0</v>
      </c>
      <c r="I162" s="62">
        <v>0.0</v>
      </c>
      <c r="J162" s="62">
        <v>0.0</v>
      </c>
      <c r="K162" s="62">
        <v>0.0</v>
      </c>
      <c r="L162" s="62">
        <v>0.0</v>
      </c>
      <c r="M162" s="62">
        <v>1.0</v>
      </c>
      <c r="N162" s="62">
        <v>7.0</v>
      </c>
      <c r="O162" s="62">
        <v>1.0</v>
      </c>
      <c r="P162" s="62">
        <v>7.0</v>
      </c>
      <c r="Q162" s="62">
        <v>0.0</v>
      </c>
      <c r="R162" s="62">
        <v>4385.0</v>
      </c>
      <c r="S162" s="62">
        <v>19692.0</v>
      </c>
      <c r="T162" s="62">
        <v>0.505833333333333</v>
      </c>
      <c r="U162" s="62">
        <v>0.0</v>
      </c>
      <c r="V162" s="62">
        <v>0.0</v>
      </c>
      <c r="W162" s="62">
        <v>0.0</v>
      </c>
      <c r="X162" s="62">
        <v>0.0</v>
      </c>
      <c r="Y162" s="62">
        <v>0.0</v>
      </c>
      <c r="Z162" s="62">
        <v>0.0</v>
      </c>
      <c r="AA162" s="62">
        <v>0.0</v>
      </c>
      <c r="AB162" s="62">
        <v>0.264722222222222</v>
      </c>
      <c r="AC162" s="62">
        <v>1.67277777777777</v>
      </c>
      <c r="AD162" s="62">
        <v>0.225555555555555</v>
      </c>
      <c r="AE162" s="62">
        <v>1.67277777777777</v>
      </c>
      <c r="AF162" s="62">
        <v>2.0</v>
      </c>
    </row>
    <row r="163">
      <c r="A163" s="68">
        <v>46155.0</v>
      </c>
      <c r="B163" s="62" t="s">
        <v>120</v>
      </c>
      <c r="C163" s="62" t="s">
        <v>181</v>
      </c>
      <c r="D163" s="62">
        <v>5.0</v>
      </c>
      <c r="E163" s="62">
        <v>0.0</v>
      </c>
      <c r="F163" s="62">
        <v>0.0</v>
      </c>
      <c r="G163" s="62">
        <v>0.0</v>
      </c>
      <c r="H163" s="62">
        <v>0.0</v>
      </c>
      <c r="I163" s="62">
        <v>0.0</v>
      </c>
      <c r="J163" s="62">
        <v>0.0</v>
      </c>
      <c r="K163" s="62">
        <v>0.0</v>
      </c>
      <c r="L163" s="62">
        <v>0.0</v>
      </c>
      <c r="M163" s="62">
        <v>0.0</v>
      </c>
      <c r="N163" s="62">
        <v>0.0</v>
      </c>
      <c r="O163" s="62">
        <v>0.0</v>
      </c>
      <c r="P163" s="62">
        <v>0.0</v>
      </c>
      <c r="Q163" s="62">
        <v>0.0</v>
      </c>
      <c r="R163" s="62">
        <v>12424.0</v>
      </c>
      <c r="S163" s="62">
        <v>0.0</v>
      </c>
      <c r="T163" s="62">
        <v>0.0</v>
      </c>
      <c r="U163" s="62">
        <v>0.0</v>
      </c>
      <c r="V163" s="62">
        <v>0.0</v>
      </c>
      <c r="W163" s="62">
        <v>0.0</v>
      </c>
      <c r="X163" s="62">
        <v>0.0</v>
      </c>
      <c r="Y163" s="62">
        <v>0.0</v>
      </c>
      <c r="Z163" s="62">
        <v>0.0</v>
      </c>
      <c r="AA163" s="62">
        <v>0.0</v>
      </c>
      <c r="AB163" s="62">
        <v>0.0</v>
      </c>
      <c r="AC163" s="62">
        <v>0.0</v>
      </c>
      <c r="AD163" s="62">
        <v>0.0</v>
      </c>
      <c r="AE163" s="62">
        <v>0.0</v>
      </c>
      <c r="AF163" s="62">
        <v>0.0</v>
      </c>
    </row>
    <row r="164">
      <c r="A164" s="68">
        <v>46155.0</v>
      </c>
      <c r="B164" s="62" t="s">
        <v>71</v>
      </c>
      <c r="C164" s="62" t="s">
        <v>163</v>
      </c>
      <c r="D164" s="62">
        <v>0.0</v>
      </c>
      <c r="E164" s="62">
        <v>0.0</v>
      </c>
      <c r="F164" s="62">
        <v>0.0</v>
      </c>
      <c r="G164" s="62">
        <v>0.0</v>
      </c>
      <c r="H164" s="62">
        <v>0.0</v>
      </c>
      <c r="I164" s="62">
        <v>0.0</v>
      </c>
      <c r="J164" s="62">
        <v>0.0</v>
      </c>
      <c r="K164" s="62">
        <v>0.0</v>
      </c>
      <c r="L164" s="62">
        <v>0.0</v>
      </c>
      <c r="M164" s="62">
        <v>0.0</v>
      </c>
      <c r="N164" s="62">
        <v>1.0</v>
      </c>
      <c r="O164" s="62">
        <v>1.0</v>
      </c>
      <c r="P164" s="62">
        <v>1.0</v>
      </c>
      <c r="Q164" s="62">
        <v>0.0</v>
      </c>
      <c r="R164" s="62">
        <v>0.0</v>
      </c>
      <c r="S164" s="62">
        <v>0.0</v>
      </c>
      <c r="T164" s="62">
        <v>0.0</v>
      </c>
      <c r="U164" s="62">
        <v>0.0</v>
      </c>
      <c r="V164" s="62">
        <v>0.0</v>
      </c>
      <c r="W164" s="62">
        <v>0.0</v>
      </c>
      <c r="X164" s="62">
        <v>0.0</v>
      </c>
      <c r="Y164" s="62">
        <v>0.0</v>
      </c>
      <c r="Z164" s="62">
        <v>0.0</v>
      </c>
      <c r="AA164" s="62">
        <v>0.0</v>
      </c>
      <c r="AB164" s="62">
        <v>0.0</v>
      </c>
      <c r="AC164" s="62">
        <v>0.274722222222222</v>
      </c>
      <c r="AD164" s="62">
        <v>0.272222222222222</v>
      </c>
      <c r="AE164" s="62">
        <v>0.274722222222222</v>
      </c>
      <c r="AF164" s="62">
        <v>0.0</v>
      </c>
    </row>
    <row r="165">
      <c r="A165" s="68">
        <v>46155.0</v>
      </c>
      <c r="B165" s="62" t="s">
        <v>118</v>
      </c>
      <c r="C165" s="62" t="s">
        <v>164</v>
      </c>
      <c r="D165" s="62">
        <v>5.0</v>
      </c>
      <c r="E165" s="62">
        <v>0.0</v>
      </c>
      <c r="F165" s="62">
        <v>0.0</v>
      </c>
      <c r="G165" s="62">
        <v>0.0</v>
      </c>
      <c r="H165" s="62">
        <v>0.0</v>
      </c>
      <c r="I165" s="62">
        <v>0.0</v>
      </c>
      <c r="J165" s="62">
        <v>0.0</v>
      </c>
      <c r="K165" s="62">
        <v>0.0</v>
      </c>
      <c r="L165" s="62">
        <v>0.0</v>
      </c>
      <c r="M165" s="62">
        <v>0.0</v>
      </c>
      <c r="N165" s="62">
        <v>0.0</v>
      </c>
      <c r="O165" s="62">
        <v>0.0</v>
      </c>
      <c r="P165" s="62">
        <v>0.0</v>
      </c>
      <c r="Q165" s="62">
        <v>0.0</v>
      </c>
      <c r="R165" s="62">
        <v>12372.0</v>
      </c>
      <c r="S165" s="62">
        <v>0.0</v>
      </c>
      <c r="T165" s="62">
        <v>0.0</v>
      </c>
      <c r="U165" s="62">
        <v>0.0</v>
      </c>
      <c r="V165" s="62">
        <v>0.0</v>
      </c>
      <c r="W165" s="62">
        <v>0.0</v>
      </c>
      <c r="X165" s="62">
        <v>0.0</v>
      </c>
      <c r="Y165" s="62">
        <v>0.0</v>
      </c>
      <c r="Z165" s="62">
        <v>0.0</v>
      </c>
      <c r="AA165" s="62">
        <v>0.0</v>
      </c>
      <c r="AB165" s="62">
        <v>0.0</v>
      </c>
      <c r="AC165" s="62">
        <v>0.0</v>
      </c>
      <c r="AD165" s="62">
        <v>0.0</v>
      </c>
      <c r="AE165" s="62">
        <v>0.0</v>
      </c>
      <c r="AF165" s="62">
        <v>0.0</v>
      </c>
    </row>
    <row r="166">
      <c r="A166" s="68">
        <v>46155.0</v>
      </c>
      <c r="B166" s="62" t="s">
        <v>76</v>
      </c>
      <c r="C166" s="62" t="s">
        <v>165</v>
      </c>
      <c r="D166" s="62">
        <v>0.0</v>
      </c>
      <c r="E166" s="62">
        <v>12.0</v>
      </c>
      <c r="F166" s="62">
        <v>4.0</v>
      </c>
      <c r="G166" s="62">
        <v>1.0</v>
      </c>
      <c r="H166" s="62">
        <v>1.0</v>
      </c>
      <c r="I166" s="62">
        <v>0.0</v>
      </c>
      <c r="J166" s="62">
        <v>4.0</v>
      </c>
      <c r="K166" s="62">
        <v>0.0</v>
      </c>
      <c r="L166" s="62">
        <v>0.0</v>
      </c>
      <c r="M166" s="62">
        <v>4.0</v>
      </c>
      <c r="N166" s="62">
        <v>6.0</v>
      </c>
      <c r="O166" s="62">
        <v>1.0</v>
      </c>
      <c r="P166" s="62">
        <v>6.0</v>
      </c>
      <c r="Q166" s="62">
        <v>0.0</v>
      </c>
      <c r="R166" s="62">
        <v>0.0</v>
      </c>
      <c r="S166" s="62">
        <v>35572.0</v>
      </c>
      <c r="T166" s="62">
        <v>1.31194444444444</v>
      </c>
      <c r="U166" s="62">
        <v>1.31194444444444</v>
      </c>
      <c r="V166" s="62">
        <v>0.291666666666666</v>
      </c>
      <c r="W166" s="62">
        <v>0.291666666666666</v>
      </c>
      <c r="X166" s="62">
        <v>0.0</v>
      </c>
      <c r="Y166" s="62">
        <v>1.38194444444444</v>
      </c>
      <c r="Z166" s="62">
        <v>0.0</v>
      </c>
      <c r="AA166" s="62">
        <v>0.0</v>
      </c>
      <c r="AB166" s="62">
        <v>1.38194444444444</v>
      </c>
      <c r="AC166" s="62">
        <v>2.06777777777777</v>
      </c>
      <c r="AD166" s="62">
        <v>0.234166666666666</v>
      </c>
      <c r="AE166" s="62">
        <v>2.06777777777777</v>
      </c>
      <c r="AF166" s="62">
        <v>4.0</v>
      </c>
    </row>
    <row r="167">
      <c r="A167" s="68">
        <v>46155.0</v>
      </c>
      <c r="B167" s="62" t="s">
        <v>104</v>
      </c>
      <c r="C167" s="62" t="s">
        <v>166</v>
      </c>
      <c r="D167" s="62">
        <v>0.0</v>
      </c>
      <c r="E167" s="62">
        <v>3.0</v>
      </c>
      <c r="F167" s="62">
        <v>0.0</v>
      </c>
      <c r="G167" s="62">
        <v>0.0</v>
      </c>
      <c r="H167" s="62">
        <v>0.0</v>
      </c>
      <c r="I167" s="62">
        <v>0.0</v>
      </c>
      <c r="J167" s="62">
        <v>0.0</v>
      </c>
      <c r="K167" s="62">
        <v>0.0</v>
      </c>
      <c r="L167" s="62">
        <v>0.0</v>
      </c>
      <c r="M167" s="62">
        <v>0.0</v>
      </c>
      <c r="N167" s="62">
        <v>0.0</v>
      </c>
      <c r="O167" s="62">
        <v>1.0</v>
      </c>
      <c r="P167" s="62">
        <v>0.0</v>
      </c>
      <c r="Q167" s="62">
        <v>0.0</v>
      </c>
      <c r="R167" s="62">
        <v>0.0</v>
      </c>
      <c r="S167" s="62">
        <v>7488.0</v>
      </c>
      <c r="T167" s="62">
        <v>0.0</v>
      </c>
      <c r="U167" s="62">
        <v>0.0</v>
      </c>
      <c r="V167" s="62">
        <v>0.0</v>
      </c>
      <c r="W167" s="62">
        <v>0.0</v>
      </c>
      <c r="X167" s="62">
        <v>0.0</v>
      </c>
      <c r="Y167" s="62">
        <v>0.0</v>
      </c>
      <c r="Z167" s="62">
        <v>0.0</v>
      </c>
      <c r="AA167" s="62">
        <v>0.0</v>
      </c>
      <c r="AB167" s="62">
        <v>0.0</v>
      </c>
      <c r="AC167" s="62">
        <v>0.0</v>
      </c>
      <c r="AD167" s="62">
        <v>0.22</v>
      </c>
      <c r="AE167" s="62">
        <v>0.0</v>
      </c>
      <c r="AF167" s="62">
        <v>0.0</v>
      </c>
    </row>
    <row r="168">
      <c r="A168" s="68">
        <v>46155.0</v>
      </c>
      <c r="B168" s="62" t="s">
        <v>100</v>
      </c>
      <c r="C168" s="62" t="s">
        <v>167</v>
      </c>
      <c r="D168" s="62">
        <v>16.0</v>
      </c>
      <c r="E168" s="62">
        <v>11.0</v>
      </c>
      <c r="F168" s="62">
        <v>1.0</v>
      </c>
      <c r="G168" s="62">
        <v>2.0</v>
      </c>
      <c r="H168" s="62">
        <v>2.0</v>
      </c>
      <c r="I168" s="62">
        <v>0.0</v>
      </c>
      <c r="J168" s="62">
        <v>3.0</v>
      </c>
      <c r="K168" s="62">
        <v>4.0</v>
      </c>
      <c r="L168" s="62">
        <v>0.0</v>
      </c>
      <c r="M168" s="62">
        <v>0.0</v>
      </c>
      <c r="N168" s="62">
        <v>0.0</v>
      </c>
      <c r="O168" s="62">
        <v>1.0</v>
      </c>
      <c r="P168" s="62">
        <v>0.0</v>
      </c>
      <c r="Q168" s="62">
        <v>0.0</v>
      </c>
      <c r="R168" s="62">
        <v>35960.0</v>
      </c>
      <c r="S168" s="62">
        <v>25839.0</v>
      </c>
      <c r="T168" s="62">
        <v>0.838888888888888</v>
      </c>
      <c r="U168" s="62">
        <v>0.214166666666666</v>
      </c>
      <c r="V168" s="62">
        <v>0.427777777777777</v>
      </c>
      <c r="W168" s="62">
        <v>0.427777777777777</v>
      </c>
      <c r="X168" s="62">
        <v>0.0</v>
      </c>
      <c r="Y168" s="62">
        <v>0.653333333333333</v>
      </c>
      <c r="Z168" s="62">
        <v>0.873888888888888</v>
      </c>
      <c r="AA168" s="62">
        <v>0.0</v>
      </c>
      <c r="AB168" s="62">
        <v>0.0</v>
      </c>
      <c r="AC168" s="62">
        <v>0.0</v>
      </c>
      <c r="AD168" s="62">
        <v>0.244722222222222</v>
      </c>
      <c r="AE168" s="62">
        <v>0.0</v>
      </c>
      <c r="AF168" s="62">
        <v>4.0</v>
      </c>
    </row>
    <row r="169">
      <c r="A169" s="68">
        <v>46155.0</v>
      </c>
      <c r="B169" s="62" t="s">
        <v>32</v>
      </c>
      <c r="C169" s="62" t="s">
        <v>168</v>
      </c>
      <c r="D169" s="62">
        <v>5.0</v>
      </c>
      <c r="E169" s="62">
        <v>5.0</v>
      </c>
      <c r="F169" s="62">
        <v>2.0</v>
      </c>
      <c r="G169" s="62">
        <v>0.0</v>
      </c>
      <c r="H169" s="62">
        <v>7.0</v>
      </c>
      <c r="I169" s="62">
        <v>2.0</v>
      </c>
      <c r="J169" s="62">
        <v>5.0</v>
      </c>
      <c r="K169" s="62">
        <v>1.0</v>
      </c>
      <c r="L169" s="62">
        <v>0.0</v>
      </c>
      <c r="M169" s="62">
        <v>6.0</v>
      </c>
      <c r="N169" s="62">
        <v>10.0</v>
      </c>
      <c r="O169" s="62">
        <v>1.0</v>
      </c>
      <c r="P169" s="62">
        <v>10.0</v>
      </c>
      <c r="Q169" s="62">
        <v>0.0</v>
      </c>
      <c r="R169" s="62">
        <v>11855.0</v>
      </c>
      <c r="S169" s="62">
        <v>11821.0</v>
      </c>
      <c r="T169" s="62">
        <v>0.219166666666666</v>
      </c>
      <c r="U169" s="62">
        <v>0.4475</v>
      </c>
      <c r="V169" s="62">
        <v>0.0</v>
      </c>
      <c r="W169" s="62">
        <v>1.5275</v>
      </c>
      <c r="X169" s="62">
        <v>0.446666666666666</v>
      </c>
      <c r="Y169" s="62">
        <v>1.08083333333333</v>
      </c>
      <c r="Z169" s="62">
        <v>0.208611111111111</v>
      </c>
      <c r="AA169" s="62">
        <v>0.0</v>
      </c>
      <c r="AB169" s="62">
        <v>1.29472222222222</v>
      </c>
      <c r="AC169" s="62">
        <v>2.17333333333333</v>
      </c>
      <c r="AD169" s="62">
        <v>0.217222222222222</v>
      </c>
      <c r="AE169" s="62">
        <v>2.17333333333333</v>
      </c>
      <c r="AF169" s="62">
        <v>1.0</v>
      </c>
    </row>
    <row r="170">
      <c r="A170" s="68">
        <v>46155.0</v>
      </c>
      <c r="B170" s="62" t="s">
        <v>110</v>
      </c>
      <c r="C170" s="62" t="s">
        <v>169</v>
      </c>
      <c r="D170" s="62">
        <v>0.0</v>
      </c>
      <c r="E170" s="62">
        <v>5.0</v>
      </c>
      <c r="F170" s="62">
        <v>0.0</v>
      </c>
      <c r="G170" s="62">
        <v>0.0</v>
      </c>
      <c r="H170" s="62">
        <v>0.0</v>
      </c>
      <c r="I170" s="62">
        <v>0.0</v>
      </c>
      <c r="J170" s="62">
        <v>0.0</v>
      </c>
      <c r="K170" s="62">
        <v>0.0</v>
      </c>
      <c r="L170" s="62">
        <v>0.0</v>
      </c>
      <c r="M170" s="62">
        <v>0.0</v>
      </c>
      <c r="N170" s="62">
        <v>0.0</v>
      </c>
      <c r="O170" s="62">
        <v>0.0</v>
      </c>
      <c r="P170" s="62">
        <v>0.0</v>
      </c>
      <c r="Q170" s="62">
        <v>0.0</v>
      </c>
      <c r="R170" s="62">
        <v>0.0</v>
      </c>
      <c r="S170" s="62">
        <v>11212.0</v>
      </c>
      <c r="T170" s="62">
        <v>0.0</v>
      </c>
      <c r="U170" s="62">
        <v>0.0</v>
      </c>
      <c r="V170" s="62">
        <v>0.0</v>
      </c>
      <c r="W170" s="62">
        <v>0.0</v>
      </c>
      <c r="X170" s="62">
        <v>0.0</v>
      </c>
      <c r="Y170" s="62">
        <v>0.0</v>
      </c>
      <c r="Z170" s="62">
        <v>0.0</v>
      </c>
      <c r="AA170" s="62">
        <v>0.0</v>
      </c>
      <c r="AB170" s="62">
        <v>0.0</v>
      </c>
      <c r="AC170" s="62">
        <v>0.0</v>
      </c>
      <c r="AD170" s="62">
        <v>0.0</v>
      </c>
      <c r="AE170" s="62">
        <v>0.0</v>
      </c>
      <c r="AF170" s="62">
        <v>0.0</v>
      </c>
    </row>
    <row r="171">
      <c r="A171" s="68">
        <v>46155.0</v>
      </c>
      <c r="B171" s="62" t="s">
        <v>102</v>
      </c>
      <c r="C171" s="62" t="s">
        <v>170</v>
      </c>
      <c r="D171" s="62">
        <v>0.0</v>
      </c>
      <c r="E171" s="62">
        <v>1.0</v>
      </c>
      <c r="F171" s="62">
        <v>0.0</v>
      </c>
      <c r="G171" s="62">
        <v>0.0</v>
      </c>
      <c r="H171" s="62">
        <v>0.0</v>
      </c>
      <c r="I171" s="62">
        <v>0.0</v>
      </c>
      <c r="J171" s="62">
        <v>0.0</v>
      </c>
      <c r="K171" s="62">
        <v>0.0</v>
      </c>
      <c r="L171" s="62">
        <v>0.0</v>
      </c>
      <c r="M171" s="62">
        <v>1.0</v>
      </c>
      <c r="N171" s="62">
        <v>0.0</v>
      </c>
      <c r="O171" s="62">
        <v>1.0</v>
      </c>
      <c r="P171" s="62">
        <v>0.0</v>
      </c>
      <c r="Q171" s="62">
        <v>0.0</v>
      </c>
      <c r="R171" s="62">
        <v>0.0</v>
      </c>
      <c r="S171" s="62">
        <v>2537.0</v>
      </c>
      <c r="T171" s="62">
        <v>0.0</v>
      </c>
      <c r="U171" s="62">
        <v>0.0</v>
      </c>
      <c r="V171" s="62">
        <v>0.0</v>
      </c>
      <c r="W171" s="62">
        <v>0.0</v>
      </c>
      <c r="X171" s="62">
        <v>0.0</v>
      </c>
      <c r="Y171" s="62">
        <v>0.0</v>
      </c>
      <c r="Z171" s="62">
        <v>0.0</v>
      </c>
      <c r="AA171" s="62">
        <v>0.0</v>
      </c>
      <c r="AB171" s="62">
        <v>0.249722222222222</v>
      </c>
      <c r="AC171" s="62">
        <v>0.0</v>
      </c>
      <c r="AD171" s="62">
        <v>0.275277777777777</v>
      </c>
      <c r="AE171" s="62">
        <v>0.0</v>
      </c>
      <c r="AF171" s="62">
        <v>0.0</v>
      </c>
    </row>
    <row r="172">
      <c r="A172" s="68">
        <v>46155.0</v>
      </c>
      <c r="B172" s="62" t="s">
        <v>124</v>
      </c>
      <c r="C172" s="62" t="s">
        <v>171</v>
      </c>
      <c r="D172" s="62">
        <v>4.0</v>
      </c>
      <c r="E172" s="62">
        <v>0.0</v>
      </c>
      <c r="F172" s="62">
        <v>0.0</v>
      </c>
      <c r="G172" s="62">
        <v>0.0</v>
      </c>
      <c r="H172" s="62">
        <v>0.0</v>
      </c>
      <c r="I172" s="62">
        <v>0.0</v>
      </c>
      <c r="J172" s="62">
        <v>0.0</v>
      </c>
      <c r="K172" s="62">
        <v>0.0</v>
      </c>
      <c r="L172" s="62">
        <v>0.0</v>
      </c>
      <c r="M172" s="62">
        <v>0.0</v>
      </c>
      <c r="N172" s="62">
        <v>0.0</v>
      </c>
      <c r="O172" s="62">
        <v>0.0</v>
      </c>
      <c r="P172" s="62">
        <v>0.0</v>
      </c>
      <c r="Q172" s="62">
        <v>0.0</v>
      </c>
      <c r="R172" s="62">
        <v>9828.0</v>
      </c>
      <c r="S172" s="62">
        <v>0.0</v>
      </c>
      <c r="T172" s="62">
        <v>0.0</v>
      </c>
      <c r="U172" s="62">
        <v>0.0</v>
      </c>
      <c r="V172" s="62">
        <v>0.0</v>
      </c>
      <c r="W172" s="62">
        <v>0.0</v>
      </c>
      <c r="X172" s="62">
        <v>0.0</v>
      </c>
      <c r="Y172" s="62">
        <v>0.0</v>
      </c>
      <c r="Z172" s="62">
        <v>0.0</v>
      </c>
      <c r="AA172" s="62">
        <v>0.0</v>
      </c>
      <c r="AB172" s="62">
        <v>0.0</v>
      </c>
      <c r="AC172" s="62">
        <v>0.0</v>
      </c>
      <c r="AD172" s="62">
        <v>0.0</v>
      </c>
      <c r="AE172" s="62">
        <v>0.0</v>
      </c>
      <c r="AF172" s="62">
        <v>0.0</v>
      </c>
    </row>
    <row r="173">
      <c r="A173" s="68">
        <v>46155.0</v>
      </c>
      <c r="B173" s="62" t="s">
        <v>41</v>
      </c>
      <c r="C173" s="62" t="s">
        <v>172</v>
      </c>
      <c r="D173" s="62">
        <v>0.0</v>
      </c>
      <c r="E173" s="62">
        <v>3.0</v>
      </c>
      <c r="F173" s="62">
        <v>0.0</v>
      </c>
      <c r="G173" s="62">
        <v>0.0</v>
      </c>
      <c r="H173" s="62">
        <v>7.0</v>
      </c>
      <c r="I173" s="62">
        <v>7.0</v>
      </c>
      <c r="J173" s="62">
        <v>8.0</v>
      </c>
      <c r="K173" s="62">
        <v>6.0</v>
      </c>
      <c r="L173" s="62">
        <v>0.0</v>
      </c>
      <c r="M173" s="62">
        <v>7.0</v>
      </c>
      <c r="N173" s="62">
        <v>6.0</v>
      </c>
      <c r="O173" s="62">
        <v>1.0</v>
      </c>
      <c r="P173" s="62">
        <v>6.0</v>
      </c>
      <c r="Q173" s="62">
        <v>0.0</v>
      </c>
      <c r="R173" s="62">
        <v>0.0</v>
      </c>
      <c r="S173" s="62">
        <v>8497.0</v>
      </c>
      <c r="T173" s="62">
        <v>1.18638888888888</v>
      </c>
      <c r="U173" s="62">
        <v>0.0</v>
      </c>
      <c r="V173" s="62">
        <v>0.0</v>
      </c>
      <c r="W173" s="62">
        <v>1.62333333333333</v>
      </c>
      <c r="X173" s="62">
        <v>1.62333333333333</v>
      </c>
      <c r="Y173" s="62">
        <v>1.83722222222222</v>
      </c>
      <c r="Z173" s="62">
        <v>1.34861111111111</v>
      </c>
      <c r="AA173" s="62">
        <v>0.0</v>
      </c>
      <c r="AB173" s="62">
        <v>1.60277777777777</v>
      </c>
      <c r="AC173" s="62">
        <v>1.38277777777777</v>
      </c>
      <c r="AD173" s="62">
        <v>0.238333333333333</v>
      </c>
      <c r="AE173" s="62">
        <v>1.38277777777777</v>
      </c>
      <c r="AF173" s="62">
        <v>5.0</v>
      </c>
    </row>
    <row r="174">
      <c r="A174" s="68">
        <v>46155.0</v>
      </c>
      <c r="B174" s="62" t="s">
        <v>65</v>
      </c>
      <c r="C174" s="62" t="s">
        <v>173</v>
      </c>
      <c r="D174" s="62">
        <v>12.0</v>
      </c>
      <c r="E174" s="62">
        <v>0.0</v>
      </c>
      <c r="F174" s="62">
        <v>0.0</v>
      </c>
      <c r="G174" s="62">
        <v>0.0</v>
      </c>
      <c r="H174" s="62">
        <v>4.0</v>
      </c>
      <c r="I174" s="62">
        <v>4.0</v>
      </c>
      <c r="J174" s="62">
        <v>3.0</v>
      </c>
      <c r="K174" s="62">
        <v>0.0</v>
      </c>
      <c r="L174" s="62">
        <v>0.0</v>
      </c>
      <c r="M174" s="62">
        <v>0.0</v>
      </c>
      <c r="N174" s="62">
        <v>0.0</v>
      </c>
      <c r="O174" s="62">
        <v>1.0</v>
      </c>
      <c r="P174" s="62">
        <v>0.0</v>
      </c>
      <c r="Q174" s="62">
        <v>0.0</v>
      </c>
      <c r="R174" s="62">
        <v>22984.0</v>
      </c>
      <c r="S174" s="62">
        <v>0.0</v>
      </c>
      <c r="T174" s="62">
        <v>0.820277777777777</v>
      </c>
      <c r="U174" s="62">
        <v>0.0</v>
      </c>
      <c r="V174" s="62">
        <v>0.0</v>
      </c>
      <c r="W174" s="62">
        <v>0.820277777777777</v>
      </c>
      <c r="X174" s="62">
        <v>0.820277777777777</v>
      </c>
      <c r="Y174" s="62">
        <v>0.615833333333333</v>
      </c>
      <c r="Z174" s="62">
        <v>0.0</v>
      </c>
      <c r="AA174" s="62">
        <v>0.0</v>
      </c>
      <c r="AB174" s="62">
        <v>0.0</v>
      </c>
      <c r="AC174" s="62">
        <v>0.0</v>
      </c>
      <c r="AD174" s="62">
        <v>0.283611111111111</v>
      </c>
      <c r="AE174" s="62">
        <v>0.0</v>
      </c>
      <c r="AF174" s="62">
        <v>4.0</v>
      </c>
    </row>
    <row r="175">
      <c r="A175" s="68">
        <v>46155.0</v>
      </c>
      <c r="B175" s="62" t="s">
        <v>37</v>
      </c>
      <c r="C175" s="62" t="s">
        <v>174</v>
      </c>
      <c r="D175" s="62">
        <v>3.0</v>
      </c>
      <c r="E175" s="62">
        <v>0.0</v>
      </c>
      <c r="F175" s="62">
        <v>0.0</v>
      </c>
      <c r="G175" s="62">
        <v>3.0</v>
      </c>
      <c r="H175" s="62">
        <v>3.0</v>
      </c>
      <c r="I175" s="62">
        <v>0.0</v>
      </c>
      <c r="J175" s="62">
        <v>5.0</v>
      </c>
      <c r="K175" s="62">
        <v>1.0</v>
      </c>
      <c r="L175" s="62">
        <v>0.0</v>
      </c>
      <c r="M175" s="62">
        <v>8.0</v>
      </c>
      <c r="N175" s="62">
        <v>4.0</v>
      </c>
      <c r="O175" s="62">
        <v>1.0</v>
      </c>
      <c r="P175" s="62">
        <v>4.0</v>
      </c>
      <c r="Q175" s="62">
        <v>0.0</v>
      </c>
      <c r="R175" s="62">
        <v>7099.0</v>
      </c>
      <c r="S175" s="62">
        <v>0.0</v>
      </c>
      <c r="T175" s="62">
        <v>1.52444444444444</v>
      </c>
      <c r="U175" s="62">
        <v>0.0</v>
      </c>
      <c r="V175" s="62">
        <v>0.788055555555555</v>
      </c>
      <c r="W175" s="62">
        <v>0.788055555555555</v>
      </c>
      <c r="X175" s="62">
        <v>0.0</v>
      </c>
      <c r="Y175" s="62">
        <v>1.32583333333333</v>
      </c>
      <c r="Z175" s="62">
        <v>0.24</v>
      </c>
      <c r="AA175" s="62">
        <v>0.0</v>
      </c>
      <c r="AB175" s="62">
        <v>2.08277777777777</v>
      </c>
      <c r="AC175" s="62">
        <v>1.04388888888888</v>
      </c>
      <c r="AD175" s="62">
        <v>0.312777777777777</v>
      </c>
      <c r="AE175" s="62">
        <v>1.04388888888888</v>
      </c>
      <c r="AF175" s="62">
        <v>6.0</v>
      </c>
    </row>
    <row r="176">
      <c r="A176" s="68">
        <v>46155.0</v>
      </c>
      <c r="B176" s="62" t="s">
        <v>108</v>
      </c>
      <c r="C176" s="62" t="s">
        <v>175</v>
      </c>
      <c r="D176" s="62">
        <v>0.0</v>
      </c>
      <c r="E176" s="62">
        <v>4.0</v>
      </c>
      <c r="F176" s="62">
        <v>2.0</v>
      </c>
      <c r="G176" s="62">
        <v>0.0</v>
      </c>
      <c r="H176" s="62">
        <v>1.0</v>
      </c>
      <c r="I176" s="62">
        <v>1.0</v>
      </c>
      <c r="J176" s="62">
        <v>4.0</v>
      </c>
      <c r="K176" s="62">
        <v>2.0</v>
      </c>
      <c r="L176" s="62">
        <v>1.0</v>
      </c>
      <c r="M176" s="62">
        <v>10.0</v>
      </c>
      <c r="N176" s="62">
        <v>4.0</v>
      </c>
      <c r="O176" s="62">
        <v>1.0</v>
      </c>
      <c r="P176" s="62">
        <v>4.0</v>
      </c>
      <c r="Q176" s="62">
        <v>0.0</v>
      </c>
      <c r="R176" s="62">
        <v>0.0</v>
      </c>
      <c r="S176" s="62">
        <v>8102.0</v>
      </c>
      <c r="T176" s="62">
        <v>0.765277777777777</v>
      </c>
      <c r="U176" s="62">
        <v>0.376666666666666</v>
      </c>
      <c r="V176" s="62">
        <v>0.0</v>
      </c>
      <c r="W176" s="62">
        <v>0.191111111111111</v>
      </c>
      <c r="X176" s="62">
        <v>0.191111111111111</v>
      </c>
      <c r="Y176" s="62">
        <v>0.8825</v>
      </c>
      <c r="Z176" s="62">
        <v>0.468333333333333</v>
      </c>
      <c r="AA176" s="62">
        <v>0.249444444444444</v>
      </c>
      <c r="AB176" s="62">
        <v>2.32138888888888</v>
      </c>
      <c r="AC176" s="62">
        <v>1.00694444444444</v>
      </c>
      <c r="AD176" s="62">
        <v>0.194444444444444</v>
      </c>
      <c r="AE176" s="62">
        <v>1.00694444444444</v>
      </c>
      <c r="AF176" s="62">
        <v>4.0</v>
      </c>
    </row>
    <row r="177">
      <c r="A177" s="68">
        <v>46155.0</v>
      </c>
      <c r="B177" s="62" t="s">
        <v>56</v>
      </c>
      <c r="C177" s="62" t="s">
        <v>176</v>
      </c>
      <c r="D177" s="62">
        <v>0.0</v>
      </c>
      <c r="E177" s="62">
        <v>15.0</v>
      </c>
      <c r="F177" s="62">
        <v>5.0</v>
      </c>
      <c r="G177" s="62">
        <v>1.0</v>
      </c>
      <c r="H177" s="62">
        <v>1.0</v>
      </c>
      <c r="I177" s="62">
        <v>0.0</v>
      </c>
      <c r="J177" s="62">
        <v>1.0</v>
      </c>
      <c r="K177" s="62">
        <v>1.0</v>
      </c>
      <c r="L177" s="62">
        <v>0.0</v>
      </c>
      <c r="M177" s="62">
        <v>3.0</v>
      </c>
      <c r="N177" s="62">
        <v>3.0</v>
      </c>
      <c r="O177" s="62">
        <v>1.0</v>
      </c>
      <c r="P177" s="62">
        <v>3.0</v>
      </c>
      <c r="Q177" s="62">
        <v>0.0</v>
      </c>
      <c r="R177" s="62">
        <v>0.0</v>
      </c>
      <c r="S177" s="62">
        <v>31206.0</v>
      </c>
      <c r="T177" s="62">
        <v>1.65611111111111</v>
      </c>
      <c r="U177" s="62">
        <v>1.22833333333333</v>
      </c>
      <c r="V177" s="62">
        <v>0.244722222222222</v>
      </c>
      <c r="W177" s="62">
        <v>0.244722222222222</v>
      </c>
      <c r="X177" s="62">
        <v>0.0</v>
      </c>
      <c r="Y177" s="62">
        <v>0.244722222222222</v>
      </c>
      <c r="Z177" s="62">
        <v>0.238611111111111</v>
      </c>
      <c r="AA177" s="62">
        <v>0.0</v>
      </c>
      <c r="AB177" s="62">
        <v>0.706666666666666</v>
      </c>
      <c r="AC177" s="62">
        <v>0.706666666666666</v>
      </c>
      <c r="AD177" s="62">
        <v>0.223055555555555</v>
      </c>
      <c r="AE177" s="62">
        <v>0.706666666666666</v>
      </c>
      <c r="AF177" s="62">
        <v>6.0</v>
      </c>
    </row>
    <row r="178">
      <c r="A178" s="68">
        <v>46155.0</v>
      </c>
      <c r="B178" s="62" t="s">
        <v>122</v>
      </c>
      <c r="C178" s="62" t="s">
        <v>177</v>
      </c>
      <c r="D178" s="62">
        <v>5.0</v>
      </c>
      <c r="E178" s="62">
        <v>0.0</v>
      </c>
      <c r="F178" s="62">
        <v>0.0</v>
      </c>
      <c r="G178" s="62">
        <v>0.0</v>
      </c>
      <c r="H178" s="62">
        <v>0.0</v>
      </c>
      <c r="I178" s="62">
        <v>0.0</v>
      </c>
      <c r="J178" s="62">
        <v>0.0</v>
      </c>
      <c r="K178" s="62">
        <v>0.0</v>
      </c>
      <c r="L178" s="62">
        <v>0.0</v>
      </c>
      <c r="M178" s="62">
        <v>0.0</v>
      </c>
      <c r="N178" s="62">
        <v>0.0</v>
      </c>
      <c r="O178" s="62">
        <v>0.0</v>
      </c>
      <c r="P178" s="62">
        <v>0.0</v>
      </c>
      <c r="Q178" s="62">
        <v>0.0</v>
      </c>
      <c r="R178" s="62">
        <v>11898.0</v>
      </c>
      <c r="S178" s="62">
        <v>0.0</v>
      </c>
      <c r="T178" s="62">
        <v>0.0</v>
      </c>
      <c r="U178" s="62">
        <v>0.0</v>
      </c>
      <c r="V178" s="62">
        <v>0.0</v>
      </c>
      <c r="W178" s="62">
        <v>0.0</v>
      </c>
      <c r="X178" s="62">
        <v>0.0</v>
      </c>
      <c r="Y178" s="62">
        <v>0.0</v>
      </c>
      <c r="Z178" s="62">
        <v>0.0</v>
      </c>
      <c r="AA178" s="62">
        <v>0.0</v>
      </c>
      <c r="AB178" s="62">
        <v>0.0</v>
      </c>
      <c r="AC178" s="62">
        <v>0.0</v>
      </c>
      <c r="AD178" s="62">
        <v>0.0</v>
      </c>
      <c r="AE178" s="62">
        <v>0.0</v>
      </c>
      <c r="AF178" s="62">
        <v>0.0</v>
      </c>
    </row>
    <row r="179">
      <c r="A179" s="68">
        <v>46155.0</v>
      </c>
      <c r="B179" s="62" t="s">
        <v>26</v>
      </c>
      <c r="C179" s="62" t="s">
        <v>178</v>
      </c>
      <c r="D179" s="62">
        <v>5.0</v>
      </c>
      <c r="E179" s="62">
        <v>12.0</v>
      </c>
      <c r="F179" s="62">
        <v>5.0</v>
      </c>
      <c r="G179" s="62">
        <v>3.0</v>
      </c>
      <c r="H179" s="62">
        <v>3.0</v>
      </c>
      <c r="I179" s="62">
        <v>0.0</v>
      </c>
      <c r="J179" s="62">
        <v>6.0</v>
      </c>
      <c r="K179" s="62">
        <v>1.0</v>
      </c>
      <c r="L179" s="62">
        <v>0.0</v>
      </c>
      <c r="M179" s="62">
        <v>6.0</v>
      </c>
      <c r="N179" s="62">
        <v>0.0</v>
      </c>
      <c r="O179" s="62">
        <v>1.0</v>
      </c>
      <c r="P179" s="62">
        <v>0.0</v>
      </c>
      <c r="Q179" s="62">
        <v>0.0</v>
      </c>
      <c r="R179" s="62">
        <v>11526.0</v>
      </c>
      <c r="S179" s="62">
        <v>25441.0</v>
      </c>
      <c r="T179" s="62">
        <v>0.688055555555555</v>
      </c>
      <c r="U179" s="62">
        <v>0.859722222222222</v>
      </c>
      <c r="V179" s="62">
        <v>0.5625</v>
      </c>
      <c r="W179" s="62">
        <v>0.5625</v>
      </c>
      <c r="X179" s="62">
        <v>0.0</v>
      </c>
      <c r="Y179" s="62">
        <v>1.02416666666666</v>
      </c>
      <c r="Z179" s="62">
        <v>0.172777777777777</v>
      </c>
      <c r="AA179" s="62">
        <v>0.0</v>
      </c>
      <c r="AB179" s="62">
        <v>1.02638888888888</v>
      </c>
      <c r="AC179" s="62">
        <v>0.0</v>
      </c>
      <c r="AD179" s="62">
        <v>0.203888888888888</v>
      </c>
      <c r="AE179" s="62">
        <v>0.0</v>
      </c>
      <c r="AF179" s="62">
        <v>4.0</v>
      </c>
    </row>
    <row r="180">
      <c r="A180" s="68">
        <v>46155.0</v>
      </c>
      <c r="B180" s="62" t="s">
        <v>62</v>
      </c>
      <c r="C180" s="62" t="s">
        <v>63</v>
      </c>
      <c r="D180" s="62">
        <v>0.0</v>
      </c>
      <c r="E180" s="62">
        <v>0.0</v>
      </c>
      <c r="F180" s="62">
        <v>0.0</v>
      </c>
      <c r="G180" s="62">
        <v>0.0</v>
      </c>
      <c r="H180" s="62">
        <v>0.0</v>
      </c>
      <c r="I180" s="62">
        <v>0.0</v>
      </c>
      <c r="J180" s="62">
        <v>3.0</v>
      </c>
      <c r="K180" s="62">
        <v>1.0</v>
      </c>
      <c r="L180" s="62">
        <v>0.0</v>
      </c>
      <c r="M180" s="62">
        <v>1.0</v>
      </c>
      <c r="N180" s="62">
        <v>0.0</v>
      </c>
      <c r="O180" s="62">
        <v>1.0</v>
      </c>
      <c r="P180" s="62">
        <v>0.0</v>
      </c>
      <c r="Q180" s="62">
        <v>0.0</v>
      </c>
      <c r="R180" s="62">
        <v>0.0</v>
      </c>
      <c r="S180" s="62">
        <v>0.0</v>
      </c>
      <c r="T180" s="62">
        <v>0.589166666666666</v>
      </c>
      <c r="U180" s="62">
        <v>0.0</v>
      </c>
      <c r="V180" s="62">
        <v>0.0</v>
      </c>
      <c r="W180" s="62">
        <v>0.0</v>
      </c>
      <c r="X180" s="62">
        <v>0.0</v>
      </c>
      <c r="Y180" s="62">
        <v>0.588333333333333</v>
      </c>
      <c r="Z180" s="62">
        <v>0.201388888888888</v>
      </c>
      <c r="AA180" s="62">
        <v>0.0</v>
      </c>
      <c r="AB180" s="62">
        <v>0.201388888888888</v>
      </c>
      <c r="AC180" s="62">
        <v>0.0</v>
      </c>
      <c r="AD180" s="62">
        <v>0.23</v>
      </c>
      <c r="AE180" s="62">
        <v>0.0</v>
      </c>
      <c r="AF180" s="62">
        <v>3.0</v>
      </c>
    </row>
    <row r="181">
      <c r="A181" s="68">
        <v>46155.0</v>
      </c>
      <c r="B181" s="62" t="s">
        <v>89</v>
      </c>
      <c r="C181" s="62" t="s">
        <v>180</v>
      </c>
      <c r="D181" s="62">
        <v>0.0</v>
      </c>
      <c r="E181" s="62">
        <v>3.0</v>
      </c>
      <c r="F181" s="62">
        <v>0.0</v>
      </c>
      <c r="G181" s="62">
        <v>0.0</v>
      </c>
      <c r="H181" s="62">
        <v>0.0</v>
      </c>
      <c r="I181" s="62">
        <v>0.0</v>
      </c>
      <c r="J181" s="62">
        <v>0.0</v>
      </c>
      <c r="K181" s="62">
        <v>0.0</v>
      </c>
      <c r="L181" s="62">
        <v>0.0</v>
      </c>
      <c r="M181" s="62">
        <v>3.0</v>
      </c>
      <c r="N181" s="62">
        <v>0.0</v>
      </c>
      <c r="O181" s="62">
        <v>1.0</v>
      </c>
      <c r="P181" s="62">
        <v>0.0</v>
      </c>
      <c r="Q181" s="62">
        <v>0.0</v>
      </c>
      <c r="R181" s="62">
        <v>0.0</v>
      </c>
      <c r="S181" s="62">
        <v>7056.0</v>
      </c>
      <c r="T181" s="62">
        <v>0.834166666666666</v>
      </c>
      <c r="U181" s="62">
        <v>0.0</v>
      </c>
      <c r="V181" s="62">
        <v>0.0</v>
      </c>
      <c r="W181" s="62">
        <v>0.0</v>
      </c>
      <c r="X181" s="62">
        <v>0.0</v>
      </c>
      <c r="Y181" s="62">
        <v>0.0</v>
      </c>
      <c r="Z181" s="62">
        <v>0.0</v>
      </c>
      <c r="AA181" s="62">
        <v>0.0</v>
      </c>
      <c r="AB181" s="62">
        <v>0.831944444444444</v>
      </c>
      <c r="AC181" s="62">
        <v>0.0</v>
      </c>
      <c r="AD181" s="62">
        <v>0.178055555555555</v>
      </c>
      <c r="AE181" s="62">
        <v>0.0</v>
      </c>
      <c r="AF181" s="62">
        <v>3.0</v>
      </c>
    </row>
    <row r="182">
      <c r="A182" s="68">
        <v>46154.0</v>
      </c>
      <c r="B182" s="62" t="s">
        <v>79</v>
      </c>
      <c r="C182" s="62" t="s">
        <v>162</v>
      </c>
      <c r="D182" s="62">
        <v>5.0</v>
      </c>
      <c r="E182" s="62">
        <v>9.0</v>
      </c>
      <c r="F182" s="62">
        <v>6.0</v>
      </c>
      <c r="G182" s="62">
        <v>0.0</v>
      </c>
      <c r="H182" s="62">
        <v>1.0</v>
      </c>
      <c r="I182" s="62">
        <v>1.0</v>
      </c>
      <c r="J182" s="62">
        <v>0.0</v>
      </c>
      <c r="K182" s="62">
        <v>0.0</v>
      </c>
      <c r="L182" s="62">
        <v>0.0</v>
      </c>
      <c r="M182" s="62">
        <v>0.0</v>
      </c>
      <c r="N182" s="62">
        <v>0.0</v>
      </c>
      <c r="O182" s="62">
        <v>1.0</v>
      </c>
      <c r="P182" s="62">
        <v>0.0</v>
      </c>
      <c r="Q182" s="62">
        <v>0.0</v>
      </c>
      <c r="R182" s="62">
        <v>12491.0</v>
      </c>
      <c r="S182" s="62">
        <v>22427.0</v>
      </c>
      <c r="T182" s="62">
        <v>1.50611111111111</v>
      </c>
      <c r="U182" s="62">
        <v>1.29166666666666</v>
      </c>
      <c r="V182" s="62">
        <v>0.0</v>
      </c>
      <c r="W182" s="62">
        <v>0.214444444444444</v>
      </c>
      <c r="X182" s="62">
        <v>0.214444444444444</v>
      </c>
      <c r="Y182" s="62">
        <v>0.0</v>
      </c>
      <c r="Z182" s="62">
        <v>0.0</v>
      </c>
      <c r="AA182" s="62">
        <v>0.0</v>
      </c>
      <c r="AB182" s="62">
        <v>0.0</v>
      </c>
      <c r="AC182" s="62">
        <v>0.0</v>
      </c>
      <c r="AD182" s="62">
        <v>0.202222222222222</v>
      </c>
      <c r="AE182" s="62">
        <v>0.0</v>
      </c>
      <c r="AF182" s="62">
        <v>7.0</v>
      </c>
    </row>
    <row r="183">
      <c r="A183" s="68">
        <v>46154.0</v>
      </c>
      <c r="B183" s="62" t="s">
        <v>96</v>
      </c>
      <c r="C183" s="62" t="s">
        <v>97</v>
      </c>
      <c r="D183" s="62">
        <v>3.0</v>
      </c>
      <c r="E183" s="62">
        <v>0.0</v>
      </c>
      <c r="F183" s="62">
        <v>0.0</v>
      </c>
      <c r="G183" s="62">
        <v>0.0</v>
      </c>
      <c r="H183" s="62">
        <v>0.0</v>
      </c>
      <c r="I183" s="62">
        <v>0.0</v>
      </c>
      <c r="J183" s="62">
        <v>0.0</v>
      </c>
      <c r="K183" s="62">
        <v>0.0</v>
      </c>
      <c r="L183" s="62">
        <v>0.0</v>
      </c>
      <c r="M183" s="62">
        <v>3.0</v>
      </c>
      <c r="N183" s="62">
        <v>0.0</v>
      </c>
      <c r="O183" s="62">
        <v>1.0</v>
      </c>
      <c r="P183" s="62">
        <v>0.0</v>
      </c>
      <c r="Q183" s="62">
        <v>0.0</v>
      </c>
      <c r="R183" s="62">
        <v>6449.0</v>
      </c>
      <c r="S183" s="62">
        <v>0.0</v>
      </c>
      <c r="T183" s="62">
        <v>0.0</v>
      </c>
      <c r="U183" s="62">
        <v>0.0</v>
      </c>
      <c r="V183" s="62">
        <v>0.0</v>
      </c>
      <c r="W183" s="62">
        <v>0.0</v>
      </c>
      <c r="X183" s="62">
        <v>0.0</v>
      </c>
      <c r="Y183" s="62">
        <v>0.0</v>
      </c>
      <c r="Z183" s="62">
        <v>0.0</v>
      </c>
      <c r="AA183" s="62">
        <v>0.0</v>
      </c>
      <c r="AB183" s="62">
        <v>0.723333333333333</v>
      </c>
      <c r="AC183" s="62">
        <v>0.0</v>
      </c>
      <c r="AD183" s="62">
        <v>0.223888888888888</v>
      </c>
      <c r="AE183" s="62">
        <v>0.0</v>
      </c>
      <c r="AF183" s="62">
        <v>0.0</v>
      </c>
    </row>
    <row r="184">
      <c r="A184" s="68">
        <v>46154.0</v>
      </c>
      <c r="B184" s="62" t="s">
        <v>76</v>
      </c>
      <c r="C184" s="62" t="s">
        <v>165</v>
      </c>
      <c r="D184" s="62">
        <v>0.0</v>
      </c>
      <c r="E184" s="62">
        <v>4.0</v>
      </c>
      <c r="F184" s="62">
        <v>4.0</v>
      </c>
      <c r="G184" s="62">
        <v>4.0</v>
      </c>
      <c r="H184" s="62">
        <v>4.0</v>
      </c>
      <c r="I184" s="62">
        <v>0.0</v>
      </c>
      <c r="J184" s="62">
        <v>3.0</v>
      </c>
      <c r="K184" s="62">
        <v>0.0</v>
      </c>
      <c r="L184" s="62">
        <v>0.0</v>
      </c>
      <c r="M184" s="62">
        <v>3.0</v>
      </c>
      <c r="N184" s="62">
        <v>0.0</v>
      </c>
      <c r="O184" s="62">
        <v>1.0</v>
      </c>
      <c r="P184" s="62">
        <v>0.0</v>
      </c>
      <c r="Q184" s="62">
        <v>0.0</v>
      </c>
      <c r="R184" s="62">
        <v>0.0</v>
      </c>
      <c r="S184" s="62">
        <v>13309.0</v>
      </c>
      <c r="T184" s="62">
        <v>1.40777777777777</v>
      </c>
      <c r="U184" s="62">
        <v>1.40777777777777</v>
      </c>
      <c r="V184" s="62">
        <v>1.38194444444444</v>
      </c>
      <c r="W184" s="62">
        <v>1.38194444444444</v>
      </c>
      <c r="X184" s="62">
        <v>0.0</v>
      </c>
      <c r="Y184" s="62">
        <v>1.02527777777777</v>
      </c>
      <c r="Z184" s="62">
        <v>0.0</v>
      </c>
      <c r="AA184" s="62">
        <v>0.0</v>
      </c>
      <c r="AB184" s="62">
        <v>1.02527777777777</v>
      </c>
      <c r="AC184" s="62">
        <v>0.0</v>
      </c>
      <c r="AD184" s="62">
        <v>0.215</v>
      </c>
      <c r="AE184" s="62">
        <v>0.0</v>
      </c>
      <c r="AF184" s="62">
        <v>4.0</v>
      </c>
    </row>
    <row r="185">
      <c r="A185" s="68">
        <v>46154.0</v>
      </c>
      <c r="B185" s="62" t="s">
        <v>104</v>
      </c>
      <c r="C185" s="62" t="s">
        <v>166</v>
      </c>
      <c r="D185" s="62">
        <v>7.0</v>
      </c>
      <c r="E185" s="62">
        <v>2.0</v>
      </c>
      <c r="F185" s="62">
        <v>0.0</v>
      </c>
      <c r="G185" s="62">
        <v>0.0</v>
      </c>
      <c r="H185" s="62">
        <v>0.0</v>
      </c>
      <c r="I185" s="62">
        <v>0.0</v>
      </c>
      <c r="J185" s="62">
        <v>0.0</v>
      </c>
      <c r="K185" s="62">
        <v>0.0</v>
      </c>
      <c r="L185" s="62">
        <v>0.0</v>
      </c>
      <c r="M185" s="62">
        <v>0.0</v>
      </c>
      <c r="N185" s="62">
        <v>0.0</v>
      </c>
      <c r="O185" s="62">
        <v>1.0</v>
      </c>
      <c r="P185" s="62">
        <v>0.0</v>
      </c>
      <c r="Q185" s="62">
        <v>0.0</v>
      </c>
      <c r="R185" s="62">
        <v>17509.0</v>
      </c>
      <c r="S185" s="62">
        <v>5000.0</v>
      </c>
      <c r="T185" s="62">
        <v>0.0</v>
      </c>
      <c r="U185" s="62">
        <v>0.0</v>
      </c>
      <c r="V185" s="62">
        <v>0.0</v>
      </c>
      <c r="W185" s="62">
        <v>0.0</v>
      </c>
      <c r="X185" s="62">
        <v>0.0</v>
      </c>
      <c r="Y185" s="62">
        <v>0.0</v>
      </c>
      <c r="Z185" s="62">
        <v>0.0</v>
      </c>
      <c r="AA185" s="62">
        <v>0.0</v>
      </c>
      <c r="AB185" s="62">
        <v>0.0</v>
      </c>
      <c r="AC185" s="62">
        <v>0.0</v>
      </c>
      <c r="AD185" s="62">
        <v>0.210555555555555</v>
      </c>
      <c r="AE185" s="62">
        <v>0.0</v>
      </c>
      <c r="AF185" s="62">
        <v>0.0</v>
      </c>
    </row>
    <row r="186">
      <c r="A186" s="68">
        <v>46154.0</v>
      </c>
      <c r="B186" s="62" t="s">
        <v>100</v>
      </c>
      <c r="C186" s="62" t="s">
        <v>167</v>
      </c>
      <c r="D186" s="62">
        <v>0.0</v>
      </c>
      <c r="E186" s="62">
        <v>0.0</v>
      </c>
      <c r="F186" s="62">
        <v>1.0</v>
      </c>
      <c r="G186" s="62">
        <v>2.0</v>
      </c>
      <c r="H186" s="62">
        <v>5.0</v>
      </c>
      <c r="I186" s="62">
        <v>3.0</v>
      </c>
      <c r="J186" s="62">
        <v>2.0</v>
      </c>
      <c r="K186" s="62">
        <v>2.0</v>
      </c>
      <c r="L186" s="62">
        <v>0.0</v>
      </c>
      <c r="M186" s="62">
        <v>0.0</v>
      </c>
      <c r="N186" s="62">
        <v>0.0</v>
      </c>
      <c r="O186" s="62">
        <v>1.0</v>
      </c>
      <c r="P186" s="62">
        <v>0.0</v>
      </c>
      <c r="Q186" s="62">
        <v>0.0</v>
      </c>
      <c r="R186" s="62">
        <v>0.0</v>
      </c>
      <c r="S186" s="62">
        <v>0.0</v>
      </c>
      <c r="T186" s="62">
        <v>0.421944444444444</v>
      </c>
      <c r="U186" s="62">
        <v>0.204722222222222</v>
      </c>
      <c r="V186" s="62">
        <v>0.440555555555555</v>
      </c>
      <c r="W186" s="62">
        <v>1.06861111111111</v>
      </c>
      <c r="X186" s="62">
        <v>0.628055555555555</v>
      </c>
      <c r="Y186" s="62">
        <v>0.433333333333333</v>
      </c>
      <c r="Z186" s="62">
        <v>0.469166666666666</v>
      </c>
      <c r="AA186" s="62">
        <v>0.0</v>
      </c>
      <c r="AB186" s="62">
        <v>0.0</v>
      </c>
      <c r="AC186" s="62">
        <v>0.0</v>
      </c>
      <c r="AD186" s="62">
        <v>0.227222222222222</v>
      </c>
      <c r="AE186" s="62">
        <v>0.0</v>
      </c>
      <c r="AF186" s="62">
        <v>2.0</v>
      </c>
    </row>
    <row r="187">
      <c r="A187" s="68">
        <v>46154.0</v>
      </c>
      <c r="B187" s="62" t="s">
        <v>32</v>
      </c>
      <c r="C187" s="62" t="s">
        <v>168</v>
      </c>
      <c r="D187" s="62">
        <v>6.0</v>
      </c>
      <c r="E187" s="62">
        <v>3.0</v>
      </c>
      <c r="F187" s="62">
        <v>4.0</v>
      </c>
      <c r="G187" s="62">
        <v>0.0</v>
      </c>
      <c r="H187" s="62">
        <v>1.0</v>
      </c>
      <c r="I187" s="62">
        <v>1.0</v>
      </c>
      <c r="J187" s="62">
        <v>1.0</v>
      </c>
      <c r="K187" s="62">
        <v>0.0</v>
      </c>
      <c r="L187" s="62">
        <v>0.0</v>
      </c>
      <c r="M187" s="62">
        <v>3.0</v>
      </c>
      <c r="N187" s="62">
        <v>0.0</v>
      </c>
      <c r="O187" s="62">
        <v>1.0</v>
      </c>
      <c r="P187" s="62">
        <v>0.0</v>
      </c>
      <c r="Q187" s="62">
        <v>0.0</v>
      </c>
      <c r="R187" s="62">
        <v>14715.0</v>
      </c>
      <c r="S187" s="62">
        <v>7356.0</v>
      </c>
      <c r="T187" s="62">
        <v>1.75333333333333</v>
      </c>
      <c r="U187" s="62">
        <v>0.852222222222222</v>
      </c>
      <c r="V187" s="62">
        <v>0.0</v>
      </c>
      <c r="W187" s="62">
        <v>0.221666666666666</v>
      </c>
      <c r="X187" s="62">
        <v>0.221666666666666</v>
      </c>
      <c r="Y187" s="62">
        <v>0.220555555555555</v>
      </c>
      <c r="Z187" s="62">
        <v>0.0</v>
      </c>
      <c r="AA187" s="62">
        <v>0.0</v>
      </c>
      <c r="AB187" s="62">
        <v>0.651666666666666</v>
      </c>
      <c r="AC187" s="62">
        <v>0.0</v>
      </c>
      <c r="AD187" s="62">
        <v>0.213055555555555</v>
      </c>
      <c r="AE187" s="62">
        <v>0.0</v>
      </c>
      <c r="AF187" s="62">
        <v>8.0</v>
      </c>
    </row>
    <row r="188">
      <c r="A188" s="68">
        <v>46154.0</v>
      </c>
      <c r="B188" s="62" t="s">
        <v>110</v>
      </c>
      <c r="C188" s="62" t="s">
        <v>169</v>
      </c>
      <c r="D188" s="62">
        <v>3.0</v>
      </c>
      <c r="E188" s="62">
        <v>5.0</v>
      </c>
      <c r="F188" s="62">
        <v>0.0</v>
      </c>
      <c r="G188" s="62">
        <v>0.0</v>
      </c>
      <c r="H188" s="62">
        <v>0.0</v>
      </c>
      <c r="I188" s="62">
        <v>0.0</v>
      </c>
      <c r="J188" s="62">
        <v>0.0</v>
      </c>
      <c r="K188" s="62">
        <v>0.0</v>
      </c>
      <c r="L188" s="62">
        <v>0.0</v>
      </c>
      <c r="M188" s="62">
        <v>0.0</v>
      </c>
      <c r="N188" s="62">
        <v>0.0</v>
      </c>
      <c r="O188" s="62">
        <v>0.0</v>
      </c>
      <c r="P188" s="62">
        <v>0.0</v>
      </c>
      <c r="Q188" s="62">
        <v>0.0</v>
      </c>
      <c r="R188" s="62">
        <v>7096.0</v>
      </c>
      <c r="S188" s="62">
        <v>9932.0</v>
      </c>
      <c r="T188" s="62">
        <v>0.0</v>
      </c>
      <c r="U188" s="62">
        <v>0.0</v>
      </c>
      <c r="V188" s="62">
        <v>0.0</v>
      </c>
      <c r="W188" s="62">
        <v>0.0</v>
      </c>
      <c r="X188" s="62">
        <v>0.0</v>
      </c>
      <c r="Y188" s="62">
        <v>0.0</v>
      </c>
      <c r="Z188" s="62">
        <v>0.0</v>
      </c>
      <c r="AA188" s="62">
        <v>0.0</v>
      </c>
      <c r="AB188" s="62">
        <v>0.0</v>
      </c>
      <c r="AC188" s="62">
        <v>0.0</v>
      </c>
      <c r="AD188" s="62">
        <v>0.0</v>
      </c>
      <c r="AE188" s="62">
        <v>0.0</v>
      </c>
      <c r="AF188" s="62">
        <v>0.0</v>
      </c>
    </row>
    <row r="189">
      <c r="A189" s="68">
        <v>46154.0</v>
      </c>
      <c r="B189" s="62" t="s">
        <v>102</v>
      </c>
      <c r="C189" s="62" t="s">
        <v>170</v>
      </c>
      <c r="D189" s="62">
        <v>15.0</v>
      </c>
      <c r="E189" s="62">
        <v>1.0</v>
      </c>
      <c r="F189" s="62">
        <v>0.0</v>
      </c>
      <c r="G189" s="62">
        <v>0.0</v>
      </c>
      <c r="H189" s="62">
        <v>0.0</v>
      </c>
      <c r="I189" s="62">
        <v>0.0</v>
      </c>
      <c r="J189" s="62">
        <v>0.0</v>
      </c>
      <c r="K189" s="62">
        <v>0.0</v>
      </c>
      <c r="L189" s="62">
        <v>0.0</v>
      </c>
      <c r="M189" s="62">
        <v>1.0</v>
      </c>
      <c r="N189" s="62">
        <v>1.0</v>
      </c>
      <c r="O189" s="62">
        <v>1.0</v>
      </c>
      <c r="P189" s="62">
        <v>1.0</v>
      </c>
      <c r="Q189" s="62">
        <v>0.0</v>
      </c>
      <c r="R189" s="62">
        <v>34497.0</v>
      </c>
      <c r="S189" s="62">
        <v>2452.0</v>
      </c>
      <c r="T189" s="62">
        <v>0.0</v>
      </c>
      <c r="U189" s="62">
        <v>0.0</v>
      </c>
      <c r="V189" s="62">
        <v>0.0</v>
      </c>
      <c r="W189" s="62">
        <v>0.0</v>
      </c>
      <c r="X189" s="62">
        <v>0.0</v>
      </c>
      <c r="Y189" s="62">
        <v>0.0</v>
      </c>
      <c r="Z189" s="62">
        <v>0.0</v>
      </c>
      <c r="AA189" s="62">
        <v>0.0</v>
      </c>
      <c r="AB189" s="62">
        <v>0.244722222222222</v>
      </c>
      <c r="AC189" s="62">
        <v>0.244722222222222</v>
      </c>
      <c r="AD189" s="62">
        <v>0.251111111111111</v>
      </c>
      <c r="AE189" s="62">
        <v>0.244722222222222</v>
      </c>
      <c r="AF189" s="62">
        <v>0.0</v>
      </c>
    </row>
    <row r="190">
      <c r="A190" s="68">
        <v>46154.0</v>
      </c>
      <c r="B190" s="62" t="s">
        <v>124</v>
      </c>
      <c r="C190" s="62" t="s">
        <v>171</v>
      </c>
      <c r="D190" s="62">
        <v>1.0</v>
      </c>
      <c r="E190" s="62">
        <v>0.0</v>
      </c>
      <c r="F190" s="62">
        <v>0.0</v>
      </c>
      <c r="G190" s="62">
        <v>0.0</v>
      </c>
      <c r="H190" s="62">
        <v>0.0</v>
      </c>
      <c r="I190" s="62">
        <v>0.0</v>
      </c>
      <c r="J190" s="62">
        <v>0.0</v>
      </c>
      <c r="K190" s="62">
        <v>0.0</v>
      </c>
      <c r="L190" s="62">
        <v>0.0</v>
      </c>
      <c r="M190" s="62">
        <v>0.0</v>
      </c>
      <c r="N190" s="62">
        <v>0.0</v>
      </c>
      <c r="O190" s="62">
        <v>0.0</v>
      </c>
      <c r="P190" s="62">
        <v>0.0</v>
      </c>
      <c r="Q190" s="62">
        <v>0.0</v>
      </c>
      <c r="R190" s="62">
        <v>2712.0</v>
      </c>
      <c r="S190" s="62">
        <v>0.0</v>
      </c>
      <c r="T190" s="62">
        <v>0.0</v>
      </c>
      <c r="U190" s="62">
        <v>0.0</v>
      </c>
      <c r="V190" s="62">
        <v>0.0</v>
      </c>
      <c r="W190" s="62">
        <v>0.0</v>
      </c>
      <c r="X190" s="62">
        <v>0.0</v>
      </c>
      <c r="Y190" s="62">
        <v>0.0</v>
      </c>
      <c r="Z190" s="62">
        <v>0.0</v>
      </c>
      <c r="AA190" s="62">
        <v>0.0</v>
      </c>
      <c r="AB190" s="62">
        <v>0.0</v>
      </c>
      <c r="AC190" s="62">
        <v>0.0</v>
      </c>
      <c r="AD190" s="62">
        <v>0.0</v>
      </c>
      <c r="AE190" s="62">
        <v>0.0</v>
      </c>
      <c r="AF190" s="62">
        <v>0.0</v>
      </c>
    </row>
    <row r="191">
      <c r="A191" s="68">
        <v>46154.0</v>
      </c>
      <c r="B191" s="62" t="s">
        <v>41</v>
      </c>
      <c r="C191" s="62" t="s">
        <v>172</v>
      </c>
      <c r="D191" s="62">
        <v>4.0</v>
      </c>
      <c r="E191" s="62">
        <v>6.0</v>
      </c>
      <c r="F191" s="62">
        <v>0.0</v>
      </c>
      <c r="G191" s="62">
        <v>0.0</v>
      </c>
      <c r="H191" s="62">
        <v>4.0</v>
      </c>
      <c r="I191" s="62">
        <v>4.0</v>
      </c>
      <c r="J191" s="62">
        <v>3.0</v>
      </c>
      <c r="K191" s="62">
        <v>3.0</v>
      </c>
      <c r="L191" s="62">
        <v>1.0</v>
      </c>
      <c r="M191" s="62">
        <v>3.0</v>
      </c>
      <c r="N191" s="62">
        <v>1.0</v>
      </c>
      <c r="O191" s="62">
        <v>1.0</v>
      </c>
      <c r="P191" s="62">
        <v>1.0</v>
      </c>
      <c r="Q191" s="62">
        <v>0.0</v>
      </c>
      <c r="R191" s="62">
        <v>10991.0</v>
      </c>
      <c r="S191" s="62">
        <v>16242.0</v>
      </c>
      <c r="T191" s="62">
        <v>0.901111111111111</v>
      </c>
      <c r="U191" s="62">
        <v>0.0</v>
      </c>
      <c r="V191" s="62">
        <v>0.0</v>
      </c>
      <c r="W191" s="62">
        <v>0.905</v>
      </c>
      <c r="X191" s="62">
        <v>0.904999999999999</v>
      </c>
      <c r="Y191" s="62">
        <v>0.674722222222222</v>
      </c>
      <c r="Z191" s="62">
        <v>0.717222222222222</v>
      </c>
      <c r="AA191" s="62">
        <v>0.24</v>
      </c>
      <c r="AB191" s="62">
        <v>0.687777777777777</v>
      </c>
      <c r="AC191" s="62">
        <v>0.24</v>
      </c>
      <c r="AD191" s="62">
        <v>0.229722222222222</v>
      </c>
      <c r="AE191" s="62">
        <v>0.24</v>
      </c>
      <c r="AF191" s="62">
        <v>4.0</v>
      </c>
    </row>
    <row r="192">
      <c r="A192" s="68">
        <v>46154.0</v>
      </c>
      <c r="B192" s="62" t="s">
        <v>65</v>
      </c>
      <c r="C192" s="62" t="s">
        <v>173</v>
      </c>
      <c r="D192" s="62">
        <v>21.0</v>
      </c>
      <c r="E192" s="62">
        <v>2.0</v>
      </c>
      <c r="F192" s="62">
        <v>0.0</v>
      </c>
      <c r="G192" s="62">
        <v>0.0</v>
      </c>
      <c r="H192" s="62">
        <v>0.0</v>
      </c>
      <c r="I192" s="62">
        <v>0.0</v>
      </c>
      <c r="J192" s="62">
        <v>3.0</v>
      </c>
      <c r="K192" s="62">
        <v>5.0</v>
      </c>
      <c r="L192" s="62">
        <v>0.0</v>
      </c>
      <c r="M192" s="62">
        <v>2.0</v>
      </c>
      <c r="N192" s="62">
        <v>0.0</v>
      </c>
      <c r="O192" s="62">
        <v>1.0</v>
      </c>
      <c r="P192" s="62">
        <v>0.0</v>
      </c>
      <c r="Q192" s="62">
        <v>0.0</v>
      </c>
      <c r="R192" s="62">
        <v>42473.0</v>
      </c>
      <c r="S192" s="62">
        <v>4652.0</v>
      </c>
      <c r="T192" s="62">
        <v>0.0</v>
      </c>
      <c r="U192" s="62">
        <v>0.0</v>
      </c>
      <c r="V192" s="62">
        <v>0.0</v>
      </c>
      <c r="W192" s="62">
        <v>0.0</v>
      </c>
      <c r="X192" s="62">
        <v>0.0</v>
      </c>
      <c r="Y192" s="62">
        <v>0.584166666666666</v>
      </c>
      <c r="Z192" s="62">
        <v>1.0625</v>
      </c>
      <c r="AA192" s="62">
        <v>0.0</v>
      </c>
      <c r="AB192" s="62">
        <v>0.385277777777777</v>
      </c>
      <c r="AC192" s="62">
        <v>0.0</v>
      </c>
      <c r="AD192" s="62">
        <v>0.200555555555555</v>
      </c>
      <c r="AE192" s="62">
        <v>0.0</v>
      </c>
      <c r="AF192" s="62">
        <v>0.0</v>
      </c>
    </row>
    <row r="193">
      <c r="A193" s="68">
        <v>46154.0</v>
      </c>
      <c r="B193" s="62" t="s">
        <v>37</v>
      </c>
      <c r="C193" s="62" t="s">
        <v>174</v>
      </c>
      <c r="D193" s="62">
        <v>6.0</v>
      </c>
      <c r="E193" s="62">
        <v>3.0</v>
      </c>
      <c r="F193" s="62">
        <v>4.0</v>
      </c>
      <c r="G193" s="62">
        <v>5.0</v>
      </c>
      <c r="H193" s="62">
        <v>5.0</v>
      </c>
      <c r="I193" s="62">
        <v>0.0</v>
      </c>
      <c r="J193" s="62">
        <v>3.0</v>
      </c>
      <c r="K193" s="62">
        <v>1.0</v>
      </c>
      <c r="L193" s="62">
        <v>1.0</v>
      </c>
      <c r="M193" s="62">
        <v>2.0</v>
      </c>
      <c r="N193" s="62">
        <v>0.0</v>
      </c>
      <c r="O193" s="62">
        <v>1.0</v>
      </c>
      <c r="P193" s="62">
        <v>0.0</v>
      </c>
      <c r="Q193" s="62">
        <v>0.0</v>
      </c>
      <c r="R193" s="62">
        <v>14728.0</v>
      </c>
      <c r="S193" s="62">
        <v>7359.0</v>
      </c>
      <c r="T193" s="62">
        <v>0.0</v>
      </c>
      <c r="U193" s="62">
        <v>1.04361111111111</v>
      </c>
      <c r="V193" s="62">
        <v>1.31333333333333</v>
      </c>
      <c r="W193" s="62">
        <v>1.31333333333333</v>
      </c>
      <c r="X193" s="62">
        <v>0.0</v>
      </c>
      <c r="Y193" s="62">
        <v>0.775555555555555</v>
      </c>
      <c r="Z193" s="62">
        <v>0.246666666666666</v>
      </c>
      <c r="AA193" s="62">
        <v>0.246666666666666</v>
      </c>
      <c r="AB193" s="62">
        <v>0.541388888888888</v>
      </c>
      <c r="AC193" s="62">
        <v>0.0</v>
      </c>
      <c r="AD193" s="62">
        <v>0.292777777777777</v>
      </c>
      <c r="AE193" s="62">
        <v>0.0</v>
      </c>
      <c r="AF193" s="62">
        <v>0.0</v>
      </c>
    </row>
    <row r="194">
      <c r="A194" s="68">
        <v>46154.0</v>
      </c>
      <c r="B194" s="62" t="s">
        <v>108</v>
      </c>
      <c r="C194" s="62" t="s">
        <v>175</v>
      </c>
      <c r="D194" s="62">
        <v>8.0</v>
      </c>
      <c r="E194" s="62">
        <v>2.0</v>
      </c>
      <c r="F194" s="62">
        <v>0.0</v>
      </c>
      <c r="G194" s="62">
        <v>1.0</v>
      </c>
      <c r="H194" s="62">
        <v>7.0</v>
      </c>
      <c r="I194" s="62">
        <v>6.0</v>
      </c>
      <c r="J194" s="62">
        <v>7.0</v>
      </c>
      <c r="K194" s="62">
        <v>1.0</v>
      </c>
      <c r="L194" s="62">
        <v>0.0</v>
      </c>
      <c r="M194" s="62">
        <v>1.0</v>
      </c>
      <c r="N194" s="62">
        <v>0.0</v>
      </c>
      <c r="O194" s="62">
        <v>1.0</v>
      </c>
      <c r="P194" s="62">
        <v>0.0</v>
      </c>
      <c r="Q194" s="62">
        <v>0.0</v>
      </c>
      <c r="R194" s="62">
        <v>15847.0</v>
      </c>
      <c r="S194" s="62">
        <v>4210.0</v>
      </c>
      <c r="T194" s="62">
        <v>0.567777777777777</v>
      </c>
      <c r="U194" s="62">
        <v>0.0</v>
      </c>
      <c r="V194" s="62">
        <v>0.270833333333333</v>
      </c>
      <c r="W194" s="62">
        <v>1.59861111111111</v>
      </c>
      <c r="X194" s="62">
        <v>1.32777777777777</v>
      </c>
      <c r="Y194" s="62">
        <v>1.6475</v>
      </c>
      <c r="Z194" s="62">
        <v>0.245833333333333</v>
      </c>
      <c r="AA194" s="62">
        <v>0.0</v>
      </c>
      <c r="AB194" s="62">
        <v>0.208611111111111</v>
      </c>
      <c r="AC194" s="62">
        <v>0.0</v>
      </c>
      <c r="AD194" s="62">
        <v>0.222777777777777</v>
      </c>
      <c r="AE194" s="62">
        <v>0.0</v>
      </c>
      <c r="AF194" s="62">
        <v>3.0</v>
      </c>
    </row>
    <row r="195">
      <c r="A195" s="68">
        <v>46154.0</v>
      </c>
      <c r="B195" s="62" t="s">
        <v>56</v>
      </c>
      <c r="C195" s="62" t="s">
        <v>176</v>
      </c>
      <c r="D195" s="62">
        <v>23.0</v>
      </c>
      <c r="E195" s="62">
        <v>5.0</v>
      </c>
      <c r="F195" s="62">
        <v>5.0</v>
      </c>
      <c r="G195" s="62">
        <v>4.0</v>
      </c>
      <c r="H195" s="62">
        <v>4.0</v>
      </c>
      <c r="I195" s="62">
        <v>0.0</v>
      </c>
      <c r="J195" s="62">
        <v>4.0</v>
      </c>
      <c r="K195" s="62">
        <v>0.0</v>
      </c>
      <c r="L195" s="62">
        <v>0.0</v>
      </c>
      <c r="M195" s="62">
        <v>6.0</v>
      </c>
      <c r="N195" s="62">
        <v>6.0</v>
      </c>
      <c r="O195" s="62">
        <v>1.0</v>
      </c>
      <c r="P195" s="62">
        <v>6.0</v>
      </c>
      <c r="Q195" s="62">
        <v>0.0</v>
      </c>
      <c r="R195" s="62">
        <v>47750.0</v>
      </c>
      <c r="S195" s="62">
        <v>11518.0</v>
      </c>
      <c r="T195" s="62">
        <v>1.73805555555555</v>
      </c>
      <c r="U195" s="62">
        <v>1.27055555555555</v>
      </c>
      <c r="V195" s="62">
        <v>0.96</v>
      </c>
      <c r="W195" s="62">
        <v>0.96</v>
      </c>
      <c r="X195" s="62">
        <v>0.0</v>
      </c>
      <c r="Y195" s="62">
        <v>0.96</v>
      </c>
      <c r="Z195" s="62">
        <v>0.0</v>
      </c>
      <c r="AA195" s="62">
        <v>0.0</v>
      </c>
      <c r="AB195" s="62">
        <v>1.56027777777777</v>
      </c>
      <c r="AC195" s="62">
        <v>1.56027777777777</v>
      </c>
      <c r="AD195" s="62">
        <v>0.243333333333333</v>
      </c>
      <c r="AE195" s="62">
        <v>1.56027777777777</v>
      </c>
      <c r="AF195" s="62">
        <v>7.0</v>
      </c>
    </row>
    <row r="196">
      <c r="A196" s="68">
        <v>46154.0</v>
      </c>
      <c r="B196" s="62" t="s">
        <v>26</v>
      </c>
      <c r="C196" s="62" t="s">
        <v>178</v>
      </c>
      <c r="D196" s="62">
        <v>6.0</v>
      </c>
      <c r="E196" s="62">
        <v>10.0</v>
      </c>
      <c r="F196" s="62">
        <v>7.0</v>
      </c>
      <c r="G196" s="62">
        <v>5.0</v>
      </c>
      <c r="H196" s="62">
        <v>5.0</v>
      </c>
      <c r="I196" s="62">
        <v>0.0</v>
      </c>
      <c r="J196" s="62">
        <v>4.0</v>
      </c>
      <c r="K196" s="62">
        <v>1.0</v>
      </c>
      <c r="L196" s="62">
        <v>0.0</v>
      </c>
      <c r="M196" s="62">
        <v>3.0</v>
      </c>
      <c r="N196" s="62">
        <v>0.0</v>
      </c>
      <c r="O196" s="62">
        <v>1.0</v>
      </c>
      <c r="P196" s="62">
        <v>0.0</v>
      </c>
      <c r="Q196" s="62">
        <v>0.0</v>
      </c>
      <c r="R196" s="62">
        <v>15204.0</v>
      </c>
      <c r="S196" s="62">
        <v>21934.0</v>
      </c>
      <c r="T196" s="62">
        <v>1.18805555555555</v>
      </c>
      <c r="U196" s="62">
        <v>1.21694444444444</v>
      </c>
      <c r="V196" s="62">
        <v>0.849444444444444</v>
      </c>
      <c r="W196" s="62">
        <v>0.849444444444444</v>
      </c>
      <c r="X196" s="62">
        <v>0.0</v>
      </c>
      <c r="Y196" s="62">
        <v>0.721111111111111</v>
      </c>
      <c r="Z196" s="62">
        <v>0.175</v>
      </c>
      <c r="AA196" s="62">
        <v>0.0</v>
      </c>
      <c r="AB196" s="62">
        <v>0.546111111111111</v>
      </c>
      <c r="AC196" s="62">
        <v>0.0</v>
      </c>
      <c r="AD196" s="62">
        <v>0.183333333333333</v>
      </c>
      <c r="AE196" s="62">
        <v>0.0</v>
      </c>
      <c r="AF196" s="62">
        <v>7.0</v>
      </c>
    </row>
    <row r="197">
      <c r="A197" s="68">
        <v>46154.0</v>
      </c>
      <c r="B197" s="62" t="s">
        <v>62</v>
      </c>
      <c r="C197" s="62" t="s">
        <v>63</v>
      </c>
      <c r="D197" s="62">
        <v>0.0</v>
      </c>
      <c r="E197" s="62">
        <v>0.0</v>
      </c>
      <c r="F197" s="62">
        <v>0.0</v>
      </c>
      <c r="G197" s="62">
        <v>0.0</v>
      </c>
      <c r="H197" s="62">
        <v>3.0</v>
      </c>
      <c r="I197" s="62">
        <v>3.0</v>
      </c>
      <c r="J197" s="62">
        <v>2.0</v>
      </c>
      <c r="K197" s="62">
        <v>0.0</v>
      </c>
      <c r="L197" s="62">
        <v>0.0</v>
      </c>
      <c r="M197" s="62">
        <v>1.0</v>
      </c>
      <c r="N197" s="62">
        <v>3.0</v>
      </c>
      <c r="O197" s="62">
        <v>1.0</v>
      </c>
      <c r="P197" s="62">
        <v>3.0</v>
      </c>
      <c r="Q197" s="62">
        <v>0.0</v>
      </c>
      <c r="R197" s="62">
        <v>0.0</v>
      </c>
      <c r="S197" s="62">
        <v>0.0</v>
      </c>
      <c r="T197" s="62">
        <v>0.576666666666666</v>
      </c>
      <c r="U197" s="62">
        <v>0.0</v>
      </c>
      <c r="V197" s="62">
        <v>0.0</v>
      </c>
      <c r="W197" s="62">
        <v>0.576666666666666</v>
      </c>
      <c r="X197" s="62">
        <v>0.576666666666666</v>
      </c>
      <c r="Y197" s="62">
        <v>0.389444444444444</v>
      </c>
      <c r="Z197" s="62">
        <v>0.0</v>
      </c>
      <c r="AA197" s="62">
        <v>0.0</v>
      </c>
      <c r="AB197" s="62">
        <v>0.188055555555555</v>
      </c>
      <c r="AC197" s="62">
        <v>0.632777777777777</v>
      </c>
      <c r="AD197" s="62">
        <v>0.205277777777777</v>
      </c>
      <c r="AE197" s="62">
        <v>0.632777777777777</v>
      </c>
      <c r="AF197" s="62">
        <v>3.0</v>
      </c>
    </row>
    <row r="198">
      <c r="A198" s="68">
        <v>46154.0</v>
      </c>
      <c r="B198" s="62" t="s">
        <v>116</v>
      </c>
      <c r="C198" s="62" t="s">
        <v>179</v>
      </c>
      <c r="D198" s="62">
        <v>5.0</v>
      </c>
      <c r="E198" s="62">
        <v>0.0</v>
      </c>
      <c r="F198" s="62">
        <v>0.0</v>
      </c>
      <c r="G198" s="62">
        <v>0.0</v>
      </c>
      <c r="H198" s="62">
        <v>0.0</v>
      </c>
      <c r="I198" s="62">
        <v>0.0</v>
      </c>
      <c r="J198" s="62">
        <v>0.0</v>
      </c>
      <c r="K198" s="62">
        <v>0.0</v>
      </c>
      <c r="L198" s="62">
        <v>0.0</v>
      </c>
      <c r="M198" s="62">
        <v>0.0</v>
      </c>
      <c r="N198" s="62">
        <v>0.0</v>
      </c>
      <c r="O198" s="62">
        <v>0.0</v>
      </c>
      <c r="P198" s="62">
        <v>0.0</v>
      </c>
      <c r="Q198" s="62">
        <v>0.0</v>
      </c>
      <c r="R198" s="62">
        <v>12062.0</v>
      </c>
      <c r="S198" s="62">
        <v>0.0</v>
      </c>
      <c r="T198" s="62">
        <v>0.0</v>
      </c>
      <c r="U198" s="62">
        <v>0.0</v>
      </c>
      <c r="V198" s="62">
        <v>0.0</v>
      </c>
      <c r="W198" s="62">
        <v>0.0</v>
      </c>
      <c r="X198" s="62">
        <v>0.0</v>
      </c>
      <c r="Y198" s="62">
        <v>0.0</v>
      </c>
      <c r="Z198" s="62">
        <v>0.0</v>
      </c>
      <c r="AA198" s="62">
        <v>0.0</v>
      </c>
      <c r="AB198" s="62">
        <v>0.0</v>
      </c>
      <c r="AC198" s="62">
        <v>0.0</v>
      </c>
      <c r="AD198" s="62">
        <v>0.0</v>
      </c>
      <c r="AE198" s="62">
        <v>0.0</v>
      </c>
      <c r="AF198" s="62">
        <v>0.0</v>
      </c>
    </row>
    <row r="199">
      <c r="A199" s="68">
        <v>46154.0</v>
      </c>
      <c r="B199" s="62" t="s">
        <v>89</v>
      </c>
      <c r="C199" s="62" t="s">
        <v>180</v>
      </c>
      <c r="D199" s="62">
        <v>5.0</v>
      </c>
      <c r="E199" s="62">
        <v>0.0</v>
      </c>
      <c r="F199" s="62">
        <v>0.0</v>
      </c>
      <c r="G199" s="62">
        <v>0.0</v>
      </c>
      <c r="H199" s="62">
        <v>0.0</v>
      </c>
      <c r="I199" s="62">
        <v>0.0</v>
      </c>
      <c r="J199" s="62">
        <v>0.0</v>
      </c>
      <c r="K199" s="62">
        <v>0.0</v>
      </c>
      <c r="L199" s="62">
        <v>0.0</v>
      </c>
      <c r="M199" s="62">
        <v>0.0</v>
      </c>
      <c r="N199" s="62">
        <v>0.0</v>
      </c>
      <c r="O199" s="62">
        <v>1.0</v>
      </c>
      <c r="P199" s="62">
        <v>0.0</v>
      </c>
      <c r="Q199" s="62">
        <v>0.0</v>
      </c>
      <c r="R199" s="62">
        <v>11187.0</v>
      </c>
      <c r="S199" s="62">
        <v>0.0</v>
      </c>
      <c r="T199" s="62">
        <v>0.0</v>
      </c>
      <c r="U199" s="62">
        <v>0.0</v>
      </c>
      <c r="V199" s="62">
        <v>0.0</v>
      </c>
      <c r="W199" s="62">
        <v>0.0</v>
      </c>
      <c r="X199" s="62">
        <v>0.0</v>
      </c>
      <c r="Y199" s="62">
        <v>0.0</v>
      </c>
      <c r="Z199" s="62">
        <v>0.0</v>
      </c>
      <c r="AA199" s="62">
        <v>0.0</v>
      </c>
      <c r="AB199" s="62">
        <v>0.0</v>
      </c>
      <c r="AC199" s="62">
        <v>0.0</v>
      </c>
      <c r="AD199" s="62">
        <v>0.276388888888888</v>
      </c>
      <c r="AE199" s="62">
        <v>0.0</v>
      </c>
      <c r="AF199" s="62">
        <v>0.0</v>
      </c>
    </row>
    <row r="200">
      <c r="A200" s="68">
        <v>46153.0</v>
      </c>
      <c r="B200" s="62" t="s">
        <v>79</v>
      </c>
      <c r="C200" s="62" t="s">
        <v>162</v>
      </c>
      <c r="D200" s="62">
        <v>9.0</v>
      </c>
      <c r="E200" s="62">
        <v>10.0</v>
      </c>
      <c r="F200" s="62">
        <v>0.0</v>
      </c>
      <c r="G200" s="62">
        <v>2.0</v>
      </c>
      <c r="H200" s="62">
        <v>2.0</v>
      </c>
      <c r="I200" s="62">
        <v>0.0</v>
      </c>
      <c r="J200" s="62">
        <v>2.0</v>
      </c>
      <c r="K200" s="62">
        <v>1.0</v>
      </c>
      <c r="L200" s="62">
        <v>1.0</v>
      </c>
      <c r="M200" s="62">
        <v>4.0</v>
      </c>
      <c r="N200" s="62">
        <v>13.0</v>
      </c>
      <c r="O200" s="62">
        <v>1.0</v>
      </c>
      <c r="P200" s="62">
        <v>13.0</v>
      </c>
      <c r="Q200" s="62">
        <v>0.0</v>
      </c>
      <c r="R200" s="62">
        <v>19922.0</v>
      </c>
      <c r="S200" s="62">
        <v>24158.0</v>
      </c>
      <c r="T200" s="62">
        <v>0.0</v>
      </c>
      <c r="U200" s="62">
        <v>0.0</v>
      </c>
      <c r="V200" s="62">
        <v>0.4325</v>
      </c>
      <c r="W200" s="62">
        <v>0.4325</v>
      </c>
      <c r="X200" s="62">
        <v>0.0</v>
      </c>
      <c r="Y200" s="62">
        <v>0.4325</v>
      </c>
      <c r="Z200" s="62">
        <v>0.2225</v>
      </c>
      <c r="AA200" s="62">
        <v>0.221388888888888</v>
      </c>
      <c r="AB200" s="62">
        <v>0.894722222222222</v>
      </c>
      <c r="AC200" s="62">
        <v>2.81833333333333</v>
      </c>
      <c r="AD200" s="62">
        <v>0.198888888888888</v>
      </c>
      <c r="AE200" s="62">
        <v>2.81833333333333</v>
      </c>
      <c r="AF200" s="62">
        <v>0.0</v>
      </c>
    </row>
    <row r="201">
      <c r="A201" s="68">
        <v>46153.0</v>
      </c>
      <c r="B201" s="62" t="s">
        <v>96</v>
      </c>
      <c r="C201" s="62" t="s">
        <v>97</v>
      </c>
      <c r="D201" s="62">
        <v>6.0</v>
      </c>
      <c r="E201" s="62">
        <v>0.0</v>
      </c>
      <c r="F201" s="62">
        <v>0.0</v>
      </c>
      <c r="G201" s="62">
        <v>0.0</v>
      </c>
      <c r="H201" s="62">
        <v>0.0</v>
      </c>
      <c r="I201" s="62">
        <v>0.0</v>
      </c>
      <c r="J201" s="62">
        <v>0.0</v>
      </c>
      <c r="K201" s="62">
        <v>0.0</v>
      </c>
      <c r="L201" s="62">
        <v>0.0</v>
      </c>
      <c r="M201" s="62">
        <v>3.0</v>
      </c>
      <c r="N201" s="62">
        <v>0.0</v>
      </c>
      <c r="O201" s="62">
        <v>1.0</v>
      </c>
      <c r="P201" s="62">
        <v>0.0</v>
      </c>
      <c r="Q201" s="62">
        <v>0.0</v>
      </c>
      <c r="R201" s="62">
        <v>13243.0</v>
      </c>
      <c r="S201" s="62">
        <v>0.0</v>
      </c>
      <c r="T201" s="62">
        <v>0.0</v>
      </c>
      <c r="U201" s="62">
        <v>0.0</v>
      </c>
      <c r="V201" s="62">
        <v>0.0</v>
      </c>
      <c r="W201" s="62">
        <v>0.0</v>
      </c>
      <c r="X201" s="62">
        <v>0.0</v>
      </c>
      <c r="Y201" s="62">
        <v>0.0</v>
      </c>
      <c r="Z201" s="62">
        <v>0.0</v>
      </c>
      <c r="AA201" s="62">
        <v>0.0</v>
      </c>
      <c r="AB201" s="62">
        <v>0.685277777777777</v>
      </c>
      <c r="AC201" s="62">
        <v>0.0</v>
      </c>
      <c r="AD201" s="62">
        <v>0.22</v>
      </c>
      <c r="AE201" s="62">
        <v>0.0</v>
      </c>
      <c r="AF201" s="62">
        <v>0.0</v>
      </c>
    </row>
    <row r="202">
      <c r="A202" s="68">
        <v>46153.0</v>
      </c>
      <c r="B202" s="62" t="s">
        <v>76</v>
      </c>
      <c r="C202" s="62" t="s">
        <v>165</v>
      </c>
      <c r="D202" s="62">
        <v>1.0</v>
      </c>
      <c r="E202" s="62">
        <v>1.0</v>
      </c>
      <c r="F202" s="62">
        <v>7.0</v>
      </c>
      <c r="G202" s="62">
        <v>6.0</v>
      </c>
      <c r="H202" s="62">
        <v>6.0</v>
      </c>
      <c r="I202" s="62">
        <v>0.0</v>
      </c>
      <c r="J202" s="62">
        <v>4.0</v>
      </c>
      <c r="K202" s="62">
        <v>0.0</v>
      </c>
      <c r="L202" s="62">
        <v>0.0</v>
      </c>
      <c r="M202" s="62">
        <v>0.0</v>
      </c>
      <c r="N202" s="62">
        <v>4.0</v>
      </c>
      <c r="O202" s="62">
        <v>1.0</v>
      </c>
      <c r="P202" s="62">
        <v>4.0</v>
      </c>
      <c r="Q202" s="62">
        <v>0.0</v>
      </c>
      <c r="R202" s="62">
        <v>3118.0</v>
      </c>
      <c r="S202" s="62">
        <v>3118.0</v>
      </c>
      <c r="T202" s="62">
        <v>1.74638888888888</v>
      </c>
      <c r="U202" s="62">
        <v>2.35138888888888</v>
      </c>
      <c r="V202" s="62">
        <v>1.99527777777777</v>
      </c>
      <c r="W202" s="62">
        <v>1.99527777777777</v>
      </c>
      <c r="X202" s="62">
        <v>0.0</v>
      </c>
      <c r="Y202" s="62">
        <v>1.24333333333333</v>
      </c>
      <c r="Z202" s="62">
        <v>0.0</v>
      </c>
      <c r="AA202" s="62">
        <v>0.0</v>
      </c>
      <c r="AB202" s="62">
        <v>0.0</v>
      </c>
      <c r="AC202" s="62">
        <v>1.24333333333333</v>
      </c>
      <c r="AD202" s="62">
        <v>0.225833333333333</v>
      </c>
      <c r="AE202" s="62">
        <v>1.24333333333333</v>
      </c>
      <c r="AF202" s="62">
        <v>5.0</v>
      </c>
    </row>
    <row r="203">
      <c r="A203" s="68">
        <v>46153.0</v>
      </c>
      <c r="B203" s="62" t="s">
        <v>100</v>
      </c>
      <c r="C203" s="62" t="s">
        <v>167</v>
      </c>
      <c r="D203" s="62">
        <v>0.0</v>
      </c>
      <c r="E203" s="62">
        <v>1.0</v>
      </c>
      <c r="F203" s="62">
        <v>1.0</v>
      </c>
      <c r="G203" s="62">
        <v>2.0</v>
      </c>
      <c r="H203" s="62">
        <v>2.0</v>
      </c>
      <c r="I203" s="62">
        <v>0.0</v>
      </c>
      <c r="J203" s="62">
        <v>2.0</v>
      </c>
      <c r="K203" s="62">
        <v>0.0</v>
      </c>
      <c r="L203" s="62">
        <v>0.0</v>
      </c>
      <c r="M203" s="62">
        <v>1.0</v>
      </c>
      <c r="N203" s="62">
        <v>0.0</v>
      </c>
      <c r="O203" s="62">
        <v>1.0</v>
      </c>
      <c r="P203" s="62">
        <v>0.0</v>
      </c>
      <c r="Q203" s="62">
        <v>0.0</v>
      </c>
      <c r="R203" s="62">
        <v>0.0</v>
      </c>
      <c r="S203" s="62">
        <v>2525.0</v>
      </c>
      <c r="T203" s="62">
        <v>0.818333333333333</v>
      </c>
      <c r="U203" s="62">
        <v>0.193333333333333</v>
      </c>
      <c r="V203" s="62">
        <v>0.469166666666666</v>
      </c>
      <c r="W203" s="62">
        <v>0.469166666666666</v>
      </c>
      <c r="X203" s="62">
        <v>0.0</v>
      </c>
      <c r="Y203" s="62">
        <v>0.469166666666666</v>
      </c>
      <c r="Z203" s="62">
        <v>0.0</v>
      </c>
      <c r="AA203" s="62">
        <v>0.0</v>
      </c>
      <c r="AB203" s="62">
        <v>0.228611111111111</v>
      </c>
      <c r="AC203" s="62">
        <v>0.0</v>
      </c>
      <c r="AD203" s="62">
        <v>0.236111111111111</v>
      </c>
      <c r="AE203" s="62">
        <v>0.0</v>
      </c>
      <c r="AF203" s="62">
        <v>4.0</v>
      </c>
    </row>
    <row r="204">
      <c r="A204" s="68">
        <v>46153.0</v>
      </c>
      <c r="B204" s="62" t="s">
        <v>32</v>
      </c>
      <c r="C204" s="62" t="s">
        <v>168</v>
      </c>
      <c r="D204" s="62">
        <v>0.0</v>
      </c>
      <c r="E204" s="62">
        <v>0.0</v>
      </c>
      <c r="F204" s="62">
        <v>5.0</v>
      </c>
      <c r="G204" s="62">
        <v>0.0</v>
      </c>
      <c r="H204" s="62">
        <v>4.0</v>
      </c>
      <c r="I204" s="62">
        <v>0.0</v>
      </c>
      <c r="J204" s="62">
        <v>4.0</v>
      </c>
      <c r="K204" s="62">
        <v>0.0</v>
      </c>
      <c r="L204" s="62">
        <v>0.0</v>
      </c>
      <c r="M204" s="62">
        <v>1.0</v>
      </c>
      <c r="N204" s="62">
        <v>0.0</v>
      </c>
      <c r="O204" s="62">
        <v>1.0</v>
      </c>
      <c r="P204" s="62">
        <v>0.0</v>
      </c>
      <c r="Q204" s="62">
        <v>0.0</v>
      </c>
      <c r="R204" s="62">
        <v>0.0</v>
      </c>
      <c r="S204" s="62">
        <v>0.0</v>
      </c>
      <c r="T204" s="62">
        <v>0.874722222222222</v>
      </c>
      <c r="U204" s="62">
        <v>1.10027777777777</v>
      </c>
      <c r="V204" s="62">
        <v>0.0</v>
      </c>
      <c r="W204" s="62">
        <v>0.878611111111111</v>
      </c>
      <c r="X204" s="62">
        <v>0.0</v>
      </c>
      <c r="Y204" s="62">
        <v>0.878611111111111</v>
      </c>
      <c r="Z204" s="62">
        <v>0.0</v>
      </c>
      <c r="AA204" s="62">
        <v>0.0</v>
      </c>
      <c r="AB204" s="62">
        <v>0.226944444444444</v>
      </c>
      <c r="AC204" s="62">
        <v>0.0</v>
      </c>
      <c r="AD204" s="62">
        <v>0.215</v>
      </c>
      <c r="AE204" s="62">
        <v>0.0</v>
      </c>
      <c r="AF204" s="62">
        <v>4.0</v>
      </c>
    </row>
    <row r="205">
      <c r="A205" s="68">
        <v>46153.0</v>
      </c>
      <c r="B205" s="62" t="s">
        <v>110</v>
      </c>
      <c r="C205" s="62" t="s">
        <v>169</v>
      </c>
      <c r="D205" s="62">
        <v>0.0</v>
      </c>
      <c r="E205" s="62">
        <v>4.0</v>
      </c>
      <c r="F205" s="62">
        <v>0.0</v>
      </c>
      <c r="G205" s="62">
        <v>0.0</v>
      </c>
      <c r="H205" s="62">
        <v>0.0</v>
      </c>
      <c r="I205" s="62">
        <v>0.0</v>
      </c>
      <c r="J205" s="62">
        <v>0.0</v>
      </c>
      <c r="K205" s="62">
        <v>0.0</v>
      </c>
      <c r="L205" s="62">
        <v>0.0</v>
      </c>
      <c r="M205" s="62">
        <v>0.0</v>
      </c>
      <c r="N205" s="62">
        <v>0.0</v>
      </c>
      <c r="O205" s="62">
        <v>0.0</v>
      </c>
      <c r="P205" s="62">
        <v>0.0</v>
      </c>
      <c r="Q205" s="62">
        <v>0.0</v>
      </c>
      <c r="R205" s="62">
        <v>0.0</v>
      </c>
      <c r="S205" s="62">
        <v>8709.0</v>
      </c>
      <c r="T205" s="62">
        <v>0.0</v>
      </c>
      <c r="U205" s="62">
        <v>0.0</v>
      </c>
      <c r="V205" s="62">
        <v>0.0</v>
      </c>
      <c r="W205" s="62">
        <v>0.0</v>
      </c>
      <c r="X205" s="62">
        <v>0.0</v>
      </c>
      <c r="Y205" s="62">
        <v>0.0</v>
      </c>
      <c r="Z205" s="62">
        <v>0.0</v>
      </c>
      <c r="AA205" s="62">
        <v>0.0</v>
      </c>
      <c r="AB205" s="62">
        <v>0.0</v>
      </c>
      <c r="AC205" s="62">
        <v>0.0</v>
      </c>
      <c r="AD205" s="62">
        <v>0.0</v>
      </c>
      <c r="AE205" s="62">
        <v>0.0</v>
      </c>
      <c r="AF205" s="62">
        <v>0.0</v>
      </c>
    </row>
    <row r="206">
      <c r="A206" s="68">
        <v>46153.0</v>
      </c>
      <c r="B206" s="62" t="s">
        <v>102</v>
      </c>
      <c r="C206" s="62" t="s">
        <v>170</v>
      </c>
      <c r="D206" s="62">
        <v>15.0</v>
      </c>
      <c r="E206" s="62">
        <v>2.0</v>
      </c>
      <c r="F206" s="62">
        <v>0.0</v>
      </c>
      <c r="G206" s="62">
        <v>0.0</v>
      </c>
      <c r="H206" s="62">
        <v>0.0</v>
      </c>
      <c r="I206" s="62">
        <v>0.0</v>
      </c>
      <c r="J206" s="62">
        <v>0.0</v>
      </c>
      <c r="K206" s="62">
        <v>0.0</v>
      </c>
      <c r="L206" s="62">
        <v>0.0</v>
      </c>
      <c r="M206" s="62">
        <v>2.0</v>
      </c>
      <c r="N206" s="62">
        <v>2.0</v>
      </c>
      <c r="O206" s="62">
        <v>1.0</v>
      </c>
      <c r="P206" s="62">
        <v>2.0</v>
      </c>
      <c r="Q206" s="62">
        <v>0.0</v>
      </c>
      <c r="R206" s="62">
        <v>35333.0</v>
      </c>
      <c r="S206" s="62">
        <v>5063.0</v>
      </c>
      <c r="T206" s="62">
        <v>0.257222222222222</v>
      </c>
      <c r="U206" s="62">
        <v>0.0</v>
      </c>
      <c r="V206" s="62">
        <v>0.0</v>
      </c>
      <c r="W206" s="62">
        <v>0.0</v>
      </c>
      <c r="X206" s="62">
        <v>0.0</v>
      </c>
      <c r="Y206" s="62">
        <v>0.0</v>
      </c>
      <c r="Z206" s="62">
        <v>0.0</v>
      </c>
      <c r="AA206" s="62">
        <v>0.0</v>
      </c>
      <c r="AB206" s="62">
        <v>0.521944444444444</v>
      </c>
      <c r="AC206" s="62">
        <v>0.522222222222222</v>
      </c>
      <c r="AD206" s="62">
        <v>0.264444444444444</v>
      </c>
      <c r="AE206" s="62">
        <v>0.522222222222222</v>
      </c>
      <c r="AF206" s="62">
        <v>1.0</v>
      </c>
    </row>
    <row r="207">
      <c r="A207" s="68">
        <v>46153.0</v>
      </c>
      <c r="B207" s="62" t="s">
        <v>41</v>
      </c>
      <c r="C207" s="62" t="s">
        <v>172</v>
      </c>
      <c r="D207" s="62">
        <v>1.0</v>
      </c>
      <c r="E207" s="62">
        <v>4.0</v>
      </c>
      <c r="F207" s="62">
        <v>0.0</v>
      </c>
      <c r="G207" s="62">
        <v>0.0</v>
      </c>
      <c r="H207" s="62">
        <v>2.0</v>
      </c>
      <c r="I207" s="62">
        <v>2.0</v>
      </c>
      <c r="J207" s="62">
        <v>6.0</v>
      </c>
      <c r="K207" s="62">
        <v>1.0</v>
      </c>
      <c r="L207" s="62">
        <v>0.0</v>
      </c>
      <c r="M207" s="62">
        <v>2.0</v>
      </c>
      <c r="N207" s="62">
        <v>2.0</v>
      </c>
      <c r="O207" s="62">
        <v>1.0</v>
      </c>
      <c r="P207" s="62">
        <v>2.0</v>
      </c>
      <c r="Q207" s="62">
        <v>0.0</v>
      </c>
      <c r="R207" s="62">
        <v>2781.0</v>
      </c>
      <c r="S207" s="62">
        <v>10736.0</v>
      </c>
      <c r="T207" s="62">
        <v>1.35111111111111</v>
      </c>
      <c r="U207" s="62">
        <v>0.0</v>
      </c>
      <c r="V207" s="62">
        <v>0.0</v>
      </c>
      <c r="W207" s="62">
        <v>0.446111111111111</v>
      </c>
      <c r="X207" s="62">
        <v>0.446111111111111</v>
      </c>
      <c r="Y207" s="62">
        <v>1.405</v>
      </c>
      <c r="Z207" s="62">
        <v>0.24</v>
      </c>
      <c r="AA207" s="62">
        <v>0.0</v>
      </c>
      <c r="AB207" s="62">
        <v>0.457777777777777</v>
      </c>
      <c r="AC207" s="62">
        <v>0.457777777777777</v>
      </c>
      <c r="AD207" s="62">
        <v>0.225555555555555</v>
      </c>
      <c r="AE207" s="62">
        <v>0.457777777777777</v>
      </c>
      <c r="AF207" s="62">
        <v>6.0</v>
      </c>
    </row>
    <row r="208">
      <c r="A208" s="68">
        <v>46153.0</v>
      </c>
      <c r="B208" s="62" t="s">
        <v>65</v>
      </c>
      <c r="C208" s="62" t="s">
        <v>173</v>
      </c>
      <c r="D208" s="62">
        <v>4.0</v>
      </c>
      <c r="E208" s="62">
        <v>3.0</v>
      </c>
      <c r="F208" s="62">
        <v>0.0</v>
      </c>
      <c r="G208" s="62">
        <v>0.0</v>
      </c>
      <c r="H208" s="62">
        <v>6.0</v>
      </c>
      <c r="I208" s="62">
        <v>6.0</v>
      </c>
      <c r="J208" s="62">
        <v>3.0</v>
      </c>
      <c r="K208" s="62">
        <v>0.0</v>
      </c>
      <c r="L208" s="62">
        <v>0.0</v>
      </c>
      <c r="M208" s="62">
        <v>0.0</v>
      </c>
      <c r="N208" s="62">
        <v>0.0</v>
      </c>
      <c r="O208" s="62">
        <v>1.0</v>
      </c>
      <c r="P208" s="62">
        <v>0.0</v>
      </c>
      <c r="Q208" s="62">
        <v>0.0</v>
      </c>
      <c r="R208" s="62">
        <v>9040.0</v>
      </c>
      <c r="S208" s="62">
        <v>6166.0</v>
      </c>
      <c r="T208" s="62">
        <v>0.0</v>
      </c>
      <c r="U208" s="62">
        <v>0.0</v>
      </c>
      <c r="V208" s="62">
        <v>0.0</v>
      </c>
      <c r="W208" s="62">
        <v>1.26222222222222</v>
      </c>
      <c r="X208" s="62">
        <v>1.26222222222222</v>
      </c>
      <c r="Y208" s="62">
        <v>0.680555555555555</v>
      </c>
      <c r="Z208" s="62">
        <v>0.0</v>
      </c>
      <c r="AA208" s="62">
        <v>0.0</v>
      </c>
      <c r="AB208" s="62">
        <v>0.0</v>
      </c>
      <c r="AC208" s="62">
        <v>0.0</v>
      </c>
      <c r="AD208" s="62">
        <v>0.234722222222222</v>
      </c>
      <c r="AE208" s="62">
        <v>0.0</v>
      </c>
      <c r="AF208" s="62">
        <v>0.0</v>
      </c>
    </row>
    <row r="209">
      <c r="A209" s="68">
        <v>46153.0</v>
      </c>
      <c r="B209" s="62" t="s">
        <v>37</v>
      </c>
      <c r="C209" s="62" t="s">
        <v>174</v>
      </c>
      <c r="D209" s="62">
        <v>0.0</v>
      </c>
      <c r="E209" s="62">
        <v>5.0</v>
      </c>
      <c r="F209" s="62">
        <v>4.0</v>
      </c>
      <c r="G209" s="62">
        <v>2.0</v>
      </c>
      <c r="H209" s="62">
        <v>2.0</v>
      </c>
      <c r="I209" s="62">
        <v>0.0</v>
      </c>
      <c r="J209" s="62">
        <v>2.0</v>
      </c>
      <c r="K209" s="62">
        <v>0.0</v>
      </c>
      <c r="L209" s="62">
        <v>0.0</v>
      </c>
      <c r="M209" s="62">
        <v>0.0</v>
      </c>
      <c r="N209" s="62">
        <v>0.0</v>
      </c>
      <c r="O209" s="62">
        <v>1.0</v>
      </c>
      <c r="P209" s="62">
        <v>0.0</v>
      </c>
      <c r="Q209" s="62">
        <v>0.0</v>
      </c>
      <c r="R209" s="62">
        <v>0.0</v>
      </c>
      <c r="S209" s="62">
        <v>11892.0</v>
      </c>
      <c r="T209" s="62">
        <v>1.04361111111111</v>
      </c>
      <c r="U209" s="62">
        <v>1.08583333333333</v>
      </c>
      <c r="V209" s="62">
        <v>0.522777777777777</v>
      </c>
      <c r="W209" s="62">
        <v>0.522777777777777</v>
      </c>
      <c r="X209" s="62">
        <v>0.0</v>
      </c>
      <c r="Y209" s="62">
        <v>0.522777777777777</v>
      </c>
      <c r="Z209" s="62">
        <v>0.0</v>
      </c>
      <c r="AA209" s="62">
        <v>0.0</v>
      </c>
      <c r="AB209" s="62">
        <v>0.0</v>
      </c>
      <c r="AC209" s="62">
        <v>0.0</v>
      </c>
      <c r="AD209" s="62">
        <v>0.306388888888888</v>
      </c>
      <c r="AE209" s="62">
        <v>0.0</v>
      </c>
      <c r="AF209" s="62">
        <v>4.0</v>
      </c>
    </row>
    <row r="210">
      <c r="A210" s="68">
        <v>46153.0</v>
      </c>
      <c r="B210" s="62" t="s">
        <v>108</v>
      </c>
      <c r="C210" s="62" t="s">
        <v>175</v>
      </c>
      <c r="D210" s="62">
        <v>0.0</v>
      </c>
      <c r="E210" s="62">
        <v>3.0</v>
      </c>
      <c r="F210" s="62">
        <v>6.0</v>
      </c>
      <c r="G210" s="62">
        <v>2.0</v>
      </c>
      <c r="H210" s="62">
        <v>3.0</v>
      </c>
      <c r="I210" s="62">
        <v>1.0</v>
      </c>
      <c r="J210" s="62">
        <v>0.0</v>
      </c>
      <c r="K210" s="62">
        <v>0.0</v>
      </c>
      <c r="L210" s="62">
        <v>0.0</v>
      </c>
      <c r="M210" s="62">
        <v>3.0</v>
      </c>
      <c r="N210" s="62">
        <v>3.0</v>
      </c>
      <c r="O210" s="62">
        <v>1.0</v>
      </c>
      <c r="P210" s="62">
        <v>3.0</v>
      </c>
      <c r="Q210" s="62">
        <v>0.0</v>
      </c>
      <c r="R210" s="62">
        <v>0.0</v>
      </c>
      <c r="S210" s="62">
        <v>5864.0</v>
      </c>
      <c r="T210" s="62">
        <v>0.613888888888888</v>
      </c>
      <c r="U210" s="62">
        <v>1.4075</v>
      </c>
      <c r="V210" s="62">
        <v>0.454444444444444</v>
      </c>
      <c r="W210" s="62">
        <v>0.671388888888888</v>
      </c>
      <c r="X210" s="62">
        <v>0.216944444444444</v>
      </c>
      <c r="Y210" s="62">
        <v>0.0</v>
      </c>
      <c r="Z210" s="62">
        <v>0.0</v>
      </c>
      <c r="AA210" s="62">
        <v>0.0</v>
      </c>
      <c r="AB210" s="62">
        <v>0.678333333333333</v>
      </c>
      <c r="AC210" s="62">
        <v>0.678333333333333</v>
      </c>
      <c r="AD210" s="62">
        <v>0.173611111111111</v>
      </c>
      <c r="AE210" s="62">
        <v>0.678333333333333</v>
      </c>
      <c r="AF210" s="62">
        <v>3.0</v>
      </c>
    </row>
    <row r="211">
      <c r="A211" s="68">
        <v>46153.0</v>
      </c>
      <c r="B211" s="62" t="s">
        <v>56</v>
      </c>
      <c r="C211" s="62" t="s">
        <v>176</v>
      </c>
      <c r="D211" s="62">
        <v>0.0</v>
      </c>
      <c r="E211" s="62">
        <v>8.0</v>
      </c>
      <c r="F211" s="62">
        <v>4.0</v>
      </c>
      <c r="G211" s="62">
        <v>6.0</v>
      </c>
      <c r="H211" s="62">
        <v>6.0</v>
      </c>
      <c r="I211" s="62">
        <v>0.0</v>
      </c>
      <c r="J211" s="62">
        <v>6.0</v>
      </c>
      <c r="K211" s="62">
        <v>0.0</v>
      </c>
      <c r="L211" s="62">
        <v>0.0</v>
      </c>
      <c r="M211" s="62">
        <v>0.0</v>
      </c>
      <c r="N211" s="62">
        <v>6.0</v>
      </c>
      <c r="O211" s="62">
        <v>1.0</v>
      </c>
      <c r="P211" s="62">
        <v>6.0</v>
      </c>
      <c r="Q211" s="62">
        <v>0.0</v>
      </c>
      <c r="R211" s="62">
        <v>0.0</v>
      </c>
      <c r="S211" s="62">
        <v>18597.0</v>
      </c>
      <c r="T211" s="62">
        <v>1.22444444444444</v>
      </c>
      <c r="U211" s="62">
        <v>0.963888888888888</v>
      </c>
      <c r="V211" s="62">
        <v>1.49861111111111</v>
      </c>
      <c r="W211" s="62">
        <v>1.49861111111111</v>
      </c>
      <c r="X211" s="62">
        <v>0.0</v>
      </c>
      <c r="Y211" s="62">
        <v>1.49861111111111</v>
      </c>
      <c r="Z211" s="62">
        <v>0.0</v>
      </c>
      <c r="AA211" s="62">
        <v>0.0</v>
      </c>
      <c r="AB211" s="62">
        <v>0.0</v>
      </c>
      <c r="AC211" s="62">
        <v>1.41861111111111</v>
      </c>
      <c r="AD211" s="62">
        <v>0.219722222222222</v>
      </c>
      <c r="AE211" s="62">
        <v>1.41861111111111</v>
      </c>
      <c r="AF211" s="62">
        <v>5.0</v>
      </c>
    </row>
    <row r="212">
      <c r="A212" s="68">
        <v>46153.0</v>
      </c>
      <c r="B212" s="62" t="s">
        <v>26</v>
      </c>
      <c r="C212" s="62" t="s">
        <v>178</v>
      </c>
      <c r="D212" s="62">
        <v>0.0</v>
      </c>
      <c r="E212" s="62">
        <v>10.0</v>
      </c>
      <c r="F212" s="62">
        <v>4.0</v>
      </c>
      <c r="G212" s="62">
        <v>2.0</v>
      </c>
      <c r="H212" s="62">
        <v>5.0</v>
      </c>
      <c r="I212" s="62">
        <v>3.0</v>
      </c>
      <c r="J212" s="62">
        <v>1.0</v>
      </c>
      <c r="K212" s="62">
        <v>0.0</v>
      </c>
      <c r="L212" s="62">
        <v>0.0</v>
      </c>
      <c r="M212" s="62">
        <v>1.0</v>
      </c>
      <c r="N212" s="62">
        <v>3.0</v>
      </c>
      <c r="O212" s="62">
        <v>1.0</v>
      </c>
      <c r="P212" s="62">
        <v>3.0</v>
      </c>
      <c r="Q212" s="62">
        <v>0.0</v>
      </c>
      <c r="R212" s="62">
        <v>0.0</v>
      </c>
      <c r="S212" s="62">
        <v>21139.0</v>
      </c>
      <c r="T212" s="62">
        <v>2.15055555555555</v>
      </c>
      <c r="U212" s="62">
        <v>0.705555555555555</v>
      </c>
      <c r="V212" s="62">
        <v>0.372777777777777</v>
      </c>
      <c r="W212" s="62">
        <v>0.929166666666666</v>
      </c>
      <c r="X212" s="62">
        <v>0.556388888888888</v>
      </c>
      <c r="Y212" s="62">
        <v>0.210555555555555</v>
      </c>
      <c r="Z212" s="62">
        <v>0.0</v>
      </c>
      <c r="AA212" s="62">
        <v>0.0</v>
      </c>
      <c r="AB212" s="62">
        <v>0.210555555555555</v>
      </c>
      <c r="AC212" s="62">
        <v>0.626111111111111</v>
      </c>
      <c r="AD212" s="62">
        <v>0.176944444444444</v>
      </c>
      <c r="AE212" s="62">
        <v>0.626111111111111</v>
      </c>
      <c r="AF212" s="62">
        <v>12.0</v>
      </c>
    </row>
    <row r="213">
      <c r="A213" s="68">
        <v>46153.0</v>
      </c>
      <c r="B213" s="62" t="s">
        <v>62</v>
      </c>
      <c r="C213" s="62" t="s">
        <v>63</v>
      </c>
      <c r="D213" s="62">
        <v>0.0</v>
      </c>
      <c r="E213" s="62">
        <v>1.0</v>
      </c>
      <c r="F213" s="62">
        <v>0.0</v>
      </c>
      <c r="G213" s="62">
        <v>0.0</v>
      </c>
      <c r="H213" s="62">
        <v>2.0</v>
      </c>
      <c r="I213" s="62">
        <v>2.0</v>
      </c>
      <c r="J213" s="62">
        <v>0.0</v>
      </c>
      <c r="K213" s="62">
        <v>0.0</v>
      </c>
      <c r="L213" s="62">
        <v>0.0</v>
      </c>
      <c r="M213" s="62">
        <v>2.0</v>
      </c>
      <c r="N213" s="62">
        <v>0.0</v>
      </c>
      <c r="O213" s="62">
        <v>1.0</v>
      </c>
      <c r="P213" s="62">
        <v>0.0</v>
      </c>
      <c r="Q213" s="62">
        <v>0.0</v>
      </c>
      <c r="R213" s="62">
        <v>0.0</v>
      </c>
      <c r="S213" s="62">
        <v>1964.0</v>
      </c>
      <c r="T213" s="62">
        <v>0.379444444444444</v>
      </c>
      <c r="U213" s="62">
        <v>0.0</v>
      </c>
      <c r="V213" s="62">
        <v>0.0</v>
      </c>
      <c r="W213" s="62">
        <v>0.379444444444444</v>
      </c>
      <c r="X213" s="62">
        <v>0.379444444444444</v>
      </c>
      <c r="Y213" s="62">
        <v>0.0</v>
      </c>
      <c r="Z213" s="62">
        <v>0.0</v>
      </c>
      <c r="AA213" s="62">
        <v>0.0</v>
      </c>
      <c r="AB213" s="62">
        <v>0.427777777777777</v>
      </c>
      <c r="AC213" s="62">
        <v>0.0</v>
      </c>
      <c r="AD213" s="62">
        <v>0.221388888888888</v>
      </c>
      <c r="AE213" s="62">
        <v>0.0</v>
      </c>
      <c r="AF213" s="62">
        <v>2.0</v>
      </c>
    </row>
    <row r="214">
      <c r="A214" s="68">
        <v>46152.0</v>
      </c>
      <c r="B214" s="62" t="s">
        <v>96</v>
      </c>
      <c r="C214" s="62" t="s">
        <v>97</v>
      </c>
      <c r="D214" s="62">
        <v>0.0</v>
      </c>
      <c r="E214" s="62">
        <v>0.0</v>
      </c>
      <c r="F214" s="62">
        <v>0.0</v>
      </c>
      <c r="G214" s="62">
        <v>0.0</v>
      </c>
      <c r="H214" s="62">
        <v>0.0</v>
      </c>
      <c r="I214" s="62">
        <v>0.0</v>
      </c>
      <c r="J214" s="62">
        <v>0.0</v>
      </c>
      <c r="K214" s="62">
        <v>0.0</v>
      </c>
      <c r="L214" s="62">
        <v>0.0</v>
      </c>
      <c r="M214" s="62">
        <v>1.0</v>
      </c>
      <c r="N214" s="62">
        <v>5.0</v>
      </c>
      <c r="O214" s="62">
        <v>1.0</v>
      </c>
      <c r="P214" s="62">
        <v>5.0</v>
      </c>
      <c r="Q214" s="62">
        <v>0.0</v>
      </c>
      <c r="R214" s="62">
        <v>0.0</v>
      </c>
      <c r="S214" s="62">
        <v>0.0</v>
      </c>
      <c r="T214" s="62">
        <v>0.0</v>
      </c>
      <c r="U214" s="62">
        <v>0.0</v>
      </c>
      <c r="V214" s="62">
        <v>0.0</v>
      </c>
      <c r="W214" s="62">
        <v>0.0</v>
      </c>
      <c r="X214" s="62">
        <v>0.0</v>
      </c>
      <c r="Y214" s="62">
        <v>0.0</v>
      </c>
      <c r="Z214" s="62">
        <v>0.0</v>
      </c>
      <c r="AA214" s="62">
        <v>0.0</v>
      </c>
      <c r="AB214" s="62">
        <v>0.206111111111111</v>
      </c>
      <c r="AC214" s="62">
        <v>1.13027777777777</v>
      </c>
      <c r="AD214" s="62">
        <v>0.217777777777777</v>
      </c>
      <c r="AE214" s="62">
        <v>1.13027777777777</v>
      </c>
      <c r="AF214" s="62">
        <v>0.0</v>
      </c>
    </row>
    <row r="215">
      <c r="A215" s="68">
        <v>46152.0</v>
      </c>
      <c r="B215" s="62" t="s">
        <v>71</v>
      </c>
      <c r="C215" s="62" t="s">
        <v>163</v>
      </c>
      <c r="D215" s="62">
        <v>0.0</v>
      </c>
      <c r="E215" s="62">
        <v>0.0</v>
      </c>
      <c r="F215" s="62">
        <v>0.0</v>
      </c>
      <c r="G215" s="62">
        <v>0.0</v>
      </c>
      <c r="H215" s="62">
        <v>0.0</v>
      </c>
      <c r="I215" s="62">
        <v>0.0</v>
      </c>
      <c r="J215" s="62">
        <v>0.0</v>
      </c>
      <c r="K215" s="62">
        <v>0.0</v>
      </c>
      <c r="L215" s="62">
        <v>0.0</v>
      </c>
      <c r="M215" s="62">
        <v>1.0</v>
      </c>
      <c r="N215" s="62">
        <v>0.0</v>
      </c>
      <c r="O215" s="62">
        <v>1.0</v>
      </c>
      <c r="P215" s="62">
        <v>0.0</v>
      </c>
      <c r="Q215" s="62">
        <v>0.0</v>
      </c>
      <c r="R215" s="62">
        <v>0.0</v>
      </c>
      <c r="S215" s="62">
        <v>0.0</v>
      </c>
      <c r="T215" s="62">
        <v>0.0</v>
      </c>
      <c r="U215" s="62">
        <v>0.0</v>
      </c>
      <c r="V215" s="62">
        <v>0.0</v>
      </c>
      <c r="W215" s="62">
        <v>0.0</v>
      </c>
      <c r="X215" s="62">
        <v>0.0</v>
      </c>
      <c r="Y215" s="62">
        <v>0.0</v>
      </c>
      <c r="Z215" s="62">
        <v>0.0</v>
      </c>
      <c r="AA215" s="62">
        <v>0.0</v>
      </c>
      <c r="AB215" s="62">
        <v>0.274722222222222</v>
      </c>
      <c r="AC215" s="62">
        <v>0.0</v>
      </c>
      <c r="AD215" s="62">
        <v>0.276388888888888</v>
      </c>
      <c r="AE215" s="62">
        <v>0.0</v>
      </c>
      <c r="AF215" s="62">
        <v>0.0</v>
      </c>
    </row>
    <row r="216">
      <c r="A216" s="68">
        <v>46152.0</v>
      </c>
      <c r="B216" s="62" t="s">
        <v>76</v>
      </c>
      <c r="C216" s="62" t="s">
        <v>165</v>
      </c>
      <c r="D216" s="62">
        <v>0.0</v>
      </c>
      <c r="E216" s="62">
        <v>0.0</v>
      </c>
      <c r="F216" s="62">
        <v>0.0</v>
      </c>
      <c r="G216" s="62">
        <v>1.0</v>
      </c>
      <c r="H216" s="62">
        <v>1.0</v>
      </c>
      <c r="I216" s="62">
        <v>0.0</v>
      </c>
      <c r="J216" s="62">
        <v>0.0</v>
      </c>
      <c r="K216" s="62">
        <v>0.0</v>
      </c>
      <c r="L216" s="62">
        <v>0.0</v>
      </c>
      <c r="M216" s="62">
        <v>0.0</v>
      </c>
      <c r="N216" s="62">
        <v>1.0</v>
      </c>
      <c r="O216" s="62">
        <v>1.0</v>
      </c>
      <c r="P216" s="62">
        <v>1.0</v>
      </c>
      <c r="Q216" s="62">
        <v>0.0</v>
      </c>
      <c r="R216" s="62">
        <v>0.0</v>
      </c>
      <c r="S216" s="62">
        <v>0.0</v>
      </c>
      <c r="T216" s="62">
        <v>0.0</v>
      </c>
      <c r="U216" s="62">
        <v>0.0</v>
      </c>
      <c r="V216" s="62">
        <v>0.273333333333333</v>
      </c>
      <c r="W216" s="62">
        <v>0.273333333333333</v>
      </c>
      <c r="X216" s="62">
        <v>0.0</v>
      </c>
      <c r="Y216" s="62">
        <v>0.0</v>
      </c>
      <c r="Z216" s="62">
        <v>0.0</v>
      </c>
      <c r="AA216" s="62">
        <v>0.0</v>
      </c>
      <c r="AB216" s="62">
        <v>0.0</v>
      </c>
      <c r="AC216" s="62">
        <v>0.266388888888888</v>
      </c>
      <c r="AD216" s="62">
        <v>0.231111111111111</v>
      </c>
      <c r="AE216" s="62">
        <v>0.266388888888888</v>
      </c>
      <c r="AF216" s="62">
        <v>0.0</v>
      </c>
    </row>
    <row r="217">
      <c r="A217" s="68">
        <v>46152.0</v>
      </c>
      <c r="B217" s="62" t="s">
        <v>41</v>
      </c>
      <c r="C217" s="62" t="s">
        <v>172</v>
      </c>
      <c r="D217" s="62">
        <v>2.0</v>
      </c>
      <c r="E217" s="62">
        <v>0.0</v>
      </c>
      <c r="F217" s="62">
        <v>0.0</v>
      </c>
      <c r="G217" s="62">
        <v>0.0</v>
      </c>
      <c r="H217" s="62">
        <v>0.0</v>
      </c>
      <c r="I217" s="62">
        <v>0.0</v>
      </c>
      <c r="J217" s="62">
        <v>0.0</v>
      </c>
      <c r="K217" s="62">
        <v>0.0</v>
      </c>
      <c r="L217" s="62">
        <v>0.0</v>
      </c>
      <c r="M217" s="62">
        <v>1.0</v>
      </c>
      <c r="N217" s="62">
        <v>1.0</v>
      </c>
      <c r="O217" s="62">
        <v>1.0</v>
      </c>
      <c r="P217" s="62">
        <v>1.0</v>
      </c>
      <c r="Q217" s="62">
        <v>0.0</v>
      </c>
      <c r="R217" s="62">
        <v>5781.0</v>
      </c>
      <c r="S217" s="62">
        <v>0.0</v>
      </c>
      <c r="T217" s="62">
        <v>0.0</v>
      </c>
      <c r="U217" s="62">
        <v>0.0</v>
      </c>
      <c r="V217" s="62">
        <v>0.0</v>
      </c>
      <c r="W217" s="62">
        <v>0.0</v>
      </c>
      <c r="X217" s="62">
        <v>0.0</v>
      </c>
      <c r="Y217" s="62">
        <v>0.0</v>
      </c>
      <c r="Z217" s="62">
        <v>0.0</v>
      </c>
      <c r="AA217" s="62">
        <v>0.0</v>
      </c>
      <c r="AB217" s="62">
        <v>0.225833333333333</v>
      </c>
      <c r="AC217" s="62">
        <v>0.225833333333333</v>
      </c>
      <c r="AD217" s="62">
        <v>0.220555555555555</v>
      </c>
      <c r="AE217" s="62">
        <v>0.225833333333333</v>
      </c>
      <c r="AF217" s="62">
        <v>0.0</v>
      </c>
    </row>
    <row r="218">
      <c r="A218" s="68">
        <v>46152.0</v>
      </c>
      <c r="B218" s="62" t="s">
        <v>65</v>
      </c>
      <c r="C218" s="62" t="s">
        <v>173</v>
      </c>
      <c r="D218" s="62">
        <v>0.0</v>
      </c>
      <c r="E218" s="62">
        <v>0.0</v>
      </c>
      <c r="F218" s="62">
        <v>0.0</v>
      </c>
      <c r="G218" s="62">
        <v>0.0</v>
      </c>
      <c r="H218" s="62">
        <v>0.0</v>
      </c>
      <c r="I218" s="62">
        <v>0.0</v>
      </c>
      <c r="J218" s="62">
        <v>0.0</v>
      </c>
      <c r="K218" s="62">
        <v>0.0</v>
      </c>
      <c r="L218" s="62">
        <v>0.0</v>
      </c>
      <c r="M218" s="62">
        <v>0.0</v>
      </c>
      <c r="N218" s="62">
        <v>0.0</v>
      </c>
      <c r="O218" s="62">
        <v>1.0</v>
      </c>
      <c r="P218" s="62">
        <v>0.0</v>
      </c>
      <c r="Q218" s="62">
        <v>0.0</v>
      </c>
      <c r="R218" s="62">
        <v>0.0</v>
      </c>
      <c r="S218" s="62">
        <v>0.0</v>
      </c>
      <c r="T218" s="62">
        <v>0.581666666666666</v>
      </c>
      <c r="U218" s="62">
        <v>0.0</v>
      </c>
      <c r="V218" s="62">
        <v>0.0</v>
      </c>
      <c r="W218" s="62">
        <v>0.0</v>
      </c>
      <c r="X218" s="62">
        <v>0.0</v>
      </c>
      <c r="Y218" s="62">
        <v>0.0</v>
      </c>
      <c r="Z218" s="62">
        <v>0.0</v>
      </c>
      <c r="AA218" s="62">
        <v>0.0</v>
      </c>
      <c r="AB218" s="62">
        <v>0.0</v>
      </c>
      <c r="AC218" s="62">
        <v>0.0</v>
      </c>
      <c r="AD218" s="62">
        <v>0.200833333333333</v>
      </c>
      <c r="AE218" s="62">
        <v>0.0</v>
      </c>
      <c r="AF218" s="62">
        <v>3.0</v>
      </c>
    </row>
    <row r="219">
      <c r="A219" s="68">
        <v>46152.0</v>
      </c>
      <c r="B219" s="62" t="s">
        <v>108</v>
      </c>
      <c r="C219" s="62" t="s">
        <v>175</v>
      </c>
      <c r="D219" s="62">
        <v>0.0</v>
      </c>
      <c r="E219" s="62">
        <v>1.0</v>
      </c>
      <c r="F219" s="62">
        <v>0.0</v>
      </c>
      <c r="G219" s="62">
        <v>0.0</v>
      </c>
      <c r="H219" s="62">
        <v>0.0</v>
      </c>
      <c r="I219" s="62">
        <v>0.0</v>
      </c>
      <c r="J219" s="62">
        <v>0.0</v>
      </c>
      <c r="K219" s="62">
        <v>0.0</v>
      </c>
      <c r="L219" s="62">
        <v>0.0</v>
      </c>
      <c r="M219" s="62">
        <v>0.0</v>
      </c>
      <c r="N219" s="62">
        <v>7.0</v>
      </c>
      <c r="O219" s="62">
        <v>1.0</v>
      </c>
      <c r="P219" s="62">
        <v>7.0</v>
      </c>
      <c r="Q219" s="62">
        <v>0.0</v>
      </c>
      <c r="R219" s="62">
        <v>0.0</v>
      </c>
      <c r="S219" s="62">
        <v>2048.0</v>
      </c>
      <c r="T219" s="62">
        <v>0.239722222222222</v>
      </c>
      <c r="U219" s="62">
        <v>0.0</v>
      </c>
      <c r="V219" s="62">
        <v>0.0</v>
      </c>
      <c r="W219" s="62">
        <v>0.0</v>
      </c>
      <c r="X219" s="62">
        <v>0.0</v>
      </c>
      <c r="Y219" s="62">
        <v>0.0</v>
      </c>
      <c r="Z219" s="62">
        <v>0.0</v>
      </c>
      <c r="AA219" s="62">
        <v>0.0</v>
      </c>
      <c r="AB219" s="62">
        <v>0.0</v>
      </c>
      <c r="AC219" s="62">
        <v>1.26916666666666</v>
      </c>
      <c r="AD219" s="62">
        <v>0.217222222222222</v>
      </c>
      <c r="AE219" s="62">
        <v>1.26916666666666</v>
      </c>
      <c r="AF219" s="62">
        <v>1.0</v>
      </c>
    </row>
    <row r="220">
      <c r="A220" s="68">
        <v>46152.0</v>
      </c>
      <c r="B220" s="62" t="s">
        <v>56</v>
      </c>
      <c r="C220" s="62" t="s">
        <v>176</v>
      </c>
      <c r="D220" s="62">
        <v>1.0</v>
      </c>
      <c r="E220" s="62">
        <v>0.0</v>
      </c>
      <c r="F220" s="62">
        <v>0.0</v>
      </c>
      <c r="G220" s="62">
        <v>11.0</v>
      </c>
      <c r="H220" s="62">
        <v>11.0</v>
      </c>
      <c r="I220" s="62">
        <v>0.0</v>
      </c>
      <c r="J220" s="62">
        <v>11.0</v>
      </c>
      <c r="K220" s="62">
        <v>0.0</v>
      </c>
      <c r="L220" s="62">
        <v>0.0</v>
      </c>
      <c r="M220" s="62">
        <v>0.0</v>
      </c>
      <c r="N220" s="62">
        <v>7.0</v>
      </c>
      <c r="O220" s="62">
        <v>1.0</v>
      </c>
      <c r="P220" s="62">
        <v>7.0</v>
      </c>
      <c r="Q220" s="62">
        <v>0.0</v>
      </c>
      <c r="R220" s="62">
        <v>2407.0</v>
      </c>
      <c r="S220" s="62">
        <v>0.0</v>
      </c>
      <c r="T220" s="62">
        <v>0.0</v>
      </c>
      <c r="U220" s="62">
        <v>0.0</v>
      </c>
      <c r="V220" s="62">
        <v>2.70222222222222</v>
      </c>
      <c r="W220" s="62">
        <v>2.70222222222222</v>
      </c>
      <c r="X220" s="62">
        <v>0.0</v>
      </c>
      <c r="Y220" s="62">
        <v>2.70222222222222</v>
      </c>
      <c r="Z220" s="62">
        <v>0.0</v>
      </c>
      <c r="AA220" s="62">
        <v>0.0</v>
      </c>
      <c r="AB220" s="62">
        <v>0.0</v>
      </c>
      <c r="AC220" s="62">
        <v>1.72</v>
      </c>
      <c r="AD220" s="62">
        <v>0.216666666666666</v>
      </c>
      <c r="AE220" s="62">
        <v>1.72</v>
      </c>
      <c r="AF220" s="62">
        <v>0.0</v>
      </c>
    </row>
    <row r="221">
      <c r="A221" s="68">
        <v>46151.0</v>
      </c>
      <c r="B221" s="62" t="s">
        <v>79</v>
      </c>
      <c r="C221" s="62" t="s">
        <v>162</v>
      </c>
      <c r="D221" s="62">
        <v>0.0</v>
      </c>
      <c r="E221" s="62">
        <v>0.0</v>
      </c>
      <c r="F221" s="62">
        <v>0.0</v>
      </c>
      <c r="G221" s="62">
        <v>0.0</v>
      </c>
      <c r="H221" s="62">
        <v>0.0</v>
      </c>
      <c r="I221" s="62">
        <v>0.0</v>
      </c>
      <c r="J221" s="62">
        <v>0.0</v>
      </c>
      <c r="K221" s="62">
        <v>0.0</v>
      </c>
      <c r="L221" s="62">
        <v>1.0</v>
      </c>
      <c r="M221" s="62">
        <v>6.0</v>
      </c>
      <c r="N221" s="62">
        <v>2.0</v>
      </c>
      <c r="O221" s="62">
        <v>2.0</v>
      </c>
      <c r="P221" s="62">
        <v>2.0</v>
      </c>
      <c r="Q221" s="62">
        <v>0.0</v>
      </c>
      <c r="R221" s="62">
        <v>0.0</v>
      </c>
      <c r="S221" s="62">
        <v>0.0</v>
      </c>
      <c r="T221" s="62">
        <v>0.0</v>
      </c>
      <c r="U221" s="62">
        <v>0.0</v>
      </c>
      <c r="V221" s="62">
        <v>0.0</v>
      </c>
      <c r="W221" s="62">
        <v>0.0</v>
      </c>
      <c r="X221" s="62">
        <v>0.0</v>
      </c>
      <c r="Y221" s="62">
        <v>0.0</v>
      </c>
      <c r="Z221" s="62">
        <v>0.0</v>
      </c>
      <c r="AA221" s="62">
        <v>0.204166666666666</v>
      </c>
      <c r="AB221" s="62">
        <v>1.29194444444444</v>
      </c>
      <c r="AC221" s="62">
        <v>0.402222222222222</v>
      </c>
      <c r="AD221" s="62">
        <v>0.415555555555555</v>
      </c>
      <c r="AE221" s="62">
        <v>0.402222222222222</v>
      </c>
      <c r="AF221" s="62">
        <v>0.0</v>
      </c>
    </row>
    <row r="222">
      <c r="A222" s="68">
        <v>46151.0</v>
      </c>
      <c r="B222" s="62" t="s">
        <v>96</v>
      </c>
      <c r="C222" s="62" t="s">
        <v>97</v>
      </c>
      <c r="D222" s="62">
        <v>0.0</v>
      </c>
      <c r="E222" s="62">
        <v>9.0</v>
      </c>
      <c r="F222" s="62">
        <v>0.0</v>
      </c>
      <c r="G222" s="62">
        <v>0.0</v>
      </c>
      <c r="H222" s="62">
        <v>0.0</v>
      </c>
      <c r="I222" s="62">
        <v>0.0</v>
      </c>
      <c r="J222" s="62">
        <v>0.0</v>
      </c>
      <c r="K222" s="62">
        <v>0.0</v>
      </c>
      <c r="L222" s="62">
        <v>0.0</v>
      </c>
      <c r="M222" s="62">
        <v>0.0</v>
      </c>
      <c r="N222" s="62">
        <v>2.0</v>
      </c>
      <c r="O222" s="62">
        <v>1.0</v>
      </c>
      <c r="P222" s="62">
        <v>2.0</v>
      </c>
      <c r="Q222" s="62">
        <v>0.0</v>
      </c>
      <c r="R222" s="62">
        <v>0.0</v>
      </c>
      <c r="S222" s="62">
        <v>20487.0</v>
      </c>
      <c r="T222" s="62">
        <v>2.275</v>
      </c>
      <c r="U222" s="62">
        <v>0.0</v>
      </c>
      <c r="V222" s="62">
        <v>0.0</v>
      </c>
      <c r="W222" s="62">
        <v>0.0</v>
      </c>
      <c r="X222" s="62">
        <v>0.0</v>
      </c>
      <c r="Y222" s="62">
        <v>0.0</v>
      </c>
      <c r="Z222" s="62">
        <v>0.0</v>
      </c>
      <c r="AA222" s="62">
        <v>0.0</v>
      </c>
      <c r="AB222" s="62">
        <v>0.0</v>
      </c>
      <c r="AC222" s="62">
        <v>0.48</v>
      </c>
      <c r="AD222" s="62">
        <v>0.217777777777777</v>
      </c>
      <c r="AE222" s="62">
        <v>0.48</v>
      </c>
      <c r="AF222" s="62">
        <v>10.0</v>
      </c>
    </row>
    <row r="223">
      <c r="A223" s="68">
        <v>46151.0</v>
      </c>
      <c r="B223" s="62" t="s">
        <v>76</v>
      </c>
      <c r="C223" s="62" t="s">
        <v>165</v>
      </c>
      <c r="D223" s="62">
        <v>0.0</v>
      </c>
      <c r="E223" s="62">
        <v>0.0</v>
      </c>
      <c r="F223" s="62">
        <v>0.0</v>
      </c>
      <c r="G223" s="62">
        <v>0.0</v>
      </c>
      <c r="H223" s="62">
        <v>0.0</v>
      </c>
      <c r="I223" s="62">
        <v>0.0</v>
      </c>
      <c r="J223" s="62">
        <v>0.0</v>
      </c>
      <c r="K223" s="62">
        <v>0.0</v>
      </c>
      <c r="L223" s="62">
        <v>0.0</v>
      </c>
      <c r="M223" s="62">
        <v>0.0</v>
      </c>
      <c r="N223" s="62">
        <v>0.0</v>
      </c>
      <c r="O223" s="62">
        <v>1.0</v>
      </c>
      <c r="P223" s="62">
        <v>0.0</v>
      </c>
      <c r="Q223" s="62">
        <v>0.0</v>
      </c>
      <c r="R223" s="62">
        <v>0.0</v>
      </c>
      <c r="S223" s="62">
        <v>0.0</v>
      </c>
      <c r="T223" s="62">
        <v>0.605</v>
      </c>
      <c r="U223" s="62">
        <v>0.0</v>
      </c>
      <c r="V223" s="62">
        <v>0.0</v>
      </c>
      <c r="W223" s="62">
        <v>0.0</v>
      </c>
      <c r="X223" s="62">
        <v>0.0</v>
      </c>
      <c r="Y223" s="62">
        <v>0.0</v>
      </c>
      <c r="Z223" s="62">
        <v>0.0</v>
      </c>
      <c r="AA223" s="62">
        <v>0.0</v>
      </c>
      <c r="AB223" s="62">
        <v>0.0</v>
      </c>
      <c r="AC223" s="62">
        <v>0.0</v>
      </c>
      <c r="AD223" s="62">
        <v>0.224166666666666</v>
      </c>
      <c r="AE223" s="62">
        <v>0.0</v>
      </c>
      <c r="AF223" s="62">
        <v>2.0</v>
      </c>
    </row>
    <row r="224">
      <c r="A224" s="68">
        <v>46151.0</v>
      </c>
      <c r="B224" s="62" t="s">
        <v>110</v>
      </c>
      <c r="C224" s="62" t="s">
        <v>169</v>
      </c>
      <c r="D224" s="62">
        <v>1.0</v>
      </c>
      <c r="E224" s="62">
        <v>0.0</v>
      </c>
      <c r="F224" s="62">
        <v>0.0</v>
      </c>
      <c r="G224" s="62">
        <v>0.0</v>
      </c>
      <c r="H224" s="62">
        <v>0.0</v>
      </c>
      <c r="I224" s="62">
        <v>0.0</v>
      </c>
      <c r="J224" s="62">
        <v>0.0</v>
      </c>
      <c r="K224" s="62">
        <v>0.0</v>
      </c>
      <c r="L224" s="62">
        <v>0.0</v>
      </c>
      <c r="M224" s="62">
        <v>0.0</v>
      </c>
      <c r="N224" s="62">
        <v>0.0</v>
      </c>
      <c r="O224" s="62">
        <v>0.0</v>
      </c>
      <c r="P224" s="62">
        <v>0.0</v>
      </c>
      <c r="Q224" s="62">
        <v>0.0</v>
      </c>
      <c r="R224" s="62">
        <v>2380.0</v>
      </c>
      <c r="S224" s="62">
        <v>0.0</v>
      </c>
      <c r="T224" s="62">
        <v>0.0</v>
      </c>
      <c r="U224" s="62">
        <v>0.0</v>
      </c>
      <c r="V224" s="62">
        <v>0.0</v>
      </c>
      <c r="W224" s="62">
        <v>0.0</v>
      </c>
      <c r="X224" s="62">
        <v>0.0</v>
      </c>
      <c r="Y224" s="62">
        <v>0.0</v>
      </c>
      <c r="Z224" s="62">
        <v>0.0</v>
      </c>
      <c r="AA224" s="62">
        <v>0.0</v>
      </c>
      <c r="AB224" s="62">
        <v>0.0</v>
      </c>
      <c r="AC224" s="62">
        <v>0.0</v>
      </c>
      <c r="AD224" s="62">
        <v>0.0</v>
      </c>
      <c r="AE224" s="62">
        <v>0.0</v>
      </c>
      <c r="AF224" s="62">
        <v>0.0</v>
      </c>
    </row>
    <row r="225">
      <c r="A225" s="68">
        <v>46151.0</v>
      </c>
      <c r="B225" s="62" t="s">
        <v>108</v>
      </c>
      <c r="C225" s="62" t="s">
        <v>175</v>
      </c>
      <c r="D225" s="62">
        <v>0.0</v>
      </c>
      <c r="E225" s="62">
        <v>1.0</v>
      </c>
      <c r="F225" s="62">
        <v>0.0</v>
      </c>
      <c r="G225" s="62">
        <v>0.0</v>
      </c>
      <c r="H225" s="62">
        <v>0.0</v>
      </c>
      <c r="I225" s="62">
        <v>0.0</v>
      </c>
      <c r="J225" s="62">
        <v>0.0</v>
      </c>
      <c r="K225" s="62">
        <v>0.0</v>
      </c>
      <c r="L225" s="62">
        <v>0.0</v>
      </c>
      <c r="M225" s="62">
        <v>0.0</v>
      </c>
      <c r="N225" s="62">
        <v>3.0</v>
      </c>
      <c r="O225" s="62">
        <v>1.0</v>
      </c>
      <c r="P225" s="62">
        <v>3.0</v>
      </c>
      <c r="Q225" s="62">
        <v>0.0</v>
      </c>
      <c r="R225" s="62">
        <v>0.0</v>
      </c>
      <c r="S225" s="62">
        <v>2145.0</v>
      </c>
      <c r="T225" s="62">
        <v>0.950833333333333</v>
      </c>
      <c r="U225" s="62">
        <v>0.0</v>
      </c>
      <c r="V225" s="62">
        <v>0.0</v>
      </c>
      <c r="W225" s="62">
        <v>0.0</v>
      </c>
      <c r="X225" s="62">
        <v>0.0</v>
      </c>
      <c r="Y225" s="62">
        <v>0.0</v>
      </c>
      <c r="Z225" s="62">
        <v>0.0</v>
      </c>
      <c r="AA225" s="62">
        <v>0.0</v>
      </c>
      <c r="AB225" s="62">
        <v>0.0</v>
      </c>
      <c r="AC225" s="62">
        <v>0.651944444444444</v>
      </c>
      <c r="AD225" s="62">
        <v>0.229722222222222</v>
      </c>
      <c r="AE225" s="62">
        <v>0.651944444444444</v>
      </c>
      <c r="AF225" s="62">
        <v>4.0</v>
      </c>
    </row>
    <row r="226">
      <c r="A226" s="68">
        <v>46150.0</v>
      </c>
      <c r="B226" s="62" t="s">
        <v>79</v>
      </c>
      <c r="C226" s="62" t="s">
        <v>162</v>
      </c>
      <c r="D226" s="62">
        <v>21.0</v>
      </c>
      <c r="E226" s="62">
        <v>0.0</v>
      </c>
      <c r="F226" s="62">
        <v>2.0</v>
      </c>
      <c r="G226" s="62">
        <v>12.0</v>
      </c>
      <c r="H226" s="62">
        <v>12.0</v>
      </c>
      <c r="I226" s="62">
        <v>0.0</v>
      </c>
      <c r="J226" s="62">
        <v>13.0</v>
      </c>
      <c r="K226" s="62">
        <v>7.0</v>
      </c>
      <c r="L226" s="62">
        <v>0.0</v>
      </c>
      <c r="M226" s="62">
        <v>5.0</v>
      </c>
      <c r="N226" s="62">
        <v>11.0</v>
      </c>
      <c r="O226" s="62">
        <v>1.0</v>
      </c>
      <c r="P226" s="62">
        <v>11.0</v>
      </c>
      <c r="Q226" s="62">
        <v>0.0</v>
      </c>
      <c r="R226" s="62">
        <v>51300.0</v>
      </c>
      <c r="S226" s="62">
        <v>0.0</v>
      </c>
      <c r="T226" s="62">
        <v>0.426666666666666</v>
      </c>
      <c r="U226" s="62">
        <v>0.426666666666666</v>
      </c>
      <c r="V226" s="62">
        <v>2.56833333333333</v>
      </c>
      <c r="W226" s="62">
        <v>2.56833333333333</v>
      </c>
      <c r="X226" s="62">
        <v>0.0</v>
      </c>
      <c r="Y226" s="62">
        <v>2.79083333333333</v>
      </c>
      <c r="Z226" s="62">
        <v>1.52833333333333</v>
      </c>
      <c r="AA226" s="62">
        <v>0.0</v>
      </c>
      <c r="AB226" s="62">
        <v>1.04</v>
      </c>
      <c r="AC226" s="62">
        <v>2.31444444444444</v>
      </c>
      <c r="AD226" s="62">
        <v>0.216666666666666</v>
      </c>
      <c r="AE226" s="62">
        <v>2.31444444444444</v>
      </c>
      <c r="AF226" s="62">
        <v>2.0</v>
      </c>
    </row>
    <row r="227">
      <c r="A227" s="68">
        <v>46150.0</v>
      </c>
      <c r="B227" s="62" t="s">
        <v>96</v>
      </c>
      <c r="C227" s="62" t="s">
        <v>97</v>
      </c>
      <c r="D227" s="62">
        <v>3.0</v>
      </c>
      <c r="E227" s="62">
        <v>0.0</v>
      </c>
      <c r="F227" s="62">
        <v>0.0</v>
      </c>
      <c r="G227" s="62">
        <v>0.0</v>
      </c>
      <c r="H227" s="62">
        <v>6.0</v>
      </c>
      <c r="I227" s="62">
        <v>0.0</v>
      </c>
      <c r="J227" s="62">
        <v>6.0</v>
      </c>
      <c r="K227" s="62">
        <v>0.0</v>
      </c>
      <c r="L227" s="62">
        <v>0.0</v>
      </c>
      <c r="M227" s="62">
        <v>2.0</v>
      </c>
      <c r="N227" s="62">
        <v>14.0</v>
      </c>
      <c r="O227" s="62">
        <v>1.0</v>
      </c>
      <c r="P227" s="62">
        <v>14.0</v>
      </c>
      <c r="Q227" s="62">
        <v>0.0</v>
      </c>
      <c r="R227" s="62">
        <v>6725.0</v>
      </c>
      <c r="S227" s="62">
        <v>0.0</v>
      </c>
      <c r="T227" s="62">
        <v>0.0</v>
      </c>
      <c r="U227" s="62">
        <v>0.0</v>
      </c>
      <c r="V227" s="62">
        <v>0.0</v>
      </c>
      <c r="W227" s="62">
        <v>1.34833333333333</v>
      </c>
      <c r="X227" s="62">
        <v>0.0</v>
      </c>
      <c r="Y227" s="62">
        <v>1.34833333333333</v>
      </c>
      <c r="Z227" s="62">
        <v>0.0</v>
      </c>
      <c r="AA227" s="62">
        <v>0.0</v>
      </c>
      <c r="AB227" s="62">
        <v>0.423888888888888</v>
      </c>
      <c r="AC227" s="62">
        <v>3.06472222222222</v>
      </c>
      <c r="AD227" s="62">
        <v>0.223333333333333</v>
      </c>
      <c r="AE227" s="62">
        <v>3.06472222222222</v>
      </c>
      <c r="AF227" s="62">
        <v>0.0</v>
      </c>
    </row>
    <row r="228">
      <c r="A228" s="68">
        <v>46150.0</v>
      </c>
      <c r="B228" s="62" t="s">
        <v>71</v>
      </c>
      <c r="C228" s="62" t="s">
        <v>163</v>
      </c>
      <c r="D228" s="62">
        <v>0.0</v>
      </c>
      <c r="E228" s="62">
        <v>0.0</v>
      </c>
      <c r="F228" s="62">
        <v>0.0</v>
      </c>
      <c r="G228" s="62">
        <v>1.0</v>
      </c>
      <c r="H228" s="62">
        <v>1.0</v>
      </c>
      <c r="I228" s="62">
        <v>0.0</v>
      </c>
      <c r="J228" s="62">
        <v>1.0</v>
      </c>
      <c r="K228" s="62">
        <v>1.0</v>
      </c>
      <c r="L228" s="62">
        <v>0.0</v>
      </c>
      <c r="M228" s="62">
        <v>0.0</v>
      </c>
      <c r="N228" s="62">
        <v>1.0</v>
      </c>
      <c r="O228" s="62">
        <v>1.0</v>
      </c>
      <c r="P228" s="62">
        <v>1.0</v>
      </c>
      <c r="Q228" s="62">
        <v>0.0</v>
      </c>
      <c r="R228" s="62">
        <v>0.0</v>
      </c>
      <c r="S228" s="62">
        <v>0.0</v>
      </c>
      <c r="T228" s="62">
        <v>0.0</v>
      </c>
      <c r="U228" s="62">
        <v>0.0</v>
      </c>
      <c r="V228" s="62">
        <v>0.274722222222222</v>
      </c>
      <c r="W228" s="62">
        <v>0.274722222222222</v>
      </c>
      <c r="X228" s="62">
        <v>0.0</v>
      </c>
      <c r="Y228" s="62">
        <v>0.274722222222222</v>
      </c>
      <c r="Z228" s="62">
        <v>0.274722222222222</v>
      </c>
      <c r="AA228" s="62">
        <v>0.0</v>
      </c>
      <c r="AB228" s="62">
        <v>0.0</v>
      </c>
      <c r="AC228" s="62">
        <v>0.2575</v>
      </c>
      <c r="AD228" s="62">
        <v>0.271111111111111</v>
      </c>
      <c r="AE228" s="62">
        <v>0.2575</v>
      </c>
      <c r="AF228" s="62">
        <v>0.0</v>
      </c>
    </row>
    <row r="229">
      <c r="A229" s="68">
        <v>46150.0</v>
      </c>
      <c r="B229" s="62" t="s">
        <v>76</v>
      </c>
      <c r="C229" s="62" t="s">
        <v>165</v>
      </c>
      <c r="D229" s="62">
        <v>353.0</v>
      </c>
      <c r="E229" s="62">
        <v>1.0</v>
      </c>
      <c r="F229" s="62">
        <v>4.0</v>
      </c>
      <c r="G229" s="62">
        <v>5.0</v>
      </c>
      <c r="H229" s="62">
        <v>5.0</v>
      </c>
      <c r="I229" s="62">
        <v>0.0</v>
      </c>
      <c r="J229" s="62">
        <v>5.0</v>
      </c>
      <c r="K229" s="62">
        <v>3.0</v>
      </c>
      <c r="L229" s="62">
        <v>2.0</v>
      </c>
      <c r="M229" s="62">
        <v>9.0</v>
      </c>
      <c r="N229" s="62">
        <v>15.0</v>
      </c>
      <c r="O229" s="62">
        <v>1.0</v>
      </c>
      <c r="P229" s="62">
        <v>15.0</v>
      </c>
      <c r="Q229" s="62">
        <v>0.0</v>
      </c>
      <c r="R229" s="62">
        <v>878680.0</v>
      </c>
      <c r="S229" s="62">
        <v>3495.0</v>
      </c>
      <c r="T229" s="62">
        <v>1.22611111111111</v>
      </c>
      <c r="U229" s="62">
        <v>1.22611111111111</v>
      </c>
      <c r="V229" s="62">
        <v>1.39305555555555</v>
      </c>
      <c r="W229" s="62">
        <v>1.39305555555555</v>
      </c>
      <c r="X229" s="62">
        <v>0.0</v>
      </c>
      <c r="Y229" s="62">
        <v>1.39305555555555</v>
      </c>
      <c r="Z229" s="62">
        <v>0.771944444444444</v>
      </c>
      <c r="AA229" s="62">
        <v>0.505555555555555</v>
      </c>
      <c r="AB229" s="62">
        <v>2.5625</v>
      </c>
      <c r="AC229" s="62">
        <v>4.53972222222222</v>
      </c>
      <c r="AD229" s="62">
        <v>0.226111111111111</v>
      </c>
      <c r="AE229" s="62">
        <v>4.53972222222222</v>
      </c>
      <c r="AF229" s="62">
        <v>4.0</v>
      </c>
    </row>
    <row r="230">
      <c r="A230" s="68">
        <v>46150.0</v>
      </c>
      <c r="B230" s="62" t="s">
        <v>100</v>
      </c>
      <c r="C230" s="62" t="s">
        <v>167</v>
      </c>
      <c r="D230" s="62">
        <v>1.0</v>
      </c>
      <c r="E230" s="62">
        <v>1.0</v>
      </c>
      <c r="F230" s="62">
        <v>1.0</v>
      </c>
      <c r="G230" s="62">
        <v>4.0</v>
      </c>
      <c r="H230" s="62">
        <v>4.0</v>
      </c>
      <c r="I230" s="62">
        <v>0.0</v>
      </c>
      <c r="J230" s="62">
        <v>5.0</v>
      </c>
      <c r="K230" s="62">
        <v>5.0</v>
      </c>
      <c r="L230" s="62">
        <v>5.0</v>
      </c>
      <c r="M230" s="62">
        <v>10.0</v>
      </c>
      <c r="N230" s="62">
        <v>19.0</v>
      </c>
      <c r="O230" s="62">
        <v>1.0</v>
      </c>
      <c r="P230" s="62">
        <v>19.0</v>
      </c>
      <c r="Q230" s="62">
        <v>0.0</v>
      </c>
      <c r="R230" s="62">
        <v>2417.0</v>
      </c>
      <c r="S230" s="62">
        <v>2417.0</v>
      </c>
      <c r="T230" s="62">
        <v>0.0</v>
      </c>
      <c r="U230" s="62">
        <v>0.221111111111111</v>
      </c>
      <c r="V230" s="62">
        <v>0.900277777777777</v>
      </c>
      <c r="W230" s="62">
        <v>0.900277777777777</v>
      </c>
      <c r="X230" s="62">
        <v>0.0</v>
      </c>
      <c r="Y230" s="62">
        <v>1.1275</v>
      </c>
      <c r="Z230" s="62">
        <v>1.13611111111111</v>
      </c>
      <c r="AA230" s="62">
        <v>1.13611111111111</v>
      </c>
      <c r="AB230" s="62">
        <v>2.2625</v>
      </c>
      <c r="AC230" s="62">
        <v>4.32277777777777</v>
      </c>
      <c r="AD230" s="62">
        <v>0.244166666666666</v>
      </c>
      <c r="AE230" s="62">
        <v>4.32277777777777</v>
      </c>
      <c r="AF230" s="62">
        <v>0.0</v>
      </c>
    </row>
    <row r="231">
      <c r="A231" s="68">
        <v>46150.0</v>
      </c>
      <c r="B231" s="62" t="s">
        <v>32</v>
      </c>
      <c r="C231" s="62" t="s">
        <v>168</v>
      </c>
      <c r="D231" s="62">
        <v>5.0</v>
      </c>
      <c r="E231" s="62">
        <v>2.0</v>
      </c>
      <c r="F231" s="62">
        <v>0.0</v>
      </c>
      <c r="G231" s="62">
        <v>0.0</v>
      </c>
      <c r="H231" s="62">
        <v>3.0</v>
      </c>
      <c r="I231" s="62">
        <v>0.0</v>
      </c>
      <c r="J231" s="62">
        <v>4.0</v>
      </c>
      <c r="K231" s="62">
        <v>0.0</v>
      </c>
      <c r="L231" s="62">
        <v>0.0</v>
      </c>
      <c r="M231" s="62">
        <v>5.0</v>
      </c>
      <c r="N231" s="62">
        <v>8.0</v>
      </c>
      <c r="O231" s="62">
        <v>1.0</v>
      </c>
      <c r="P231" s="62">
        <v>8.0</v>
      </c>
      <c r="Q231" s="62">
        <v>0.0</v>
      </c>
      <c r="R231" s="62">
        <v>11987.0</v>
      </c>
      <c r="S231" s="62">
        <v>4744.0</v>
      </c>
      <c r="T231" s="62">
        <v>0.0</v>
      </c>
      <c r="U231" s="62">
        <v>0.0</v>
      </c>
      <c r="V231" s="62">
        <v>0.0</v>
      </c>
      <c r="W231" s="62">
        <v>0.696388888888888</v>
      </c>
      <c r="X231" s="62">
        <v>0.0</v>
      </c>
      <c r="Y231" s="62">
        <v>0.918333333333333</v>
      </c>
      <c r="Z231" s="62">
        <v>0.0</v>
      </c>
      <c r="AA231" s="62">
        <v>0.0</v>
      </c>
      <c r="AB231" s="62">
        <v>1.14944444444444</v>
      </c>
      <c r="AC231" s="62">
        <v>1.8125</v>
      </c>
      <c r="AD231" s="62">
        <v>0.219444444444444</v>
      </c>
      <c r="AE231" s="62">
        <v>1.8125</v>
      </c>
      <c r="AF231" s="62">
        <v>0.0</v>
      </c>
    </row>
    <row r="232">
      <c r="A232" s="68">
        <v>46150.0</v>
      </c>
      <c r="B232" s="62" t="s">
        <v>110</v>
      </c>
      <c r="C232" s="62" t="s">
        <v>169</v>
      </c>
      <c r="D232" s="62">
        <v>3.0</v>
      </c>
      <c r="E232" s="62">
        <v>0.0</v>
      </c>
      <c r="F232" s="62">
        <v>0.0</v>
      </c>
      <c r="G232" s="62">
        <v>0.0</v>
      </c>
      <c r="H232" s="62">
        <v>0.0</v>
      </c>
      <c r="I232" s="62">
        <v>0.0</v>
      </c>
      <c r="J232" s="62">
        <v>0.0</v>
      </c>
      <c r="K232" s="62">
        <v>0.0</v>
      </c>
      <c r="L232" s="62">
        <v>0.0</v>
      </c>
      <c r="M232" s="62">
        <v>0.0</v>
      </c>
      <c r="N232" s="62">
        <v>0.0</v>
      </c>
      <c r="O232" s="62">
        <v>0.0</v>
      </c>
      <c r="P232" s="62">
        <v>0.0</v>
      </c>
      <c r="Q232" s="62">
        <v>0.0</v>
      </c>
      <c r="R232" s="62">
        <v>7487.0</v>
      </c>
      <c r="S232" s="62">
        <v>0.0</v>
      </c>
      <c r="T232" s="62">
        <v>0.0</v>
      </c>
      <c r="U232" s="62">
        <v>0.0</v>
      </c>
      <c r="V232" s="62">
        <v>0.0</v>
      </c>
      <c r="W232" s="62">
        <v>0.0</v>
      </c>
      <c r="X232" s="62">
        <v>0.0</v>
      </c>
      <c r="Y232" s="62">
        <v>0.0</v>
      </c>
      <c r="Z232" s="62">
        <v>0.0</v>
      </c>
      <c r="AA232" s="62">
        <v>0.0</v>
      </c>
      <c r="AB232" s="62">
        <v>0.0</v>
      </c>
      <c r="AC232" s="62">
        <v>0.0</v>
      </c>
      <c r="AD232" s="62">
        <v>0.0</v>
      </c>
      <c r="AE232" s="62">
        <v>0.0</v>
      </c>
      <c r="AF232" s="62">
        <v>0.0</v>
      </c>
    </row>
    <row r="233">
      <c r="A233" s="68">
        <v>46150.0</v>
      </c>
      <c r="B233" s="62" t="s">
        <v>102</v>
      </c>
      <c r="C233" s="62" t="s">
        <v>170</v>
      </c>
      <c r="D233" s="62">
        <v>30.0</v>
      </c>
      <c r="E233" s="62">
        <v>1.0</v>
      </c>
      <c r="F233" s="62">
        <v>0.0</v>
      </c>
      <c r="G233" s="62">
        <v>0.0</v>
      </c>
      <c r="H233" s="62">
        <v>0.0</v>
      </c>
      <c r="I233" s="62">
        <v>0.0</v>
      </c>
      <c r="J233" s="62">
        <v>0.0</v>
      </c>
      <c r="K233" s="62">
        <v>0.0</v>
      </c>
      <c r="L233" s="62">
        <v>0.0</v>
      </c>
      <c r="M233" s="62">
        <v>1.0</v>
      </c>
      <c r="N233" s="62">
        <v>2.0</v>
      </c>
      <c r="O233" s="62">
        <v>1.0</v>
      </c>
      <c r="P233" s="62">
        <v>2.0</v>
      </c>
      <c r="Q233" s="62">
        <v>0.0</v>
      </c>
      <c r="R233" s="62">
        <v>72191.0</v>
      </c>
      <c r="S233" s="62">
        <v>2371.0</v>
      </c>
      <c r="T233" s="62">
        <v>0.0</v>
      </c>
      <c r="U233" s="62">
        <v>0.0</v>
      </c>
      <c r="V233" s="62">
        <v>0.0</v>
      </c>
      <c r="W233" s="62">
        <v>0.0</v>
      </c>
      <c r="X233" s="62">
        <v>0.0</v>
      </c>
      <c r="Y233" s="62">
        <v>0.0</v>
      </c>
      <c r="Z233" s="62">
        <v>0.0</v>
      </c>
      <c r="AA233" s="62">
        <v>0.0</v>
      </c>
      <c r="AB233" s="62">
        <v>0.244722222222222</v>
      </c>
      <c r="AC233" s="62">
        <v>0.52</v>
      </c>
      <c r="AD233" s="62">
        <v>0.241944444444444</v>
      </c>
      <c r="AE233" s="62">
        <v>0.52</v>
      </c>
      <c r="AF233" s="62">
        <v>0.0</v>
      </c>
    </row>
    <row r="234">
      <c r="A234" s="68">
        <v>46150.0</v>
      </c>
      <c r="B234" s="62" t="s">
        <v>41</v>
      </c>
      <c r="C234" s="62" t="s">
        <v>172</v>
      </c>
      <c r="D234" s="62">
        <v>6.0</v>
      </c>
      <c r="E234" s="62">
        <v>0.0</v>
      </c>
      <c r="F234" s="62">
        <v>0.0</v>
      </c>
      <c r="G234" s="62">
        <v>0.0</v>
      </c>
      <c r="H234" s="62">
        <v>5.0</v>
      </c>
      <c r="I234" s="62">
        <v>5.0</v>
      </c>
      <c r="J234" s="62">
        <v>3.0</v>
      </c>
      <c r="K234" s="62">
        <v>3.0</v>
      </c>
      <c r="L234" s="62">
        <v>0.0</v>
      </c>
      <c r="M234" s="62">
        <v>6.0</v>
      </c>
      <c r="N234" s="62">
        <v>9.0</v>
      </c>
      <c r="O234" s="62">
        <v>1.0</v>
      </c>
      <c r="P234" s="62">
        <v>9.0</v>
      </c>
      <c r="Q234" s="62">
        <v>0.0</v>
      </c>
      <c r="R234" s="62">
        <v>15922.0</v>
      </c>
      <c r="S234" s="62">
        <v>0.0</v>
      </c>
      <c r="T234" s="62">
        <v>0.0</v>
      </c>
      <c r="U234" s="62">
        <v>0.0</v>
      </c>
      <c r="V234" s="62">
        <v>0.0</v>
      </c>
      <c r="W234" s="62">
        <v>1.18861111111111</v>
      </c>
      <c r="X234" s="62">
        <v>1.18861111111111</v>
      </c>
      <c r="Y234" s="62">
        <v>0.683611111111111</v>
      </c>
      <c r="Z234" s="62">
        <v>0.689166666666666</v>
      </c>
      <c r="AA234" s="62">
        <v>0.0</v>
      </c>
      <c r="AB234" s="62">
        <v>1.39</v>
      </c>
      <c r="AC234" s="62">
        <v>2.06555555555555</v>
      </c>
      <c r="AD234" s="62">
        <v>0.215555555555555</v>
      </c>
      <c r="AE234" s="62">
        <v>2.06555555555555</v>
      </c>
      <c r="AF234" s="62">
        <v>0.0</v>
      </c>
    </row>
    <row r="235">
      <c r="A235" s="68">
        <v>46150.0</v>
      </c>
      <c r="B235" s="62" t="s">
        <v>65</v>
      </c>
      <c r="C235" s="62" t="s">
        <v>173</v>
      </c>
      <c r="D235" s="62">
        <v>2.0</v>
      </c>
      <c r="E235" s="62">
        <v>7.0</v>
      </c>
      <c r="F235" s="62">
        <v>0.0</v>
      </c>
      <c r="G235" s="62">
        <v>0.0</v>
      </c>
      <c r="H235" s="62">
        <v>0.0</v>
      </c>
      <c r="I235" s="62">
        <v>0.0</v>
      </c>
      <c r="J235" s="62">
        <v>0.0</v>
      </c>
      <c r="K235" s="62">
        <v>1.0</v>
      </c>
      <c r="L235" s="62">
        <v>0.0</v>
      </c>
      <c r="M235" s="62">
        <v>5.0</v>
      </c>
      <c r="N235" s="62">
        <v>9.0</v>
      </c>
      <c r="O235" s="62">
        <v>1.0</v>
      </c>
      <c r="P235" s="62">
        <v>9.0</v>
      </c>
      <c r="Q235" s="62">
        <v>0.0</v>
      </c>
      <c r="R235" s="62">
        <v>4652.0</v>
      </c>
      <c r="S235" s="62">
        <v>13595.0</v>
      </c>
      <c r="T235" s="62">
        <v>0.680555555555555</v>
      </c>
      <c r="U235" s="62">
        <v>0.0</v>
      </c>
      <c r="V235" s="62">
        <v>0.0</v>
      </c>
      <c r="W235" s="62">
        <v>0.0</v>
      </c>
      <c r="X235" s="62">
        <v>0.0</v>
      </c>
      <c r="Y235" s="62">
        <v>0.0</v>
      </c>
      <c r="Z235" s="62">
        <v>0.255277777777777</v>
      </c>
      <c r="AA235" s="62">
        <v>0.0</v>
      </c>
      <c r="AB235" s="62">
        <v>1.29527777777777</v>
      </c>
      <c r="AC235" s="62">
        <v>2.13861111111111</v>
      </c>
      <c r="AD235" s="62">
        <v>0.242777777777777</v>
      </c>
      <c r="AE235" s="62">
        <v>2.13861111111111</v>
      </c>
      <c r="AF235" s="62">
        <v>3.0</v>
      </c>
    </row>
    <row r="236">
      <c r="A236" s="68">
        <v>46150.0</v>
      </c>
      <c r="B236" s="62" t="s">
        <v>37</v>
      </c>
      <c r="C236" s="62" t="s">
        <v>174</v>
      </c>
      <c r="D236" s="62">
        <v>2.0</v>
      </c>
      <c r="E236" s="62">
        <v>3.0</v>
      </c>
      <c r="F236" s="62">
        <v>0.0</v>
      </c>
      <c r="G236" s="62">
        <v>3.0</v>
      </c>
      <c r="H236" s="62">
        <v>3.0</v>
      </c>
      <c r="I236" s="62">
        <v>0.0</v>
      </c>
      <c r="J236" s="62">
        <v>3.0</v>
      </c>
      <c r="K236" s="62">
        <v>7.0</v>
      </c>
      <c r="L236" s="62">
        <v>0.0</v>
      </c>
      <c r="M236" s="62">
        <v>7.0</v>
      </c>
      <c r="N236" s="62">
        <v>17.0</v>
      </c>
      <c r="O236" s="62">
        <v>1.0</v>
      </c>
      <c r="P236" s="62">
        <v>17.0</v>
      </c>
      <c r="Q236" s="62">
        <v>0.0</v>
      </c>
      <c r="R236" s="62">
        <v>4965.0</v>
      </c>
      <c r="S236" s="62">
        <v>7261.0</v>
      </c>
      <c r="T236" s="62">
        <v>1.08583333333333</v>
      </c>
      <c r="U236" s="62">
        <v>0.0</v>
      </c>
      <c r="V236" s="62">
        <v>0.772222222222222</v>
      </c>
      <c r="W236" s="62">
        <v>0.772222222222222</v>
      </c>
      <c r="X236" s="62">
        <v>0.0</v>
      </c>
      <c r="Y236" s="62">
        <v>0.772222222222222</v>
      </c>
      <c r="Z236" s="62">
        <v>1.79694444444444</v>
      </c>
      <c r="AA236" s="62">
        <v>0.0</v>
      </c>
      <c r="AB236" s="62">
        <v>1.79694444444444</v>
      </c>
      <c r="AC236" s="62">
        <v>4.47444444444444</v>
      </c>
      <c r="AD236" s="62">
        <v>0.288611111111111</v>
      </c>
      <c r="AE236" s="62">
        <v>4.47444444444444</v>
      </c>
      <c r="AF236" s="62">
        <v>4.0</v>
      </c>
    </row>
    <row r="237">
      <c r="A237" s="68">
        <v>46150.0</v>
      </c>
      <c r="B237" s="62" t="s">
        <v>108</v>
      </c>
      <c r="C237" s="62" t="s">
        <v>175</v>
      </c>
      <c r="D237" s="62">
        <v>15.0</v>
      </c>
      <c r="E237" s="62">
        <v>4.0</v>
      </c>
      <c r="F237" s="62">
        <v>2.0</v>
      </c>
      <c r="G237" s="62">
        <v>6.0</v>
      </c>
      <c r="H237" s="62">
        <v>6.0</v>
      </c>
      <c r="I237" s="62">
        <v>0.0</v>
      </c>
      <c r="J237" s="62">
        <v>10.0</v>
      </c>
      <c r="K237" s="62">
        <v>4.0</v>
      </c>
      <c r="L237" s="62">
        <v>1.0</v>
      </c>
      <c r="M237" s="62">
        <v>9.0</v>
      </c>
      <c r="N237" s="62">
        <v>4.0</v>
      </c>
      <c r="O237" s="62">
        <v>1.0</v>
      </c>
      <c r="P237" s="62">
        <v>4.0</v>
      </c>
      <c r="Q237" s="62">
        <v>0.0</v>
      </c>
      <c r="R237" s="62">
        <v>31472.0</v>
      </c>
      <c r="S237" s="62">
        <v>9103.0</v>
      </c>
      <c r="T237" s="62">
        <v>0.0</v>
      </c>
      <c r="U237" s="62">
        <v>0.431666666666666</v>
      </c>
      <c r="V237" s="62">
        <v>1.245</v>
      </c>
      <c r="W237" s="62">
        <v>1.245</v>
      </c>
      <c r="X237" s="62">
        <v>0.0</v>
      </c>
      <c r="Y237" s="62">
        <v>1.99999999999999</v>
      </c>
      <c r="Z237" s="62">
        <v>0.901111111111111</v>
      </c>
      <c r="AA237" s="62">
        <v>0.222777777777777</v>
      </c>
      <c r="AB237" s="62">
        <v>1.72666666666666</v>
      </c>
      <c r="AC237" s="62">
        <v>0.853055555555555</v>
      </c>
      <c r="AD237" s="62">
        <v>0.2325</v>
      </c>
      <c r="AE237" s="62">
        <v>0.853055555555555</v>
      </c>
      <c r="AF237" s="62">
        <v>0.0</v>
      </c>
    </row>
    <row r="238">
      <c r="A238" s="68">
        <v>46150.0</v>
      </c>
      <c r="B238" s="62" t="s">
        <v>56</v>
      </c>
      <c r="C238" s="62" t="s">
        <v>176</v>
      </c>
      <c r="D238" s="62">
        <v>10.0</v>
      </c>
      <c r="E238" s="62">
        <v>4.0</v>
      </c>
      <c r="F238" s="62">
        <v>11.0</v>
      </c>
      <c r="G238" s="62">
        <v>15.0</v>
      </c>
      <c r="H238" s="62">
        <v>15.0</v>
      </c>
      <c r="I238" s="62">
        <v>0.0</v>
      </c>
      <c r="J238" s="62">
        <v>19.0</v>
      </c>
      <c r="K238" s="62">
        <v>0.0</v>
      </c>
      <c r="L238" s="62">
        <v>1.0</v>
      </c>
      <c r="M238" s="62">
        <v>22.0</v>
      </c>
      <c r="N238" s="62">
        <v>23.0</v>
      </c>
      <c r="O238" s="62">
        <v>1.0</v>
      </c>
      <c r="P238" s="62">
        <v>23.0</v>
      </c>
      <c r="Q238" s="62">
        <v>0.0</v>
      </c>
      <c r="R238" s="62">
        <v>23392.0</v>
      </c>
      <c r="S238" s="62">
        <v>9308.0</v>
      </c>
      <c r="T238" s="62">
        <v>1.52138888888888</v>
      </c>
      <c r="U238" s="62">
        <v>2.74055555555555</v>
      </c>
      <c r="V238" s="62">
        <v>3.43416666666666</v>
      </c>
      <c r="W238" s="62">
        <v>3.43416666666666</v>
      </c>
      <c r="X238" s="62">
        <v>0.0</v>
      </c>
      <c r="Y238" s="62">
        <v>4.43111111111111</v>
      </c>
      <c r="Z238" s="62">
        <v>0.0</v>
      </c>
      <c r="AA238" s="62">
        <v>0.233888888888888</v>
      </c>
      <c r="AB238" s="62">
        <v>5.19972222222222</v>
      </c>
      <c r="AC238" s="62">
        <v>5.46916666666666</v>
      </c>
      <c r="AD238" s="62">
        <v>0.217777777777777</v>
      </c>
      <c r="AE238" s="62">
        <v>5.46916666666666</v>
      </c>
      <c r="AF238" s="62">
        <v>6.0</v>
      </c>
    </row>
    <row r="239">
      <c r="A239" s="68">
        <v>46150.0</v>
      </c>
      <c r="B239" s="62" t="s">
        <v>26</v>
      </c>
      <c r="C239" s="62" t="s">
        <v>178</v>
      </c>
      <c r="D239" s="62">
        <v>3.0</v>
      </c>
      <c r="E239" s="62">
        <v>0.0</v>
      </c>
      <c r="F239" s="62">
        <v>0.0</v>
      </c>
      <c r="G239" s="62">
        <v>0.0</v>
      </c>
      <c r="H239" s="62">
        <v>0.0</v>
      </c>
      <c r="I239" s="62">
        <v>0.0</v>
      </c>
      <c r="J239" s="62">
        <v>4.0</v>
      </c>
      <c r="K239" s="62">
        <v>0.0</v>
      </c>
      <c r="L239" s="62">
        <v>0.0</v>
      </c>
      <c r="M239" s="62">
        <v>4.0</v>
      </c>
      <c r="N239" s="62">
        <v>24.0</v>
      </c>
      <c r="O239" s="62">
        <v>1.0</v>
      </c>
      <c r="P239" s="62">
        <v>24.0</v>
      </c>
      <c r="Q239" s="62">
        <v>0.0</v>
      </c>
      <c r="R239" s="62">
        <v>7004.0</v>
      </c>
      <c r="S239" s="62">
        <v>0.0</v>
      </c>
      <c r="T239" s="62">
        <v>0.0</v>
      </c>
      <c r="U239" s="62">
        <v>0.0</v>
      </c>
      <c r="V239" s="62">
        <v>0.0</v>
      </c>
      <c r="W239" s="62">
        <v>0.0</v>
      </c>
      <c r="X239" s="62">
        <v>0.0</v>
      </c>
      <c r="Y239" s="62">
        <v>0.795555555555555</v>
      </c>
      <c r="Z239" s="62">
        <v>0.0</v>
      </c>
      <c r="AA239" s="62">
        <v>0.0</v>
      </c>
      <c r="AB239" s="62">
        <v>0.795555555555555</v>
      </c>
      <c r="AC239" s="62">
        <v>4.64388888888888</v>
      </c>
      <c r="AD239" s="62">
        <v>0.207777777777777</v>
      </c>
      <c r="AE239" s="62">
        <v>4.64388888888888</v>
      </c>
      <c r="AF239" s="62">
        <v>0.0</v>
      </c>
    </row>
    <row r="240">
      <c r="A240" s="68">
        <v>46150.0</v>
      </c>
      <c r="B240" s="62" t="s">
        <v>62</v>
      </c>
      <c r="C240" s="62" t="s">
        <v>63</v>
      </c>
      <c r="D240" s="62">
        <v>0.0</v>
      </c>
      <c r="E240" s="62">
        <v>0.0</v>
      </c>
      <c r="F240" s="62">
        <v>0.0</v>
      </c>
      <c r="G240" s="62">
        <v>0.0</v>
      </c>
      <c r="H240" s="62">
        <v>3.0</v>
      </c>
      <c r="I240" s="62">
        <v>3.0</v>
      </c>
      <c r="J240" s="62">
        <v>6.0</v>
      </c>
      <c r="K240" s="62">
        <v>2.0</v>
      </c>
      <c r="L240" s="62">
        <v>0.0</v>
      </c>
      <c r="M240" s="62">
        <v>4.0</v>
      </c>
      <c r="N240" s="62">
        <v>6.0</v>
      </c>
      <c r="O240" s="62">
        <v>1.0</v>
      </c>
      <c r="P240" s="62">
        <v>6.0</v>
      </c>
      <c r="Q240" s="62">
        <v>0.0</v>
      </c>
      <c r="R240" s="62">
        <v>0.0</v>
      </c>
      <c r="S240" s="62">
        <v>0.0</v>
      </c>
      <c r="T240" s="62">
        <v>0.0</v>
      </c>
      <c r="U240" s="62">
        <v>0.0</v>
      </c>
      <c r="V240" s="62">
        <v>0.0</v>
      </c>
      <c r="W240" s="62">
        <v>0.585277777777777</v>
      </c>
      <c r="X240" s="62">
        <v>0.585277777777777</v>
      </c>
      <c r="Y240" s="62">
        <v>1.29972222222222</v>
      </c>
      <c r="Z240" s="62">
        <v>0.461944444444444</v>
      </c>
      <c r="AA240" s="62">
        <v>0.0</v>
      </c>
      <c r="AB240" s="62">
        <v>0.875277777777777</v>
      </c>
      <c r="AC240" s="62">
        <v>1.32055555555555</v>
      </c>
      <c r="AD240" s="62">
        <v>0.190833333333333</v>
      </c>
      <c r="AE240" s="62">
        <v>1.32055555555555</v>
      </c>
      <c r="AF240" s="62">
        <v>0.0</v>
      </c>
    </row>
    <row r="241">
      <c r="A241" s="68">
        <v>46149.0</v>
      </c>
      <c r="B241" s="62" t="s">
        <v>79</v>
      </c>
      <c r="C241" s="62" t="s">
        <v>162</v>
      </c>
      <c r="D241" s="62">
        <v>0.0</v>
      </c>
      <c r="E241" s="62">
        <v>0.0</v>
      </c>
      <c r="F241" s="62">
        <v>5.0</v>
      </c>
      <c r="G241" s="62">
        <v>2.0</v>
      </c>
      <c r="H241" s="62">
        <v>3.0</v>
      </c>
      <c r="I241" s="62">
        <v>1.0</v>
      </c>
      <c r="J241" s="62">
        <v>4.0</v>
      </c>
      <c r="K241" s="62">
        <v>1.0</v>
      </c>
      <c r="L241" s="62">
        <v>0.0</v>
      </c>
      <c r="M241" s="62">
        <v>5.0</v>
      </c>
      <c r="N241" s="62">
        <v>0.0</v>
      </c>
      <c r="O241" s="62">
        <v>1.0</v>
      </c>
      <c r="P241" s="62">
        <v>0.0</v>
      </c>
      <c r="Q241" s="62">
        <v>0.0</v>
      </c>
      <c r="R241" s="62">
        <v>0.0</v>
      </c>
      <c r="S241" s="62">
        <v>0.0</v>
      </c>
      <c r="T241" s="62">
        <v>1.34444444444444</v>
      </c>
      <c r="U241" s="62">
        <v>1.12194444444444</v>
      </c>
      <c r="V241" s="62">
        <v>0.411944444444444</v>
      </c>
      <c r="W241" s="62">
        <v>0.634444444444444</v>
      </c>
      <c r="X241" s="62">
        <v>0.2225</v>
      </c>
      <c r="Y241" s="62">
        <v>0.831666666666666</v>
      </c>
      <c r="Z241" s="62">
        <v>0.213888888888888</v>
      </c>
      <c r="AA241" s="62">
        <v>0.0</v>
      </c>
      <c r="AB241" s="62">
        <v>1.03972222222222</v>
      </c>
      <c r="AC241" s="62">
        <v>0.0</v>
      </c>
      <c r="AD241" s="62">
        <v>0.210833333333333</v>
      </c>
      <c r="AE241" s="62">
        <v>0.0</v>
      </c>
      <c r="AF241" s="62">
        <v>6.0</v>
      </c>
    </row>
    <row r="242">
      <c r="A242" s="68">
        <v>46149.0</v>
      </c>
      <c r="B242" s="62" t="s">
        <v>96</v>
      </c>
      <c r="C242" s="62" t="s">
        <v>97</v>
      </c>
      <c r="D242" s="62">
        <v>6.0</v>
      </c>
      <c r="E242" s="62">
        <v>5.0</v>
      </c>
      <c r="F242" s="62">
        <v>0.0</v>
      </c>
      <c r="G242" s="62">
        <v>0.0</v>
      </c>
      <c r="H242" s="62">
        <v>0.0</v>
      </c>
      <c r="I242" s="62">
        <v>0.0</v>
      </c>
      <c r="J242" s="62">
        <v>0.0</v>
      </c>
      <c r="K242" s="62">
        <v>0.0</v>
      </c>
      <c r="L242" s="62">
        <v>0.0</v>
      </c>
      <c r="M242" s="62">
        <v>3.0</v>
      </c>
      <c r="N242" s="62">
        <v>0.0</v>
      </c>
      <c r="O242" s="62">
        <v>1.0</v>
      </c>
      <c r="P242" s="62">
        <v>0.0</v>
      </c>
      <c r="Q242" s="62">
        <v>0.0</v>
      </c>
      <c r="R242" s="62">
        <v>13762.0</v>
      </c>
      <c r="S242" s="62">
        <v>11013.0</v>
      </c>
      <c r="T242" s="62">
        <v>0.0</v>
      </c>
      <c r="U242" s="62">
        <v>0.0</v>
      </c>
      <c r="V242" s="62">
        <v>0.0</v>
      </c>
      <c r="W242" s="62">
        <v>0.0</v>
      </c>
      <c r="X242" s="62">
        <v>0.0</v>
      </c>
      <c r="Y242" s="62">
        <v>0.0</v>
      </c>
      <c r="Z242" s="62">
        <v>0.0</v>
      </c>
      <c r="AA242" s="62">
        <v>0.0</v>
      </c>
      <c r="AB242" s="62">
        <v>0.673611111111111</v>
      </c>
      <c r="AC242" s="62">
        <v>0.0</v>
      </c>
      <c r="AD242" s="62">
        <v>0.209166666666666</v>
      </c>
      <c r="AE242" s="62">
        <v>0.0</v>
      </c>
      <c r="AF242" s="62">
        <v>0.0</v>
      </c>
    </row>
    <row r="243">
      <c r="A243" s="68">
        <v>46149.0</v>
      </c>
      <c r="B243" s="62" t="s">
        <v>71</v>
      </c>
      <c r="C243" s="62" t="s">
        <v>163</v>
      </c>
      <c r="D243" s="62">
        <v>0.0</v>
      </c>
      <c r="E243" s="62">
        <v>0.0</v>
      </c>
      <c r="F243" s="62">
        <v>1.0</v>
      </c>
      <c r="G243" s="62">
        <v>0.0</v>
      </c>
      <c r="H243" s="62">
        <v>0.0</v>
      </c>
      <c r="I243" s="62">
        <v>0.0</v>
      </c>
      <c r="J243" s="62">
        <v>0.0</v>
      </c>
      <c r="K243" s="62">
        <v>0.0</v>
      </c>
      <c r="L243" s="62">
        <v>0.0</v>
      </c>
      <c r="M243" s="62">
        <v>0.0</v>
      </c>
      <c r="N243" s="62">
        <v>0.0</v>
      </c>
      <c r="O243" s="62">
        <v>1.0</v>
      </c>
      <c r="P243" s="62">
        <v>0.0</v>
      </c>
      <c r="Q243" s="62">
        <v>0.0</v>
      </c>
      <c r="R243" s="62">
        <v>0.0</v>
      </c>
      <c r="S243" s="62">
        <v>0.0</v>
      </c>
      <c r="T243" s="62">
        <v>0.274444444444444</v>
      </c>
      <c r="U243" s="62">
        <v>0.274444444444444</v>
      </c>
      <c r="V243" s="62">
        <v>0.0</v>
      </c>
      <c r="W243" s="62">
        <v>0.0</v>
      </c>
      <c r="X243" s="62">
        <v>0.0</v>
      </c>
      <c r="Y243" s="62">
        <v>0.0</v>
      </c>
      <c r="Z243" s="62">
        <v>0.0</v>
      </c>
      <c r="AA243" s="62">
        <v>0.0</v>
      </c>
      <c r="AB243" s="62">
        <v>0.0</v>
      </c>
      <c r="AC243" s="62">
        <v>0.0</v>
      </c>
      <c r="AD243" s="62">
        <v>0.286944444444444</v>
      </c>
      <c r="AE243" s="62">
        <v>0.0</v>
      </c>
      <c r="AF243" s="62">
        <v>1.0</v>
      </c>
    </row>
    <row r="244">
      <c r="A244" s="68">
        <v>46149.0</v>
      </c>
      <c r="B244" s="62" t="s">
        <v>76</v>
      </c>
      <c r="C244" s="62" t="s">
        <v>165</v>
      </c>
      <c r="D244" s="62">
        <v>0.0</v>
      </c>
      <c r="E244" s="62">
        <v>2.0</v>
      </c>
      <c r="F244" s="62">
        <v>4.0</v>
      </c>
      <c r="G244" s="62">
        <v>6.0</v>
      </c>
      <c r="H244" s="62">
        <v>6.0</v>
      </c>
      <c r="I244" s="62">
        <v>0.0</v>
      </c>
      <c r="J244" s="62">
        <v>10.0</v>
      </c>
      <c r="K244" s="62">
        <v>1.0</v>
      </c>
      <c r="L244" s="62">
        <v>1.0</v>
      </c>
      <c r="M244" s="62">
        <v>6.0</v>
      </c>
      <c r="N244" s="62">
        <v>0.0</v>
      </c>
      <c r="O244" s="62">
        <v>1.0</v>
      </c>
      <c r="P244" s="62">
        <v>0.0</v>
      </c>
      <c r="Q244" s="62">
        <v>0.0</v>
      </c>
      <c r="R244" s="62">
        <v>0.0</v>
      </c>
      <c r="S244" s="62">
        <v>7243.0</v>
      </c>
      <c r="T244" s="62">
        <v>1.12833333333333</v>
      </c>
      <c r="U244" s="62">
        <v>1.12833333333333</v>
      </c>
      <c r="V244" s="62">
        <v>1.79138888888888</v>
      </c>
      <c r="W244" s="62">
        <v>1.79138888888888</v>
      </c>
      <c r="X244" s="62">
        <v>0.0</v>
      </c>
      <c r="Y244" s="62">
        <v>3.03833333333333</v>
      </c>
      <c r="Z244" s="62">
        <v>0.320555555555555</v>
      </c>
      <c r="AA244" s="62">
        <v>0.320555555555555</v>
      </c>
      <c r="AB244" s="62">
        <v>1.86888888888888</v>
      </c>
      <c r="AC244" s="62">
        <v>0.0</v>
      </c>
      <c r="AD244" s="62">
        <v>0.227222222222222</v>
      </c>
      <c r="AE244" s="62">
        <v>0.0</v>
      </c>
      <c r="AF244" s="62">
        <v>4.0</v>
      </c>
    </row>
    <row r="245">
      <c r="A245" s="68">
        <v>46149.0</v>
      </c>
      <c r="B245" s="62" t="s">
        <v>100</v>
      </c>
      <c r="C245" s="62" t="s">
        <v>167</v>
      </c>
      <c r="D245" s="62">
        <v>0.0</v>
      </c>
      <c r="E245" s="62">
        <v>5.0</v>
      </c>
      <c r="F245" s="62">
        <v>3.0</v>
      </c>
      <c r="G245" s="62">
        <v>5.0</v>
      </c>
      <c r="H245" s="62">
        <v>5.0</v>
      </c>
      <c r="I245" s="62">
        <v>0.0</v>
      </c>
      <c r="J245" s="62">
        <v>8.0</v>
      </c>
      <c r="K245" s="62">
        <v>1.0</v>
      </c>
      <c r="L245" s="62">
        <v>0.0</v>
      </c>
      <c r="M245" s="62">
        <v>9.0</v>
      </c>
      <c r="N245" s="62">
        <v>0.0</v>
      </c>
      <c r="O245" s="62">
        <v>1.0</v>
      </c>
      <c r="P245" s="62">
        <v>0.0</v>
      </c>
      <c r="Q245" s="62">
        <v>0.0</v>
      </c>
      <c r="R245" s="62">
        <v>0.0</v>
      </c>
      <c r="S245" s="62">
        <v>12032.0</v>
      </c>
      <c r="T245" s="62">
        <v>0.221111111111111</v>
      </c>
      <c r="U245" s="62">
        <v>0.679999999999999</v>
      </c>
      <c r="V245" s="62">
        <v>1.1375</v>
      </c>
      <c r="W245" s="62">
        <v>1.1375</v>
      </c>
      <c r="X245" s="62">
        <v>0.0</v>
      </c>
      <c r="Y245" s="62">
        <v>1.82861111111111</v>
      </c>
      <c r="Z245" s="62">
        <v>0.215833333333333</v>
      </c>
      <c r="AA245" s="62">
        <v>0.0</v>
      </c>
      <c r="AB245" s="62">
        <v>2.06027777777777</v>
      </c>
      <c r="AC245" s="62">
        <v>0.0</v>
      </c>
      <c r="AD245" s="62">
        <v>0.238055555555555</v>
      </c>
      <c r="AE245" s="62">
        <v>0.0</v>
      </c>
      <c r="AF245" s="62">
        <v>1.0</v>
      </c>
    </row>
    <row r="246">
      <c r="A246" s="68">
        <v>46149.0</v>
      </c>
      <c r="B246" s="62" t="s">
        <v>32</v>
      </c>
      <c r="C246" s="62" t="s">
        <v>168</v>
      </c>
      <c r="D246" s="62">
        <v>4.0</v>
      </c>
      <c r="E246" s="62">
        <v>7.0</v>
      </c>
      <c r="F246" s="62">
        <v>5.0</v>
      </c>
      <c r="G246" s="62">
        <v>0.0</v>
      </c>
      <c r="H246" s="62">
        <v>5.0</v>
      </c>
      <c r="I246" s="62">
        <v>1.0</v>
      </c>
      <c r="J246" s="62">
        <v>4.0</v>
      </c>
      <c r="K246" s="62">
        <v>0.0</v>
      </c>
      <c r="L246" s="62">
        <v>0.0</v>
      </c>
      <c r="M246" s="62">
        <v>3.0</v>
      </c>
      <c r="N246" s="62">
        <v>0.0</v>
      </c>
      <c r="O246" s="62">
        <v>1.0</v>
      </c>
      <c r="P246" s="62">
        <v>0.0</v>
      </c>
      <c r="Q246" s="62">
        <v>0.0</v>
      </c>
      <c r="R246" s="62">
        <v>9343.0</v>
      </c>
      <c r="S246" s="62">
        <v>16598.0</v>
      </c>
      <c r="T246" s="62">
        <v>1.34888888888888</v>
      </c>
      <c r="U246" s="62">
        <v>1.14166666666666</v>
      </c>
      <c r="V246" s="62">
        <v>0.0</v>
      </c>
      <c r="W246" s="62">
        <v>1.11611111111111</v>
      </c>
      <c r="X246" s="62">
        <v>0.221944444444444</v>
      </c>
      <c r="Y246" s="62">
        <v>0.894166666666666</v>
      </c>
      <c r="Z246" s="62">
        <v>0.0</v>
      </c>
      <c r="AA246" s="62">
        <v>0.0</v>
      </c>
      <c r="AB246" s="62">
        <v>0.663055555555555</v>
      </c>
      <c r="AC246" s="62">
        <v>0.0</v>
      </c>
      <c r="AD246" s="62">
        <v>0.211666666666666</v>
      </c>
      <c r="AE246" s="62">
        <v>0.0</v>
      </c>
      <c r="AF246" s="62">
        <v>6.0</v>
      </c>
    </row>
    <row r="247">
      <c r="A247" s="68">
        <v>46149.0</v>
      </c>
      <c r="B247" s="62" t="s">
        <v>110</v>
      </c>
      <c r="C247" s="62" t="s">
        <v>169</v>
      </c>
      <c r="D247" s="62">
        <v>7.0</v>
      </c>
      <c r="E247" s="62">
        <v>0.0</v>
      </c>
      <c r="F247" s="62">
        <v>0.0</v>
      </c>
      <c r="G247" s="62">
        <v>0.0</v>
      </c>
      <c r="H247" s="62">
        <v>0.0</v>
      </c>
      <c r="I247" s="62">
        <v>0.0</v>
      </c>
      <c r="J247" s="62">
        <v>0.0</v>
      </c>
      <c r="K247" s="62">
        <v>0.0</v>
      </c>
      <c r="L247" s="62">
        <v>0.0</v>
      </c>
      <c r="M247" s="62">
        <v>0.0</v>
      </c>
      <c r="N247" s="62">
        <v>0.0</v>
      </c>
      <c r="O247" s="62">
        <v>0.0</v>
      </c>
      <c r="P247" s="62">
        <v>0.0</v>
      </c>
      <c r="Q247" s="62">
        <v>0.0</v>
      </c>
      <c r="R247" s="62">
        <v>16444.0</v>
      </c>
      <c r="S247" s="62">
        <v>0.0</v>
      </c>
      <c r="T247" s="62">
        <v>0.0</v>
      </c>
      <c r="U247" s="62">
        <v>0.0</v>
      </c>
      <c r="V247" s="62">
        <v>0.0</v>
      </c>
      <c r="W247" s="62">
        <v>0.0</v>
      </c>
      <c r="X247" s="62">
        <v>0.0</v>
      </c>
      <c r="Y247" s="62">
        <v>0.0</v>
      </c>
      <c r="Z247" s="62">
        <v>0.0</v>
      </c>
      <c r="AA247" s="62">
        <v>0.0</v>
      </c>
      <c r="AB247" s="62">
        <v>0.0</v>
      </c>
      <c r="AC247" s="62">
        <v>0.0</v>
      </c>
      <c r="AD247" s="62">
        <v>0.0</v>
      </c>
      <c r="AE247" s="62">
        <v>0.0</v>
      </c>
      <c r="AF247" s="62">
        <v>0.0</v>
      </c>
    </row>
    <row r="248">
      <c r="A248" s="68">
        <v>46149.0</v>
      </c>
      <c r="B248" s="62" t="s">
        <v>102</v>
      </c>
      <c r="C248" s="62" t="s">
        <v>170</v>
      </c>
      <c r="D248" s="62">
        <v>0.0</v>
      </c>
      <c r="E248" s="62">
        <v>1.0</v>
      </c>
      <c r="F248" s="62">
        <v>0.0</v>
      </c>
      <c r="G248" s="62">
        <v>0.0</v>
      </c>
      <c r="H248" s="62">
        <v>0.0</v>
      </c>
      <c r="I248" s="62">
        <v>0.0</v>
      </c>
      <c r="J248" s="62">
        <v>0.0</v>
      </c>
      <c r="K248" s="62">
        <v>0.0</v>
      </c>
      <c r="L248" s="62">
        <v>0.0</v>
      </c>
      <c r="M248" s="62">
        <v>1.0</v>
      </c>
      <c r="N248" s="62">
        <v>1.0</v>
      </c>
      <c r="O248" s="62">
        <v>1.0</v>
      </c>
      <c r="P248" s="62">
        <v>1.0</v>
      </c>
      <c r="Q248" s="62">
        <v>0.0</v>
      </c>
      <c r="R248" s="62">
        <v>0.0</v>
      </c>
      <c r="S248" s="62">
        <v>2530.0</v>
      </c>
      <c r="T248" s="62">
        <v>0.275277777777777</v>
      </c>
      <c r="U248" s="62">
        <v>0.0</v>
      </c>
      <c r="V248" s="62">
        <v>0.0</v>
      </c>
      <c r="W248" s="62">
        <v>0.0</v>
      </c>
      <c r="X248" s="62">
        <v>0.0</v>
      </c>
      <c r="Y248" s="62">
        <v>0.0</v>
      </c>
      <c r="Z248" s="62">
        <v>0.0</v>
      </c>
      <c r="AA248" s="62">
        <v>0.0</v>
      </c>
      <c r="AB248" s="62">
        <v>0.275277777777777</v>
      </c>
      <c r="AC248" s="62">
        <v>0.251111111111111</v>
      </c>
      <c r="AD248" s="62">
        <v>0.280833333333333</v>
      </c>
      <c r="AE248" s="62">
        <v>0.251111111111111</v>
      </c>
      <c r="AF248" s="62">
        <v>1.0</v>
      </c>
    </row>
    <row r="249">
      <c r="A249" s="68">
        <v>46149.0</v>
      </c>
      <c r="B249" s="62" t="s">
        <v>41</v>
      </c>
      <c r="C249" s="62" t="s">
        <v>172</v>
      </c>
      <c r="D249" s="62">
        <v>10.0</v>
      </c>
      <c r="E249" s="62">
        <v>10.0</v>
      </c>
      <c r="F249" s="62">
        <v>0.0</v>
      </c>
      <c r="G249" s="62">
        <v>0.0</v>
      </c>
      <c r="H249" s="62">
        <v>5.0</v>
      </c>
      <c r="I249" s="62">
        <v>5.0</v>
      </c>
      <c r="J249" s="62">
        <v>4.0</v>
      </c>
      <c r="K249" s="62">
        <v>1.0</v>
      </c>
      <c r="L249" s="62">
        <v>0.0</v>
      </c>
      <c r="M249" s="62">
        <v>1.0</v>
      </c>
      <c r="N249" s="62">
        <v>0.0</v>
      </c>
      <c r="O249" s="62">
        <v>1.0</v>
      </c>
      <c r="P249" s="62">
        <v>0.0</v>
      </c>
      <c r="Q249" s="62">
        <v>0.0</v>
      </c>
      <c r="R249" s="62">
        <v>23880.0</v>
      </c>
      <c r="S249" s="62">
        <v>23880.0</v>
      </c>
      <c r="T249" s="62">
        <v>1.41499999999999</v>
      </c>
      <c r="U249" s="62">
        <v>0.0</v>
      </c>
      <c r="V249" s="62">
        <v>0.0</v>
      </c>
      <c r="W249" s="62">
        <v>1.13527777777777</v>
      </c>
      <c r="X249" s="62">
        <v>1.13527777777777</v>
      </c>
      <c r="Y249" s="62">
        <v>0.903333333333333</v>
      </c>
      <c r="Z249" s="62">
        <v>0.235555555555555</v>
      </c>
      <c r="AA249" s="62">
        <v>0.0</v>
      </c>
      <c r="AB249" s="62">
        <v>0.221666666666666</v>
      </c>
      <c r="AC249" s="62">
        <v>0.0</v>
      </c>
      <c r="AD249" s="62">
        <v>0.226388888888888</v>
      </c>
      <c r="AE249" s="62">
        <v>0.0</v>
      </c>
      <c r="AF249" s="62">
        <v>6.0</v>
      </c>
    </row>
    <row r="250">
      <c r="A250" s="68">
        <v>46149.0</v>
      </c>
      <c r="B250" s="62" t="s">
        <v>65</v>
      </c>
      <c r="C250" s="62" t="s">
        <v>173</v>
      </c>
      <c r="D250" s="62">
        <v>2.0</v>
      </c>
      <c r="E250" s="62">
        <v>0.0</v>
      </c>
      <c r="F250" s="62">
        <v>0.0</v>
      </c>
      <c r="G250" s="62">
        <v>0.0</v>
      </c>
      <c r="H250" s="62">
        <v>0.0</v>
      </c>
      <c r="I250" s="62">
        <v>0.0</v>
      </c>
      <c r="J250" s="62">
        <v>1.0</v>
      </c>
      <c r="K250" s="62">
        <v>0.0</v>
      </c>
      <c r="L250" s="62">
        <v>3.0</v>
      </c>
      <c r="M250" s="62">
        <v>5.0</v>
      </c>
      <c r="N250" s="62">
        <v>2.0</v>
      </c>
      <c r="O250" s="62">
        <v>1.0</v>
      </c>
      <c r="P250" s="62">
        <v>2.0</v>
      </c>
      <c r="Q250" s="62">
        <v>0.0</v>
      </c>
      <c r="R250" s="62">
        <v>4137.0</v>
      </c>
      <c r="S250" s="62">
        <v>0.0</v>
      </c>
      <c r="T250" s="62">
        <v>0.0</v>
      </c>
      <c r="U250" s="62">
        <v>0.0</v>
      </c>
      <c r="V250" s="62">
        <v>0.0</v>
      </c>
      <c r="W250" s="62">
        <v>0.0</v>
      </c>
      <c r="X250" s="62">
        <v>0.0</v>
      </c>
      <c r="Y250" s="62">
        <v>0.255277777777777</v>
      </c>
      <c r="Z250" s="62">
        <v>0.0</v>
      </c>
      <c r="AA250" s="62">
        <v>0.775833333333333</v>
      </c>
      <c r="AB250" s="62">
        <v>1.08027777777777</v>
      </c>
      <c r="AC250" s="62">
        <v>0.448888888888888</v>
      </c>
      <c r="AD250" s="62">
        <v>0.188888888888888</v>
      </c>
      <c r="AE250" s="62">
        <v>0.448888888888888</v>
      </c>
      <c r="AF250" s="62">
        <v>0.0</v>
      </c>
    </row>
    <row r="251">
      <c r="A251" s="68">
        <v>46149.0</v>
      </c>
      <c r="B251" s="62" t="s">
        <v>37</v>
      </c>
      <c r="C251" s="62" t="s">
        <v>174</v>
      </c>
      <c r="D251" s="62">
        <v>2.0</v>
      </c>
      <c r="E251" s="62">
        <v>0.0</v>
      </c>
      <c r="F251" s="62">
        <v>4.0</v>
      </c>
      <c r="G251" s="62">
        <v>11.0</v>
      </c>
      <c r="H251" s="62">
        <v>11.0</v>
      </c>
      <c r="I251" s="62">
        <v>0.0</v>
      </c>
      <c r="J251" s="62">
        <v>11.0</v>
      </c>
      <c r="K251" s="62">
        <v>6.0</v>
      </c>
      <c r="L251" s="62">
        <v>0.0</v>
      </c>
      <c r="M251" s="62">
        <v>8.0</v>
      </c>
      <c r="N251" s="62">
        <v>0.0</v>
      </c>
      <c r="O251" s="62">
        <v>1.0</v>
      </c>
      <c r="P251" s="62">
        <v>0.0</v>
      </c>
      <c r="Q251" s="62">
        <v>0.0</v>
      </c>
      <c r="R251" s="62">
        <v>4775.0</v>
      </c>
      <c r="S251" s="62">
        <v>0.0</v>
      </c>
      <c r="T251" s="62">
        <v>0.0</v>
      </c>
      <c r="U251" s="62">
        <v>1.03277777777777</v>
      </c>
      <c r="V251" s="62">
        <v>2.86305555555555</v>
      </c>
      <c r="W251" s="62">
        <v>2.86305555555555</v>
      </c>
      <c r="X251" s="62">
        <v>0.0</v>
      </c>
      <c r="Y251" s="62">
        <v>2.86305555555555</v>
      </c>
      <c r="Z251" s="62">
        <v>1.56083333333333</v>
      </c>
      <c r="AA251" s="62">
        <v>0.0</v>
      </c>
      <c r="AB251" s="62">
        <v>2.12444444444444</v>
      </c>
      <c r="AC251" s="62">
        <v>0.0</v>
      </c>
      <c r="AD251" s="62">
        <v>0.281388888888888</v>
      </c>
      <c r="AE251" s="62">
        <v>0.0</v>
      </c>
      <c r="AF251" s="62">
        <v>0.0</v>
      </c>
    </row>
    <row r="252">
      <c r="A252" s="68">
        <v>46149.0</v>
      </c>
      <c r="B252" s="62" t="s">
        <v>108</v>
      </c>
      <c r="C252" s="62" t="s">
        <v>175</v>
      </c>
      <c r="D252" s="62">
        <v>0.0</v>
      </c>
      <c r="E252" s="62">
        <v>1.0</v>
      </c>
      <c r="F252" s="62">
        <v>1.0</v>
      </c>
      <c r="G252" s="62">
        <v>4.0</v>
      </c>
      <c r="H252" s="62">
        <v>4.0</v>
      </c>
      <c r="I252" s="62">
        <v>0.0</v>
      </c>
      <c r="J252" s="62">
        <v>1.0</v>
      </c>
      <c r="K252" s="62">
        <v>1.0</v>
      </c>
      <c r="L252" s="62">
        <v>0.0</v>
      </c>
      <c r="M252" s="62">
        <v>1.0</v>
      </c>
      <c r="N252" s="62">
        <v>0.0</v>
      </c>
      <c r="O252" s="62">
        <v>0.0</v>
      </c>
      <c r="P252" s="62">
        <v>0.0</v>
      </c>
      <c r="Q252" s="62">
        <v>0.0</v>
      </c>
      <c r="R252" s="62">
        <v>0.0</v>
      </c>
      <c r="S252" s="62">
        <v>2597.0</v>
      </c>
      <c r="T252" s="62">
        <v>0.431666666666666</v>
      </c>
      <c r="U252" s="62">
        <v>0.256666666666666</v>
      </c>
      <c r="V252" s="62">
        <v>0.695833333333333</v>
      </c>
      <c r="W252" s="62">
        <v>0.695833333333333</v>
      </c>
      <c r="X252" s="62">
        <v>0.0</v>
      </c>
      <c r="Y252" s="62">
        <v>0.170277777777777</v>
      </c>
      <c r="Z252" s="62">
        <v>0.170277777777777</v>
      </c>
      <c r="AA252" s="62">
        <v>0.0</v>
      </c>
      <c r="AB252" s="62">
        <v>0.217222222222222</v>
      </c>
      <c r="AC252" s="62">
        <v>0.0</v>
      </c>
      <c r="AD252" s="62">
        <v>0.0</v>
      </c>
      <c r="AE252" s="62">
        <v>0.0</v>
      </c>
      <c r="AF252" s="62">
        <v>2.0</v>
      </c>
    </row>
    <row r="253">
      <c r="A253" s="68">
        <v>46149.0</v>
      </c>
      <c r="B253" s="62" t="s">
        <v>56</v>
      </c>
      <c r="C253" s="62" t="s">
        <v>176</v>
      </c>
      <c r="D253" s="62">
        <v>0.0</v>
      </c>
      <c r="E253" s="62">
        <v>12.0</v>
      </c>
      <c r="F253" s="62">
        <v>6.0</v>
      </c>
      <c r="G253" s="62">
        <v>6.0</v>
      </c>
      <c r="H253" s="62">
        <v>6.0</v>
      </c>
      <c r="I253" s="62">
        <v>0.0</v>
      </c>
      <c r="J253" s="62">
        <v>2.0</v>
      </c>
      <c r="K253" s="62">
        <v>3.0</v>
      </c>
      <c r="L253" s="62">
        <v>0.0</v>
      </c>
      <c r="M253" s="62">
        <v>3.0</v>
      </c>
      <c r="N253" s="62">
        <v>2.0</v>
      </c>
      <c r="O253" s="62">
        <v>1.0</v>
      </c>
      <c r="P253" s="62">
        <v>2.0</v>
      </c>
      <c r="Q253" s="62">
        <v>0.0</v>
      </c>
      <c r="R253" s="62">
        <v>0.0</v>
      </c>
      <c r="S253" s="62">
        <v>27552.0</v>
      </c>
      <c r="T253" s="62">
        <v>1.98472222222222</v>
      </c>
      <c r="U253" s="62">
        <v>1.48305555555555</v>
      </c>
      <c r="V253" s="62">
        <v>1.53166666666666</v>
      </c>
      <c r="W253" s="62">
        <v>1.53166666666666</v>
      </c>
      <c r="X253" s="62">
        <v>0.0</v>
      </c>
      <c r="Y253" s="62">
        <v>0.534722222222222</v>
      </c>
      <c r="Z253" s="62">
        <v>0.768611111111111</v>
      </c>
      <c r="AA253" s="62">
        <v>0.0</v>
      </c>
      <c r="AB253" s="62">
        <v>0.775833333333333</v>
      </c>
      <c r="AC253" s="62">
        <v>0.506388888888888</v>
      </c>
      <c r="AD253" s="62">
        <v>0.254444444444444</v>
      </c>
      <c r="AE253" s="62">
        <v>0.506388888888888</v>
      </c>
      <c r="AF253" s="62">
        <v>8.0</v>
      </c>
    </row>
    <row r="254">
      <c r="A254" s="68">
        <v>46149.0</v>
      </c>
      <c r="B254" s="62" t="s">
        <v>26</v>
      </c>
      <c r="C254" s="62" t="s">
        <v>178</v>
      </c>
      <c r="D254" s="62">
        <v>6.0</v>
      </c>
      <c r="E254" s="62">
        <v>1.0</v>
      </c>
      <c r="F254" s="62">
        <v>0.0</v>
      </c>
      <c r="G254" s="62">
        <v>5.0</v>
      </c>
      <c r="H254" s="62">
        <v>5.0</v>
      </c>
      <c r="I254" s="62">
        <v>0.0</v>
      </c>
      <c r="J254" s="62">
        <v>6.0</v>
      </c>
      <c r="K254" s="62">
        <v>1.0</v>
      </c>
      <c r="L254" s="62">
        <v>0.0</v>
      </c>
      <c r="M254" s="62">
        <v>12.0</v>
      </c>
      <c r="N254" s="62">
        <v>5.0</v>
      </c>
      <c r="O254" s="62">
        <v>1.0</v>
      </c>
      <c r="P254" s="62">
        <v>5.0</v>
      </c>
      <c r="Q254" s="62">
        <v>0.0</v>
      </c>
      <c r="R254" s="62">
        <v>13488.0</v>
      </c>
      <c r="S254" s="62">
        <v>2356.0</v>
      </c>
      <c r="T254" s="62">
        <v>0.0</v>
      </c>
      <c r="U254" s="62">
        <v>0.0</v>
      </c>
      <c r="V254" s="62">
        <v>0.948333333333333</v>
      </c>
      <c r="W254" s="62">
        <v>0.948333333333333</v>
      </c>
      <c r="X254" s="62">
        <v>0.0</v>
      </c>
      <c r="Y254" s="62">
        <v>1.14166666666666</v>
      </c>
      <c r="Z254" s="62">
        <v>0.175833333333333</v>
      </c>
      <c r="AA254" s="62">
        <v>0.0</v>
      </c>
      <c r="AB254" s="62">
        <v>2.24916666666666</v>
      </c>
      <c r="AC254" s="62">
        <v>0.907222222222222</v>
      </c>
      <c r="AD254" s="62">
        <v>0.206388888888888</v>
      </c>
      <c r="AE254" s="62">
        <v>0.907222222222222</v>
      </c>
      <c r="AF254" s="62">
        <v>0.0</v>
      </c>
    </row>
    <row r="255">
      <c r="A255" s="68">
        <v>46149.0</v>
      </c>
      <c r="B255" s="62" t="s">
        <v>62</v>
      </c>
      <c r="C255" s="62" t="s">
        <v>63</v>
      </c>
      <c r="D255" s="62">
        <v>0.0</v>
      </c>
      <c r="E255" s="62">
        <v>0.0</v>
      </c>
      <c r="F255" s="62">
        <v>0.0</v>
      </c>
      <c r="G255" s="62">
        <v>0.0</v>
      </c>
      <c r="H255" s="62">
        <v>3.0</v>
      </c>
      <c r="I255" s="62">
        <v>3.0</v>
      </c>
      <c r="J255" s="62">
        <v>3.0</v>
      </c>
      <c r="K255" s="62">
        <v>2.0</v>
      </c>
      <c r="L255" s="62">
        <v>0.0</v>
      </c>
      <c r="M255" s="62">
        <v>4.0</v>
      </c>
      <c r="N255" s="62">
        <v>0.0</v>
      </c>
      <c r="O255" s="62">
        <v>1.0</v>
      </c>
      <c r="P255" s="62">
        <v>0.0</v>
      </c>
      <c r="Q255" s="62">
        <v>0.0</v>
      </c>
      <c r="R255" s="62">
        <v>0.0</v>
      </c>
      <c r="S255" s="62">
        <v>0.0</v>
      </c>
      <c r="T255" s="62">
        <v>0.585277777777777</v>
      </c>
      <c r="U255" s="62">
        <v>0.0</v>
      </c>
      <c r="V255" s="62">
        <v>0.0</v>
      </c>
      <c r="W255" s="62">
        <v>0.674722222222222</v>
      </c>
      <c r="X255" s="62">
        <v>0.674722222222222</v>
      </c>
      <c r="Y255" s="62">
        <v>0.693888888888888</v>
      </c>
      <c r="Z255" s="62">
        <v>0.464999999999999</v>
      </c>
      <c r="AA255" s="62">
        <v>0.0</v>
      </c>
      <c r="AB255" s="62">
        <v>0.850555555555555</v>
      </c>
      <c r="AC255" s="62">
        <v>0.0</v>
      </c>
      <c r="AD255" s="62">
        <v>0.186388888888888</v>
      </c>
      <c r="AE255" s="62">
        <v>0.0</v>
      </c>
      <c r="AF255" s="62">
        <v>3.0</v>
      </c>
    </row>
    <row r="256">
      <c r="A256" s="68">
        <v>46148.0</v>
      </c>
      <c r="B256" s="62" t="s">
        <v>79</v>
      </c>
      <c r="C256" s="62" t="s">
        <v>162</v>
      </c>
      <c r="D256" s="62">
        <v>0.0</v>
      </c>
      <c r="E256" s="62">
        <v>1.0</v>
      </c>
      <c r="F256" s="62">
        <v>5.0</v>
      </c>
      <c r="G256" s="62">
        <v>2.0</v>
      </c>
      <c r="H256" s="62">
        <v>2.0</v>
      </c>
      <c r="I256" s="62">
        <v>0.0</v>
      </c>
      <c r="J256" s="62">
        <v>3.0</v>
      </c>
      <c r="K256" s="62">
        <v>1.0</v>
      </c>
      <c r="L256" s="62">
        <v>1.0</v>
      </c>
      <c r="M256" s="62">
        <v>3.0</v>
      </c>
      <c r="N256" s="62">
        <v>2.0</v>
      </c>
      <c r="O256" s="62">
        <v>1.0</v>
      </c>
      <c r="P256" s="62">
        <v>2.0</v>
      </c>
      <c r="Q256" s="62">
        <v>0.0</v>
      </c>
      <c r="R256" s="62">
        <v>0.0</v>
      </c>
      <c r="S256" s="62">
        <v>2455.0</v>
      </c>
      <c r="T256" s="62">
        <v>1.05805555555555</v>
      </c>
      <c r="U256" s="62">
        <v>1.05805555555555</v>
      </c>
      <c r="V256" s="62">
        <v>0.419722222222222</v>
      </c>
      <c r="W256" s="62">
        <v>0.419722222222222</v>
      </c>
      <c r="X256" s="62">
        <v>0.0</v>
      </c>
      <c r="Y256" s="62">
        <v>0.660555555555555</v>
      </c>
      <c r="Z256" s="62">
        <v>0.208055555555555</v>
      </c>
      <c r="AA256" s="62">
        <v>0.208055555555555</v>
      </c>
      <c r="AB256" s="62">
        <v>0.660555555555555</v>
      </c>
      <c r="AC256" s="62">
        <v>0.395277777777777</v>
      </c>
      <c r="AD256" s="62">
        <v>0.213611111111111</v>
      </c>
      <c r="AE256" s="62">
        <v>0.395277777777777</v>
      </c>
      <c r="AF256" s="62">
        <v>5.0</v>
      </c>
    </row>
    <row r="257">
      <c r="A257" s="68">
        <v>46148.0</v>
      </c>
      <c r="B257" s="62" t="s">
        <v>96</v>
      </c>
      <c r="C257" s="62" t="s">
        <v>97</v>
      </c>
      <c r="D257" s="62">
        <v>0.0</v>
      </c>
      <c r="E257" s="62">
        <v>3.0</v>
      </c>
      <c r="F257" s="62">
        <v>0.0</v>
      </c>
      <c r="G257" s="62">
        <v>0.0</v>
      </c>
      <c r="H257" s="62">
        <v>0.0</v>
      </c>
      <c r="I257" s="62">
        <v>0.0</v>
      </c>
      <c r="J257" s="62">
        <v>0.0</v>
      </c>
      <c r="K257" s="62">
        <v>0.0</v>
      </c>
      <c r="L257" s="62">
        <v>0.0</v>
      </c>
      <c r="M257" s="62">
        <v>0.0</v>
      </c>
      <c r="N257" s="62">
        <v>0.0</v>
      </c>
      <c r="O257" s="62">
        <v>1.0</v>
      </c>
      <c r="P257" s="62">
        <v>0.0</v>
      </c>
      <c r="Q257" s="62">
        <v>0.0</v>
      </c>
      <c r="R257" s="62">
        <v>0.0</v>
      </c>
      <c r="S257" s="62">
        <v>6589.0</v>
      </c>
      <c r="T257" s="62">
        <v>0.0</v>
      </c>
      <c r="U257" s="62">
        <v>0.0</v>
      </c>
      <c r="V257" s="62">
        <v>0.0</v>
      </c>
      <c r="W257" s="62">
        <v>0.0</v>
      </c>
      <c r="X257" s="62">
        <v>0.0</v>
      </c>
      <c r="Y257" s="62">
        <v>0.0</v>
      </c>
      <c r="Z257" s="62">
        <v>0.0</v>
      </c>
      <c r="AA257" s="62">
        <v>0.0</v>
      </c>
      <c r="AB257" s="62">
        <v>0.0</v>
      </c>
      <c r="AC257" s="62">
        <v>0.0</v>
      </c>
      <c r="AD257" s="62">
        <v>0.212222222222222</v>
      </c>
      <c r="AE257" s="62">
        <v>0.0</v>
      </c>
      <c r="AF257" s="62">
        <v>0.0</v>
      </c>
    </row>
    <row r="258">
      <c r="A258" s="68">
        <v>46148.0</v>
      </c>
      <c r="B258" s="62" t="s">
        <v>71</v>
      </c>
      <c r="C258" s="62" t="s">
        <v>163</v>
      </c>
      <c r="D258" s="62">
        <v>0.0</v>
      </c>
      <c r="E258" s="62">
        <v>0.0</v>
      </c>
      <c r="F258" s="62">
        <v>0.0</v>
      </c>
      <c r="G258" s="62">
        <v>0.0</v>
      </c>
      <c r="H258" s="62">
        <v>0.0</v>
      </c>
      <c r="I258" s="62">
        <v>0.0</v>
      </c>
      <c r="J258" s="62">
        <v>1.0</v>
      </c>
      <c r="K258" s="62">
        <v>0.0</v>
      </c>
      <c r="L258" s="62">
        <v>0.0</v>
      </c>
      <c r="M258" s="62">
        <v>1.0</v>
      </c>
      <c r="N258" s="62">
        <v>0.0</v>
      </c>
      <c r="O258" s="62">
        <v>1.0</v>
      </c>
      <c r="P258" s="62">
        <v>0.0</v>
      </c>
      <c r="Q258" s="62">
        <v>0.0</v>
      </c>
      <c r="R258" s="62">
        <v>0.0</v>
      </c>
      <c r="S258" s="62">
        <v>0.0</v>
      </c>
      <c r="T258" s="62">
        <v>0.0</v>
      </c>
      <c r="U258" s="62">
        <v>0.0</v>
      </c>
      <c r="V258" s="62">
        <v>0.0</v>
      </c>
      <c r="W258" s="62">
        <v>0.0</v>
      </c>
      <c r="X258" s="62">
        <v>0.0</v>
      </c>
      <c r="Y258" s="62">
        <v>0.2575</v>
      </c>
      <c r="Z258" s="62">
        <v>0.0</v>
      </c>
      <c r="AA258" s="62">
        <v>0.0</v>
      </c>
      <c r="AB258" s="62">
        <v>0.2575</v>
      </c>
      <c r="AC258" s="62">
        <v>0.0</v>
      </c>
      <c r="AD258" s="62">
        <v>0.294444444444444</v>
      </c>
      <c r="AE258" s="62">
        <v>0.0</v>
      </c>
      <c r="AF258" s="62">
        <v>0.0</v>
      </c>
    </row>
    <row r="259">
      <c r="A259" s="68">
        <v>46148.0</v>
      </c>
      <c r="B259" s="62" t="s">
        <v>76</v>
      </c>
      <c r="C259" s="62" t="s">
        <v>165</v>
      </c>
      <c r="D259" s="62">
        <v>1.0</v>
      </c>
      <c r="E259" s="62">
        <v>11.0</v>
      </c>
      <c r="F259" s="62">
        <v>4.0</v>
      </c>
      <c r="G259" s="62">
        <v>4.0</v>
      </c>
      <c r="H259" s="62">
        <v>4.0</v>
      </c>
      <c r="I259" s="62">
        <v>0.0</v>
      </c>
      <c r="J259" s="62">
        <v>1.0</v>
      </c>
      <c r="K259" s="62">
        <v>0.0</v>
      </c>
      <c r="L259" s="62">
        <v>0.0</v>
      </c>
      <c r="M259" s="62">
        <v>1.0</v>
      </c>
      <c r="N259" s="62">
        <v>4.0</v>
      </c>
      <c r="O259" s="62">
        <v>1.0</v>
      </c>
      <c r="P259" s="62">
        <v>4.0</v>
      </c>
      <c r="Q259" s="62">
        <v>0.0</v>
      </c>
      <c r="R259" s="62">
        <v>3495.0</v>
      </c>
      <c r="S259" s="62">
        <v>36452.0</v>
      </c>
      <c r="T259" s="62">
        <v>1.16777777777777</v>
      </c>
      <c r="U259" s="62">
        <v>1.16777777777777</v>
      </c>
      <c r="V259" s="62">
        <v>1.24694444444444</v>
      </c>
      <c r="W259" s="62">
        <v>1.24694444444444</v>
      </c>
      <c r="X259" s="62">
        <v>0.0</v>
      </c>
      <c r="Y259" s="62">
        <v>0.374722222222222</v>
      </c>
      <c r="Z259" s="62">
        <v>0.0</v>
      </c>
      <c r="AA259" s="62">
        <v>0.0</v>
      </c>
      <c r="AB259" s="62">
        <v>0.374722222222222</v>
      </c>
      <c r="AC259" s="62">
        <v>1.32444444444444</v>
      </c>
      <c r="AD259" s="62">
        <v>0.229722222222222</v>
      </c>
      <c r="AE259" s="62">
        <v>1.32444444444444</v>
      </c>
      <c r="AF259" s="62">
        <v>4.0</v>
      </c>
    </row>
    <row r="260">
      <c r="A260" s="68">
        <v>46148.0</v>
      </c>
      <c r="B260" s="62" t="s">
        <v>100</v>
      </c>
      <c r="C260" s="62" t="s">
        <v>167</v>
      </c>
      <c r="D260" s="62">
        <v>6.0</v>
      </c>
      <c r="E260" s="62">
        <v>0.0</v>
      </c>
      <c r="F260" s="62">
        <v>2.0</v>
      </c>
      <c r="G260" s="62">
        <v>3.0</v>
      </c>
      <c r="H260" s="62">
        <v>4.0</v>
      </c>
      <c r="I260" s="62">
        <v>1.0</v>
      </c>
      <c r="J260" s="62">
        <v>4.0</v>
      </c>
      <c r="K260" s="62">
        <v>1.0</v>
      </c>
      <c r="L260" s="62">
        <v>0.0</v>
      </c>
      <c r="M260" s="62">
        <v>0.0</v>
      </c>
      <c r="N260" s="62">
        <v>0.0</v>
      </c>
      <c r="O260" s="62">
        <v>1.0</v>
      </c>
      <c r="P260" s="62">
        <v>0.0</v>
      </c>
      <c r="Q260" s="62">
        <v>0.0</v>
      </c>
      <c r="R260" s="62">
        <v>13948.0</v>
      </c>
      <c r="S260" s="62">
        <v>0.0</v>
      </c>
      <c r="T260" s="62">
        <v>0.68</v>
      </c>
      <c r="U260" s="62">
        <v>0.469444444444444</v>
      </c>
      <c r="V260" s="62">
        <v>0.686666666666666</v>
      </c>
      <c r="W260" s="62">
        <v>0.908888888888888</v>
      </c>
      <c r="X260" s="62">
        <v>0.222222222222222</v>
      </c>
      <c r="Y260" s="62">
        <v>0.892222222222222</v>
      </c>
      <c r="Z260" s="62">
        <v>0.236666666666666</v>
      </c>
      <c r="AA260" s="62">
        <v>0.0</v>
      </c>
      <c r="AB260" s="62">
        <v>0.0</v>
      </c>
      <c r="AC260" s="62">
        <v>0.0</v>
      </c>
      <c r="AD260" s="62">
        <v>0.237222222222222</v>
      </c>
      <c r="AE260" s="62">
        <v>0.0</v>
      </c>
      <c r="AF260" s="62">
        <v>3.0</v>
      </c>
    </row>
    <row r="261">
      <c r="A261" s="68">
        <v>46148.0</v>
      </c>
      <c r="B261" s="62" t="s">
        <v>32</v>
      </c>
      <c r="C261" s="62" t="s">
        <v>168</v>
      </c>
      <c r="D261" s="62">
        <v>6.0</v>
      </c>
      <c r="E261" s="62">
        <v>4.0</v>
      </c>
      <c r="F261" s="62">
        <v>5.0</v>
      </c>
      <c r="G261" s="62">
        <v>0.0</v>
      </c>
      <c r="H261" s="62">
        <v>3.0</v>
      </c>
      <c r="I261" s="62">
        <v>0.0</v>
      </c>
      <c r="J261" s="62">
        <v>4.0</v>
      </c>
      <c r="K261" s="62">
        <v>1.0</v>
      </c>
      <c r="L261" s="62">
        <v>0.0</v>
      </c>
      <c r="M261" s="62">
        <v>6.0</v>
      </c>
      <c r="N261" s="62">
        <v>16.0</v>
      </c>
      <c r="O261" s="62">
        <v>1.0</v>
      </c>
      <c r="P261" s="62">
        <v>16.0</v>
      </c>
      <c r="Q261" s="62">
        <v>0.0</v>
      </c>
      <c r="R261" s="62">
        <v>14603.0</v>
      </c>
      <c r="S261" s="62">
        <v>9456.0</v>
      </c>
      <c r="T261" s="62">
        <v>0.896944444444444</v>
      </c>
      <c r="U261" s="62">
        <v>1.09583333333333</v>
      </c>
      <c r="V261" s="62">
        <v>0.0</v>
      </c>
      <c r="W261" s="62">
        <v>0.662222222222222</v>
      </c>
      <c r="X261" s="62">
        <v>0.0</v>
      </c>
      <c r="Y261" s="62">
        <v>0.886111111111111</v>
      </c>
      <c r="Z261" s="62">
        <v>0.242777777777777</v>
      </c>
      <c r="AA261" s="62">
        <v>0.0</v>
      </c>
      <c r="AB261" s="62">
        <v>1.35472222222222</v>
      </c>
      <c r="AC261" s="62">
        <v>3.60972222222222</v>
      </c>
      <c r="AD261" s="62">
        <v>0.217222222222222</v>
      </c>
      <c r="AE261" s="62">
        <v>3.60972222222222</v>
      </c>
      <c r="AF261" s="62">
        <v>4.0</v>
      </c>
    </row>
    <row r="262">
      <c r="A262" s="68">
        <v>46148.0</v>
      </c>
      <c r="B262" s="62" t="s">
        <v>102</v>
      </c>
      <c r="C262" s="62" t="s">
        <v>170</v>
      </c>
      <c r="D262" s="62">
        <v>0.0</v>
      </c>
      <c r="E262" s="62">
        <v>3.0</v>
      </c>
      <c r="F262" s="62">
        <v>0.0</v>
      </c>
      <c r="G262" s="62">
        <v>0.0</v>
      </c>
      <c r="H262" s="62">
        <v>0.0</v>
      </c>
      <c r="I262" s="62">
        <v>0.0</v>
      </c>
      <c r="J262" s="62">
        <v>0.0</v>
      </c>
      <c r="K262" s="62">
        <v>0.0</v>
      </c>
      <c r="L262" s="62">
        <v>0.0</v>
      </c>
      <c r="M262" s="62">
        <v>3.0</v>
      </c>
      <c r="N262" s="62">
        <v>2.0</v>
      </c>
      <c r="O262" s="62">
        <v>1.0</v>
      </c>
      <c r="P262" s="62">
        <v>2.0</v>
      </c>
      <c r="Q262" s="62">
        <v>0.0</v>
      </c>
      <c r="R262" s="62">
        <v>0.0</v>
      </c>
      <c r="S262" s="62">
        <v>7531.0</v>
      </c>
      <c r="T262" s="62">
        <v>0.0</v>
      </c>
      <c r="U262" s="62">
        <v>0.0</v>
      </c>
      <c r="V262" s="62">
        <v>0.0</v>
      </c>
      <c r="W262" s="62">
        <v>0.0</v>
      </c>
      <c r="X262" s="62">
        <v>0.0</v>
      </c>
      <c r="Y262" s="62">
        <v>0.0</v>
      </c>
      <c r="Z262" s="62">
        <v>0.0</v>
      </c>
      <c r="AA262" s="62">
        <v>0.0</v>
      </c>
      <c r="AB262" s="62">
        <v>0.77</v>
      </c>
      <c r="AC262" s="62">
        <v>0.518888888888888</v>
      </c>
      <c r="AD262" s="62">
        <v>0.254444444444444</v>
      </c>
      <c r="AE262" s="62">
        <v>0.518888888888888</v>
      </c>
      <c r="AF262" s="62">
        <v>0.0</v>
      </c>
    </row>
    <row r="263">
      <c r="A263" s="68">
        <v>46148.0</v>
      </c>
      <c r="B263" s="62" t="s">
        <v>41</v>
      </c>
      <c r="C263" s="62" t="s">
        <v>172</v>
      </c>
      <c r="D263" s="62">
        <v>0.0</v>
      </c>
      <c r="E263" s="62">
        <v>2.0</v>
      </c>
      <c r="F263" s="62">
        <v>0.0</v>
      </c>
      <c r="G263" s="62">
        <v>0.0</v>
      </c>
      <c r="H263" s="62">
        <v>4.0</v>
      </c>
      <c r="I263" s="62">
        <v>4.0</v>
      </c>
      <c r="J263" s="62">
        <v>3.0</v>
      </c>
      <c r="K263" s="62">
        <v>3.0</v>
      </c>
      <c r="L263" s="62">
        <v>1.0</v>
      </c>
      <c r="M263" s="62">
        <v>5.0</v>
      </c>
      <c r="N263" s="62">
        <v>5.0</v>
      </c>
      <c r="O263" s="62">
        <v>1.0</v>
      </c>
      <c r="P263" s="62">
        <v>5.0</v>
      </c>
      <c r="Q263" s="62">
        <v>0.0</v>
      </c>
      <c r="R263" s="62">
        <v>0.0</v>
      </c>
      <c r="S263" s="62">
        <v>4920.0</v>
      </c>
      <c r="T263" s="62">
        <v>0.908888888888889</v>
      </c>
      <c r="U263" s="62">
        <v>0.0</v>
      </c>
      <c r="V263" s="62">
        <v>0.0</v>
      </c>
      <c r="W263" s="62">
        <v>0.919722222222222</v>
      </c>
      <c r="X263" s="62">
        <v>0.919722222222222</v>
      </c>
      <c r="Y263" s="62">
        <v>0.698611111111111</v>
      </c>
      <c r="Z263" s="62">
        <v>0.695</v>
      </c>
      <c r="AA263" s="62">
        <v>0.241388888888888</v>
      </c>
      <c r="AB263" s="62">
        <v>1.14861111111111</v>
      </c>
      <c r="AC263" s="62">
        <v>1.1475</v>
      </c>
      <c r="AD263" s="62">
        <v>0.246111111111111</v>
      </c>
      <c r="AE263" s="62">
        <v>1.1475</v>
      </c>
      <c r="AF263" s="62">
        <v>4.0</v>
      </c>
    </row>
    <row r="264">
      <c r="A264" s="68">
        <v>46148.0</v>
      </c>
      <c r="B264" s="62" t="s">
        <v>65</v>
      </c>
      <c r="C264" s="62" t="s">
        <v>173</v>
      </c>
      <c r="D264" s="62">
        <v>4.0</v>
      </c>
      <c r="E264" s="62">
        <v>0.0</v>
      </c>
      <c r="F264" s="62">
        <v>0.0</v>
      </c>
      <c r="G264" s="62">
        <v>0.0</v>
      </c>
      <c r="H264" s="62">
        <v>3.0</v>
      </c>
      <c r="I264" s="62">
        <v>3.0</v>
      </c>
      <c r="J264" s="62">
        <v>4.0</v>
      </c>
      <c r="K264" s="62">
        <v>2.0</v>
      </c>
      <c r="L264" s="62">
        <v>0.0</v>
      </c>
      <c r="M264" s="62">
        <v>0.0</v>
      </c>
      <c r="N264" s="62">
        <v>0.0</v>
      </c>
      <c r="O264" s="62">
        <v>1.0</v>
      </c>
      <c r="P264" s="62">
        <v>0.0</v>
      </c>
      <c r="Q264" s="62">
        <v>0.0</v>
      </c>
      <c r="R264" s="62">
        <v>7817.0</v>
      </c>
      <c r="S264" s="62">
        <v>0.0</v>
      </c>
      <c r="T264" s="62">
        <v>0.680833333333333</v>
      </c>
      <c r="U264" s="62">
        <v>0.0</v>
      </c>
      <c r="V264" s="62">
        <v>0.0</v>
      </c>
      <c r="W264" s="62">
        <v>0.680833333333333</v>
      </c>
      <c r="X264" s="62">
        <v>0.680833333333333</v>
      </c>
      <c r="Y264" s="62">
        <v>0.895555555555555</v>
      </c>
      <c r="Z264" s="62">
        <v>0.366111111111111</v>
      </c>
      <c r="AA264" s="62">
        <v>0.0</v>
      </c>
      <c r="AB264" s="62">
        <v>0.0</v>
      </c>
      <c r="AC264" s="62">
        <v>0.0</v>
      </c>
      <c r="AD264" s="62">
        <v>0.212222222222222</v>
      </c>
      <c r="AE264" s="62">
        <v>0.0</v>
      </c>
      <c r="AF264" s="62">
        <v>3.0</v>
      </c>
    </row>
    <row r="265">
      <c r="A265" s="68">
        <v>46148.0</v>
      </c>
      <c r="B265" s="62" t="s">
        <v>37</v>
      </c>
      <c r="C265" s="62" t="s">
        <v>174</v>
      </c>
      <c r="D265" s="62">
        <v>2.0</v>
      </c>
      <c r="E265" s="62">
        <v>3.0</v>
      </c>
      <c r="F265" s="62">
        <v>0.0</v>
      </c>
      <c r="G265" s="62">
        <v>0.0</v>
      </c>
      <c r="H265" s="62">
        <v>0.0</v>
      </c>
      <c r="I265" s="62">
        <v>0.0</v>
      </c>
      <c r="J265" s="62">
        <v>1.0</v>
      </c>
      <c r="K265" s="62">
        <v>2.0</v>
      </c>
      <c r="L265" s="62">
        <v>0.0</v>
      </c>
      <c r="M265" s="62">
        <v>1.0</v>
      </c>
      <c r="N265" s="62">
        <v>0.0</v>
      </c>
      <c r="O265" s="62">
        <v>1.0</v>
      </c>
      <c r="P265" s="62">
        <v>0.0</v>
      </c>
      <c r="Q265" s="62">
        <v>0.0</v>
      </c>
      <c r="R265" s="62">
        <v>4698.0</v>
      </c>
      <c r="S265" s="62">
        <v>7215.0</v>
      </c>
      <c r="T265" s="62">
        <v>1.03277777777777</v>
      </c>
      <c r="U265" s="62">
        <v>0.0</v>
      </c>
      <c r="V265" s="62">
        <v>0.0</v>
      </c>
      <c r="W265" s="62">
        <v>0.0</v>
      </c>
      <c r="X265" s="62">
        <v>0.0</v>
      </c>
      <c r="Y265" s="62">
        <v>0.2825</v>
      </c>
      <c r="Z265" s="62">
        <v>0.568611111111111</v>
      </c>
      <c r="AA265" s="62">
        <v>0.0</v>
      </c>
      <c r="AB265" s="62">
        <v>0.2825</v>
      </c>
      <c r="AC265" s="62">
        <v>0.0</v>
      </c>
      <c r="AD265" s="62">
        <v>0.295</v>
      </c>
      <c r="AE265" s="62">
        <v>0.0</v>
      </c>
      <c r="AF265" s="62">
        <v>4.0</v>
      </c>
    </row>
    <row r="266">
      <c r="A266" s="68">
        <v>46148.0</v>
      </c>
      <c r="B266" s="62" t="s">
        <v>108</v>
      </c>
      <c r="C266" s="62" t="s">
        <v>175</v>
      </c>
      <c r="D266" s="62">
        <v>0.0</v>
      </c>
      <c r="E266" s="62">
        <v>3.0</v>
      </c>
      <c r="F266" s="62">
        <v>0.0</v>
      </c>
      <c r="G266" s="62">
        <v>2.0</v>
      </c>
      <c r="H266" s="62">
        <v>2.0</v>
      </c>
      <c r="I266" s="62">
        <v>0.0</v>
      </c>
      <c r="J266" s="62">
        <v>3.0</v>
      </c>
      <c r="K266" s="62">
        <v>1.0</v>
      </c>
      <c r="L266" s="62">
        <v>0.0</v>
      </c>
      <c r="M266" s="62">
        <v>2.0</v>
      </c>
      <c r="N266" s="62">
        <v>0.0</v>
      </c>
      <c r="O266" s="62">
        <v>0.0</v>
      </c>
      <c r="P266" s="62">
        <v>0.0</v>
      </c>
      <c r="Q266" s="62">
        <v>0.0</v>
      </c>
      <c r="R266" s="62">
        <v>0.0</v>
      </c>
      <c r="S266" s="62">
        <v>7156.0</v>
      </c>
      <c r="T266" s="62">
        <v>0.256666666666666</v>
      </c>
      <c r="U266" s="62">
        <v>0.0</v>
      </c>
      <c r="V266" s="62">
        <v>0.429166666666666</v>
      </c>
      <c r="W266" s="62">
        <v>0.429166666666666</v>
      </c>
      <c r="X266" s="62">
        <v>0.0</v>
      </c>
      <c r="Y266" s="62">
        <v>0.677222222222222</v>
      </c>
      <c r="Z266" s="62">
        <v>0.234722222222222</v>
      </c>
      <c r="AA266" s="62">
        <v>0.0</v>
      </c>
      <c r="AB266" s="62">
        <v>0.368055555555555</v>
      </c>
      <c r="AC266" s="62">
        <v>0.0</v>
      </c>
      <c r="AD266" s="62">
        <v>0.0</v>
      </c>
      <c r="AE266" s="62">
        <v>0.0</v>
      </c>
      <c r="AF266" s="62">
        <v>1.0</v>
      </c>
    </row>
    <row r="267">
      <c r="A267" s="68">
        <v>46148.0</v>
      </c>
      <c r="B267" s="62" t="s">
        <v>56</v>
      </c>
      <c r="C267" s="62" t="s">
        <v>176</v>
      </c>
      <c r="D267" s="62">
        <v>11.0</v>
      </c>
      <c r="E267" s="62">
        <v>10.0</v>
      </c>
      <c r="F267" s="62">
        <v>6.0</v>
      </c>
      <c r="G267" s="62">
        <v>4.0</v>
      </c>
      <c r="H267" s="62">
        <v>4.0</v>
      </c>
      <c r="I267" s="62">
        <v>0.0</v>
      </c>
      <c r="J267" s="62">
        <v>4.0</v>
      </c>
      <c r="K267" s="62">
        <v>0.0</v>
      </c>
      <c r="L267" s="62">
        <v>0.0</v>
      </c>
      <c r="M267" s="62">
        <v>0.0</v>
      </c>
      <c r="N267" s="62">
        <v>0.0</v>
      </c>
      <c r="O267" s="62">
        <v>1.0</v>
      </c>
      <c r="P267" s="62">
        <v>0.0</v>
      </c>
      <c r="Q267" s="62">
        <v>0.0</v>
      </c>
      <c r="R267" s="62">
        <v>21952.0</v>
      </c>
      <c r="S267" s="62">
        <v>19946.0</v>
      </c>
      <c r="T267" s="62">
        <v>1.21777777777777</v>
      </c>
      <c r="U267" s="62">
        <v>1.42861111111111</v>
      </c>
      <c r="V267" s="62">
        <v>1.00972222222222</v>
      </c>
      <c r="W267" s="62">
        <v>1.00972222222222</v>
      </c>
      <c r="X267" s="62">
        <v>0.0</v>
      </c>
      <c r="Y267" s="62">
        <v>1.00972222222222</v>
      </c>
      <c r="Z267" s="62">
        <v>0.0</v>
      </c>
      <c r="AA267" s="62">
        <v>0.0</v>
      </c>
      <c r="AB267" s="62">
        <v>0.0</v>
      </c>
      <c r="AC267" s="62">
        <v>0.0</v>
      </c>
      <c r="AD267" s="62">
        <v>0.220833333333333</v>
      </c>
      <c r="AE267" s="62">
        <v>0.0</v>
      </c>
      <c r="AF267" s="62">
        <v>5.0</v>
      </c>
    </row>
    <row r="268">
      <c r="A268" s="68">
        <v>46148.0</v>
      </c>
      <c r="B268" s="62" t="s">
        <v>26</v>
      </c>
      <c r="C268" s="62" t="s">
        <v>178</v>
      </c>
      <c r="D268" s="62">
        <v>6.0</v>
      </c>
      <c r="E268" s="62">
        <v>8.0</v>
      </c>
      <c r="F268" s="62">
        <v>8.0</v>
      </c>
      <c r="G268" s="62">
        <v>5.0</v>
      </c>
      <c r="H268" s="62">
        <v>11.0</v>
      </c>
      <c r="I268" s="62">
        <v>6.0</v>
      </c>
      <c r="J268" s="62">
        <v>11.0</v>
      </c>
      <c r="K268" s="62">
        <v>0.0</v>
      </c>
      <c r="L268" s="62">
        <v>0.0</v>
      </c>
      <c r="M268" s="62">
        <v>8.0</v>
      </c>
      <c r="N268" s="62">
        <v>6.0</v>
      </c>
      <c r="O268" s="62">
        <v>1.0</v>
      </c>
      <c r="P268" s="62">
        <v>6.0</v>
      </c>
      <c r="Q268" s="62">
        <v>0.0</v>
      </c>
      <c r="R268" s="62">
        <v>13920.0</v>
      </c>
      <c r="S268" s="62">
        <v>16702.0</v>
      </c>
      <c r="T268" s="62">
        <v>1.38055555555555</v>
      </c>
      <c r="U268" s="62">
        <v>1.48499999999999</v>
      </c>
      <c r="V268" s="62">
        <v>0.933888888888889</v>
      </c>
      <c r="W268" s="62">
        <v>2.1075</v>
      </c>
      <c r="X268" s="62">
        <v>1.17361111111111</v>
      </c>
      <c r="Y268" s="62">
        <v>2.12027777777777</v>
      </c>
      <c r="Z268" s="62">
        <v>0.0</v>
      </c>
      <c r="AA268" s="62">
        <v>0.0</v>
      </c>
      <c r="AB268" s="62">
        <v>1.58583333333333</v>
      </c>
      <c r="AC268" s="62">
        <v>1.04944444444444</v>
      </c>
      <c r="AD268" s="62">
        <v>0.176111111111111</v>
      </c>
      <c r="AE268" s="62">
        <v>1.04944444444444</v>
      </c>
      <c r="AF268" s="62">
        <v>7.0</v>
      </c>
    </row>
    <row r="269">
      <c r="A269" s="68">
        <v>46148.0</v>
      </c>
      <c r="B269" s="62" t="s">
        <v>62</v>
      </c>
      <c r="C269" s="62" t="s">
        <v>63</v>
      </c>
      <c r="D269" s="62">
        <v>0.0</v>
      </c>
      <c r="E269" s="62">
        <v>0.0</v>
      </c>
      <c r="F269" s="62">
        <v>0.0</v>
      </c>
      <c r="G269" s="62">
        <v>0.0</v>
      </c>
      <c r="H269" s="62">
        <v>0.0</v>
      </c>
      <c r="I269" s="62">
        <v>0.0</v>
      </c>
      <c r="J269" s="62">
        <v>0.0</v>
      </c>
      <c r="K269" s="62">
        <v>1.0</v>
      </c>
      <c r="L269" s="62">
        <v>0.0</v>
      </c>
      <c r="M269" s="62">
        <v>0.0</v>
      </c>
      <c r="N269" s="62">
        <v>2.0</v>
      </c>
      <c r="O269" s="62">
        <v>1.0</v>
      </c>
      <c r="P269" s="62">
        <v>2.0</v>
      </c>
      <c r="Q269" s="62">
        <v>0.0</v>
      </c>
      <c r="R269" s="62">
        <v>0.0</v>
      </c>
      <c r="S269" s="62">
        <v>0.0</v>
      </c>
      <c r="T269" s="62">
        <v>0.674722222222222</v>
      </c>
      <c r="U269" s="62">
        <v>0.0</v>
      </c>
      <c r="V269" s="62">
        <v>0.0</v>
      </c>
      <c r="W269" s="62">
        <v>0.0</v>
      </c>
      <c r="X269" s="62">
        <v>0.0</v>
      </c>
      <c r="Y269" s="62">
        <v>0.0</v>
      </c>
      <c r="Z269" s="62">
        <v>0.216388888888888</v>
      </c>
      <c r="AA269" s="62">
        <v>0.0</v>
      </c>
      <c r="AB269" s="62">
        <v>0.0</v>
      </c>
      <c r="AC269" s="62">
        <v>0.413055555555555</v>
      </c>
      <c r="AD269" s="62">
        <v>0.195</v>
      </c>
      <c r="AE269" s="62">
        <v>0.413055555555555</v>
      </c>
      <c r="AF269" s="62">
        <v>3.0</v>
      </c>
    </row>
    <row r="270">
      <c r="A270" s="68">
        <v>46147.0</v>
      </c>
      <c r="B270" s="62" t="s">
        <v>79</v>
      </c>
      <c r="C270" s="62" t="s">
        <v>162</v>
      </c>
      <c r="D270" s="62">
        <v>0.0</v>
      </c>
      <c r="E270" s="62">
        <v>6.0</v>
      </c>
      <c r="F270" s="62">
        <v>5.0</v>
      </c>
      <c r="G270" s="62">
        <v>6.0</v>
      </c>
      <c r="H270" s="62">
        <v>6.0</v>
      </c>
      <c r="I270" s="62">
        <v>0.0</v>
      </c>
      <c r="J270" s="62">
        <v>5.0</v>
      </c>
      <c r="K270" s="62">
        <v>4.0</v>
      </c>
      <c r="L270" s="62">
        <v>4.0</v>
      </c>
      <c r="M270" s="62">
        <v>8.0</v>
      </c>
      <c r="N270" s="62">
        <v>9.0</v>
      </c>
      <c r="O270" s="62">
        <v>1.0</v>
      </c>
      <c r="P270" s="62">
        <v>9.0</v>
      </c>
      <c r="Q270" s="62">
        <v>0.0</v>
      </c>
      <c r="R270" s="62">
        <v>0.0</v>
      </c>
      <c r="S270" s="62">
        <v>15383.0</v>
      </c>
      <c r="T270" s="62">
        <v>1.03527777777777</v>
      </c>
      <c r="U270" s="62">
        <v>1.03527777777777</v>
      </c>
      <c r="V270" s="62">
        <v>1.2725</v>
      </c>
      <c r="W270" s="62">
        <v>1.2725</v>
      </c>
      <c r="X270" s="62">
        <v>0.0</v>
      </c>
      <c r="Y270" s="62">
        <v>1.02888888888888</v>
      </c>
      <c r="Z270" s="62">
        <v>0.820833333333333</v>
      </c>
      <c r="AA270" s="62">
        <v>0.823333333333333</v>
      </c>
      <c r="AB270" s="62">
        <v>1.62555555555555</v>
      </c>
      <c r="AC270" s="62">
        <v>1.79916666666666</v>
      </c>
      <c r="AD270" s="62">
        <v>0.205277777777777</v>
      </c>
      <c r="AE270" s="62">
        <v>1.79916666666666</v>
      </c>
      <c r="AF270" s="62">
        <v>5.0</v>
      </c>
    </row>
    <row r="271">
      <c r="A271" s="68">
        <v>46147.0</v>
      </c>
      <c r="B271" s="62" t="s">
        <v>96</v>
      </c>
      <c r="C271" s="62" t="s">
        <v>97</v>
      </c>
      <c r="D271" s="62">
        <v>1.0</v>
      </c>
      <c r="E271" s="62">
        <v>2.0</v>
      </c>
      <c r="F271" s="62">
        <v>0.0</v>
      </c>
      <c r="G271" s="62">
        <v>0.0</v>
      </c>
      <c r="H271" s="62">
        <v>2.0</v>
      </c>
      <c r="I271" s="62">
        <v>0.0</v>
      </c>
      <c r="J271" s="62">
        <v>2.0</v>
      </c>
      <c r="K271" s="62">
        <v>0.0</v>
      </c>
      <c r="L271" s="62">
        <v>0.0</v>
      </c>
      <c r="M271" s="62">
        <v>3.0</v>
      </c>
      <c r="N271" s="62">
        <v>0.0</v>
      </c>
      <c r="O271" s="62">
        <v>1.0</v>
      </c>
      <c r="P271" s="62">
        <v>0.0</v>
      </c>
      <c r="Q271" s="62">
        <v>0.0</v>
      </c>
      <c r="R271" s="62">
        <v>2296.0</v>
      </c>
      <c r="S271" s="62">
        <v>4411.0</v>
      </c>
      <c r="T271" s="62">
        <v>0.406944444444444</v>
      </c>
      <c r="U271" s="62">
        <v>0.0</v>
      </c>
      <c r="V271" s="62">
        <v>0.0</v>
      </c>
      <c r="W271" s="62">
        <v>0.468333333333333</v>
      </c>
      <c r="X271" s="62">
        <v>0.0</v>
      </c>
      <c r="Y271" s="62">
        <v>0.468333333333333</v>
      </c>
      <c r="Z271" s="62">
        <v>0.0</v>
      </c>
      <c r="AA271" s="62">
        <v>0.0</v>
      </c>
      <c r="AB271" s="62">
        <v>0.686111111111111</v>
      </c>
      <c r="AC271" s="62">
        <v>0.0</v>
      </c>
      <c r="AD271" s="62">
        <v>0.248055555555555</v>
      </c>
      <c r="AE271" s="62">
        <v>0.0</v>
      </c>
      <c r="AF271" s="62">
        <v>2.0</v>
      </c>
    </row>
    <row r="272">
      <c r="A272" s="68">
        <v>46147.0</v>
      </c>
      <c r="B272" s="62" t="s">
        <v>71</v>
      </c>
      <c r="C272" s="62" t="s">
        <v>163</v>
      </c>
      <c r="D272" s="62">
        <v>0.0</v>
      </c>
      <c r="E272" s="62">
        <v>1.0</v>
      </c>
      <c r="F272" s="62">
        <v>0.0</v>
      </c>
      <c r="G272" s="62">
        <v>2.0</v>
      </c>
      <c r="H272" s="62">
        <v>2.0</v>
      </c>
      <c r="I272" s="62">
        <v>0.0</v>
      </c>
      <c r="J272" s="62">
        <v>2.0</v>
      </c>
      <c r="K272" s="62">
        <v>0.0</v>
      </c>
      <c r="L272" s="62">
        <v>0.0</v>
      </c>
      <c r="M272" s="62">
        <v>2.0</v>
      </c>
      <c r="N272" s="62">
        <v>2.0</v>
      </c>
      <c r="O272" s="62">
        <v>1.0</v>
      </c>
      <c r="P272" s="62">
        <v>2.0</v>
      </c>
      <c r="Q272" s="62">
        <v>0.0</v>
      </c>
      <c r="R272" s="62">
        <v>0.0</v>
      </c>
      <c r="S272" s="62">
        <v>2732.0</v>
      </c>
      <c r="T272" s="62">
        <v>0.0</v>
      </c>
      <c r="U272" s="62">
        <v>0.0</v>
      </c>
      <c r="V272" s="62">
        <v>0.469444444444444</v>
      </c>
      <c r="W272" s="62">
        <v>0.469444444444444</v>
      </c>
      <c r="X272" s="62">
        <v>0.0</v>
      </c>
      <c r="Y272" s="62">
        <v>0.428055555555555</v>
      </c>
      <c r="Z272" s="62">
        <v>0.0</v>
      </c>
      <c r="AA272" s="62">
        <v>0.0</v>
      </c>
      <c r="AB272" s="62">
        <v>0.428055555555555</v>
      </c>
      <c r="AC272" s="62">
        <v>0.428055555555555</v>
      </c>
      <c r="AD272" s="62">
        <v>0.272777777777777</v>
      </c>
      <c r="AE272" s="62">
        <v>0.428055555555555</v>
      </c>
      <c r="AF272" s="62">
        <v>0.0</v>
      </c>
    </row>
    <row r="273">
      <c r="A273" s="68">
        <v>46147.0</v>
      </c>
      <c r="B273" s="62" t="s">
        <v>76</v>
      </c>
      <c r="C273" s="62" t="s">
        <v>165</v>
      </c>
      <c r="D273" s="62">
        <v>0.0</v>
      </c>
      <c r="E273" s="62">
        <v>7.0</v>
      </c>
      <c r="F273" s="62">
        <v>4.0</v>
      </c>
      <c r="G273" s="62">
        <v>2.0</v>
      </c>
      <c r="H273" s="62">
        <v>2.0</v>
      </c>
      <c r="I273" s="62">
        <v>0.0</v>
      </c>
      <c r="J273" s="62">
        <v>1.0</v>
      </c>
      <c r="K273" s="62">
        <v>0.0</v>
      </c>
      <c r="L273" s="62">
        <v>0.0</v>
      </c>
      <c r="M273" s="62">
        <v>2.0</v>
      </c>
      <c r="N273" s="62">
        <v>0.0</v>
      </c>
      <c r="O273" s="62">
        <v>1.0</v>
      </c>
      <c r="P273" s="62">
        <v>0.0</v>
      </c>
      <c r="Q273" s="62">
        <v>0.0</v>
      </c>
      <c r="R273" s="62">
        <v>0.0</v>
      </c>
      <c r="S273" s="62">
        <v>21419.0</v>
      </c>
      <c r="T273" s="62">
        <v>1.23277777777777</v>
      </c>
      <c r="U273" s="62">
        <v>1.23277777777777</v>
      </c>
      <c r="V273" s="62">
        <v>0.668888888888888</v>
      </c>
      <c r="W273" s="62">
        <v>0.668888888888888</v>
      </c>
      <c r="X273" s="62">
        <v>0.0</v>
      </c>
      <c r="Y273" s="62">
        <v>0.294166666666666</v>
      </c>
      <c r="Z273" s="62">
        <v>0.0</v>
      </c>
      <c r="AA273" s="62">
        <v>0.0</v>
      </c>
      <c r="AB273" s="62">
        <v>0.613333333333333</v>
      </c>
      <c r="AC273" s="62">
        <v>0.0</v>
      </c>
      <c r="AD273" s="62">
        <v>0.235833333333333</v>
      </c>
      <c r="AE273" s="62">
        <v>0.0</v>
      </c>
      <c r="AF273" s="62">
        <v>4.0</v>
      </c>
    </row>
    <row r="274">
      <c r="A274" s="68">
        <v>46147.0</v>
      </c>
      <c r="B274" s="62" t="s">
        <v>100</v>
      </c>
      <c r="C274" s="62" t="s">
        <v>167</v>
      </c>
      <c r="D274" s="62">
        <v>8.0</v>
      </c>
      <c r="E274" s="62">
        <v>5.0</v>
      </c>
      <c r="F274" s="62">
        <v>2.0</v>
      </c>
      <c r="G274" s="62">
        <v>2.0</v>
      </c>
      <c r="H274" s="62">
        <v>3.0</v>
      </c>
      <c r="I274" s="62">
        <v>1.0</v>
      </c>
      <c r="J274" s="62">
        <v>1.0</v>
      </c>
      <c r="K274" s="62">
        <v>0.0</v>
      </c>
      <c r="L274" s="62">
        <v>0.0</v>
      </c>
      <c r="M274" s="62">
        <v>0.0</v>
      </c>
      <c r="N274" s="62">
        <v>0.0</v>
      </c>
      <c r="O274" s="62">
        <v>1.0</v>
      </c>
      <c r="P274" s="62">
        <v>0.0</v>
      </c>
      <c r="Q274" s="62">
        <v>0.0</v>
      </c>
      <c r="R274" s="62">
        <v>19349.0</v>
      </c>
      <c r="S274" s="62">
        <v>12208.0</v>
      </c>
      <c r="T274" s="62">
        <v>0.691666666666666</v>
      </c>
      <c r="U274" s="62">
        <v>0.405</v>
      </c>
      <c r="V274" s="62">
        <v>0.477222222222222</v>
      </c>
      <c r="W274" s="62">
        <v>0.694444444444444</v>
      </c>
      <c r="X274" s="62">
        <v>0.217222222222222</v>
      </c>
      <c r="Y274" s="62">
        <v>0.236666666666666</v>
      </c>
      <c r="Z274" s="62">
        <v>0.0</v>
      </c>
      <c r="AA274" s="62">
        <v>0.0</v>
      </c>
      <c r="AB274" s="62">
        <v>0.0</v>
      </c>
      <c r="AC274" s="62">
        <v>0.0</v>
      </c>
      <c r="AD274" s="62">
        <v>0.231666666666666</v>
      </c>
      <c r="AE274" s="62">
        <v>0.0</v>
      </c>
      <c r="AF274" s="62">
        <v>3.0</v>
      </c>
    </row>
    <row r="275">
      <c r="A275" s="68">
        <v>46147.0</v>
      </c>
      <c r="B275" s="62" t="s">
        <v>32</v>
      </c>
      <c r="C275" s="62" t="s">
        <v>168</v>
      </c>
      <c r="D275" s="62">
        <v>0.0</v>
      </c>
      <c r="E275" s="62">
        <v>3.0</v>
      </c>
      <c r="F275" s="62">
        <v>1.0</v>
      </c>
      <c r="G275" s="62">
        <v>0.0</v>
      </c>
      <c r="H275" s="62">
        <v>7.0</v>
      </c>
      <c r="I275" s="62">
        <v>2.0</v>
      </c>
      <c r="J275" s="62">
        <v>8.0</v>
      </c>
      <c r="K275" s="62">
        <v>0.0</v>
      </c>
      <c r="L275" s="62">
        <v>0.0</v>
      </c>
      <c r="M275" s="62">
        <v>10.0</v>
      </c>
      <c r="N275" s="62">
        <v>0.0</v>
      </c>
      <c r="O275" s="62">
        <v>1.0</v>
      </c>
      <c r="P275" s="62">
        <v>0.0</v>
      </c>
      <c r="Q275" s="62">
        <v>0.0</v>
      </c>
      <c r="R275" s="62">
        <v>0.0</v>
      </c>
      <c r="S275" s="62">
        <v>7217.0</v>
      </c>
      <c r="T275" s="62">
        <v>1.34111111111111</v>
      </c>
      <c r="U275" s="62">
        <v>0.24</v>
      </c>
      <c r="V275" s="62">
        <v>0.0</v>
      </c>
      <c r="W275" s="62">
        <v>1.60194444444444</v>
      </c>
      <c r="X275" s="62">
        <v>0.447222222222222</v>
      </c>
      <c r="Y275" s="62">
        <v>1.83388888888888</v>
      </c>
      <c r="Z275" s="62">
        <v>0.0</v>
      </c>
      <c r="AA275" s="62">
        <v>0.0</v>
      </c>
      <c r="AB275" s="62">
        <v>2.255</v>
      </c>
      <c r="AC275" s="62">
        <v>0.0</v>
      </c>
      <c r="AD275" s="62">
        <v>0.220277777777777</v>
      </c>
      <c r="AE275" s="62">
        <v>0.0</v>
      </c>
      <c r="AF275" s="62">
        <v>6.0</v>
      </c>
    </row>
    <row r="276">
      <c r="A276" s="68">
        <v>46147.0</v>
      </c>
      <c r="B276" s="62" t="s">
        <v>110</v>
      </c>
      <c r="C276" s="62" t="s">
        <v>169</v>
      </c>
      <c r="D276" s="62">
        <v>2.0</v>
      </c>
      <c r="E276" s="62">
        <v>0.0</v>
      </c>
      <c r="F276" s="62">
        <v>0.0</v>
      </c>
      <c r="G276" s="62">
        <v>0.0</v>
      </c>
      <c r="H276" s="62">
        <v>0.0</v>
      </c>
      <c r="I276" s="62">
        <v>0.0</v>
      </c>
      <c r="J276" s="62">
        <v>0.0</v>
      </c>
      <c r="K276" s="62">
        <v>0.0</v>
      </c>
      <c r="L276" s="62">
        <v>0.0</v>
      </c>
      <c r="M276" s="62">
        <v>0.0</v>
      </c>
      <c r="N276" s="62">
        <v>0.0</v>
      </c>
      <c r="O276" s="62">
        <v>0.0</v>
      </c>
      <c r="P276" s="62">
        <v>0.0</v>
      </c>
      <c r="Q276" s="62">
        <v>0.0</v>
      </c>
      <c r="R276" s="62">
        <v>4659.0</v>
      </c>
      <c r="S276" s="62">
        <v>0.0</v>
      </c>
      <c r="T276" s="62">
        <v>0.0</v>
      </c>
      <c r="U276" s="62">
        <v>0.0</v>
      </c>
      <c r="V276" s="62">
        <v>0.0</v>
      </c>
      <c r="W276" s="62">
        <v>0.0</v>
      </c>
      <c r="X276" s="62">
        <v>0.0</v>
      </c>
      <c r="Y276" s="62">
        <v>0.0</v>
      </c>
      <c r="Z276" s="62">
        <v>0.0</v>
      </c>
      <c r="AA276" s="62">
        <v>0.0</v>
      </c>
      <c r="AB276" s="62">
        <v>0.0</v>
      </c>
      <c r="AC276" s="62">
        <v>0.0</v>
      </c>
      <c r="AD276" s="62">
        <v>0.0</v>
      </c>
      <c r="AE276" s="62">
        <v>0.0</v>
      </c>
      <c r="AF276" s="62">
        <v>0.0</v>
      </c>
    </row>
    <row r="277">
      <c r="A277" s="68">
        <v>46147.0</v>
      </c>
      <c r="B277" s="62" t="s">
        <v>41</v>
      </c>
      <c r="C277" s="62" t="s">
        <v>172</v>
      </c>
      <c r="D277" s="62">
        <v>0.0</v>
      </c>
      <c r="E277" s="62">
        <v>4.0</v>
      </c>
      <c r="F277" s="62">
        <v>0.0</v>
      </c>
      <c r="G277" s="62">
        <v>0.0</v>
      </c>
      <c r="H277" s="62">
        <v>2.0</v>
      </c>
      <c r="I277" s="62">
        <v>2.0</v>
      </c>
      <c r="J277" s="62">
        <v>3.0</v>
      </c>
      <c r="K277" s="62">
        <v>3.0</v>
      </c>
      <c r="L277" s="62">
        <v>0.0</v>
      </c>
      <c r="M277" s="62">
        <v>2.0</v>
      </c>
      <c r="N277" s="62">
        <v>0.0</v>
      </c>
      <c r="O277" s="62">
        <v>1.0</v>
      </c>
      <c r="P277" s="62">
        <v>0.0</v>
      </c>
      <c r="Q277" s="62">
        <v>0.0</v>
      </c>
      <c r="R277" s="62">
        <v>0.0</v>
      </c>
      <c r="S277" s="62">
        <v>9703.0</v>
      </c>
      <c r="T277" s="62">
        <v>0.919722222222222</v>
      </c>
      <c r="U277" s="62">
        <v>0.0</v>
      </c>
      <c r="V277" s="62">
        <v>0.0</v>
      </c>
      <c r="W277" s="62">
        <v>0.464166666666666</v>
      </c>
      <c r="X277" s="62">
        <v>0.464166666666666</v>
      </c>
      <c r="Y277" s="62">
        <v>0.700555555555555</v>
      </c>
      <c r="Z277" s="62">
        <v>0.694722222222222</v>
      </c>
      <c r="AA277" s="62">
        <v>0.0</v>
      </c>
      <c r="AB277" s="62">
        <v>0.452777777777777</v>
      </c>
      <c r="AC277" s="62">
        <v>0.0</v>
      </c>
      <c r="AD277" s="62">
        <v>0.221388888888888</v>
      </c>
      <c r="AE277" s="62">
        <v>0.0</v>
      </c>
      <c r="AF277" s="62">
        <v>4.0</v>
      </c>
    </row>
    <row r="278">
      <c r="A278" s="68">
        <v>46147.0</v>
      </c>
      <c r="B278" s="62" t="s">
        <v>65</v>
      </c>
      <c r="C278" s="62" t="s">
        <v>173</v>
      </c>
      <c r="D278" s="62">
        <v>2.0</v>
      </c>
      <c r="E278" s="62">
        <v>4.0</v>
      </c>
      <c r="F278" s="62">
        <v>0.0</v>
      </c>
      <c r="G278" s="62">
        <v>0.0</v>
      </c>
      <c r="H278" s="62">
        <v>4.0</v>
      </c>
      <c r="I278" s="62">
        <v>4.0</v>
      </c>
      <c r="J278" s="62">
        <v>2.0</v>
      </c>
      <c r="K278" s="62">
        <v>1.0</v>
      </c>
      <c r="L278" s="62">
        <v>0.0</v>
      </c>
      <c r="M278" s="62">
        <v>1.0</v>
      </c>
      <c r="N278" s="62">
        <v>0.0</v>
      </c>
      <c r="O278" s="62">
        <v>1.0</v>
      </c>
      <c r="P278" s="62">
        <v>0.0</v>
      </c>
      <c r="Q278" s="62">
        <v>0.0</v>
      </c>
      <c r="R278" s="62">
        <v>3860.0</v>
      </c>
      <c r="S278" s="62">
        <v>8462.0</v>
      </c>
      <c r="T278" s="62">
        <v>0.0</v>
      </c>
      <c r="U278" s="62">
        <v>0.0</v>
      </c>
      <c r="V278" s="62">
        <v>0.0</v>
      </c>
      <c r="W278" s="62">
        <v>0.912777777777777</v>
      </c>
      <c r="X278" s="62">
        <v>0.912777777777777</v>
      </c>
      <c r="Y278" s="62">
        <v>0.449722222222222</v>
      </c>
      <c r="Z278" s="62">
        <v>0.237777777777777</v>
      </c>
      <c r="AA278" s="62">
        <v>0.0</v>
      </c>
      <c r="AB278" s="62">
        <v>0.211944444444444</v>
      </c>
      <c r="AC278" s="62">
        <v>0.0</v>
      </c>
      <c r="AD278" s="62">
        <v>0.224444444444444</v>
      </c>
      <c r="AE278" s="62">
        <v>0.0</v>
      </c>
      <c r="AF278" s="62">
        <v>0.0</v>
      </c>
    </row>
    <row r="279">
      <c r="A279" s="68">
        <v>46147.0</v>
      </c>
      <c r="B279" s="62" t="s">
        <v>37</v>
      </c>
      <c r="C279" s="62" t="s">
        <v>174</v>
      </c>
      <c r="D279" s="62">
        <v>3.0</v>
      </c>
      <c r="E279" s="62">
        <v>4.0</v>
      </c>
      <c r="F279" s="62">
        <v>8.0</v>
      </c>
      <c r="G279" s="62">
        <v>1.0</v>
      </c>
      <c r="H279" s="62">
        <v>0.0</v>
      </c>
      <c r="I279" s="62">
        <v>0.0</v>
      </c>
      <c r="J279" s="62">
        <v>2.0</v>
      </c>
      <c r="K279" s="62">
        <v>0.0</v>
      </c>
      <c r="L279" s="62">
        <v>0.0</v>
      </c>
      <c r="M279" s="62">
        <v>1.0</v>
      </c>
      <c r="N279" s="62">
        <v>0.0</v>
      </c>
      <c r="O279" s="62">
        <v>1.0</v>
      </c>
      <c r="P279" s="62">
        <v>0.0</v>
      </c>
      <c r="Q279" s="62">
        <v>0.0</v>
      </c>
      <c r="R279" s="62">
        <v>7314.0</v>
      </c>
      <c r="S279" s="62">
        <v>9408.0</v>
      </c>
      <c r="T279" s="62">
        <v>0.0</v>
      </c>
      <c r="U279" s="62">
        <v>2.0625</v>
      </c>
      <c r="V279" s="62">
        <v>0.2825</v>
      </c>
      <c r="W279" s="62">
        <v>0.0</v>
      </c>
      <c r="X279" s="62">
        <v>0.0</v>
      </c>
      <c r="Y279" s="62">
        <v>0.556666666666666</v>
      </c>
      <c r="Z279" s="62">
        <v>0.0</v>
      </c>
      <c r="AA279" s="62">
        <v>0.0</v>
      </c>
      <c r="AB279" s="62">
        <v>0.270555555555555</v>
      </c>
      <c r="AC279" s="62">
        <v>0.0</v>
      </c>
      <c r="AD279" s="62">
        <v>0.272777777777777</v>
      </c>
      <c r="AE279" s="62">
        <v>0.0</v>
      </c>
      <c r="AF279" s="62">
        <v>0.0</v>
      </c>
    </row>
    <row r="280">
      <c r="A280" s="68">
        <v>46147.0</v>
      </c>
      <c r="B280" s="62" t="s">
        <v>108</v>
      </c>
      <c r="C280" s="62" t="s">
        <v>175</v>
      </c>
      <c r="D280" s="62">
        <v>0.0</v>
      </c>
      <c r="E280" s="62">
        <v>0.0</v>
      </c>
      <c r="F280" s="62">
        <v>2.0</v>
      </c>
      <c r="G280" s="62">
        <v>0.0</v>
      </c>
      <c r="H280" s="62">
        <v>1.0</v>
      </c>
      <c r="I280" s="62">
        <v>0.0</v>
      </c>
      <c r="J280" s="62">
        <v>2.0</v>
      </c>
      <c r="K280" s="62">
        <v>2.0</v>
      </c>
      <c r="L280" s="62">
        <v>0.0</v>
      </c>
      <c r="M280" s="62">
        <v>2.0</v>
      </c>
      <c r="N280" s="62">
        <v>0.0</v>
      </c>
      <c r="O280" s="62">
        <v>0.0</v>
      </c>
      <c r="P280" s="62">
        <v>0.0</v>
      </c>
      <c r="Q280" s="62">
        <v>0.0</v>
      </c>
      <c r="R280" s="62">
        <v>0.0</v>
      </c>
      <c r="S280" s="62">
        <v>0.0</v>
      </c>
      <c r="T280" s="62">
        <v>0.0</v>
      </c>
      <c r="U280" s="62">
        <v>0.395555555555555</v>
      </c>
      <c r="V280" s="62">
        <v>0.0</v>
      </c>
      <c r="W280" s="62">
        <v>0.173611111111111</v>
      </c>
      <c r="X280" s="62">
        <v>0.0</v>
      </c>
      <c r="Y280" s="62">
        <v>0.403333333333333</v>
      </c>
      <c r="Z280" s="62">
        <v>0.461944444444444</v>
      </c>
      <c r="AA280" s="62">
        <v>0.0</v>
      </c>
      <c r="AB280" s="62">
        <v>0.462222222222222</v>
      </c>
      <c r="AC280" s="62">
        <v>0.0</v>
      </c>
      <c r="AD280" s="62">
        <v>0.0</v>
      </c>
      <c r="AE280" s="62">
        <v>0.0</v>
      </c>
      <c r="AF280" s="62">
        <v>0.0</v>
      </c>
    </row>
    <row r="281">
      <c r="A281" s="68">
        <v>46147.0</v>
      </c>
      <c r="B281" s="62" t="s">
        <v>56</v>
      </c>
      <c r="C281" s="62" t="s">
        <v>176</v>
      </c>
      <c r="D281" s="62">
        <v>8.0</v>
      </c>
      <c r="E281" s="62">
        <v>8.0</v>
      </c>
      <c r="F281" s="62">
        <v>3.0</v>
      </c>
      <c r="G281" s="62">
        <v>0.0</v>
      </c>
      <c r="H281" s="62">
        <v>0.0</v>
      </c>
      <c r="I281" s="62">
        <v>0.0</v>
      </c>
      <c r="J281" s="62">
        <v>0.0</v>
      </c>
      <c r="K281" s="62">
        <v>0.0</v>
      </c>
      <c r="L281" s="62">
        <v>0.0</v>
      </c>
      <c r="M281" s="62">
        <v>0.0</v>
      </c>
      <c r="N281" s="62">
        <v>0.0</v>
      </c>
      <c r="O281" s="62">
        <v>1.0</v>
      </c>
      <c r="P281" s="62">
        <v>0.0</v>
      </c>
      <c r="Q281" s="62">
        <v>0.0</v>
      </c>
      <c r="R281" s="62">
        <v>17335.0</v>
      </c>
      <c r="S281" s="62">
        <v>17335.0</v>
      </c>
      <c r="T281" s="62">
        <v>1.42861111111111</v>
      </c>
      <c r="U281" s="62">
        <v>0.673333333333333</v>
      </c>
      <c r="V281" s="62">
        <v>0.0</v>
      </c>
      <c r="W281" s="62">
        <v>0.0</v>
      </c>
      <c r="X281" s="62">
        <v>0.0</v>
      </c>
      <c r="Y281" s="62">
        <v>0.0</v>
      </c>
      <c r="Z281" s="62">
        <v>0.0</v>
      </c>
      <c r="AA281" s="62">
        <v>0.0</v>
      </c>
      <c r="AB281" s="62">
        <v>0.0</v>
      </c>
      <c r="AC281" s="62">
        <v>0.0</v>
      </c>
      <c r="AD281" s="62">
        <v>0.224722222222222</v>
      </c>
      <c r="AE281" s="62">
        <v>0.0</v>
      </c>
      <c r="AF281" s="62">
        <v>6.0</v>
      </c>
    </row>
    <row r="282">
      <c r="A282" s="68">
        <v>46147.0</v>
      </c>
      <c r="B282" s="62" t="s">
        <v>26</v>
      </c>
      <c r="C282" s="62" t="s">
        <v>178</v>
      </c>
      <c r="D282" s="62">
        <v>0.0</v>
      </c>
      <c r="E282" s="62">
        <v>5.0</v>
      </c>
      <c r="F282" s="62">
        <v>6.0</v>
      </c>
      <c r="G282" s="62">
        <v>9.0</v>
      </c>
      <c r="H282" s="62">
        <v>11.0</v>
      </c>
      <c r="I282" s="62">
        <v>2.0</v>
      </c>
      <c r="J282" s="62">
        <v>7.0</v>
      </c>
      <c r="K282" s="62">
        <v>3.0</v>
      </c>
      <c r="L282" s="62">
        <v>1.0</v>
      </c>
      <c r="M282" s="62">
        <v>12.0</v>
      </c>
      <c r="N282" s="62">
        <v>0.0</v>
      </c>
      <c r="O282" s="62">
        <v>1.0</v>
      </c>
      <c r="P282" s="62">
        <v>0.0</v>
      </c>
      <c r="Q282" s="62">
        <v>0.0</v>
      </c>
      <c r="R282" s="62">
        <v>0.0</v>
      </c>
      <c r="S282" s="62">
        <v>10237.0</v>
      </c>
      <c r="T282" s="62">
        <v>2.32305555555555</v>
      </c>
      <c r="U282" s="62">
        <v>1.19555555555555</v>
      </c>
      <c r="V282" s="62">
        <v>1.6675</v>
      </c>
      <c r="W282" s="62">
        <v>2.06666666666666</v>
      </c>
      <c r="X282" s="62">
        <v>0.399166666666666</v>
      </c>
      <c r="Y282" s="62">
        <v>1.23444444444444</v>
      </c>
      <c r="Z282" s="62">
        <v>0.573055555555555</v>
      </c>
      <c r="AA282" s="62">
        <v>0.164444444444444</v>
      </c>
      <c r="AB282" s="62">
        <v>2.21777777777777</v>
      </c>
      <c r="AC282" s="62">
        <v>0.0</v>
      </c>
      <c r="AD282" s="62">
        <v>0.196666666666666</v>
      </c>
      <c r="AE282" s="62">
        <v>0.0</v>
      </c>
      <c r="AF282" s="62">
        <v>12.0</v>
      </c>
    </row>
    <row r="283">
      <c r="A283" s="68">
        <v>46147.0</v>
      </c>
      <c r="B283" s="62" t="s">
        <v>62</v>
      </c>
      <c r="C283" s="62" t="s">
        <v>63</v>
      </c>
      <c r="D283" s="62">
        <v>0.0</v>
      </c>
      <c r="E283" s="62">
        <v>0.0</v>
      </c>
      <c r="F283" s="62">
        <v>0.0</v>
      </c>
      <c r="G283" s="62">
        <v>0.0</v>
      </c>
      <c r="H283" s="62">
        <v>3.0</v>
      </c>
      <c r="I283" s="62">
        <v>3.0</v>
      </c>
      <c r="J283" s="62">
        <v>3.0</v>
      </c>
      <c r="K283" s="62">
        <v>0.0</v>
      </c>
      <c r="L283" s="62">
        <v>0.0</v>
      </c>
      <c r="M283" s="62">
        <v>2.0</v>
      </c>
      <c r="N283" s="62">
        <v>0.0</v>
      </c>
      <c r="O283" s="62">
        <v>1.0</v>
      </c>
      <c r="P283" s="62">
        <v>0.0</v>
      </c>
      <c r="Q283" s="62">
        <v>0.0</v>
      </c>
      <c r="R283" s="62">
        <v>0.0</v>
      </c>
      <c r="S283" s="62">
        <v>0.0</v>
      </c>
      <c r="T283" s="62">
        <v>0.630833333333333</v>
      </c>
      <c r="U283" s="62">
        <v>0.0</v>
      </c>
      <c r="V283" s="62">
        <v>0.0</v>
      </c>
      <c r="W283" s="62">
        <v>0.630833333333333</v>
      </c>
      <c r="X283" s="62">
        <v>0.630833333333333</v>
      </c>
      <c r="Y283" s="62">
        <v>0.629444444444444</v>
      </c>
      <c r="Z283" s="62">
        <v>0.0</v>
      </c>
      <c r="AA283" s="62">
        <v>0.0</v>
      </c>
      <c r="AB283" s="62">
        <v>0.413055555555555</v>
      </c>
      <c r="AC283" s="62">
        <v>0.0</v>
      </c>
      <c r="AD283" s="62">
        <v>0.195555555555555</v>
      </c>
      <c r="AE283" s="62">
        <v>0.0</v>
      </c>
      <c r="AF283" s="62">
        <v>3.0</v>
      </c>
    </row>
    <row r="284">
      <c r="A284" s="68">
        <v>46147.0</v>
      </c>
      <c r="B284" s="62" t="s">
        <v>89</v>
      </c>
      <c r="C284" s="62" t="s">
        <v>180</v>
      </c>
      <c r="D284" s="62">
        <v>19.0</v>
      </c>
      <c r="E284" s="62">
        <v>0.0</v>
      </c>
      <c r="F284" s="62">
        <v>0.0</v>
      </c>
      <c r="G284" s="62">
        <v>0.0</v>
      </c>
      <c r="H284" s="62">
        <v>0.0</v>
      </c>
      <c r="I284" s="62">
        <v>0.0</v>
      </c>
      <c r="J284" s="62">
        <v>0.0</v>
      </c>
      <c r="K284" s="62">
        <v>0.0</v>
      </c>
      <c r="L284" s="62">
        <v>0.0</v>
      </c>
      <c r="M284" s="62">
        <v>0.0</v>
      </c>
      <c r="N284" s="62">
        <v>0.0</v>
      </c>
      <c r="O284" s="62">
        <v>1.0</v>
      </c>
      <c r="P284" s="62">
        <v>0.0</v>
      </c>
      <c r="Q284" s="62">
        <v>0.0</v>
      </c>
      <c r="R284" s="62">
        <v>41348.0</v>
      </c>
      <c r="S284" s="62">
        <v>0.0</v>
      </c>
      <c r="T284" s="62">
        <v>0.0</v>
      </c>
      <c r="U284" s="62">
        <v>0.0</v>
      </c>
      <c r="V284" s="62">
        <v>0.0</v>
      </c>
      <c r="W284" s="62">
        <v>0.0</v>
      </c>
      <c r="X284" s="62">
        <v>0.0</v>
      </c>
      <c r="Y284" s="62">
        <v>0.0</v>
      </c>
      <c r="Z284" s="62">
        <v>0.0</v>
      </c>
      <c r="AA284" s="62">
        <v>0.0</v>
      </c>
      <c r="AB284" s="62">
        <v>0.0</v>
      </c>
      <c r="AC284" s="62">
        <v>0.0</v>
      </c>
      <c r="AD284" s="62">
        <v>0.1975</v>
      </c>
      <c r="AE284" s="62">
        <v>0.0</v>
      </c>
      <c r="AF284" s="62">
        <v>0.0</v>
      </c>
    </row>
    <row r="285">
      <c r="A285" s="68">
        <v>46146.0</v>
      </c>
      <c r="B285" s="62" t="s">
        <v>79</v>
      </c>
      <c r="C285" s="62" t="s">
        <v>162</v>
      </c>
      <c r="D285" s="62">
        <v>2.0</v>
      </c>
      <c r="E285" s="62">
        <v>7.0</v>
      </c>
      <c r="F285" s="62">
        <v>7.0</v>
      </c>
      <c r="G285" s="62">
        <v>0.0</v>
      </c>
      <c r="H285" s="62">
        <v>2.0</v>
      </c>
      <c r="I285" s="62">
        <v>2.0</v>
      </c>
      <c r="J285" s="62">
        <v>0.0</v>
      </c>
      <c r="K285" s="62">
        <v>7.0</v>
      </c>
      <c r="L285" s="62">
        <v>2.0</v>
      </c>
      <c r="M285" s="62">
        <v>4.0</v>
      </c>
      <c r="N285" s="62">
        <v>0.0</v>
      </c>
      <c r="O285" s="62">
        <v>1.0</v>
      </c>
      <c r="P285" s="62">
        <v>0.0</v>
      </c>
      <c r="Q285" s="62">
        <v>0.0</v>
      </c>
      <c r="R285" s="62">
        <v>4948.0</v>
      </c>
      <c r="S285" s="62">
        <v>16975.0</v>
      </c>
      <c r="T285" s="62">
        <v>0.0</v>
      </c>
      <c r="U285" s="62">
        <v>1.44638888888888</v>
      </c>
      <c r="V285" s="62">
        <v>0.0</v>
      </c>
      <c r="W285" s="62">
        <v>0.418611111111111</v>
      </c>
      <c r="X285" s="62">
        <v>0.418611111111111</v>
      </c>
      <c r="Y285" s="62">
        <v>0.0</v>
      </c>
      <c r="Z285" s="62">
        <v>1.38388888888888</v>
      </c>
      <c r="AA285" s="62">
        <v>0.388888888888888</v>
      </c>
      <c r="AB285" s="62">
        <v>0.780555555555555</v>
      </c>
      <c r="AC285" s="62">
        <v>0.0</v>
      </c>
      <c r="AD285" s="62">
        <v>0.2125</v>
      </c>
      <c r="AE285" s="62">
        <v>0.0</v>
      </c>
      <c r="AF285" s="62">
        <v>0.0</v>
      </c>
    </row>
    <row r="286">
      <c r="A286" s="68">
        <v>46146.0</v>
      </c>
      <c r="B286" s="62" t="s">
        <v>96</v>
      </c>
      <c r="C286" s="62" t="s">
        <v>97</v>
      </c>
      <c r="D286" s="62">
        <v>5.0</v>
      </c>
      <c r="E286" s="62">
        <v>0.0</v>
      </c>
      <c r="F286" s="62">
        <v>0.0</v>
      </c>
      <c r="G286" s="62">
        <v>0.0</v>
      </c>
      <c r="H286" s="62">
        <v>0.0</v>
      </c>
      <c r="I286" s="62">
        <v>0.0</v>
      </c>
      <c r="J286" s="62">
        <v>0.0</v>
      </c>
      <c r="K286" s="62">
        <v>0.0</v>
      </c>
      <c r="L286" s="62">
        <v>0.0</v>
      </c>
      <c r="M286" s="62">
        <v>3.0</v>
      </c>
      <c r="N286" s="62">
        <v>0.0</v>
      </c>
      <c r="O286" s="62">
        <v>1.0</v>
      </c>
      <c r="P286" s="62">
        <v>0.0</v>
      </c>
      <c r="Q286" s="62">
        <v>0.0</v>
      </c>
      <c r="R286" s="62">
        <v>10839.0</v>
      </c>
      <c r="S286" s="62">
        <v>0.0</v>
      </c>
      <c r="T286" s="62">
        <v>0.0</v>
      </c>
      <c r="U286" s="62">
        <v>0.0</v>
      </c>
      <c r="V286" s="62">
        <v>0.0</v>
      </c>
      <c r="W286" s="62">
        <v>0.0</v>
      </c>
      <c r="X286" s="62">
        <v>0.0</v>
      </c>
      <c r="Y286" s="62">
        <v>0.0</v>
      </c>
      <c r="Z286" s="62">
        <v>0.0</v>
      </c>
      <c r="AA286" s="62">
        <v>0.0</v>
      </c>
      <c r="AB286" s="62">
        <v>0.636388888888888</v>
      </c>
      <c r="AC286" s="62">
        <v>0.0</v>
      </c>
      <c r="AD286" s="62">
        <v>0.21</v>
      </c>
      <c r="AE286" s="62">
        <v>0.0</v>
      </c>
      <c r="AF286" s="62">
        <v>0.0</v>
      </c>
    </row>
    <row r="287">
      <c r="A287" s="68">
        <v>46146.0</v>
      </c>
      <c r="B287" s="62" t="s">
        <v>71</v>
      </c>
      <c r="C287" s="62" t="s">
        <v>163</v>
      </c>
      <c r="D287" s="62">
        <v>1.0</v>
      </c>
      <c r="E287" s="62">
        <v>0.0</v>
      </c>
      <c r="F287" s="62">
        <v>0.0</v>
      </c>
      <c r="G287" s="62">
        <v>1.0</v>
      </c>
      <c r="H287" s="62">
        <v>1.0</v>
      </c>
      <c r="I287" s="62">
        <v>0.0</v>
      </c>
      <c r="J287" s="62">
        <v>0.0</v>
      </c>
      <c r="K287" s="62">
        <v>0.0</v>
      </c>
      <c r="L287" s="62">
        <v>0.0</v>
      </c>
      <c r="M287" s="62">
        <v>0.0</v>
      </c>
      <c r="N287" s="62">
        <v>0.0</v>
      </c>
      <c r="O287" s="62">
        <v>1.0</v>
      </c>
      <c r="P287" s="62">
        <v>0.0</v>
      </c>
      <c r="Q287" s="62">
        <v>0.0</v>
      </c>
      <c r="R287" s="62">
        <v>2732.0</v>
      </c>
      <c r="S287" s="62">
        <v>0.0</v>
      </c>
      <c r="T287" s="62">
        <v>0.0</v>
      </c>
      <c r="U287" s="62">
        <v>0.0</v>
      </c>
      <c r="V287" s="62">
        <v>0.216111111111111</v>
      </c>
      <c r="W287" s="62">
        <v>0.216111111111111</v>
      </c>
      <c r="X287" s="62">
        <v>0.0</v>
      </c>
      <c r="Y287" s="62">
        <v>0.0</v>
      </c>
      <c r="Z287" s="62">
        <v>0.0</v>
      </c>
      <c r="AA287" s="62">
        <v>0.0</v>
      </c>
      <c r="AB287" s="62">
        <v>0.0</v>
      </c>
      <c r="AC287" s="62">
        <v>0.0</v>
      </c>
      <c r="AD287" s="62">
        <v>0.269166666666666</v>
      </c>
      <c r="AE287" s="62">
        <v>0.0</v>
      </c>
      <c r="AF287" s="62">
        <v>0.0</v>
      </c>
    </row>
    <row r="288">
      <c r="A288" s="68">
        <v>46146.0</v>
      </c>
      <c r="B288" s="62" t="s">
        <v>76</v>
      </c>
      <c r="C288" s="62" t="s">
        <v>165</v>
      </c>
      <c r="D288" s="62">
        <v>0.0</v>
      </c>
      <c r="E288" s="62">
        <v>4.0</v>
      </c>
      <c r="F288" s="62">
        <v>4.0</v>
      </c>
      <c r="G288" s="62">
        <v>0.0</v>
      </c>
      <c r="H288" s="62">
        <v>0.0</v>
      </c>
      <c r="I288" s="62">
        <v>0.0</v>
      </c>
      <c r="J288" s="62">
        <v>0.0</v>
      </c>
      <c r="K288" s="62">
        <v>1.0</v>
      </c>
      <c r="L288" s="62">
        <v>1.0</v>
      </c>
      <c r="M288" s="62">
        <v>2.0</v>
      </c>
      <c r="N288" s="62">
        <v>0.0</v>
      </c>
      <c r="O288" s="62">
        <v>1.0</v>
      </c>
      <c r="P288" s="62">
        <v>0.0</v>
      </c>
      <c r="Q288" s="62">
        <v>0.0</v>
      </c>
      <c r="R288" s="62">
        <v>0.0</v>
      </c>
      <c r="S288" s="62">
        <v>11789.0</v>
      </c>
      <c r="T288" s="62">
        <v>1.2975</v>
      </c>
      <c r="U288" s="62">
        <v>1.29749999999999</v>
      </c>
      <c r="V288" s="62">
        <v>0.0</v>
      </c>
      <c r="W288" s="62">
        <v>0.0</v>
      </c>
      <c r="X288" s="62">
        <v>0.0</v>
      </c>
      <c r="Y288" s="62">
        <v>0.0</v>
      </c>
      <c r="Z288" s="62">
        <v>0.319166666666666</v>
      </c>
      <c r="AA288" s="62">
        <v>0.319166666666666</v>
      </c>
      <c r="AB288" s="62">
        <v>0.711111111111111</v>
      </c>
      <c r="AC288" s="62">
        <v>0.0</v>
      </c>
      <c r="AD288" s="62">
        <v>0.230833333333333</v>
      </c>
      <c r="AE288" s="62">
        <v>0.0</v>
      </c>
      <c r="AF288" s="62">
        <v>4.0</v>
      </c>
    </row>
    <row r="289">
      <c r="A289" s="68">
        <v>46146.0</v>
      </c>
      <c r="B289" s="62" t="s">
        <v>100</v>
      </c>
      <c r="C289" s="62" t="s">
        <v>167</v>
      </c>
      <c r="D289" s="62">
        <v>14.0</v>
      </c>
      <c r="E289" s="62">
        <v>0.0</v>
      </c>
      <c r="F289" s="62">
        <v>6.0</v>
      </c>
      <c r="G289" s="62">
        <v>0.0</v>
      </c>
      <c r="H289" s="62">
        <v>2.0</v>
      </c>
      <c r="I289" s="62">
        <v>2.0</v>
      </c>
      <c r="J289" s="62">
        <v>0.0</v>
      </c>
      <c r="K289" s="62">
        <v>2.0</v>
      </c>
      <c r="L289" s="62">
        <v>0.0</v>
      </c>
      <c r="M289" s="62">
        <v>0.0</v>
      </c>
      <c r="N289" s="62">
        <v>0.0</v>
      </c>
      <c r="O289" s="62">
        <v>1.0</v>
      </c>
      <c r="P289" s="62">
        <v>0.0</v>
      </c>
      <c r="Q289" s="62">
        <v>0.0</v>
      </c>
      <c r="R289" s="62">
        <v>33247.0</v>
      </c>
      <c r="S289" s="62">
        <v>0.0</v>
      </c>
      <c r="T289" s="62">
        <v>0.622222222222222</v>
      </c>
      <c r="U289" s="62">
        <v>1.35944444444444</v>
      </c>
      <c r="V289" s="62">
        <v>0.0</v>
      </c>
      <c r="W289" s="62">
        <v>0.418333333333333</v>
      </c>
      <c r="X289" s="62">
        <v>0.418333333333333</v>
      </c>
      <c r="Y289" s="62">
        <v>0.0</v>
      </c>
      <c r="Z289" s="62">
        <v>0.466388888888888</v>
      </c>
      <c r="AA289" s="62">
        <v>0.0</v>
      </c>
      <c r="AB289" s="62">
        <v>0.0</v>
      </c>
      <c r="AC289" s="62">
        <v>0.0</v>
      </c>
      <c r="AD289" s="62">
        <v>0.232777777777777</v>
      </c>
      <c r="AE289" s="62">
        <v>0.0</v>
      </c>
      <c r="AF289" s="62">
        <v>3.0</v>
      </c>
    </row>
    <row r="290">
      <c r="A290" s="68">
        <v>46146.0</v>
      </c>
      <c r="B290" s="62" t="s">
        <v>32</v>
      </c>
      <c r="C290" s="62" t="s">
        <v>168</v>
      </c>
      <c r="D290" s="62">
        <v>0.0</v>
      </c>
      <c r="E290" s="62">
        <v>4.0</v>
      </c>
      <c r="F290" s="62">
        <v>6.0</v>
      </c>
      <c r="G290" s="62">
        <v>0.0</v>
      </c>
      <c r="H290" s="62">
        <v>5.0</v>
      </c>
      <c r="I290" s="62">
        <v>3.0</v>
      </c>
      <c r="J290" s="62">
        <v>4.0</v>
      </c>
      <c r="K290" s="62">
        <v>0.0</v>
      </c>
      <c r="L290" s="62">
        <v>0.0</v>
      </c>
      <c r="M290" s="62">
        <v>0.0</v>
      </c>
      <c r="N290" s="62">
        <v>0.0</v>
      </c>
      <c r="O290" s="62">
        <v>1.0</v>
      </c>
      <c r="P290" s="62">
        <v>0.0</v>
      </c>
      <c r="Q290" s="62">
        <v>0.0</v>
      </c>
      <c r="R290" s="62">
        <v>0.0</v>
      </c>
      <c r="S290" s="62">
        <v>9513.0</v>
      </c>
      <c r="T290" s="62">
        <v>0.464166666666666</v>
      </c>
      <c r="U290" s="62">
        <v>1.35833333333333</v>
      </c>
      <c r="V290" s="62">
        <v>0.0</v>
      </c>
      <c r="W290" s="62">
        <v>1.10861111111111</v>
      </c>
      <c r="X290" s="62">
        <v>0.661111111111111</v>
      </c>
      <c r="Y290" s="62">
        <v>0.889722222222222</v>
      </c>
      <c r="Z290" s="62">
        <v>0.0</v>
      </c>
      <c r="AA290" s="62">
        <v>0.0</v>
      </c>
      <c r="AB290" s="62">
        <v>0.0</v>
      </c>
      <c r="AC290" s="62">
        <v>0.0</v>
      </c>
      <c r="AD290" s="62">
        <v>0.219166666666666</v>
      </c>
      <c r="AE290" s="62">
        <v>0.0</v>
      </c>
      <c r="AF290" s="62">
        <v>2.0</v>
      </c>
    </row>
    <row r="291">
      <c r="A291" s="68">
        <v>46146.0</v>
      </c>
      <c r="B291" s="62" t="s">
        <v>93</v>
      </c>
      <c r="C291" s="62" t="s">
        <v>182</v>
      </c>
      <c r="D291" s="62">
        <v>0.0</v>
      </c>
      <c r="E291" s="62">
        <v>0.0</v>
      </c>
      <c r="F291" s="62">
        <v>0.0</v>
      </c>
      <c r="G291" s="62">
        <v>0.0</v>
      </c>
      <c r="H291" s="62">
        <v>0.0</v>
      </c>
      <c r="I291" s="62">
        <v>0.0</v>
      </c>
      <c r="J291" s="62">
        <v>1.0</v>
      </c>
      <c r="K291" s="62">
        <v>0.0</v>
      </c>
      <c r="L291" s="62">
        <v>0.0</v>
      </c>
      <c r="M291" s="62">
        <v>1.0</v>
      </c>
      <c r="N291" s="62">
        <v>1.0</v>
      </c>
      <c r="O291" s="62">
        <v>1.0</v>
      </c>
      <c r="P291" s="62">
        <v>1.0</v>
      </c>
      <c r="Q291" s="62">
        <v>0.0</v>
      </c>
      <c r="R291" s="62">
        <v>0.0</v>
      </c>
      <c r="S291" s="62">
        <v>0.0</v>
      </c>
      <c r="T291" s="62">
        <v>0.0</v>
      </c>
      <c r="U291" s="62">
        <v>0.0</v>
      </c>
      <c r="V291" s="62">
        <v>0.0</v>
      </c>
      <c r="W291" s="62">
        <v>0.0</v>
      </c>
      <c r="X291" s="62">
        <v>0.0</v>
      </c>
      <c r="Y291" s="62">
        <v>0.245833333333333</v>
      </c>
      <c r="Z291" s="62">
        <v>0.0</v>
      </c>
      <c r="AA291" s="62">
        <v>0.0</v>
      </c>
      <c r="AB291" s="62">
        <v>0.245833333333333</v>
      </c>
      <c r="AC291" s="62">
        <v>0.245833333333333</v>
      </c>
      <c r="AD291" s="62">
        <v>0.243888888888888</v>
      </c>
      <c r="AE291" s="62">
        <v>0.245833333333333</v>
      </c>
      <c r="AF291" s="62">
        <v>0.0</v>
      </c>
    </row>
    <row r="292">
      <c r="A292" s="68">
        <v>46146.0</v>
      </c>
      <c r="B292" s="62" t="s">
        <v>41</v>
      </c>
      <c r="C292" s="62" t="s">
        <v>172</v>
      </c>
      <c r="D292" s="62">
        <v>0.0</v>
      </c>
      <c r="E292" s="62">
        <v>6.0</v>
      </c>
      <c r="F292" s="62">
        <v>0.0</v>
      </c>
      <c r="G292" s="62">
        <v>0.0</v>
      </c>
      <c r="H292" s="62">
        <v>3.0</v>
      </c>
      <c r="I292" s="62">
        <v>3.0</v>
      </c>
      <c r="J292" s="62">
        <v>3.0</v>
      </c>
      <c r="K292" s="62">
        <v>1.0</v>
      </c>
      <c r="L292" s="62">
        <v>0.0</v>
      </c>
      <c r="M292" s="62">
        <v>0.0</v>
      </c>
      <c r="N292" s="62">
        <v>0.0</v>
      </c>
      <c r="O292" s="62">
        <v>1.0</v>
      </c>
      <c r="P292" s="62">
        <v>0.0</v>
      </c>
      <c r="Q292" s="62">
        <v>0.0</v>
      </c>
      <c r="R292" s="62">
        <v>0.0</v>
      </c>
      <c r="S292" s="62">
        <v>12365.0</v>
      </c>
      <c r="T292" s="62">
        <v>0.464166666666666</v>
      </c>
      <c r="U292" s="62">
        <v>0.0</v>
      </c>
      <c r="V292" s="62">
        <v>0.0</v>
      </c>
      <c r="W292" s="62">
        <v>0.701666666666666</v>
      </c>
      <c r="X292" s="62">
        <v>0.701666666666666</v>
      </c>
      <c r="Y292" s="62">
        <v>0.681388888888888</v>
      </c>
      <c r="Z292" s="62">
        <v>0.229166666666666</v>
      </c>
      <c r="AA292" s="62">
        <v>0.0</v>
      </c>
      <c r="AB292" s="62">
        <v>0.0</v>
      </c>
      <c r="AC292" s="62">
        <v>0.0</v>
      </c>
      <c r="AD292" s="62">
        <v>0.226944444444444</v>
      </c>
      <c r="AE292" s="62">
        <v>0.0</v>
      </c>
      <c r="AF292" s="62">
        <v>2.0</v>
      </c>
    </row>
    <row r="293">
      <c r="A293" s="68">
        <v>46146.0</v>
      </c>
      <c r="B293" s="62" t="s">
        <v>65</v>
      </c>
      <c r="C293" s="62" t="s">
        <v>173</v>
      </c>
      <c r="D293" s="62">
        <v>2.0</v>
      </c>
      <c r="E293" s="62">
        <v>2.0</v>
      </c>
      <c r="F293" s="62">
        <v>0.0</v>
      </c>
      <c r="G293" s="62">
        <v>0.0</v>
      </c>
      <c r="H293" s="62">
        <v>3.0</v>
      </c>
      <c r="I293" s="62">
        <v>0.0</v>
      </c>
      <c r="J293" s="62">
        <v>3.0</v>
      </c>
      <c r="K293" s="62">
        <v>4.0</v>
      </c>
      <c r="L293" s="62">
        <v>0.0</v>
      </c>
      <c r="M293" s="62">
        <v>0.0</v>
      </c>
      <c r="N293" s="62">
        <v>0.0</v>
      </c>
      <c r="O293" s="62">
        <v>1.0</v>
      </c>
      <c r="P293" s="62">
        <v>0.0</v>
      </c>
      <c r="Q293" s="62">
        <v>0.0</v>
      </c>
      <c r="R293" s="62">
        <v>3947.0</v>
      </c>
      <c r="S293" s="62">
        <v>3865.0</v>
      </c>
      <c r="T293" s="62">
        <v>0.0</v>
      </c>
      <c r="U293" s="62">
        <v>0.0</v>
      </c>
      <c r="V293" s="62">
        <v>0.0</v>
      </c>
      <c r="W293" s="62">
        <v>0.755</v>
      </c>
      <c r="X293" s="62">
        <v>0.0</v>
      </c>
      <c r="Y293" s="62">
        <v>0.755</v>
      </c>
      <c r="Z293" s="62">
        <v>0.987222222222222</v>
      </c>
      <c r="AA293" s="62">
        <v>0.0</v>
      </c>
      <c r="AB293" s="62">
        <v>0.0</v>
      </c>
      <c r="AC293" s="62">
        <v>0.0</v>
      </c>
      <c r="AD293" s="62">
        <v>0.235</v>
      </c>
      <c r="AE293" s="62">
        <v>0.0</v>
      </c>
      <c r="AF293" s="62">
        <v>0.0</v>
      </c>
    </row>
    <row r="294">
      <c r="A294" s="68">
        <v>46146.0</v>
      </c>
      <c r="B294" s="62" t="s">
        <v>37</v>
      </c>
      <c r="C294" s="62" t="s">
        <v>174</v>
      </c>
      <c r="D294" s="62">
        <v>3.0</v>
      </c>
      <c r="E294" s="62">
        <v>3.0</v>
      </c>
      <c r="F294" s="62">
        <v>9.0</v>
      </c>
      <c r="G294" s="62">
        <v>1.0</v>
      </c>
      <c r="H294" s="62">
        <v>3.0</v>
      </c>
      <c r="I294" s="62">
        <v>2.0</v>
      </c>
      <c r="J294" s="62">
        <v>0.0</v>
      </c>
      <c r="K294" s="62">
        <v>0.0</v>
      </c>
      <c r="L294" s="62">
        <v>0.0</v>
      </c>
      <c r="M294" s="62">
        <v>0.0</v>
      </c>
      <c r="N294" s="62">
        <v>0.0</v>
      </c>
      <c r="O294" s="62">
        <v>1.0</v>
      </c>
      <c r="P294" s="62">
        <v>0.0</v>
      </c>
      <c r="Q294" s="62">
        <v>0.0</v>
      </c>
      <c r="R294" s="62">
        <v>7126.0</v>
      </c>
      <c r="S294" s="62">
        <v>7094.0</v>
      </c>
      <c r="T294" s="62">
        <v>2.0625</v>
      </c>
      <c r="U294" s="62">
        <v>2.39</v>
      </c>
      <c r="V294" s="62">
        <v>0.270555555555555</v>
      </c>
      <c r="W294" s="62">
        <v>0.838611111111111</v>
      </c>
      <c r="X294" s="62">
        <v>0.568055555555555</v>
      </c>
      <c r="Y294" s="62">
        <v>0.0</v>
      </c>
      <c r="Z294" s="62">
        <v>0.0</v>
      </c>
      <c r="AA294" s="62">
        <v>0.0</v>
      </c>
      <c r="AB294" s="62">
        <v>0.0</v>
      </c>
      <c r="AC294" s="62">
        <v>0.0</v>
      </c>
      <c r="AD294" s="62">
        <v>0.281944444444444</v>
      </c>
      <c r="AE294" s="62">
        <v>0.0</v>
      </c>
      <c r="AF294" s="62">
        <v>8.0</v>
      </c>
    </row>
    <row r="295">
      <c r="A295" s="68">
        <v>46146.0</v>
      </c>
      <c r="B295" s="62" t="s">
        <v>108</v>
      </c>
      <c r="C295" s="62" t="s">
        <v>175</v>
      </c>
      <c r="D295" s="62">
        <v>5.0</v>
      </c>
      <c r="E295" s="62">
        <v>2.0</v>
      </c>
      <c r="F295" s="62">
        <v>7.0</v>
      </c>
      <c r="G295" s="62">
        <v>0.0</v>
      </c>
      <c r="H295" s="62">
        <v>2.0</v>
      </c>
      <c r="I295" s="62">
        <v>1.0</v>
      </c>
      <c r="J295" s="62">
        <v>1.0</v>
      </c>
      <c r="K295" s="62">
        <v>0.0</v>
      </c>
      <c r="L295" s="62">
        <v>0.0</v>
      </c>
      <c r="M295" s="62">
        <v>0.0</v>
      </c>
      <c r="N295" s="62">
        <v>0.0</v>
      </c>
      <c r="O295" s="62">
        <v>0.0</v>
      </c>
      <c r="P295" s="62">
        <v>0.0</v>
      </c>
      <c r="Q295" s="62">
        <v>0.0</v>
      </c>
      <c r="R295" s="62">
        <v>11593.0</v>
      </c>
      <c r="S295" s="62">
        <v>4446.0</v>
      </c>
      <c r="T295" s="62">
        <v>0.395555555555555</v>
      </c>
      <c r="U295" s="62">
        <v>1.2225</v>
      </c>
      <c r="V295" s="62">
        <v>0.0</v>
      </c>
      <c r="W295" s="62">
        <v>0.454722222222222</v>
      </c>
      <c r="X295" s="62">
        <v>0.2225</v>
      </c>
      <c r="Y295" s="62">
        <v>0.232222222222222</v>
      </c>
      <c r="Z295" s="62">
        <v>0.0</v>
      </c>
      <c r="AA295" s="62">
        <v>0.0</v>
      </c>
      <c r="AB295" s="62">
        <v>0.0</v>
      </c>
      <c r="AC295" s="62">
        <v>0.0</v>
      </c>
      <c r="AD295" s="62">
        <v>0.0</v>
      </c>
      <c r="AE295" s="62">
        <v>0.0</v>
      </c>
      <c r="AF295" s="62">
        <v>2.0</v>
      </c>
    </row>
    <row r="296">
      <c r="A296" s="68">
        <v>46146.0</v>
      </c>
      <c r="B296" s="62" t="s">
        <v>56</v>
      </c>
      <c r="C296" s="62" t="s">
        <v>176</v>
      </c>
      <c r="D296" s="62">
        <v>0.0</v>
      </c>
      <c r="E296" s="62">
        <v>0.0</v>
      </c>
      <c r="F296" s="62">
        <v>6.0</v>
      </c>
      <c r="G296" s="62">
        <v>0.0</v>
      </c>
      <c r="H296" s="62">
        <v>0.0</v>
      </c>
      <c r="I296" s="62">
        <v>0.0</v>
      </c>
      <c r="J296" s="62">
        <v>0.0</v>
      </c>
      <c r="K296" s="62">
        <v>0.0</v>
      </c>
      <c r="L296" s="62">
        <v>0.0</v>
      </c>
      <c r="M296" s="62">
        <v>0.0</v>
      </c>
      <c r="N296" s="62">
        <v>0.0</v>
      </c>
      <c r="O296" s="62">
        <v>1.0</v>
      </c>
      <c r="P296" s="62">
        <v>0.0</v>
      </c>
      <c r="Q296" s="62">
        <v>0.0</v>
      </c>
      <c r="R296" s="62">
        <v>0.0</v>
      </c>
      <c r="S296" s="62">
        <v>0.0</v>
      </c>
      <c r="T296" s="62">
        <v>0.431666666666666</v>
      </c>
      <c r="U296" s="62">
        <v>1.35388888888888</v>
      </c>
      <c r="V296" s="62">
        <v>0.0</v>
      </c>
      <c r="W296" s="62">
        <v>0.0</v>
      </c>
      <c r="X296" s="62">
        <v>0.0</v>
      </c>
      <c r="Y296" s="62">
        <v>0.0</v>
      </c>
      <c r="Z296" s="62">
        <v>0.0</v>
      </c>
      <c r="AA296" s="62">
        <v>0.0</v>
      </c>
      <c r="AB296" s="62">
        <v>0.0</v>
      </c>
      <c r="AC296" s="62">
        <v>0.0</v>
      </c>
      <c r="AD296" s="62">
        <v>0.216388888888888</v>
      </c>
      <c r="AE296" s="62">
        <v>0.0</v>
      </c>
      <c r="AF296" s="62">
        <v>2.0</v>
      </c>
    </row>
    <row r="297">
      <c r="A297" s="68">
        <v>46146.0</v>
      </c>
      <c r="B297" s="62" t="s">
        <v>26</v>
      </c>
      <c r="C297" s="62" t="s">
        <v>178</v>
      </c>
      <c r="D297" s="62">
        <v>3.0</v>
      </c>
      <c r="E297" s="62">
        <v>14.0</v>
      </c>
      <c r="F297" s="62">
        <v>3.0</v>
      </c>
      <c r="G297" s="62">
        <v>1.0</v>
      </c>
      <c r="H297" s="62">
        <v>5.0</v>
      </c>
      <c r="I297" s="62">
        <v>4.0</v>
      </c>
      <c r="J297" s="62">
        <v>8.0</v>
      </c>
      <c r="K297" s="62">
        <v>4.0</v>
      </c>
      <c r="L297" s="62">
        <v>1.0</v>
      </c>
      <c r="M297" s="62">
        <v>2.0</v>
      </c>
      <c r="N297" s="62">
        <v>1.0</v>
      </c>
      <c r="O297" s="62">
        <v>1.0</v>
      </c>
      <c r="P297" s="62">
        <v>1.0</v>
      </c>
      <c r="Q297" s="62">
        <v>0.0</v>
      </c>
      <c r="R297" s="62">
        <v>6717.0</v>
      </c>
      <c r="S297" s="62">
        <v>29595.0</v>
      </c>
      <c r="T297" s="62">
        <v>1.93611111111111</v>
      </c>
      <c r="U297" s="62">
        <v>0.530833333333333</v>
      </c>
      <c r="V297" s="62">
        <v>0.164444444444444</v>
      </c>
      <c r="W297" s="62">
        <v>1.02</v>
      </c>
      <c r="X297" s="62">
        <v>0.855555555555555</v>
      </c>
      <c r="Y297" s="62">
        <v>1.54555555555555</v>
      </c>
      <c r="Z297" s="62">
        <v>0.698888888888888</v>
      </c>
      <c r="AA297" s="62">
        <v>0.170277777777777</v>
      </c>
      <c r="AB297" s="62">
        <v>0.3425</v>
      </c>
      <c r="AC297" s="62">
        <v>0.174722222222222</v>
      </c>
      <c r="AD297" s="62">
        <v>0.201388888888888</v>
      </c>
      <c r="AE297" s="62">
        <v>0.174722222222222</v>
      </c>
      <c r="AF297" s="62">
        <v>10.0</v>
      </c>
    </row>
    <row r="298">
      <c r="A298" s="68">
        <v>46146.0</v>
      </c>
      <c r="B298" s="62" t="s">
        <v>62</v>
      </c>
      <c r="C298" s="62" t="s">
        <v>63</v>
      </c>
      <c r="D298" s="62">
        <v>0.0</v>
      </c>
      <c r="E298" s="62">
        <v>0.0</v>
      </c>
      <c r="F298" s="62">
        <v>0.0</v>
      </c>
      <c r="G298" s="62">
        <v>0.0</v>
      </c>
      <c r="H298" s="62">
        <v>3.0</v>
      </c>
      <c r="I298" s="62">
        <v>3.0</v>
      </c>
      <c r="J298" s="62">
        <v>0.0</v>
      </c>
      <c r="K298" s="62">
        <v>0.0</v>
      </c>
      <c r="L298" s="62">
        <v>0.0</v>
      </c>
      <c r="M298" s="62">
        <v>0.0</v>
      </c>
      <c r="N298" s="62">
        <v>0.0</v>
      </c>
      <c r="O298" s="62">
        <v>1.0</v>
      </c>
      <c r="P298" s="62">
        <v>0.0</v>
      </c>
      <c r="Q298" s="62">
        <v>0.0</v>
      </c>
      <c r="R298" s="62">
        <v>0.0</v>
      </c>
      <c r="S298" s="62">
        <v>0.0</v>
      </c>
      <c r="T298" s="62">
        <v>0.612777777777777</v>
      </c>
      <c r="U298" s="62">
        <v>0.0</v>
      </c>
      <c r="V298" s="62">
        <v>0.0</v>
      </c>
      <c r="W298" s="62">
        <v>0.612777777777777</v>
      </c>
      <c r="X298" s="62">
        <v>0.612777777777777</v>
      </c>
      <c r="Y298" s="62">
        <v>0.0</v>
      </c>
      <c r="Z298" s="62">
        <v>0.0</v>
      </c>
      <c r="AA298" s="62">
        <v>0.0</v>
      </c>
      <c r="AB298" s="62">
        <v>0.0</v>
      </c>
      <c r="AC298" s="62">
        <v>0.0</v>
      </c>
      <c r="AD298" s="62">
        <v>0.181944444444444</v>
      </c>
      <c r="AE298" s="62">
        <v>0.0</v>
      </c>
      <c r="AF298" s="62">
        <v>3.0</v>
      </c>
    </row>
    <row r="299">
      <c r="A299" s="68">
        <v>46145.0</v>
      </c>
      <c r="B299" s="62" t="s">
        <v>79</v>
      </c>
      <c r="C299" s="62" t="s">
        <v>162</v>
      </c>
      <c r="D299" s="62">
        <v>12.0</v>
      </c>
      <c r="E299" s="62">
        <v>0.0</v>
      </c>
      <c r="F299" s="62">
        <v>0.0</v>
      </c>
      <c r="G299" s="62">
        <v>0.0</v>
      </c>
      <c r="H299" s="62">
        <v>0.0</v>
      </c>
      <c r="I299" s="62">
        <v>0.0</v>
      </c>
      <c r="J299" s="62">
        <v>0.0</v>
      </c>
      <c r="K299" s="62">
        <v>0.0</v>
      </c>
      <c r="L299" s="62">
        <v>0.0</v>
      </c>
      <c r="M299" s="62">
        <v>0.0</v>
      </c>
      <c r="N299" s="62">
        <v>0.0</v>
      </c>
      <c r="O299" s="62">
        <v>1.0</v>
      </c>
      <c r="P299" s="62">
        <v>0.0</v>
      </c>
      <c r="Q299" s="62">
        <v>0.0</v>
      </c>
      <c r="R299" s="62">
        <v>29865.0</v>
      </c>
      <c r="S299" s="62">
        <v>0.0</v>
      </c>
      <c r="T299" s="62">
        <v>1.865</v>
      </c>
      <c r="U299" s="62">
        <v>0.0</v>
      </c>
      <c r="V299" s="62">
        <v>0.0</v>
      </c>
      <c r="W299" s="62">
        <v>0.0</v>
      </c>
      <c r="X299" s="62">
        <v>0.0</v>
      </c>
      <c r="Y299" s="62">
        <v>0.0</v>
      </c>
      <c r="Z299" s="62">
        <v>0.0</v>
      </c>
      <c r="AA299" s="62">
        <v>0.0</v>
      </c>
      <c r="AB299" s="62">
        <v>0.0</v>
      </c>
      <c r="AC299" s="62">
        <v>0.0</v>
      </c>
      <c r="AD299" s="62">
        <v>0.235</v>
      </c>
      <c r="AE299" s="62">
        <v>0.0</v>
      </c>
      <c r="AF299" s="62">
        <v>9.0</v>
      </c>
    </row>
    <row r="300">
      <c r="A300" s="68">
        <v>46145.0</v>
      </c>
      <c r="B300" s="62" t="s">
        <v>76</v>
      </c>
      <c r="C300" s="62" t="s">
        <v>165</v>
      </c>
      <c r="D300" s="62">
        <v>0.0</v>
      </c>
      <c r="E300" s="62">
        <v>0.0</v>
      </c>
      <c r="F300" s="62">
        <v>0.0</v>
      </c>
      <c r="G300" s="62">
        <v>0.0</v>
      </c>
      <c r="H300" s="62">
        <v>0.0</v>
      </c>
      <c r="I300" s="62">
        <v>0.0</v>
      </c>
      <c r="J300" s="62">
        <v>0.0</v>
      </c>
      <c r="K300" s="62">
        <v>0.0</v>
      </c>
      <c r="L300" s="62">
        <v>0.0</v>
      </c>
      <c r="M300" s="62">
        <v>0.0</v>
      </c>
      <c r="N300" s="62">
        <v>1.0</v>
      </c>
      <c r="O300" s="62">
        <v>1.0</v>
      </c>
      <c r="P300" s="62">
        <v>1.0</v>
      </c>
      <c r="Q300" s="62">
        <v>0.0</v>
      </c>
      <c r="R300" s="62">
        <v>0.0</v>
      </c>
      <c r="S300" s="62">
        <v>0.0</v>
      </c>
      <c r="T300" s="62">
        <v>0.0</v>
      </c>
      <c r="U300" s="62">
        <v>0.0</v>
      </c>
      <c r="V300" s="62">
        <v>0.0</v>
      </c>
      <c r="W300" s="62">
        <v>0.0</v>
      </c>
      <c r="X300" s="62">
        <v>0.0</v>
      </c>
      <c r="Y300" s="62">
        <v>0.0</v>
      </c>
      <c r="Z300" s="62">
        <v>0.0</v>
      </c>
      <c r="AA300" s="62">
        <v>0.0</v>
      </c>
      <c r="AB300" s="62">
        <v>0.0</v>
      </c>
      <c r="AC300" s="62">
        <v>0.294444444444444</v>
      </c>
      <c r="AD300" s="62">
        <v>0.234166666666666</v>
      </c>
      <c r="AE300" s="62">
        <v>0.294444444444444</v>
      </c>
      <c r="AF300" s="62">
        <v>0.0</v>
      </c>
    </row>
    <row r="301">
      <c r="A301" s="68">
        <v>46145.0</v>
      </c>
      <c r="B301" s="62" t="s">
        <v>100</v>
      </c>
      <c r="C301" s="62" t="s">
        <v>167</v>
      </c>
      <c r="D301" s="62">
        <v>0.0</v>
      </c>
      <c r="E301" s="62">
        <v>0.0</v>
      </c>
      <c r="F301" s="62">
        <v>0.0</v>
      </c>
      <c r="G301" s="62">
        <v>2.0</v>
      </c>
      <c r="H301" s="62">
        <v>2.0</v>
      </c>
      <c r="I301" s="62">
        <v>0.0</v>
      </c>
      <c r="J301" s="62">
        <v>2.0</v>
      </c>
      <c r="K301" s="62">
        <v>0.0</v>
      </c>
      <c r="L301" s="62">
        <v>0.0</v>
      </c>
      <c r="M301" s="62">
        <v>0.0</v>
      </c>
      <c r="N301" s="62">
        <v>0.0</v>
      </c>
      <c r="O301" s="62">
        <v>1.0</v>
      </c>
      <c r="P301" s="62">
        <v>0.0</v>
      </c>
      <c r="Q301" s="62">
        <v>0.0</v>
      </c>
      <c r="R301" s="62">
        <v>0.0</v>
      </c>
      <c r="S301" s="62">
        <v>0.0</v>
      </c>
      <c r="T301" s="62">
        <v>0.0</v>
      </c>
      <c r="U301" s="62">
        <v>0.0</v>
      </c>
      <c r="V301" s="62">
        <v>0.466388888888888</v>
      </c>
      <c r="W301" s="62">
        <v>0.466388888888888</v>
      </c>
      <c r="X301" s="62">
        <v>0.0</v>
      </c>
      <c r="Y301" s="62">
        <v>0.466388888888888</v>
      </c>
      <c r="Z301" s="62">
        <v>0.0</v>
      </c>
      <c r="AA301" s="62">
        <v>0.0</v>
      </c>
      <c r="AB301" s="62">
        <v>0.0</v>
      </c>
      <c r="AC301" s="62">
        <v>0.0</v>
      </c>
      <c r="AD301" s="62">
        <v>0.223055555555555</v>
      </c>
      <c r="AE301" s="62">
        <v>0.0</v>
      </c>
      <c r="AF301" s="62">
        <v>0.0</v>
      </c>
    </row>
    <row r="302">
      <c r="A302" s="68">
        <v>46145.0</v>
      </c>
      <c r="B302" s="62" t="s">
        <v>65</v>
      </c>
      <c r="C302" s="62" t="s">
        <v>173</v>
      </c>
      <c r="D302" s="62">
        <v>0.0</v>
      </c>
      <c r="E302" s="62">
        <v>0.0</v>
      </c>
      <c r="F302" s="62">
        <v>0.0</v>
      </c>
      <c r="G302" s="62">
        <v>0.0</v>
      </c>
      <c r="H302" s="62">
        <v>0.0</v>
      </c>
      <c r="I302" s="62">
        <v>0.0</v>
      </c>
      <c r="J302" s="62">
        <v>0.0</v>
      </c>
      <c r="K302" s="62">
        <v>0.0</v>
      </c>
      <c r="L302" s="62">
        <v>0.0</v>
      </c>
      <c r="M302" s="62">
        <v>0.0</v>
      </c>
      <c r="N302" s="62">
        <v>0.0</v>
      </c>
      <c r="O302" s="62">
        <v>1.0</v>
      </c>
      <c r="P302" s="62">
        <v>0.0</v>
      </c>
      <c r="Q302" s="62">
        <v>0.0</v>
      </c>
      <c r="R302" s="62">
        <v>0.0</v>
      </c>
      <c r="S302" s="62">
        <v>0.0</v>
      </c>
      <c r="T302" s="62">
        <v>0.912777777777777</v>
      </c>
      <c r="U302" s="62">
        <v>0.0</v>
      </c>
      <c r="V302" s="62">
        <v>0.0</v>
      </c>
      <c r="W302" s="62">
        <v>0.0</v>
      </c>
      <c r="X302" s="62">
        <v>0.0</v>
      </c>
      <c r="Y302" s="62">
        <v>0.0</v>
      </c>
      <c r="Z302" s="62">
        <v>0.0</v>
      </c>
      <c r="AA302" s="62">
        <v>0.0</v>
      </c>
      <c r="AB302" s="62">
        <v>0.0</v>
      </c>
      <c r="AC302" s="62">
        <v>0.0</v>
      </c>
      <c r="AD302" s="62">
        <v>0.214166666666666</v>
      </c>
      <c r="AE302" s="62">
        <v>0.0</v>
      </c>
      <c r="AF302" s="62">
        <v>4.0</v>
      </c>
    </row>
    <row r="303">
      <c r="A303" s="68">
        <v>46145.0</v>
      </c>
      <c r="B303" s="62" t="s">
        <v>108</v>
      </c>
      <c r="C303" s="62" t="s">
        <v>175</v>
      </c>
      <c r="D303" s="62">
        <v>0.0</v>
      </c>
      <c r="E303" s="62">
        <v>0.0</v>
      </c>
      <c r="F303" s="62">
        <v>0.0</v>
      </c>
      <c r="G303" s="62">
        <v>0.0</v>
      </c>
      <c r="H303" s="62">
        <v>0.0</v>
      </c>
      <c r="I303" s="62">
        <v>0.0</v>
      </c>
      <c r="J303" s="62">
        <v>0.0</v>
      </c>
      <c r="K303" s="62">
        <v>0.0</v>
      </c>
      <c r="L303" s="62">
        <v>0.0</v>
      </c>
      <c r="M303" s="62">
        <v>0.0</v>
      </c>
      <c r="N303" s="62">
        <v>0.0</v>
      </c>
      <c r="O303" s="62">
        <v>0.0</v>
      </c>
      <c r="P303" s="62">
        <v>0.0</v>
      </c>
      <c r="Q303" s="62">
        <v>0.0</v>
      </c>
      <c r="R303" s="62">
        <v>0.0</v>
      </c>
      <c r="S303" s="62">
        <v>0.0</v>
      </c>
      <c r="T303" s="62">
        <v>0.2225</v>
      </c>
      <c r="U303" s="62">
        <v>0.0</v>
      </c>
      <c r="V303" s="62">
        <v>0.0</v>
      </c>
      <c r="W303" s="62">
        <v>0.0</v>
      </c>
      <c r="X303" s="62">
        <v>0.0</v>
      </c>
      <c r="Y303" s="62">
        <v>0.0</v>
      </c>
      <c r="Z303" s="62">
        <v>0.0</v>
      </c>
      <c r="AA303" s="62">
        <v>0.0</v>
      </c>
      <c r="AB303" s="62">
        <v>0.0</v>
      </c>
      <c r="AC303" s="62">
        <v>0.0</v>
      </c>
      <c r="AD303" s="62">
        <v>0.0</v>
      </c>
      <c r="AE303" s="62">
        <v>0.0</v>
      </c>
      <c r="AF303" s="62">
        <v>1.0</v>
      </c>
    </row>
    <row r="304">
      <c r="A304" s="68">
        <v>46145.0</v>
      </c>
      <c r="B304" s="62" t="s">
        <v>56</v>
      </c>
      <c r="C304" s="62" t="s">
        <v>176</v>
      </c>
      <c r="D304" s="62">
        <v>0.0</v>
      </c>
      <c r="E304" s="62">
        <v>0.0</v>
      </c>
      <c r="F304" s="62">
        <v>4.0</v>
      </c>
      <c r="G304" s="62">
        <v>0.0</v>
      </c>
      <c r="H304" s="62">
        <v>0.0</v>
      </c>
      <c r="I304" s="62">
        <v>0.0</v>
      </c>
      <c r="J304" s="62">
        <v>0.0</v>
      </c>
      <c r="K304" s="62">
        <v>0.0</v>
      </c>
      <c r="L304" s="62">
        <v>0.0</v>
      </c>
      <c r="M304" s="62">
        <v>0.0</v>
      </c>
      <c r="N304" s="62">
        <v>0.0</v>
      </c>
      <c r="O304" s="62">
        <v>2.0</v>
      </c>
      <c r="P304" s="62">
        <v>0.0</v>
      </c>
      <c r="Q304" s="62">
        <v>0.0</v>
      </c>
      <c r="R304" s="62">
        <v>0.0</v>
      </c>
      <c r="S304" s="62">
        <v>0.0</v>
      </c>
      <c r="T304" s="62">
        <v>0.0</v>
      </c>
      <c r="U304" s="62">
        <v>1.00972222222222</v>
      </c>
      <c r="V304" s="62">
        <v>0.0</v>
      </c>
      <c r="W304" s="62">
        <v>0.0</v>
      </c>
      <c r="X304" s="62">
        <v>0.0</v>
      </c>
      <c r="Y304" s="62">
        <v>0.0</v>
      </c>
      <c r="Z304" s="62">
        <v>0.0</v>
      </c>
      <c r="AA304" s="62">
        <v>0.0</v>
      </c>
      <c r="AB304" s="62">
        <v>0.0</v>
      </c>
      <c r="AC304" s="62">
        <v>0.0</v>
      </c>
      <c r="AD304" s="62">
        <v>0.48</v>
      </c>
      <c r="AE304" s="62">
        <v>0.0</v>
      </c>
      <c r="AF304" s="62">
        <v>0.0</v>
      </c>
    </row>
    <row r="305">
      <c r="A305" s="68">
        <v>46144.0</v>
      </c>
      <c r="B305" s="62" t="s">
        <v>76</v>
      </c>
      <c r="C305" s="62" t="s">
        <v>165</v>
      </c>
      <c r="D305" s="62">
        <v>19.0</v>
      </c>
      <c r="E305" s="62">
        <v>1.0</v>
      </c>
      <c r="F305" s="62">
        <v>0.0</v>
      </c>
      <c r="G305" s="62">
        <v>0.0</v>
      </c>
      <c r="H305" s="62">
        <v>0.0</v>
      </c>
      <c r="I305" s="62">
        <v>0.0</v>
      </c>
      <c r="J305" s="62">
        <v>0.0</v>
      </c>
      <c r="K305" s="62">
        <v>0.0</v>
      </c>
      <c r="L305" s="62">
        <v>0.0</v>
      </c>
      <c r="M305" s="62">
        <v>0.0</v>
      </c>
      <c r="N305" s="62">
        <v>0.0</v>
      </c>
      <c r="O305" s="62">
        <v>1.0</v>
      </c>
      <c r="P305" s="62">
        <v>0.0</v>
      </c>
      <c r="Q305" s="62">
        <v>0.0</v>
      </c>
      <c r="R305" s="62">
        <v>46062.0</v>
      </c>
      <c r="S305" s="62">
        <v>3007.0</v>
      </c>
      <c r="T305" s="62">
        <v>0.0</v>
      </c>
      <c r="U305" s="62">
        <v>0.0</v>
      </c>
      <c r="V305" s="62">
        <v>0.0</v>
      </c>
      <c r="W305" s="62">
        <v>0.0</v>
      </c>
      <c r="X305" s="62">
        <v>0.0</v>
      </c>
      <c r="Y305" s="62">
        <v>0.0</v>
      </c>
      <c r="Z305" s="62">
        <v>0.0</v>
      </c>
      <c r="AA305" s="62">
        <v>0.0</v>
      </c>
      <c r="AB305" s="62">
        <v>0.0</v>
      </c>
      <c r="AC305" s="62">
        <v>0.0</v>
      </c>
      <c r="AD305" s="62">
        <v>0.231944444444444</v>
      </c>
      <c r="AE305" s="62">
        <v>0.0</v>
      </c>
      <c r="AF305" s="62">
        <v>0.0</v>
      </c>
    </row>
    <row r="306">
      <c r="A306" s="68">
        <v>46144.0</v>
      </c>
      <c r="B306" s="62" t="s">
        <v>32</v>
      </c>
      <c r="C306" s="62" t="s">
        <v>168</v>
      </c>
      <c r="D306" s="62">
        <v>0.0</v>
      </c>
      <c r="E306" s="62">
        <v>4.0</v>
      </c>
      <c r="F306" s="62">
        <v>0.0</v>
      </c>
      <c r="G306" s="62">
        <v>0.0</v>
      </c>
      <c r="H306" s="62">
        <v>0.0</v>
      </c>
      <c r="I306" s="62">
        <v>0.0</v>
      </c>
      <c r="J306" s="62">
        <v>0.0</v>
      </c>
      <c r="K306" s="62">
        <v>0.0</v>
      </c>
      <c r="L306" s="62">
        <v>0.0</v>
      </c>
      <c r="M306" s="62">
        <v>0.0</v>
      </c>
      <c r="N306" s="62">
        <v>0.0</v>
      </c>
      <c r="O306" s="62">
        <v>1.0</v>
      </c>
      <c r="P306" s="62">
        <v>0.0</v>
      </c>
      <c r="Q306" s="62">
        <v>0.0</v>
      </c>
      <c r="R306" s="62">
        <v>0.0</v>
      </c>
      <c r="S306" s="62">
        <v>9552.0</v>
      </c>
      <c r="T306" s="62">
        <v>0.0</v>
      </c>
      <c r="U306" s="62">
        <v>0.0</v>
      </c>
      <c r="V306" s="62">
        <v>0.0</v>
      </c>
      <c r="W306" s="62">
        <v>0.0</v>
      </c>
      <c r="X306" s="62">
        <v>0.0</v>
      </c>
      <c r="Y306" s="62">
        <v>0.0</v>
      </c>
      <c r="Z306" s="62">
        <v>0.0</v>
      </c>
      <c r="AA306" s="62">
        <v>0.0</v>
      </c>
      <c r="AB306" s="62">
        <v>0.0</v>
      </c>
      <c r="AC306" s="62">
        <v>0.0</v>
      </c>
      <c r="AD306" s="62">
        <v>0.220833333333333</v>
      </c>
      <c r="AE306" s="62">
        <v>0.0</v>
      </c>
      <c r="AF306" s="62">
        <v>0.0</v>
      </c>
    </row>
    <row r="307">
      <c r="A307" s="68">
        <v>46144.0</v>
      </c>
      <c r="B307" s="62" t="s">
        <v>110</v>
      </c>
      <c r="C307" s="62" t="s">
        <v>169</v>
      </c>
      <c r="D307" s="62">
        <v>2.0</v>
      </c>
      <c r="E307" s="62">
        <v>0.0</v>
      </c>
      <c r="F307" s="62">
        <v>0.0</v>
      </c>
      <c r="G307" s="62">
        <v>0.0</v>
      </c>
      <c r="H307" s="62">
        <v>0.0</v>
      </c>
      <c r="I307" s="62">
        <v>0.0</v>
      </c>
      <c r="J307" s="62">
        <v>0.0</v>
      </c>
      <c r="K307" s="62">
        <v>0.0</v>
      </c>
      <c r="L307" s="62">
        <v>0.0</v>
      </c>
      <c r="M307" s="62">
        <v>0.0</v>
      </c>
      <c r="N307" s="62">
        <v>0.0</v>
      </c>
      <c r="O307" s="62">
        <v>0.0</v>
      </c>
      <c r="P307" s="62">
        <v>0.0</v>
      </c>
      <c r="Q307" s="62">
        <v>0.0</v>
      </c>
      <c r="R307" s="62">
        <v>4554.0</v>
      </c>
      <c r="S307" s="62">
        <v>0.0</v>
      </c>
      <c r="T307" s="62">
        <v>0.0</v>
      </c>
      <c r="U307" s="62">
        <v>0.0</v>
      </c>
      <c r="V307" s="62">
        <v>0.0</v>
      </c>
      <c r="W307" s="62">
        <v>0.0</v>
      </c>
      <c r="X307" s="62">
        <v>0.0</v>
      </c>
      <c r="Y307" s="62">
        <v>0.0</v>
      </c>
      <c r="Z307" s="62">
        <v>0.0</v>
      </c>
      <c r="AA307" s="62">
        <v>0.0</v>
      </c>
      <c r="AB307" s="62">
        <v>0.0</v>
      </c>
      <c r="AC307" s="62">
        <v>0.0</v>
      </c>
      <c r="AD307" s="62">
        <v>0.0</v>
      </c>
      <c r="AE307" s="62">
        <v>0.0</v>
      </c>
      <c r="AF307" s="62">
        <v>0.0</v>
      </c>
    </row>
    <row r="308">
      <c r="A308" s="68">
        <v>46144.0</v>
      </c>
      <c r="B308" s="62" t="s">
        <v>108</v>
      </c>
      <c r="C308" s="62" t="s">
        <v>175</v>
      </c>
      <c r="D308" s="62">
        <v>0.0</v>
      </c>
      <c r="E308" s="62">
        <v>1.0</v>
      </c>
      <c r="F308" s="62">
        <v>0.0</v>
      </c>
      <c r="G308" s="62">
        <v>0.0</v>
      </c>
      <c r="H308" s="62">
        <v>0.0</v>
      </c>
      <c r="I308" s="62">
        <v>0.0</v>
      </c>
      <c r="J308" s="62">
        <v>0.0</v>
      </c>
      <c r="K308" s="62">
        <v>0.0</v>
      </c>
      <c r="L308" s="62">
        <v>0.0</v>
      </c>
      <c r="M308" s="62">
        <v>0.0</v>
      </c>
      <c r="N308" s="62">
        <v>0.0</v>
      </c>
      <c r="O308" s="62">
        <v>0.0</v>
      </c>
      <c r="P308" s="62">
        <v>0.0</v>
      </c>
      <c r="Q308" s="62">
        <v>0.0</v>
      </c>
      <c r="R308" s="62">
        <v>0.0</v>
      </c>
      <c r="S308" s="62">
        <v>2511.0</v>
      </c>
      <c r="T308" s="62">
        <v>0.338055555555555</v>
      </c>
      <c r="U308" s="62">
        <v>0.0</v>
      </c>
      <c r="V308" s="62">
        <v>0.0</v>
      </c>
      <c r="W308" s="62">
        <v>0.0</v>
      </c>
      <c r="X308" s="62">
        <v>0.0</v>
      </c>
      <c r="Y308" s="62">
        <v>0.0</v>
      </c>
      <c r="Z308" s="62">
        <v>0.0</v>
      </c>
      <c r="AA308" s="62">
        <v>0.0</v>
      </c>
      <c r="AB308" s="62">
        <v>0.0</v>
      </c>
      <c r="AC308" s="62">
        <v>0.0</v>
      </c>
      <c r="AD308" s="62">
        <v>0.0</v>
      </c>
      <c r="AE308" s="62">
        <v>0.0</v>
      </c>
      <c r="AF308" s="62">
        <v>2.0</v>
      </c>
    </row>
    <row r="309">
      <c r="A309" s="68">
        <v>46143.0</v>
      </c>
      <c r="B309" s="62" t="s">
        <v>79</v>
      </c>
      <c r="C309" s="62" t="s">
        <v>162</v>
      </c>
      <c r="D309" s="62">
        <v>0.0</v>
      </c>
      <c r="E309" s="62">
        <v>0.0</v>
      </c>
      <c r="F309" s="62">
        <v>0.0</v>
      </c>
      <c r="G309" s="62">
        <v>0.0</v>
      </c>
      <c r="H309" s="62">
        <v>0.0</v>
      </c>
      <c r="I309" s="62">
        <v>0.0</v>
      </c>
      <c r="J309" s="62">
        <v>6.0</v>
      </c>
      <c r="K309" s="62">
        <v>0.0</v>
      </c>
      <c r="L309" s="62">
        <v>0.0</v>
      </c>
      <c r="M309" s="62">
        <v>2.0</v>
      </c>
      <c r="N309" s="62">
        <v>8.0</v>
      </c>
      <c r="O309" s="62">
        <v>1.0</v>
      </c>
      <c r="P309" s="62">
        <v>8.0</v>
      </c>
      <c r="Q309" s="62">
        <v>0.0</v>
      </c>
      <c r="R309" s="62">
        <v>0.0</v>
      </c>
      <c r="S309" s="62">
        <v>0.0</v>
      </c>
      <c r="T309" s="62">
        <v>0.0</v>
      </c>
      <c r="U309" s="62">
        <v>0.0</v>
      </c>
      <c r="V309" s="62">
        <v>0.0</v>
      </c>
      <c r="W309" s="62">
        <v>0.0</v>
      </c>
      <c r="X309" s="62">
        <v>0.0</v>
      </c>
      <c r="Y309" s="62">
        <v>1.17222222222222</v>
      </c>
      <c r="Z309" s="62">
        <v>0.0</v>
      </c>
      <c r="AA309" s="62">
        <v>0.0</v>
      </c>
      <c r="AB309" s="62">
        <v>0.398333333333333</v>
      </c>
      <c r="AC309" s="62">
        <v>1.66027777777777</v>
      </c>
      <c r="AD309" s="62">
        <v>0.197222222222222</v>
      </c>
      <c r="AE309" s="62">
        <v>1.66027777777777</v>
      </c>
      <c r="AF309" s="62">
        <v>0.0</v>
      </c>
    </row>
    <row r="310">
      <c r="A310" s="68">
        <v>46143.0</v>
      </c>
      <c r="B310" s="62" t="s">
        <v>96</v>
      </c>
      <c r="C310" s="62" t="s">
        <v>97</v>
      </c>
      <c r="D310" s="62">
        <v>0.0</v>
      </c>
      <c r="E310" s="62">
        <v>2.0</v>
      </c>
      <c r="F310" s="62">
        <v>0.0</v>
      </c>
      <c r="G310" s="62">
        <v>0.0</v>
      </c>
      <c r="H310" s="62">
        <v>0.0</v>
      </c>
      <c r="I310" s="62">
        <v>0.0</v>
      </c>
      <c r="J310" s="62">
        <v>0.0</v>
      </c>
      <c r="K310" s="62">
        <v>0.0</v>
      </c>
      <c r="L310" s="62">
        <v>0.0</v>
      </c>
      <c r="M310" s="62">
        <v>0.0</v>
      </c>
      <c r="N310" s="62">
        <v>0.0</v>
      </c>
      <c r="O310" s="62">
        <v>1.0</v>
      </c>
      <c r="P310" s="62">
        <v>0.0</v>
      </c>
      <c r="Q310" s="62">
        <v>0.0</v>
      </c>
      <c r="R310" s="62">
        <v>0.0</v>
      </c>
      <c r="S310" s="62">
        <v>4551.0</v>
      </c>
      <c r="T310" s="62">
        <v>0.0</v>
      </c>
      <c r="U310" s="62">
        <v>0.0</v>
      </c>
      <c r="V310" s="62">
        <v>0.0</v>
      </c>
      <c r="W310" s="62">
        <v>0.0</v>
      </c>
      <c r="X310" s="62">
        <v>0.0</v>
      </c>
      <c r="Y310" s="62">
        <v>0.0</v>
      </c>
      <c r="Z310" s="62">
        <v>0.0</v>
      </c>
      <c r="AA310" s="62">
        <v>0.0</v>
      </c>
      <c r="AB310" s="62">
        <v>0.0</v>
      </c>
      <c r="AC310" s="62">
        <v>0.0</v>
      </c>
      <c r="AD310" s="62">
        <v>0.21</v>
      </c>
      <c r="AE310" s="62">
        <v>0.0</v>
      </c>
      <c r="AF310" s="62">
        <v>0.0</v>
      </c>
    </row>
    <row r="311">
      <c r="A311" s="68">
        <v>46143.0</v>
      </c>
      <c r="B311" s="62" t="s">
        <v>71</v>
      </c>
      <c r="C311" s="62" t="s">
        <v>163</v>
      </c>
      <c r="D311" s="62">
        <v>0.0</v>
      </c>
      <c r="E311" s="62">
        <v>0.0</v>
      </c>
      <c r="F311" s="62">
        <v>0.0</v>
      </c>
      <c r="G311" s="62">
        <v>0.0</v>
      </c>
      <c r="H311" s="62">
        <v>0.0</v>
      </c>
      <c r="I311" s="62">
        <v>0.0</v>
      </c>
      <c r="J311" s="62">
        <v>0.0</v>
      </c>
      <c r="K311" s="62">
        <v>0.0</v>
      </c>
      <c r="L311" s="62">
        <v>0.0</v>
      </c>
      <c r="M311" s="62">
        <v>0.0</v>
      </c>
      <c r="N311" s="62">
        <v>1.0</v>
      </c>
      <c r="O311" s="62">
        <v>1.0</v>
      </c>
      <c r="P311" s="62">
        <v>1.0</v>
      </c>
      <c r="Q311" s="62">
        <v>0.0</v>
      </c>
      <c r="R311" s="62">
        <v>0.0</v>
      </c>
      <c r="S311" s="62">
        <v>0.0</v>
      </c>
      <c r="T311" s="62">
        <v>0.0</v>
      </c>
      <c r="U311" s="62">
        <v>0.0</v>
      </c>
      <c r="V311" s="62">
        <v>0.0</v>
      </c>
      <c r="W311" s="62">
        <v>0.0</v>
      </c>
      <c r="X311" s="62">
        <v>0.0</v>
      </c>
      <c r="Y311" s="62">
        <v>0.0</v>
      </c>
      <c r="Z311" s="62">
        <v>0.0</v>
      </c>
      <c r="AA311" s="62">
        <v>0.0</v>
      </c>
      <c r="AB311" s="62">
        <v>0.0</v>
      </c>
      <c r="AC311" s="62">
        <v>0.218611111111111</v>
      </c>
      <c r="AD311" s="62">
        <v>0.285277777777777</v>
      </c>
      <c r="AE311" s="62">
        <v>0.218611111111111</v>
      </c>
      <c r="AF311" s="62">
        <v>0.0</v>
      </c>
    </row>
    <row r="312">
      <c r="A312" s="68">
        <v>46143.0</v>
      </c>
      <c r="B312" s="62" t="s">
        <v>76</v>
      </c>
      <c r="C312" s="62" t="s">
        <v>165</v>
      </c>
      <c r="D312" s="62">
        <v>0.0</v>
      </c>
      <c r="E312" s="62">
        <v>0.0</v>
      </c>
      <c r="F312" s="62">
        <v>0.0</v>
      </c>
      <c r="G312" s="62">
        <v>2.0</v>
      </c>
      <c r="H312" s="62">
        <v>2.0</v>
      </c>
      <c r="I312" s="62">
        <v>0.0</v>
      </c>
      <c r="J312" s="62">
        <v>2.0</v>
      </c>
      <c r="K312" s="62">
        <v>0.0</v>
      </c>
      <c r="L312" s="62">
        <v>1.0</v>
      </c>
      <c r="M312" s="62">
        <v>1.0</v>
      </c>
      <c r="N312" s="62">
        <v>0.0</v>
      </c>
      <c r="O312" s="62">
        <v>1.0</v>
      </c>
      <c r="P312" s="62">
        <v>0.0</v>
      </c>
      <c r="Q312" s="62">
        <v>0.0</v>
      </c>
      <c r="R312" s="62">
        <v>0.0</v>
      </c>
      <c r="S312" s="62">
        <v>0.0</v>
      </c>
      <c r="T312" s="62">
        <v>0.0</v>
      </c>
      <c r="U312" s="62">
        <v>0.0</v>
      </c>
      <c r="V312" s="62">
        <v>0.637222222222222</v>
      </c>
      <c r="W312" s="62">
        <v>0.637222222222222</v>
      </c>
      <c r="X312" s="62">
        <v>0.0</v>
      </c>
      <c r="Y312" s="62">
        <v>0.637222222222222</v>
      </c>
      <c r="Z312" s="62">
        <v>0.0</v>
      </c>
      <c r="AA312" s="62">
        <v>0.294444444444444</v>
      </c>
      <c r="AB312" s="62">
        <v>0.294444444444444</v>
      </c>
      <c r="AC312" s="62">
        <v>0.0</v>
      </c>
      <c r="AD312" s="62">
        <v>0.229166666666666</v>
      </c>
      <c r="AE312" s="62">
        <v>0.0</v>
      </c>
      <c r="AF312" s="62">
        <v>0.0</v>
      </c>
    </row>
    <row r="313">
      <c r="A313" s="68">
        <v>46143.0</v>
      </c>
      <c r="B313" s="62" t="s">
        <v>100</v>
      </c>
      <c r="C313" s="62" t="s">
        <v>167</v>
      </c>
      <c r="D313" s="62">
        <v>0.0</v>
      </c>
      <c r="E313" s="62">
        <v>0.0</v>
      </c>
      <c r="F313" s="62">
        <v>0.0</v>
      </c>
      <c r="G313" s="62">
        <v>0.0</v>
      </c>
      <c r="H313" s="62">
        <v>0.0</v>
      </c>
      <c r="I313" s="62">
        <v>0.0</v>
      </c>
      <c r="J313" s="62">
        <v>0.0</v>
      </c>
      <c r="K313" s="62">
        <v>0.0</v>
      </c>
      <c r="L313" s="62">
        <v>0.0</v>
      </c>
      <c r="M313" s="62">
        <v>0.0</v>
      </c>
      <c r="N313" s="62">
        <v>0.0</v>
      </c>
      <c r="O313" s="62">
        <v>1.0</v>
      </c>
      <c r="P313" s="62">
        <v>0.0</v>
      </c>
      <c r="Q313" s="62">
        <v>0.0</v>
      </c>
      <c r="R313" s="62">
        <v>0.0</v>
      </c>
      <c r="S313" s="62">
        <v>0.0</v>
      </c>
      <c r="T313" s="62">
        <v>1.31583333333333</v>
      </c>
      <c r="U313" s="62">
        <v>0.0</v>
      </c>
      <c r="V313" s="62">
        <v>0.0</v>
      </c>
      <c r="W313" s="62">
        <v>0.0</v>
      </c>
      <c r="X313" s="62">
        <v>0.0</v>
      </c>
      <c r="Y313" s="62">
        <v>0.0</v>
      </c>
      <c r="Z313" s="62">
        <v>0.0</v>
      </c>
      <c r="AA313" s="62">
        <v>0.0</v>
      </c>
      <c r="AB313" s="62">
        <v>0.0</v>
      </c>
      <c r="AC313" s="62">
        <v>0.0</v>
      </c>
      <c r="AD313" s="62">
        <v>0.247777777777777</v>
      </c>
      <c r="AE313" s="62">
        <v>0.0</v>
      </c>
      <c r="AF313" s="62">
        <v>6.0</v>
      </c>
    </row>
    <row r="314">
      <c r="A314" s="68">
        <v>46143.0</v>
      </c>
      <c r="B314" s="62" t="s">
        <v>32</v>
      </c>
      <c r="C314" s="62" t="s">
        <v>168</v>
      </c>
      <c r="D314" s="62">
        <v>0.0</v>
      </c>
      <c r="E314" s="62">
        <v>0.0</v>
      </c>
      <c r="F314" s="62">
        <v>0.0</v>
      </c>
      <c r="G314" s="62">
        <v>0.0</v>
      </c>
      <c r="H314" s="62">
        <v>0.0</v>
      </c>
      <c r="I314" s="62">
        <v>0.0</v>
      </c>
      <c r="J314" s="62">
        <v>0.0</v>
      </c>
      <c r="K314" s="62">
        <v>0.0</v>
      </c>
      <c r="L314" s="62">
        <v>0.0</v>
      </c>
      <c r="M314" s="62">
        <v>0.0</v>
      </c>
      <c r="N314" s="62">
        <v>0.0</v>
      </c>
      <c r="O314" s="62">
        <v>1.0</v>
      </c>
      <c r="P314" s="62">
        <v>0.0</v>
      </c>
      <c r="Q314" s="62">
        <v>0.0</v>
      </c>
      <c r="R314" s="62">
        <v>0.0</v>
      </c>
      <c r="S314" s="62">
        <v>0.0</v>
      </c>
      <c r="T314" s="62">
        <v>1.12583333333333</v>
      </c>
      <c r="U314" s="62">
        <v>0.0</v>
      </c>
      <c r="V314" s="62">
        <v>0.0</v>
      </c>
      <c r="W314" s="62">
        <v>0.0</v>
      </c>
      <c r="X314" s="62">
        <v>0.0</v>
      </c>
      <c r="Y314" s="62">
        <v>0.0</v>
      </c>
      <c r="Z314" s="62">
        <v>0.0</v>
      </c>
      <c r="AA314" s="62">
        <v>0.0</v>
      </c>
      <c r="AB314" s="62">
        <v>0.0</v>
      </c>
      <c r="AC314" s="62">
        <v>0.0</v>
      </c>
      <c r="AD314" s="62">
        <v>0.215555555555555</v>
      </c>
      <c r="AE314" s="62">
        <v>0.0</v>
      </c>
      <c r="AF314" s="62">
        <v>5.0</v>
      </c>
    </row>
    <row r="315">
      <c r="A315" s="68">
        <v>46143.0</v>
      </c>
      <c r="B315" s="62" t="s">
        <v>102</v>
      </c>
      <c r="C315" s="62" t="s">
        <v>170</v>
      </c>
      <c r="D315" s="62">
        <v>5.0</v>
      </c>
      <c r="E315" s="62">
        <v>0.0</v>
      </c>
      <c r="F315" s="62">
        <v>0.0</v>
      </c>
      <c r="G315" s="62">
        <v>0.0</v>
      </c>
      <c r="H315" s="62">
        <v>0.0</v>
      </c>
      <c r="I315" s="62">
        <v>0.0</v>
      </c>
      <c r="J315" s="62">
        <v>0.0</v>
      </c>
      <c r="K315" s="62">
        <v>0.0</v>
      </c>
      <c r="L315" s="62">
        <v>0.0</v>
      </c>
      <c r="M315" s="62">
        <v>0.0</v>
      </c>
      <c r="N315" s="62">
        <v>0.0</v>
      </c>
      <c r="O315" s="62">
        <v>1.0</v>
      </c>
      <c r="P315" s="62">
        <v>0.0</v>
      </c>
      <c r="Q315" s="62">
        <v>0.0</v>
      </c>
      <c r="R315" s="62">
        <v>11813.0</v>
      </c>
      <c r="S315" s="62">
        <v>0.0</v>
      </c>
      <c r="T315" s="62">
        <v>0.0</v>
      </c>
      <c r="U315" s="62">
        <v>0.0</v>
      </c>
      <c r="V315" s="62">
        <v>0.0</v>
      </c>
      <c r="W315" s="62">
        <v>0.0</v>
      </c>
      <c r="X315" s="62">
        <v>0.0</v>
      </c>
      <c r="Y315" s="62">
        <v>0.0</v>
      </c>
      <c r="Z315" s="62">
        <v>0.0</v>
      </c>
      <c r="AA315" s="62">
        <v>0.0</v>
      </c>
      <c r="AB315" s="62">
        <v>0.0</v>
      </c>
      <c r="AC315" s="62">
        <v>0.0</v>
      </c>
      <c r="AD315" s="62">
        <v>0.269166666666666</v>
      </c>
      <c r="AE315" s="62">
        <v>0.0</v>
      </c>
      <c r="AF315" s="62">
        <v>0.0</v>
      </c>
    </row>
    <row r="316">
      <c r="A316" s="68">
        <v>46143.0</v>
      </c>
      <c r="B316" s="62" t="s">
        <v>93</v>
      </c>
      <c r="C316" s="62" t="s">
        <v>182</v>
      </c>
      <c r="D316" s="62">
        <v>0.0</v>
      </c>
      <c r="E316" s="62">
        <v>0.0</v>
      </c>
      <c r="F316" s="62">
        <v>0.0</v>
      </c>
      <c r="G316" s="62">
        <v>1.0</v>
      </c>
      <c r="H316" s="62">
        <v>1.0</v>
      </c>
      <c r="I316" s="62">
        <v>0.0</v>
      </c>
      <c r="J316" s="62">
        <v>0.0</v>
      </c>
      <c r="K316" s="62">
        <v>0.0</v>
      </c>
      <c r="L316" s="62">
        <v>0.0</v>
      </c>
      <c r="M316" s="62">
        <v>0.0</v>
      </c>
      <c r="N316" s="62">
        <v>0.0</v>
      </c>
      <c r="O316" s="62">
        <v>1.0</v>
      </c>
      <c r="P316" s="62">
        <v>0.0</v>
      </c>
      <c r="Q316" s="62">
        <v>0.0</v>
      </c>
      <c r="R316" s="62">
        <v>0.0</v>
      </c>
      <c r="S316" s="62">
        <v>0.0</v>
      </c>
      <c r="T316" s="62">
        <v>0.0</v>
      </c>
      <c r="U316" s="62">
        <v>0.0</v>
      </c>
      <c r="V316" s="62">
        <v>0.245833333333333</v>
      </c>
      <c r="W316" s="62">
        <v>0.245833333333333</v>
      </c>
      <c r="X316" s="62">
        <v>0.0</v>
      </c>
      <c r="Y316" s="62">
        <v>0.0</v>
      </c>
      <c r="Z316" s="62">
        <v>0.0</v>
      </c>
      <c r="AA316" s="62">
        <v>0.0</v>
      </c>
      <c r="AB316" s="62">
        <v>0.0</v>
      </c>
      <c r="AC316" s="62">
        <v>0.0</v>
      </c>
      <c r="AD316" s="62">
        <v>0.247777777777777</v>
      </c>
      <c r="AE316" s="62">
        <v>0.0</v>
      </c>
      <c r="AF316" s="62">
        <v>0.0</v>
      </c>
    </row>
    <row r="317">
      <c r="A317" s="68">
        <v>46143.0</v>
      </c>
      <c r="B317" s="62" t="s">
        <v>41</v>
      </c>
      <c r="C317" s="62" t="s">
        <v>172</v>
      </c>
      <c r="D317" s="62">
        <v>0.0</v>
      </c>
      <c r="E317" s="62">
        <v>0.0</v>
      </c>
      <c r="F317" s="62">
        <v>0.0</v>
      </c>
      <c r="G317" s="62">
        <v>0.0</v>
      </c>
      <c r="H317" s="62">
        <v>0.0</v>
      </c>
      <c r="I317" s="62">
        <v>0.0</v>
      </c>
      <c r="J317" s="62">
        <v>0.0</v>
      </c>
      <c r="K317" s="62">
        <v>0.0</v>
      </c>
      <c r="L317" s="62">
        <v>0.0</v>
      </c>
      <c r="M317" s="62">
        <v>0.0</v>
      </c>
      <c r="N317" s="62">
        <v>0.0</v>
      </c>
      <c r="O317" s="62">
        <v>1.0</v>
      </c>
      <c r="P317" s="62">
        <v>0.0</v>
      </c>
      <c r="Q317" s="62">
        <v>0.0</v>
      </c>
      <c r="R317" s="62">
        <v>0.0</v>
      </c>
      <c r="S317" s="62">
        <v>0.0</v>
      </c>
      <c r="T317" s="62">
        <v>0.701666666666666</v>
      </c>
      <c r="U317" s="62">
        <v>0.0</v>
      </c>
      <c r="V317" s="62">
        <v>0.0</v>
      </c>
      <c r="W317" s="62">
        <v>0.0</v>
      </c>
      <c r="X317" s="62">
        <v>0.0</v>
      </c>
      <c r="Y317" s="62">
        <v>0.0</v>
      </c>
      <c r="Z317" s="62">
        <v>0.0</v>
      </c>
      <c r="AA317" s="62">
        <v>0.0</v>
      </c>
      <c r="AB317" s="62">
        <v>0.0</v>
      </c>
      <c r="AC317" s="62">
        <v>0.0</v>
      </c>
      <c r="AD317" s="62">
        <v>0.225833333333333</v>
      </c>
      <c r="AE317" s="62">
        <v>0.0</v>
      </c>
      <c r="AF317" s="62">
        <v>3.0</v>
      </c>
    </row>
    <row r="318">
      <c r="A318" s="68">
        <v>46143.0</v>
      </c>
      <c r="B318" s="62" t="s">
        <v>65</v>
      </c>
      <c r="C318" s="62" t="s">
        <v>173</v>
      </c>
      <c r="D318" s="62">
        <v>0.0</v>
      </c>
      <c r="E318" s="62">
        <v>0.0</v>
      </c>
      <c r="F318" s="62">
        <v>0.0</v>
      </c>
      <c r="G318" s="62">
        <v>0.0</v>
      </c>
      <c r="H318" s="62">
        <v>0.0</v>
      </c>
      <c r="I318" s="62">
        <v>0.0</v>
      </c>
      <c r="J318" s="62">
        <v>0.0</v>
      </c>
      <c r="K318" s="62">
        <v>0.0</v>
      </c>
      <c r="L318" s="62">
        <v>0.0</v>
      </c>
      <c r="M318" s="62">
        <v>0.0</v>
      </c>
      <c r="N318" s="62">
        <v>0.0</v>
      </c>
      <c r="O318" s="62">
        <v>1.0</v>
      </c>
      <c r="P318" s="62">
        <v>0.0</v>
      </c>
      <c r="Q318" s="62">
        <v>0.0</v>
      </c>
      <c r="R318" s="62">
        <v>0.0</v>
      </c>
      <c r="S318" s="62">
        <v>0.0</v>
      </c>
      <c r="T318" s="62">
        <v>0.98</v>
      </c>
      <c r="U318" s="62">
        <v>0.0</v>
      </c>
      <c r="V318" s="62">
        <v>0.0</v>
      </c>
      <c r="W318" s="62">
        <v>0.0</v>
      </c>
      <c r="X318" s="62">
        <v>0.0</v>
      </c>
      <c r="Y318" s="62">
        <v>0.0</v>
      </c>
      <c r="Z318" s="62">
        <v>0.0</v>
      </c>
      <c r="AA318" s="62">
        <v>0.0</v>
      </c>
      <c r="AB318" s="62">
        <v>0.0</v>
      </c>
      <c r="AC318" s="62">
        <v>0.0</v>
      </c>
      <c r="AD318" s="62">
        <v>0.280833333333333</v>
      </c>
      <c r="AE318" s="62">
        <v>0.0</v>
      </c>
      <c r="AF318" s="62">
        <v>4.0</v>
      </c>
    </row>
    <row r="319">
      <c r="A319" s="68">
        <v>46143.0</v>
      </c>
      <c r="B319" s="62" t="s">
        <v>37</v>
      </c>
      <c r="C319" s="62" t="s">
        <v>174</v>
      </c>
      <c r="D319" s="62">
        <v>0.0</v>
      </c>
      <c r="E319" s="62">
        <v>0.0</v>
      </c>
      <c r="F319" s="62">
        <v>0.0</v>
      </c>
      <c r="G319" s="62">
        <v>0.0</v>
      </c>
      <c r="H319" s="62">
        <v>0.0</v>
      </c>
      <c r="I319" s="62">
        <v>0.0</v>
      </c>
      <c r="J319" s="62">
        <v>0.0</v>
      </c>
      <c r="K319" s="62">
        <v>0.0</v>
      </c>
      <c r="L319" s="62">
        <v>0.0</v>
      </c>
      <c r="M319" s="62">
        <v>0.0</v>
      </c>
      <c r="N319" s="62">
        <v>0.0</v>
      </c>
      <c r="O319" s="62">
        <v>1.0</v>
      </c>
      <c r="P319" s="62">
        <v>0.0</v>
      </c>
      <c r="Q319" s="62">
        <v>0.0</v>
      </c>
      <c r="R319" s="62">
        <v>0.0</v>
      </c>
      <c r="S319" s="62">
        <v>0.0</v>
      </c>
      <c r="T319" s="62">
        <v>1.60861111111111</v>
      </c>
      <c r="U319" s="62">
        <v>0.0</v>
      </c>
      <c r="V319" s="62">
        <v>0.0</v>
      </c>
      <c r="W319" s="62">
        <v>0.0</v>
      </c>
      <c r="X319" s="62">
        <v>0.0</v>
      </c>
      <c r="Y319" s="62">
        <v>0.0</v>
      </c>
      <c r="Z319" s="62">
        <v>0.0</v>
      </c>
      <c r="AA319" s="62">
        <v>0.0</v>
      </c>
      <c r="AB319" s="62">
        <v>0.0</v>
      </c>
      <c r="AC319" s="62">
        <v>0.0</v>
      </c>
      <c r="AD319" s="62">
        <v>0.271388888888888</v>
      </c>
      <c r="AE319" s="62">
        <v>0.0</v>
      </c>
      <c r="AF319" s="62">
        <v>6.0</v>
      </c>
    </row>
    <row r="320">
      <c r="A320" s="68">
        <v>46143.0</v>
      </c>
      <c r="B320" s="62" t="s">
        <v>108</v>
      </c>
      <c r="C320" s="62" t="s">
        <v>175</v>
      </c>
      <c r="D320" s="62">
        <v>0.0</v>
      </c>
      <c r="E320" s="62">
        <v>1.0</v>
      </c>
      <c r="F320" s="62">
        <v>0.0</v>
      </c>
      <c r="G320" s="62">
        <v>0.0</v>
      </c>
      <c r="H320" s="62">
        <v>0.0</v>
      </c>
      <c r="I320" s="62">
        <v>0.0</v>
      </c>
      <c r="J320" s="62">
        <v>0.0</v>
      </c>
      <c r="K320" s="62">
        <v>0.0</v>
      </c>
      <c r="L320" s="62">
        <v>0.0</v>
      </c>
      <c r="M320" s="62">
        <v>0.0</v>
      </c>
      <c r="N320" s="62">
        <v>0.0</v>
      </c>
      <c r="O320" s="62">
        <v>0.0</v>
      </c>
      <c r="P320" s="62">
        <v>0.0</v>
      </c>
      <c r="Q320" s="62">
        <v>0.0</v>
      </c>
      <c r="R320" s="62">
        <v>0.0</v>
      </c>
      <c r="S320" s="62">
        <v>1973.0</v>
      </c>
      <c r="T320" s="62">
        <v>0.507222222222222</v>
      </c>
      <c r="U320" s="62">
        <v>0.0</v>
      </c>
      <c r="V320" s="62">
        <v>0.0</v>
      </c>
      <c r="W320" s="62">
        <v>0.0</v>
      </c>
      <c r="X320" s="62">
        <v>0.0</v>
      </c>
      <c r="Y320" s="62">
        <v>0.0</v>
      </c>
      <c r="Z320" s="62">
        <v>0.0</v>
      </c>
      <c r="AA320" s="62">
        <v>0.0</v>
      </c>
      <c r="AB320" s="62">
        <v>0.0</v>
      </c>
      <c r="AC320" s="62">
        <v>0.0</v>
      </c>
      <c r="AD320" s="62">
        <v>0.0</v>
      </c>
      <c r="AE320" s="62">
        <v>0.0</v>
      </c>
      <c r="AF320" s="62">
        <v>3.0</v>
      </c>
    </row>
    <row r="321">
      <c r="A321" s="68">
        <v>46143.0</v>
      </c>
      <c r="B321" s="62" t="s">
        <v>56</v>
      </c>
      <c r="C321" s="62" t="s">
        <v>176</v>
      </c>
      <c r="D321" s="62">
        <v>9.0</v>
      </c>
      <c r="E321" s="62">
        <v>10.0</v>
      </c>
      <c r="F321" s="62">
        <v>0.0</v>
      </c>
      <c r="G321" s="62">
        <v>0.0</v>
      </c>
      <c r="H321" s="62">
        <v>0.0</v>
      </c>
      <c r="I321" s="62">
        <v>0.0</v>
      </c>
      <c r="J321" s="62">
        <v>0.0</v>
      </c>
      <c r="K321" s="62">
        <v>0.0</v>
      </c>
      <c r="L321" s="62">
        <v>0.0</v>
      </c>
      <c r="M321" s="62">
        <v>0.0</v>
      </c>
      <c r="N321" s="62">
        <v>13.0</v>
      </c>
      <c r="O321" s="62">
        <v>1.0</v>
      </c>
      <c r="P321" s="62">
        <v>13.0</v>
      </c>
      <c r="Q321" s="62">
        <v>0.0</v>
      </c>
      <c r="R321" s="62">
        <v>18486.0</v>
      </c>
      <c r="S321" s="62">
        <v>20744.0</v>
      </c>
      <c r="T321" s="62">
        <v>1.84083333333333</v>
      </c>
      <c r="U321" s="62">
        <v>0.0</v>
      </c>
      <c r="V321" s="62">
        <v>0.0</v>
      </c>
      <c r="W321" s="62">
        <v>0.0</v>
      </c>
      <c r="X321" s="62">
        <v>0.0</v>
      </c>
      <c r="Y321" s="62">
        <v>0.0</v>
      </c>
      <c r="Z321" s="62">
        <v>0.0</v>
      </c>
      <c r="AA321" s="62">
        <v>0.0</v>
      </c>
      <c r="AB321" s="62">
        <v>0.0</v>
      </c>
      <c r="AC321" s="62">
        <v>3.29277777777777</v>
      </c>
      <c r="AD321" s="62">
        <v>0.227777777777777</v>
      </c>
      <c r="AE321" s="62">
        <v>3.29277777777777</v>
      </c>
      <c r="AF321" s="62">
        <v>8.0</v>
      </c>
    </row>
    <row r="322">
      <c r="A322" s="68">
        <v>46143.0</v>
      </c>
      <c r="B322" s="62" t="s">
        <v>26</v>
      </c>
      <c r="C322" s="62" t="s">
        <v>178</v>
      </c>
      <c r="D322" s="62">
        <v>0.0</v>
      </c>
      <c r="E322" s="62">
        <v>0.0</v>
      </c>
      <c r="F322" s="62">
        <v>0.0</v>
      </c>
      <c r="G322" s="62">
        <v>3.0</v>
      </c>
      <c r="H322" s="62">
        <v>1.0</v>
      </c>
      <c r="I322" s="62">
        <v>0.0</v>
      </c>
      <c r="J322" s="62">
        <v>2.0</v>
      </c>
      <c r="K322" s="62">
        <v>0.0</v>
      </c>
      <c r="L322" s="62">
        <v>0.0</v>
      </c>
      <c r="M322" s="62">
        <v>0.0</v>
      </c>
      <c r="N322" s="62">
        <v>0.0</v>
      </c>
      <c r="O322" s="62">
        <v>1.0</v>
      </c>
      <c r="P322" s="62">
        <v>0.0</v>
      </c>
      <c r="Q322" s="62">
        <v>0.0</v>
      </c>
      <c r="R322" s="62">
        <v>0.0</v>
      </c>
      <c r="S322" s="62">
        <v>0.0</v>
      </c>
      <c r="T322" s="62">
        <v>0.0</v>
      </c>
      <c r="U322" s="62">
        <v>0.0</v>
      </c>
      <c r="V322" s="62">
        <v>0.512777777777777</v>
      </c>
      <c r="W322" s="62">
        <v>0.167777777777777</v>
      </c>
      <c r="X322" s="62">
        <v>0.0</v>
      </c>
      <c r="Y322" s="62">
        <v>0.353333333333333</v>
      </c>
      <c r="Z322" s="62">
        <v>0.0</v>
      </c>
      <c r="AA322" s="62">
        <v>0.0</v>
      </c>
      <c r="AB322" s="62">
        <v>0.0</v>
      </c>
      <c r="AC322" s="62">
        <v>0.0</v>
      </c>
      <c r="AD322" s="62">
        <v>0.189722222222222</v>
      </c>
      <c r="AE322" s="62">
        <v>0.0</v>
      </c>
      <c r="AF322" s="62">
        <v>0.0</v>
      </c>
    </row>
    <row r="323">
      <c r="A323" s="68">
        <v>46142.0</v>
      </c>
      <c r="B323" s="62" t="s">
        <v>79</v>
      </c>
      <c r="C323" s="62" t="s">
        <v>162</v>
      </c>
      <c r="D323" s="62">
        <v>0.0</v>
      </c>
      <c r="E323" s="62">
        <v>4.0</v>
      </c>
      <c r="F323" s="62">
        <v>4.0</v>
      </c>
      <c r="G323" s="62">
        <v>9.0</v>
      </c>
      <c r="H323" s="62">
        <v>10.0</v>
      </c>
      <c r="I323" s="62">
        <v>2.0</v>
      </c>
      <c r="J323" s="62">
        <v>7.0</v>
      </c>
      <c r="K323" s="62">
        <v>2.0</v>
      </c>
      <c r="L323" s="62">
        <v>1.0</v>
      </c>
      <c r="M323" s="62">
        <v>10.0</v>
      </c>
      <c r="N323" s="62">
        <v>2.0</v>
      </c>
      <c r="O323" s="62">
        <v>1.0</v>
      </c>
      <c r="P323" s="62">
        <v>2.0</v>
      </c>
      <c r="Q323" s="62">
        <v>0.0</v>
      </c>
      <c r="R323" s="62">
        <v>0.0</v>
      </c>
      <c r="S323" s="62">
        <v>7390.0</v>
      </c>
      <c r="T323" s="62">
        <v>1.00583333333333</v>
      </c>
      <c r="U323" s="62">
        <v>0.811388888888888</v>
      </c>
      <c r="V323" s="62">
        <v>1.79277777777777</v>
      </c>
      <c r="W323" s="62">
        <v>1.98777777777777</v>
      </c>
      <c r="X323" s="62">
        <v>0.401388888888888</v>
      </c>
      <c r="Y323" s="62">
        <v>1.42027777777777</v>
      </c>
      <c r="Z323" s="62">
        <v>0.398333333333333</v>
      </c>
      <c r="AA323" s="62">
        <v>0.198888888888888</v>
      </c>
      <c r="AB323" s="62">
        <v>2.11</v>
      </c>
      <c r="AC323" s="62">
        <v>0.4475</v>
      </c>
      <c r="AD323" s="62">
        <v>0.194166666666666</v>
      </c>
      <c r="AE323" s="62">
        <v>0.4475</v>
      </c>
      <c r="AF323" s="62">
        <v>5.0</v>
      </c>
    </row>
    <row r="324">
      <c r="A324" s="68">
        <v>46142.0</v>
      </c>
      <c r="B324" s="62" t="s">
        <v>96</v>
      </c>
      <c r="C324" s="62" t="s">
        <v>97</v>
      </c>
      <c r="D324" s="62">
        <v>4.0</v>
      </c>
      <c r="E324" s="62">
        <v>3.0</v>
      </c>
      <c r="F324" s="62">
        <v>0.0</v>
      </c>
      <c r="G324" s="62">
        <v>0.0</v>
      </c>
      <c r="H324" s="62">
        <v>3.0</v>
      </c>
      <c r="I324" s="62">
        <v>0.0</v>
      </c>
      <c r="J324" s="62">
        <v>3.0</v>
      </c>
      <c r="K324" s="62">
        <v>0.0</v>
      </c>
      <c r="L324" s="62">
        <v>0.0</v>
      </c>
      <c r="M324" s="62">
        <v>4.0</v>
      </c>
      <c r="N324" s="62">
        <v>10.0</v>
      </c>
      <c r="O324" s="62">
        <v>1.0</v>
      </c>
      <c r="P324" s="62">
        <v>10.0</v>
      </c>
      <c r="Q324" s="62">
        <v>0.0</v>
      </c>
      <c r="R324" s="62">
        <v>8878.0</v>
      </c>
      <c r="S324" s="62">
        <v>6546.0</v>
      </c>
      <c r="T324" s="62">
        <v>0.0</v>
      </c>
      <c r="U324" s="62">
        <v>0.0</v>
      </c>
      <c r="V324" s="62">
        <v>0.0</v>
      </c>
      <c r="W324" s="62">
        <v>0.711111111111111</v>
      </c>
      <c r="X324" s="62">
        <v>0.0</v>
      </c>
      <c r="Y324" s="62">
        <v>0.711111111111111</v>
      </c>
      <c r="Z324" s="62">
        <v>0.0</v>
      </c>
      <c r="AA324" s="62">
        <v>0.0</v>
      </c>
      <c r="AB324" s="62">
        <v>0.959444444444444</v>
      </c>
      <c r="AC324" s="62">
        <v>2.40694444444444</v>
      </c>
      <c r="AD324" s="62">
        <v>0.198333333333333</v>
      </c>
      <c r="AE324" s="62">
        <v>2.40638888888888</v>
      </c>
      <c r="AF324" s="62">
        <v>0.0</v>
      </c>
    </row>
    <row r="325">
      <c r="A325" s="68">
        <v>46142.0</v>
      </c>
      <c r="B325" s="62" t="s">
        <v>71</v>
      </c>
      <c r="C325" s="62" t="s">
        <v>163</v>
      </c>
      <c r="D325" s="62">
        <v>0.0</v>
      </c>
      <c r="E325" s="62">
        <v>0.0</v>
      </c>
      <c r="F325" s="62">
        <v>1.0</v>
      </c>
      <c r="G325" s="62">
        <v>0.0</v>
      </c>
      <c r="H325" s="62">
        <v>0.0</v>
      </c>
      <c r="I325" s="62">
        <v>0.0</v>
      </c>
      <c r="J325" s="62">
        <v>0.0</v>
      </c>
      <c r="K325" s="62">
        <v>0.0</v>
      </c>
      <c r="L325" s="62">
        <v>0.0</v>
      </c>
      <c r="M325" s="62">
        <v>0.0</v>
      </c>
      <c r="N325" s="62">
        <v>0.0</v>
      </c>
      <c r="O325" s="62">
        <v>1.0</v>
      </c>
      <c r="P325" s="62">
        <v>0.0</v>
      </c>
      <c r="Q325" s="62">
        <v>0.0</v>
      </c>
      <c r="R325" s="62">
        <v>0.0</v>
      </c>
      <c r="S325" s="62">
        <v>0.0</v>
      </c>
      <c r="T325" s="62">
        <v>0.2575</v>
      </c>
      <c r="U325" s="62">
        <v>0.2575</v>
      </c>
      <c r="V325" s="62">
        <v>0.0</v>
      </c>
      <c r="W325" s="62">
        <v>0.0</v>
      </c>
      <c r="X325" s="62">
        <v>0.0</v>
      </c>
      <c r="Y325" s="62">
        <v>0.0</v>
      </c>
      <c r="Z325" s="62">
        <v>0.0</v>
      </c>
      <c r="AA325" s="62">
        <v>0.0</v>
      </c>
      <c r="AB325" s="62">
        <v>0.0</v>
      </c>
      <c r="AC325" s="62">
        <v>0.0</v>
      </c>
      <c r="AD325" s="62">
        <v>0.284166666666666</v>
      </c>
      <c r="AE325" s="62">
        <v>0.0</v>
      </c>
      <c r="AF325" s="62">
        <v>1.0</v>
      </c>
    </row>
    <row r="326">
      <c r="A326" s="68">
        <v>46142.0</v>
      </c>
      <c r="B326" s="62" t="s">
        <v>76</v>
      </c>
      <c r="C326" s="62" t="s">
        <v>165</v>
      </c>
      <c r="D326" s="62">
        <v>0.0</v>
      </c>
      <c r="E326" s="62">
        <v>5.0</v>
      </c>
      <c r="F326" s="62">
        <v>5.0</v>
      </c>
      <c r="G326" s="62">
        <v>5.0</v>
      </c>
      <c r="H326" s="62">
        <v>7.0</v>
      </c>
      <c r="I326" s="62">
        <v>2.0</v>
      </c>
      <c r="J326" s="62">
        <v>7.0</v>
      </c>
      <c r="K326" s="62">
        <v>2.0</v>
      </c>
      <c r="L326" s="62">
        <v>1.0</v>
      </c>
      <c r="M326" s="62">
        <v>8.0</v>
      </c>
      <c r="N326" s="62">
        <v>10.0</v>
      </c>
      <c r="O326" s="62">
        <v>1.0</v>
      </c>
      <c r="P326" s="62">
        <v>10.0</v>
      </c>
      <c r="Q326" s="62">
        <v>0.0</v>
      </c>
      <c r="R326" s="62">
        <v>0.0</v>
      </c>
      <c r="S326" s="62">
        <v>13873.0</v>
      </c>
      <c r="T326" s="62">
        <v>1.60416666666666</v>
      </c>
      <c r="U326" s="62">
        <v>1.6425</v>
      </c>
      <c r="V326" s="62">
        <v>1.82972222222222</v>
      </c>
      <c r="W326" s="62">
        <v>2.40444444444444</v>
      </c>
      <c r="X326" s="62">
        <v>0.574722222222222</v>
      </c>
      <c r="Y326" s="62">
        <v>2.40555555555555</v>
      </c>
      <c r="Z326" s="62">
        <v>0.654722222222222</v>
      </c>
      <c r="AA326" s="62">
        <v>0.361666666666666</v>
      </c>
      <c r="AB326" s="62">
        <v>2.63388888888888</v>
      </c>
      <c r="AC326" s="62">
        <v>3.29944444444444</v>
      </c>
      <c r="AD326" s="62">
        <v>0.240833333333333</v>
      </c>
      <c r="AE326" s="62">
        <v>3.29944444444444</v>
      </c>
      <c r="AF326" s="62">
        <v>5.0</v>
      </c>
    </row>
    <row r="327">
      <c r="A327" s="68">
        <v>46142.0</v>
      </c>
      <c r="B327" s="62" t="s">
        <v>100</v>
      </c>
      <c r="C327" s="62" t="s">
        <v>167</v>
      </c>
      <c r="D327" s="62">
        <v>0.0</v>
      </c>
      <c r="E327" s="62">
        <v>1.0</v>
      </c>
      <c r="F327" s="62">
        <v>3.0</v>
      </c>
      <c r="G327" s="62">
        <v>2.0</v>
      </c>
      <c r="H327" s="62">
        <v>2.0</v>
      </c>
      <c r="I327" s="62">
        <v>0.0</v>
      </c>
      <c r="J327" s="62">
        <v>6.0</v>
      </c>
      <c r="K327" s="62">
        <v>6.0</v>
      </c>
      <c r="L327" s="62">
        <v>1.0</v>
      </c>
      <c r="M327" s="62">
        <v>13.0</v>
      </c>
      <c r="N327" s="62">
        <v>13.0</v>
      </c>
      <c r="O327" s="62">
        <v>1.0</v>
      </c>
      <c r="P327" s="62">
        <v>13.0</v>
      </c>
      <c r="Q327" s="62">
        <v>0.0</v>
      </c>
      <c r="R327" s="62">
        <v>0.0</v>
      </c>
      <c r="S327" s="62">
        <v>2486.0</v>
      </c>
      <c r="T327" s="62">
        <v>0.674444444444444</v>
      </c>
      <c r="U327" s="62">
        <v>0.658333333333333</v>
      </c>
      <c r="V327" s="62">
        <v>0.468333333333333</v>
      </c>
      <c r="W327" s="62">
        <v>0.468333333333333</v>
      </c>
      <c r="X327" s="62">
        <v>0.0</v>
      </c>
      <c r="Y327" s="62">
        <v>1.39527777777777</v>
      </c>
      <c r="Z327" s="62">
        <v>1.39527777777777</v>
      </c>
      <c r="AA327" s="62">
        <v>0.253333333333333</v>
      </c>
      <c r="AB327" s="62">
        <v>3.02805555555555</v>
      </c>
      <c r="AC327" s="62">
        <v>3.02805555555555</v>
      </c>
      <c r="AD327" s="62">
        <v>0.233055555555555</v>
      </c>
      <c r="AE327" s="62">
        <v>3.02805555555555</v>
      </c>
      <c r="AF327" s="62">
        <v>3.0</v>
      </c>
    </row>
    <row r="328">
      <c r="A328" s="68">
        <v>46142.0</v>
      </c>
      <c r="B328" s="62" t="s">
        <v>32</v>
      </c>
      <c r="C328" s="62" t="s">
        <v>168</v>
      </c>
      <c r="D328" s="62">
        <v>8.0</v>
      </c>
      <c r="E328" s="62">
        <v>2.0</v>
      </c>
      <c r="F328" s="62">
        <v>1.0</v>
      </c>
      <c r="G328" s="62">
        <v>0.0</v>
      </c>
      <c r="H328" s="62">
        <v>4.0</v>
      </c>
      <c r="I328" s="62">
        <v>1.0</v>
      </c>
      <c r="J328" s="62">
        <v>5.0</v>
      </c>
      <c r="K328" s="62">
        <v>0.0</v>
      </c>
      <c r="L328" s="62">
        <v>0.0</v>
      </c>
      <c r="M328" s="62">
        <v>8.0</v>
      </c>
      <c r="N328" s="62">
        <v>12.0</v>
      </c>
      <c r="O328" s="62">
        <v>1.0</v>
      </c>
      <c r="P328" s="62">
        <v>12.0</v>
      </c>
      <c r="Q328" s="62">
        <v>0.0</v>
      </c>
      <c r="R328" s="62">
        <v>16582.0</v>
      </c>
      <c r="S328" s="62">
        <v>4870.0</v>
      </c>
      <c r="T328" s="62">
        <v>0.878888888888888</v>
      </c>
      <c r="U328" s="62">
        <v>0.222777777777777</v>
      </c>
      <c r="V328" s="62">
        <v>0.0</v>
      </c>
      <c r="W328" s="62">
        <v>0.895</v>
      </c>
      <c r="X328" s="62">
        <v>0.226666666666666</v>
      </c>
      <c r="Y328" s="62">
        <v>1.11555555555555</v>
      </c>
      <c r="Z328" s="62">
        <v>0.0</v>
      </c>
      <c r="AA328" s="62">
        <v>0.0</v>
      </c>
      <c r="AB328" s="62">
        <v>1.76277777777777</v>
      </c>
      <c r="AC328" s="62">
        <v>2.65749999999999</v>
      </c>
      <c r="AD328" s="62">
        <v>0.214444444444444</v>
      </c>
      <c r="AE328" s="62">
        <v>2.6575</v>
      </c>
      <c r="AF328" s="62">
        <v>4.0</v>
      </c>
    </row>
    <row r="329">
      <c r="A329" s="68">
        <v>46142.0</v>
      </c>
      <c r="B329" s="62" t="s">
        <v>110</v>
      </c>
      <c r="C329" s="62" t="s">
        <v>169</v>
      </c>
      <c r="D329" s="62">
        <v>4.0</v>
      </c>
      <c r="E329" s="62">
        <v>0.0</v>
      </c>
      <c r="F329" s="62">
        <v>0.0</v>
      </c>
      <c r="G329" s="62">
        <v>0.0</v>
      </c>
      <c r="H329" s="62">
        <v>0.0</v>
      </c>
      <c r="I329" s="62">
        <v>0.0</v>
      </c>
      <c r="J329" s="62">
        <v>0.0</v>
      </c>
      <c r="K329" s="62">
        <v>0.0</v>
      </c>
      <c r="L329" s="62">
        <v>0.0</v>
      </c>
      <c r="M329" s="62">
        <v>0.0</v>
      </c>
      <c r="N329" s="62">
        <v>0.0</v>
      </c>
      <c r="O329" s="62">
        <v>0.0</v>
      </c>
      <c r="P329" s="62">
        <v>0.0</v>
      </c>
      <c r="Q329" s="62">
        <v>0.0</v>
      </c>
      <c r="R329" s="62">
        <v>8938.0</v>
      </c>
      <c r="S329" s="62">
        <v>0.0</v>
      </c>
      <c r="T329" s="62">
        <v>0.0</v>
      </c>
      <c r="U329" s="62">
        <v>0.0</v>
      </c>
      <c r="V329" s="62">
        <v>0.0</v>
      </c>
      <c r="W329" s="62">
        <v>0.0</v>
      </c>
      <c r="X329" s="62">
        <v>0.0</v>
      </c>
      <c r="Y329" s="62">
        <v>0.0</v>
      </c>
      <c r="Z329" s="62">
        <v>0.0</v>
      </c>
      <c r="AA329" s="62">
        <v>0.0</v>
      </c>
      <c r="AB329" s="62">
        <v>0.0</v>
      </c>
      <c r="AC329" s="62">
        <v>0.0</v>
      </c>
      <c r="AD329" s="62">
        <v>0.0</v>
      </c>
      <c r="AE329" s="62">
        <v>0.0</v>
      </c>
      <c r="AF329" s="62">
        <v>0.0</v>
      </c>
    </row>
    <row r="330">
      <c r="A330" s="68">
        <v>46142.0</v>
      </c>
      <c r="B330" s="62" t="s">
        <v>102</v>
      </c>
      <c r="C330" s="62" t="s">
        <v>170</v>
      </c>
      <c r="D330" s="62">
        <v>0.0</v>
      </c>
      <c r="E330" s="62">
        <v>1.0</v>
      </c>
      <c r="F330" s="62">
        <v>0.0</v>
      </c>
      <c r="G330" s="62">
        <v>0.0</v>
      </c>
      <c r="H330" s="62">
        <v>0.0</v>
      </c>
      <c r="I330" s="62">
        <v>0.0</v>
      </c>
      <c r="J330" s="62">
        <v>0.0</v>
      </c>
      <c r="K330" s="62">
        <v>0.0</v>
      </c>
      <c r="L330" s="62">
        <v>0.0</v>
      </c>
      <c r="M330" s="62">
        <v>0.0</v>
      </c>
      <c r="N330" s="62">
        <v>1.0</v>
      </c>
      <c r="O330" s="62">
        <v>1.0</v>
      </c>
      <c r="P330" s="62">
        <v>1.0</v>
      </c>
      <c r="Q330" s="62">
        <v>0.0</v>
      </c>
      <c r="R330" s="62">
        <v>0.0</v>
      </c>
      <c r="S330" s="62">
        <v>2110.0</v>
      </c>
      <c r="T330" s="62">
        <v>0.216666666666666</v>
      </c>
      <c r="U330" s="62">
        <v>0.0</v>
      </c>
      <c r="V330" s="62">
        <v>0.0</v>
      </c>
      <c r="W330" s="62">
        <v>0.0</v>
      </c>
      <c r="X330" s="62">
        <v>0.0</v>
      </c>
      <c r="Y330" s="62">
        <v>0.0</v>
      </c>
      <c r="Z330" s="62">
        <v>0.0</v>
      </c>
      <c r="AA330" s="62">
        <v>0.0</v>
      </c>
      <c r="AB330" s="62">
        <v>0.0</v>
      </c>
      <c r="AC330" s="62">
        <v>0.216666666666666</v>
      </c>
      <c r="AD330" s="62">
        <v>0.296944444444444</v>
      </c>
      <c r="AE330" s="62">
        <v>0.216666666666666</v>
      </c>
      <c r="AF330" s="62">
        <v>1.0</v>
      </c>
    </row>
    <row r="331">
      <c r="A331" s="68">
        <v>46142.0</v>
      </c>
      <c r="B331" s="62" t="s">
        <v>93</v>
      </c>
      <c r="C331" s="62" t="s">
        <v>182</v>
      </c>
      <c r="D331" s="62">
        <v>0.0</v>
      </c>
      <c r="E331" s="62">
        <v>4.0</v>
      </c>
      <c r="F331" s="62">
        <v>1.0</v>
      </c>
      <c r="G331" s="62">
        <v>0.0</v>
      </c>
      <c r="H331" s="62">
        <v>0.0</v>
      </c>
      <c r="I331" s="62">
        <v>0.0</v>
      </c>
      <c r="J331" s="62">
        <v>0.0</v>
      </c>
      <c r="K331" s="62">
        <v>0.0</v>
      </c>
      <c r="L331" s="62">
        <v>0.0</v>
      </c>
      <c r="M331" s="62">
        <v>0.0</v>
      </c>
      <c r="N331" s="62">
        <v>0.0</v>
      </c>
      <c r="O331" s="62">
        <v>1.0</v>
      </c>
      <c r="P331" s="62">
        <v>0.0</v>
      </c>
      <c r="Q331" s="62">
        <v>0.0</v>
      </c>
      <c r="R331" s="62">
        <v>0.0</v>
      </c>
      <c r="S331" s="62">
        <v>9393.0</v>
      </c>
      <c r="T331" s="62">
        <v>0.277777777777777</v>
      </c>
      <c r="U331" s="62">
        <v>0.277777777777777</v>
      </c>
      <c r="V331" s="62">
        <v>0.0</v>
      </c>
      <c r="W331" s="62">
        <v>0.0</v>
      </c>
      <c r="X331" s="62">
        <v>0.0</v>
      </c>
      <c r="Y331" s="62">
        <v>0.0</v>
      </c>
      <c r="Z331" s="62">
        <v>0.0</v>
      </c>
      <c r="AA331" s="62">
        <v>0.0</v>
      </c>
      <c r="AB331" s="62">
        <v>0.0</v>
      </c>
      <c r="AC331" s="62">
        <v>0.0</v>
      </c>
      <c r="AD331" s="62">
        <v>0.255555555555555</v>
      </c>
      <c r="AE331" s="62">
        <v>0.0</v>
      </c>
      <c r="AF331" s="62">
        <v>1.0</v>
      </c>
    </row>
    <row r="332">
      <c r="A332" s="68">
        <v>46142.0</v>
      </c>
      <c r="B332" s="62" t="s">
        <v>41</v>
      </c>
      <c r="C332" s="62" t="s">
        <v>172</v>
      </c>
      <c r="D332" s="62">
        <v>12.0</v>
      </c>
      <c r="E332" s="62">
        <v>0.0</v>
      </c>
      <c r="F332" s="62">
        <v>0.0</v>
      </c>
      <c r="G332" s="62">
        <v>0.0</v>
      </c>
      <c r="H332" s="62">
        <v>2.0</v>
      </c>
      <c r="I332" s="62">
        <v>2.0</v>
      </c>
      <c r="J332" s="62">
        <v>3.0</v>
      </c>
      <c r="K332" s="62">
        <v>3.0</v>
      </c>
      <c r="L332" s="62">
        <v>0.0</v>
      </c>
      <c r="M332" s="62">
        <v>8.0</v>
      </c>
      <c r="N332" s="62">
        <v>10.0</v>
      </c>
      <c r="O332" s="62">
        <v>1.0</v>
      </c>
      <c r="P332" s="62">
        <v>10.0</v>
      </c>
      <c r="Q332" s="62">
        <v>0.0</v>
      </c>
      <c r="R332" s="62">
        <v>26988.0</v>
      </c>
      <c r="S332" s="62">
        <v>0.0</v>
      </c>
      <c r="T332" s="62">
        <v>0.446111111111111</v>
      </c>
      <c r="U332" s="62">
        <v>0.0</v>
      </c>
      <c r="V332" s="62">
        <v>0.0</v>
      </c>
      <c r="W332" s="62">
        <v>0.446111111111111</v>
      </c>
      <c r="X332" s="62">
        <v>0.446111111111111</v>
      </c>
      <c r="Y332" s="62">
        <v>0.693055555555555</v>
      </c>
      <c r="Z332" s="62">
        <v>0.693333333333333</v>
      </c>
      <c r="AA332" s="62">
        <v>0.0</v>
      </c>
      <c r="AB332" s="62">
        <v>1.86833333333333</v>
      </c>
      <c r="AC332" s="62">
        <v>2.31444444444444</v>
      </c>
      <c r="AD332" s="62">
        <v>0.217777777777777</v>
      </c>
      <c r="AE332" s="62">
        <v>2.31444444444444</v>
      </c>
      <c r="AF332" s="62">
        <v>2.0</v>
      </c>
    </row>
    <row r="333">
      <c r="A333" s="68">
        <v>46142.0</v>
      </c>
      <c r="B333" s="62" t="s">
        <v>65</v>
      </c>
      <c r="C333" s="62" t="s">
        <v>173</v>
      </c>
      <c r="D333" s="62">
        <v>4.0</v>
      </c>
      <c r="E333" s="62">
        <v>0.0</v>
      </c>
      <c r="F333" s="62">
        <v>0.0</v>
      </c>
      <c r="G333" s="62">
        <v>0.0</v>
      </c>
      <c r="H333" s="62">
        <v>0.0</v>
      </c>
      <c r="I333" s="62">
        <v>0.0</v>
      </c>
      <c r="J333" s="62">
        <v>0.0</v>
      </c>
      <c r="K333" s="62">
        <v>2.0</v>
      </c>
      <c r="L333" s="62">
        <v>0.0</v>
      </c>
      <c r="M333" s="62">
        <v>7.0</v>
      </c>
      <c r="N333" s="62">
        <v>8.0</v>
      </c>
      <c r="O333" s="62">
        <v>1.0</v>
      </c>
      <c r="P333" s="62">
        <v>8.0</v>
      </c>
      <c r="Q333" s="62">
        <v>0.0</v>
      </c>
      <c r="R333" s="62">
        <v>8462.0</v>
      </c>
      <c r="S333" s="62">
        <v>0.0</v>
      </c>
      <c r="T333" s="62">
        <v>0.0</v>
      </c>
      <c r="U333" s="62">
        <v>0.0</v>
      </c>
      <c r="V333" s="62">
        <v>0.0</v>
      </c>
      <c r="W333" s="62">
        <v>0.0</v>
      </c>
      <c r="X333" s="62">
        <v>0.0</v>
      </c>
      <c r="Y333" s="62">
        <v>0.0</v>
      </c>
      <c r="Z333" s="62">
        <v>0.486944444444444</v>
      </c>
      <c r="AA333" s="62">
        <v>0.0</v>
      </c>
      <c r="AB333" s="62">
        <v>1.68972222222222</v>
      </c>
      <c r="AC333" s="62">
        <v>1.94777777777777</v>
      </c>
      <c r="AD333" s="62">
        <v>0.232777777777777</v>
      </c>
      <c r="AE333" s="62">
        <v>1.94777777777777</v>
      </c>
      <c r="AF333" s="62">
        <v>0.0</v>
      </c>
    </row>
    <row r="334">
      <c r="A334" s="68">
        <v>46142.0</v>
      </c>
      <c r="B334" s="62" t="s">
        <v>37</v>
      </c>
      <c r="C334" s="62" t="s">
        <v>174</v>
      </c>
      <c r="D334" s="62">
        <v>2.0</v>
      </c>
      <c r="E334" s="62">
        <v>1.0</v>
      </c>
      <c r="F334" s="62">
        <v>0.0</v>
      </c>
      <c r="G334" s="62">
        <v>0.0</v>
      </c>
      <c r="H334" s="62">
        <v>0.0</v>
      </c>
      <c r="I334" s="62">
        <v>0.0</v>
      </c>
      <c r="J334" s="62">
        <v>2.0</v>
      </c>
      <c r="K334" s="62">
        <v>3.0</v>
      </c>
      <c r="L334" s="62">
        <v>2.0</v>
      </c>
      <c r="M334" s="62">
        <v>5.0</v>
      </c>
      <c r="N334" s="62">
        <v>6.0</v>
      </c>
      <c r="O334" s="62">
        <v>1.0</v>
      </c>
      <c r="P334" s="62">
        <v>6.0</v>
      </c>
      <c r="Q334" s="62">
        <v>0.0</v>
      </c>
      <c r="R334" s="62">
        <v>4849.0</v>
      </c>
      <c r="S334" s="62">
        <v>2181.0</v>
      </c>
      <c r="T334" s="62">
        <v>1.0675</v>
      </c>
      <c r="U334" s="62">
        <v>0.0</v>
      </c>
      <c r="V334" s="62">
        <v>0.0</v>
      </c>
      <c r="W334" s="62">
        <v>0.0</v>
      </c>
      <c r="X334" s="62">
        <v>0.0</v>
      </c>
      <c r="Y334" s="62">
        <v>0.508333333333333</v>
      </c>
      <c r="Z334" s="62">
        <v>0.7375</v>
      </c>
      <c r="AA334" s="62">
        <v>0.486944444444444</v>
      </c>
      <c r="AB334" s="62">
        <v>1.24583333333333</v>
      </c>
      <c r="AC334" s="62">
        <v>1.47361111111111</v>
      </c>
      <c r="AD334" s="62">
        <v>0.253888888888888</v>
      </c>
      <c r="AE334" s="62">
        <v>1.47361111111111</v>
      </c>
      <c r="AF334" s="62">
        <v>4.0</v>
      </c>
    </row>
    <row r="335">
      <c r="A335" s="68">
        <v>46142.0</v>
      </c>
      <c r="B335" s="62" t="s">
        <v>108</v>
      </c>
      <c r="C335" s="62" t="s">
        <v>175</v>
      </c>
      <c r="D335" s="62">
        <v>0.0</v>
      </c>
      <c r="E335" s="62">
        <v>2.0</v>
      </c>
      <c r="F335" s="62">
        <v>2.0</v>
      </c>
      <c r="G335" s="62">
        <v>1.0</v>
      </c>
      <c r="H335" s="62">
        <v>1.0</v>
      </c>
      <c r="I335" s="62">
        <v>0.0</v>
      </c>
      <c r="J335" s="62">
        <v>0.0</v>
      </c>
      <c r="K335" s="62">
        <v>0.0</v>
      </c>
      <c r="L335" s="62">
        <v>0.0</v>
      </c>
      <c r="M335" s="62">
        <v>0.0</v>
      </c>
      <c r="N335" s="62">
        <v>0.0</v>
      </c>
      <c r="O335" s="62">
        <v>0.0</v>
      </c>
      <c r="P335" s="62">
        <v>0.0</v>
      </c>
      <c r="Q335" s="62">
        <v>0.0</v>
      </c>
      <c r="R335" s="62">
        <v>0.0</v>
      </c>
      <c r="S335" s="62">
        <v>3807.0</v>
      </c>
      <c r="T335" s="62">
        <v>0.377222222222222</v>
      </c>
      <c r="U335" s="62">
        <v>0.393055555555555</v>
      </c>
      <c r="V335" s="62">
        <v>0.0025</v>
      </c>
      <c r="W335" s="62">
        <v>0.0025</v>
      </c>
      <c r="X335" s="62">
        <v>0.0</v>
      </c>
      <c r="Y335" s="62">
        <v>0.0</v>
      </c>
      <c r="Z335" s="62">
        <v>0.0</v>
      </c>
      <c r="AA335" s="62">
        <v>0.0</v>
      </c>
      <c r="AB335" s="62">
        <v>0.0</v>
      </c>
      <c r="AC335" s="62">
        <v>0.0</v>
      </c>
      <c r="AD335" s="62">
        <v>0.0</v>
      </c>
      <c r="AE335" s="62">
        <v>0.0</v>
      </c>
      <c r="AF335" s="62">
        <v>2.0</v>
      </c>
    </row>
    <row r="336">
      <c r="A336" s="68">
        <v>46142.0</v>
      </c>
      <c r="B336" s="62" t="s">
        <v>56</v>
      </c>
      <c r="C336" s="62" t="s">
        <v>176</v>
      </c>
      <c r="D336" s="62">
        <v>4.0</v>
      </c>
      <c r="E336" s="62">
        <v>0.0</v>
      </c>
      <c r="F336" s="62">
        <v>6.0</v>
      </c>
      <c r="G336" s="62">
        <v>7.0</v>
      </c>
      <c r="H336" s="62">
        <v>7.0</v>
      </c>
      <c r="I336" s="62">
        <v>0.0</v>
      </c>
      <c r="J336" s="62">
        <v>7.0</v>
      </c>
      <c r="K336" s="62">
        <v>2.0</v>
      </c>
      <c r="L336" s="62">
        <v>0.0</v>
      </c>
      <c r="M336" s="62">
        <v>9.0</v>
      </c>
      <c r="N336" s="62">
        <v>0.0</v>
      </c>
      <c r="O336" s="62">
        <v>1.0</v>
      </c>
      <c r="P336" s="62">
        <v>0.0</v>
      </c>
      <c r="Q336" s="62">
        <v>0.0</v>
      </c>
      <c r="R336" s="62">
        <v>9126.0</v>
      </c>
      <c r="S336" s="62">
        <v>0.0</v>
      </c>
      <c r="T336" s="62">
        <v>0.764444444444444</v>
      </c>
      <c r="U336" s="62">
        <v>1.55194444444444</v>
      </c>
      <c r="V336" s="62">
        <v>1.77194444444444</v>
      </c>
      <c r="W336" s="62">
        <v>1.77194444444444</v>
      </c>
      <c r="X336" s="62">
        <v>0.0</v>
      </c>
      <c r="Y336" s="62">
        <v>1.77361111111111</v>
      </c>
      <c r="Z336" s="62">
        <v>0.51</v>
      </c>
      <c r="AA336" s="62">
        <v>0.0</v>
      </c>
      <c r="AB336" s="62">
        <v>2.28361111111111</v>
      </c>
      <c r="AC336" s="62">
        <v>0.0</v>
      </c>
      <c r="AD336" s="62">
        <v>0.251666666666666</v>
      </c>
      <c r="AE336" s="62">
        <v>0.0</v>
      </c>
      <c r="AF336" s="62">
        <v>3.0</v>
      </c>
    </row>
    <row r="337">
      <c r="A337" s="68">
        <v>46142.0</v>
      </c>
      <c r="B337" s="62" t="s">
        <v>26</v>
      </c>
      <c r="C337" s="62" t="s">
        <v>178</v>
      </c>
      <c r="D337" s="62">
        <v>12.0</v>
      </c>
      <c r="E337" s="62">
        <v>0.0</v>
      </c>
      <c r="F337" s="62">
        <v>5.0</v>
      </c>
      <c r="G337" s="62">
        <v>3.0</v>
      </c>
      <c r="H337" s="62">
        <v>6.0</v>
      </c>
      <c r="I337" s="62">
        <v>3.0</v>
      </c>
      <c r="J337" s="62">
        <v>6.0</v>
      </c>
      <c r="K337" s="62">
        <v>2.0</v>
      </c>
      <c r="L337" s="62">
        <v>2.0</v>
      </c>
      <c r="M337" s="62">
        <v>10.0</v>
      </c>
      <c r="N337" s="62">
        <v>24.0</v>
      </c>
      <c r="O337" s="62">
        <v>1.0</v>
      </c>
      <c r="P337" s="62">
        <v>24.0</v>
      </c>
      <c r="Q337" s="62">
        <v>0.0</v>
      </c>
      <c r="R337" s="62">
        <v>26746.0</v>
      </c>
      <c r="S337" s="62">
        <v>0.0</v>
      </c>
      <c r="T337" s="62">
        <v>1.37833333333333</v>
      </c>
      <c r="U337" s="62">
        <v>0.85611111111111</v>
      </c>
      <c r="V337" s="62">
        <v>0.552777777777777</v>
      </c>
      <c r="W337" s="62">
        <v>1.075</v>
      </c>
      <c r="X337" s="62">
        <v>0.522222222222222</v>
      </c>
      <c r="Y337" s="62">
        <v>1.15388888888888</v>
      </c>
      <c r="Z337" s="62">
        <v>0.354444444444444</v>
      </c>
      <c r="AA337" s="62">
        <v>0.353333333333333</v>
      </c>
      <c r="AB337" s="62">
        <v>1.8875</v>
      </c>
      <c r="AC337" s="62">
        <v>4.41916666666666</v>
      </c>
      <c r="AD337" s="62">
        <v>0.198333333333333</v>
      </c>
      <c r="AE337" s="62">
        <v>4.41916666666666</v>
      </c>
      <c r="AF337" s="62">
        <v>8.0</v>
      </c>
    </row>
    <row r="338">
      <c r="A338" s="68">
        <v>46142.0</v>
      </c>
      <c r="B338" s="62" t="s">
        <v>62</v>
      </c>
      <c r="C338" s="62" t="s">
        <v>63</v>
      </c>
      <c r="D338" s="62">
        <v>8.0</v>
      </c>
      <c r="E338" s="62">
        <v>0.0</v>
      </c>
      <c r="F338" s="62">
        <v>0.0</v>
      </c>
      <c r="G338" s="62">
        <v>0.0</v>
      </c>
      <c r="H338" s="62">
        <v>3.0</v>
      </c>
      <c r="I338" s="62">
        <v>3.0</v>
      </c>
      <c r="J338" s="62">
        <v>3.0</v>
      </c>
      <c r="K338" s="62">
        <v>2.0</v>
      </c>
      <c r="L338" s="62">
        <v>0.0</v>
      </c>
      <c r="M338" s="62">
        <v>6.0</v>
      </c>
      <c r="N338" s="62">
        <v>11.0</v>
      </c>
      <c r="O338" s="62">
        <v>1.0</v>
      </c>
      <c r="P338" s="62">
        <v>11.0</v>
      </c>
      <c r="Q338" s="62">
        <v>0.0</v>
      </c>
      <c r="R338" s="62">
        <v>20207.0</v>
      </c>
      <c r="S338" s="62">
        <v>0.0</v>
      </c>
      <c r="T338" s="62">
        <v>0.204722222222222</v>
      </c>
      <c r="U338" s="62">
        <v>0.0</v>
      </c>
      <c r="V338" s="62">
        <v>0.0</v>
      </c>
      <c r="W338" s="62">
        <v>0.616111111111111</v>
      </c>
      <c r="X338" s="62">
        <v>0.616111111111111</v>
      </c>
      <c r="Y338" s="62">
        <v>0.626111111111111</v>
      </c>
      <c r="Z338" s="62">
        <v>0.397499999999999</v>
      </c>
      <c r="AA338" s="62">
        <v>0.0</v>
      </c>
      <c r="AB338" s="62">
        <v>1.25527777777777</v>
      </c>
      <c r="AC338" s="62">
        <v>2.37916666666666</v>
      </c>
      <c r="AD338" s="62">
        <v>0.208333333333333</v>
      </c>
      <c r="AE338" s="62">
        <v>2.37916666666666</v>
      </c>
      <c r="AF338" s="62">
        <v>1.0</v>
      </c>
    </row>
    <row r="339">
      <c r="A339" s="68">
        <v>46142.0</v>
      </c>
      <c r="B339" s="62" t="s">
        <v>89</v>
      </c>
      <c r="C339" s="62" t="s">
        <v>180</v>
      </c>
      <c r="D339" s="62">
        <v>19.0</v>
      </c>
      <c r="E339" s="62">
        <v>32.0</v>
      </c>
      <c r="F339" s="62">
        <v>0.0</v>
      </c>
      <c r="G339" s="62">
        <v>0.0</v>
      </c>
      <c r="H339" s="62">
        <v>0.0</v>
      </c>
      <c r="I339" s="62">
        <v>0.0</v>
      </c>
      <c r="J339" s="62">
        <v>0.0</v>
      </c>
      <c r="K339" s="62">
        <v>0.0</v>
      </c>
      <c r="L339" s="62">
        <v>0.0</v>
      </c>
      <c r="M339" s="62">
        <v>0.0</v>
      </c>
      <c r="N339" s="62">
        <v>32.0</v>
      </c>
      <c r="O339" s="62">
        <v>1.0</v>
      </c>
      <c r="P339" s="62">
        <v>32.0</v>
      </c>
      <c r="Q339" s="62">
        <v>0.0</v>
      </c>
      <c r="R339" s="62">
        <v>28615.0</v>
      </c>
      <c r="S339" s="62">
        <v>53308.0</v>
      </c>
      <c r="T339" s="62">
        <v>0.404722222222222</v>
      </c>
      <c r="U339" s="62">
        <v>0.0</v>
      </c>
      <c r="V339" s="62">
        <v>0.0</v>
      </c>
      <c r="W339" s="62">
        <v>0.0</v>
      </c>
      <c r="X339" s="62">
        <v>0.0</v>
      </c>
      <c r="Y339" s="62">
        <v>0.0</v>
      </c>
      <c r="Z339" s="62">
        <v>0.0</v>
      </c>
      <c r="AA339" s="62">
        <v>0.0</v>
      </c>
      <c r="AB339" s="62">
        <v>0.0</v>
      </c>
      <c r="AC339" s="62">
        <v>6.48333333333333</v>
      </c>
      <c r="AD339" s="62">
        <v>0.195</v>
      </c>
      <c r="AE339" s="62">
        <v>6.48166666666666</v>
      </c>
      <c r="AF339" s="62">
        <v>2.0</v>
      </c>
    </row>
    <row r="340">
      <c r="A340" s="68">
        <v>46141.0</v>
      </c>
      <c r="B340" s="62" t="s">
        <v>79</v>
      </c>
      <c r="C340" s="62" t="s">
        <v>162</v>
      </c>
      <c r="D340" s="62">
        <v>0.0</v>
      </c>
      <c r="E340" s="62">
        <v>8.0</v>
      </c>
      <c r="F340" s="62">
        <v>5.0</v>
      </c>
      <c r="G340" s="62">
        <v>5.0</v>
      </c>
      <c r="H340" s="62">
        <v>5.0</v>
      </c>
      <c r="I340" s="62">
        <v>0.0</v>
      </c>
      <c r="J340" s="62">
        <v>7.0</v>
      </c>
      <c r="K340" s="62">
        <v>0.0</v>
      </c>
      <c r="L340" s="62">
        <v>0.0</v>
      </c>
      <c r="M340" s="62">
        <v>0.0</v>
      </c>
      <c r="N340" s="62">
        <v>0.0</v>
      </c>
      <c r="O340" s="62">
        <v>1.0</v>
      </c>
      <c r="P340" s="62">
        <v>0.0</v>
      </c>
      <c r="Q340" s="62">
        <v>0.0</v>
      </c>
      <c r="R340" s="62">
        <v>0.0</v>
      </c>
      <c r="S340" s="62">
        <v>19512.0</v>
      </c>
      <c r="T340" s="62">
        <v>0.990555555555555</v>
      </c>
      <c r="U340" s="62">
        <v>0.990555555555555</v>
      </c>
      <c r="V340" s="62">
        <v>1.03055555555555</v>
      </c>
      <c r="W340" s="62">
        <v>1.03055555555555</v>
      </c>
      <c r="X340" s="62">
        <v>0.0</v>
      </c>
      <c r="Y340" s="62">
        <v>1.50222222222222</v>
      </c>
      <c r="Z340" s="62">
        <v>0.0</v>
      </c>
      <c r="AA340" s="62">
        <v>0.0</v>
      </c>
      <c r="AB340" s="62">
        <v>0.0</v>
      </c>
      <c r="AC340" s="62">
        <v>0.0</v>
      </c>
      <c r="AD340" s="62">
        <v>0.173888888888888</v>
      </c>
      <c r="AE340" s="62">
        <v>0.0</v>
      </c>
      <c r="AF340" s="62">
        <v>5.0</v>
      </c>
    </row>
    <row r="341">
      <c r="A341" s="68">
        <v>46141.0</v>
      </c>
      <c r="B341" s="62" t="s">
        <v>96</v>
      </c>
      <c r="C341" s="62" t="s">
        <v>97</v>
      </c>
      <c r="D341" s="62">
        <v>2.0</v>
      </c>
      <c r="E341" s="62">
        <v>5.0</v>
      </c>
      <c r="F341" s="62">
        <v>0.0</v>
      </c>
      <c r="G341" s="62">
        <v>0.0</v>
      </c>
      <c r="H341" s="62">
        <v>0.0</v>
      </c>
      <c r="I341" s="62">
        <v>0.0</v>
      </c>
      <c r="J341" s="62">
        <v>0.0</v>
      </c>
      <c r="K341" s="62">
        <v>0.0</v>
      </c>
      <c r="L341" s="62">
        <v>0.0</v>
      </c>
      <c r="M341" s="62">
        <v>6.0</v>
      </c>
      <c r="N341" s="62">
        <v>6.0</v>
      </c>
      <c r="O341" s="62">
        <v>1.0</v>
      </c>
      <c r="P341" s="62">
        <v>6.0</v>
      </c>
      <c r="Q341" s="62">
        <v>0.0</v>
      </c>
      <c r="R341" s="62">
        <v>4551.0</v>
      </c>
      <c r="S341" s="62">
        <v>10555.0</v>
      </c>
      <c r="T341" s="62">
        <v>0.0</v>
      </c>
      <c r="U341" s="62">
        <v>0.0</v>
      </c>
      <c r="V341" s="62">
        <v>0.0</v>
      </c>
      <c r="W341" s="62">
        <v>0.0</v>
      </c>
      <c r="X341" s="62">
        <v>0.0</v>
      </c>
      <c r="Y341" s="62">
        <v>0.0</v>
      </c>
      <c r="Z341" s="62">
        <v>0.0</v>
      </c>
      <c r="AA341" s="62">
        <v>0.0</v>
      </c>
      <c r="AB341" s="62">
        <v>1.39416666666666</v>
      </c>
      <c r="AC341" s="62">
        <v>1.39416666666666</v>
      </c>
      <c r="AD341" s="62">
        <v>0.199722222222222</v>
      </c>
      <c r="AE341" s="62">
        <v>1.39416666666666</v>
      </c>
      <c r="AF341" s="62">
        <v>0.0</v>
      </c>
    </row>
    <row r="342">
      <c r="A342" s="68">
        <v>46141.0</v>
      </c>
      <c r="B342" s="62" t="s">
        <v>71</v>
      </c>
      <c r="C342" s="62" t="s">
        <v>163</v>
      </c>
      <c r="D342" s="62">
        <v>0.0</v>
      </c>
      <c r="E342" s="62">
        <v>1.0</v>
      </c>
      <c r="F342" s="62">
        <v>2.0</v>
      </c>
      <c r="G342" s="62">
        <v>0.0</v>
      </c>
      <c r="H342" s="62">
        <v>0.0</v>
      </c>
      <c r="I342" s="62">
        <v>0.0</v>
      </c>
      <c r="J342" s="62">
        <v>1.0</v>
      </c>
      <c r="K342" s="62">
        <v>0.0</v>
      </c>
      <c r="L342" s="62">
        <v>0.0</v>
      </c>
      <c r="M342" s="62">
        <v>1.0</v>
      </c>
      <c r="N342" s="62">
        <v>0.0</v>
      </c>
      <c r="O342" s="62">
        <v>1.0</v>
      </c>
      <c r="P342" s="62">
        <v>0.0</v>
      </c>
      <c r="Q342" s="62">
        <v>0.0</v>
      </c>
      <c r="R342" s="62">
        <v>0.0</v>
      </c>
      <c r="S342" s="62">
        <v>2617.0</v>
      </c>
      <c r="T342" s="62">
        <v>0.425833333333333</v>
      </c>
      <c r="U342" s="62">
        <v>0.425833333333333</v>
      </c>
      <c r="V342" s="62">
        <v>0.0</v>
      </c>
      <c r="W342" s="62">
        <v>0.0</v>
      </c>
      <c r="X342" s="62">
        <v>0.0</v>
      </c>
      <c r="Y342" s="62">
        <v>0.218611111111111</v>
      </c>
      <c r="Z342" s="62">
        <v>0.0</v>
      </c>
      <c r="AA342" s="62">
        <v>0.0</v>
      </c>
      <c r="AB342" s="62">
        <v>0.218611111111111</v>
      </c>
      <c r="AC342" s="62">
        <v>0.0</v>
      </c>
      <c r="AD342" s="62">
        <v>0.288611111111111</v>
      </c>
      <c r="AE342" s="62">
        <v>0.0</v>
      </c>
      <c r="AF342" s="62">
        <v>2.0</v>
      </c>
    </row>
    <row r="343">
      <c r="A343" s="68">
        <v>46141.0</v>
      </c>
      <c r="B343" s="62" t="s">
        <v>76</v>
      </c>
      <c r="C343" s="62" t="s">
        <v>165</v>
      </c>
      <c r="D343" s="62">
        <v>0.0</v>
      </c>
      <c r="E343" s="62">
        <v>0.0</v>
      </c>
      <c r="F343" s="62">
        <v>4.0</v>
      </c>
      <c r="G343" s="62">
        <v>3.0</v>
      </c>
      <c r="H343" s="62">
        <v>3.0</v>
      </c>
      <c r="I343" s="62">
        <v>0.0</v>
      </c>
      <c r="J343" s="62">
        <v>3.0</v>
      </c>
      <c r="K343" s="62">
        <v>0.0</v>
      </c>
      <c r="L343" s="62">
        <v>0.0</v>
      </c>
      <c r="M343" s="62">
        <v>5.0</v>
      </c>
      <c r="N343" s="62">
        <v>3.0</v>
      </c>
      <c r="O343" s="62">
        <v>1.0</v>
      </c>
      <c r="P343" s="62">
        <v>3.0</v>
      </c>
      <c r="Q343" s="62">
        <v>0.0</v>
      </c>
      <c r="R343" s="62">
        <v>0.0</v>
      </c>
      <c r="S343" s="62">
        <v>0.0</v>
      </c>
      <c r="T343" s="62">
        <v>1.80305555555555</v>
      </c>
      <c r="U343" s="62">
        <v>1.48222222222222</v>
      </c>
      <c r="V343" s="62">
        <v>0.914444444444444</v>
      </c>
      <c r="W343" s="62">
        <v>0.914444444444444</v>
      </c>
      <c r="X343" s="62">
        <v>0.0</v>
      </c>
      <c r="Y343" s="62">
        <v>0.914444444444444</v>
      </c>
      <c r="Z343" s="62">
        <v>0.0</v>
      </c>
      <c r="AA343" s="62">
        <v>0.0</v>
      </c>
      <c r="AB343" s="62">
        <v>1.58861111111111</v>
      </c>
      <c r="AC343" s="62">
        <v>0.923055555555555</v>
      </c>
      <c r="AD343" s="62">
        <v>0.231111111111111</v>
      </c>
      <c r="AE343" s="62">
        <v>0.923055555555555</v>
      </c>
      <c r="AF343" s="62">
        <v>5.0</v>
      </c>
    </row>
    <row r="344">
      <c r="A344" s="68">
        <v>46141.0</v>
      </c>
      <c r="B344" s="62" t="s">
        <v>100</v>
      </c>
      <c r="C344" s="62" t="s">
        <v>167</v>
      </c>
      <c r="D344" s="62">
        <v>0.0</v>
      </c>
      <c r="E344" s="62">
        <v>8.0</v>
      </c>
      <c r="F344" s="62">
        <v>3.0</v>
      </c>
      <c r="G344" s="62">
        <v>2.0</v>
      </c>
      <c r="H344" s="62">
        <v>2.0</v>
      </c>
      <c r="I344" s="62">
        <v>0.0</v>
      </c>
      <c r="J344" s="62">
        <v>1.0</v>
      </c>
      <c r="K344" s="62">
        <v>5.0</v>
      </c>
      <c r="L344" s="62">
        <v>1.0</v>
      </c>
      <c r="M344" s="62">
        <v>0.0</v>
      </c>
      <c r="N344" s="62">
        <v>3.0</v>
      </c>
      <c r="O344" s="62">
        <v>0.0</v>
      </c>
      <c r="P344" s="62">
        <v>3.0</v>
      </c>
      <c r="Q344" s="62">
        <v>0.0</v>
      </c>
      <c r="R344" s="62">
        <v>0.0</v>
      </c>
      <c r="S344" s="62">
        <v>19207.0</v>
      </c>
      <c r="T344" s="62">
        <v>0.445833333333333</v>
      </c>
      <c r="U344" s="62">
        <v>0.688055555555555</v>
      </c>
      <c r="V344" s="62">
        <v>0.499722222222222</v>
      </c>
      <c r="W344" s="62">
        <v>0.499722222222222</v>
      </c>
      <c r="X344" s="62">
        <v>0.0</v>
      </c>
      <c r="Y344" s="62">
        <v>0.202222222222222</v>
      </c>
      <c r="Z344" s="62">
        <v>1.19444444444444</v>
      </c>
      <c r="AA344" s="62">
        <v>0.237777777777777</v>
      </c>
      <c r="AB344" s="62">
        <v>0.0</v>
      </c>
      <c r="AC344" s="62">
        <v>0.706944444444444</v>
      </c>
      <c r="AD344" s="62">
        <v>0.0</v>
      </c>
      <c r="AE344" s="62">
        <v>0.706944444444444</v>
      </c>
      <c r="AF344" s="62">
        <v>2.0</v>
      </c>
    </row>
    <row r="345">
      <c r="A345" s="68">
        <v>46141.0</v>
      </c>
      <c r="B345" s="62" t="s">
        <v>32</v>
      </c>
      <c r="C345" s="62" t="s">
        <v>168</v>
      </c>
      <c r="D345" s="62">
        <v>4.0</v>
      </c>
      <c r="E345" s="62">
        <v>5.0</v>
      </c>
      <c r="F345" s="62">
        <v>4.0</v>
      </c>
      <c r="G345" s="62">
        <v>0.0</v>
      </c>
      <c r="H345" s="62">
        <v>6.0</v>
      </c>
      <c r="I345" s="62">
        <v>3.0</v>
      </c>
      <c r="J345" s="62">
        <v>5.0</v>
      </c>
      <c r="K345" s="62">
        <v>1.0</v>
      </c>
      <c r="L345" s="62">
        <v>0.0</v>
      </c>
      <c r="M345" s="62">
        <v>4.0</v>
      </c>
      <c r="N345" s="62">
        <v>0.0</v>
      </c>
      <c r="O345" s="62">
        <v>1.0</v>
      </c>
      <c r="P345" s="62">
        <v>0.0</v>
      </c>
      <c r="Q345" s="62">
        <v>0.0</v>
      </c>
      <c r="R345" s="62">
        <v>9530.0</v>
      </c>
      <c r="S345" s="62">
        <v>12122.0</v>
      </c>
      <c r="T345" s="62">
        <v>0.893055555555555</v>
      </c>
      <c r="U345" s="62">
        <v>0.887777777777777</v>
      </c>
      <c r="V345" s="62">
        <v>0.0</v>
      </c>
      <c r="W345" s="62">
        <v>1.32027777777777</v>
      </c>
      <c r="X345" s="62">
        <v>0.659722222222222</v>
      </c>
      <c r="Y345" s="62">
        <v>1.09472222222222</v>
      </c>
      <c r="Z345" s="62">
        <v>0.217222222222222</v>
      </c>
      <c r="AA345" s="62">
        <v>0.0</v>
      </c>
      <c r="AB345" s="62">
        <v>0.894722222222222</v>
      </c>
      <c r="AC345" s="62">
        <v>0.0</v>
      </c>
      <c r="AD345" s="62">
        <v>0.204444444444444</v>
      </c>
      <c r="AE345" s="62">
        <v>0.0</v>
      </c>
      <c r="AF345" s="62">
        <v>4.0</v>
      </c>
    </row>
    <row r="346">
      <c r="A346" s="68">
        <v>46141.0</v>
      </c>
      <c r="B346" s="62" t="s">
        <v>110</v>
      </c>
      <c r="C346" s="62" t="s">
        <v>169</v>
      </c>
      <c r="D346" s="62">
        <v>3.0</v>
      </c>
      <c r="E346" s="62">
        <v>0.0</v>
      </c>
      <c r="F346" s="62">
        <v>0.0</v>
      </c>
      <c r="G346" s="62">
        <v>0.0</v>
      </c>
      <c r="H346" s="62">
        <v>0.0</v>
      </c>
      <c r="I346" s="62">
        <v>0.0</v>
      </c>
      <c r="J346" s="62">
        <v>0.0</v>
      </c>
      <c r="K346" s="62">
        <v>0.0</v>
      </c>
      <c r="L346" s="62">
        <v>0.0</v>
      </c>
      <c r="M346" s="62">
        <v>0.0</v>
      </c>
      <c r="N346" s="62">
        <v>0.0</v>
      </c>
      <c r="O346" s="62">
        <v>0.0</v>
      </c>
      <c r="P346" s="62">
        <v>0.0</v>
      </c>
      <c r="Q346" s="62">
        <v>0.0</v>
      </c>
      <c r="R346" s="62">
        <v>6695.0</v>
      </c>
      <c r="S346" s="62">
        <v>0.0</v>
      </c>
      <c r="T346" s="62">
        <v>0.0</v>
      </c>
      <c r="U346" s="62">
        <v>0.0</v>
      </c>
      <c r="V346" s="62">
        <v>0.0</v>
      </c>
      <c r="W346" s="62">
        <v>0.0</v>
      </c>
      <c r="X346" s="62">
        <v>0.0</v>
      </c>
      <c r="Y346" s="62">
        <v>0.0</v>
      </c>
      <c r="Z346" s="62">
        <v>0.0</v>
      </c>
      <c r="AA346" s="62">
        <v>0.0</v>
      </c>
      <c r="AB346" s="62">
        <v>0.0</v>
      </c>
      <c r="AC346" s="62">
        <v>0.0</v>
      </c>
      <c r="AD346" s="62">
        <v>0.0</v>
      </c>
      <c r="AE346" s="62">
        <v>0.0</v>
      </c>
      <c r="AF346" s="62">
        <v>0.0</v>
      </c>
    </row>
    <row r="347">
      <c r="A347" s="68">
        <v>46141.0</v>
      </c>
      <c r="B347" s="62" t="s">
        <v>102</v>
      </c>
      <c r="C347" s="62" t="s">
        <v>170</v>
      </c>
      <c r="D347" s="62">
        <v>4.0</v>
      </c>
      <c r="E347" s="62">
        <v>8.0</v>
      </c>
      <c r="F347" s="62">
        <v>0.0</v>
      </c>
      <c r="G347" s="62">
        <v>0.0</v>
      </c>
      <c r="H347" s="62">
        <v>0.0</v>
      </c>
      <c r="I347" s="62">
        <v>0.0</v>
      </c>
      <c r="J347" s="62">
        <v>0.0</v>
      </c>
      <c r="K347" s="62">
        <v>0.0</v>
      </c>
      <c r="L347" s="62">
        <v>0.0</v>
      </c>
      <c r="M347" s="62">
        <v>0.0</v>
      </c>
      <c r="N347" s="62">
        <v>8.0</v>
      </c>
      <c r="O347" s="62">
        <v>1.0</v>
      </c>
      <c r="P347" s="62">
        <v>8.0</v>
      </c>
      <c r="Q347" s="62">
        <v>0.0</v>
      </c>
      <c r="R347" s="62">
        <v>9964.0</v>
      </c>
      <c r="S347" s="62">
        <v>19580.0</v>
      </c>
      <c r="T347" s="62">
        <v>0.55</v>
      </c>
      <c r="U347" s="62">
        <v>0.0</v>
      </c>
      <c r="V347" s="62">
        <v>0.0</v>
      </c>
      <c r="W347" s="62">
        <v>0.0</v>
      </c>
      <c r="X347" s="62">
        <v>0.0</v>
      </c>
      <c r="Y347" s="62">
        <v>0.0</v>
      </c>
      <c r="Z347" s="62">
        <v>0.0</v>
      </c>
      <c r="AA347" s="62">
        <v>0.0</v>
      </c>
      <c r="AB347" s="62">
        <v>0.0</v>
      </c>
      <c r="AC347" s="62">
        <v>2.09333333333333</v>
      </c>
      <c r="AD347" s="62">
        <v>0.26</v>
      </c>
      <c r="AE347" s="62">
        <v>2.09333333333333</v>
      </c>
      <c r="AF347" s="62">
        <v>2.0</v>
      </c>
    </row>
    <row r="348">
      <c r="A348" s="68">
        <v>46141.0</v>
      </c>
      <c r="B348" s="62" t="s">
        <v>93</v>
      </c>
      <c r="C348" s="62" t="s">
        <v>182</v>
      </c>
      <c r="D348" s="62">
        <v>0.0</v>
      </c>
      <c r="E348" s="62">
        <v>4.0</v>
      </c>
      <c r="F348" s="62">
        <v>0.0</v>
      </c>
      <c r="G348" s="62">
        <v>0.0</v>
      </c>
      <c r="H348" s="62">
        <v>0.0</v>
      </c>
      <c r="I348" s="62">
        <v>0.0</v>
      </c>
      <c r="J348" s="62">
        <v>3.0</v>
      </c>
      <c r="K348" s="62">
        <v>0.0</v>
      </c>
      <c r="L348" s="62">
        <v>0.0</v>
      </c>
      <c r="M348" s="62">
        <v>3.0</v>
      </c>
      <c r="N348" s="62">
        <v>3.0</v>
      </c>
      <c r="O348" s="62">
        <v>1.0</v>
      </c>
      <c r="P348" s="62">
        <v>3.0</v>
      </c>
      <c r="Q348" s="62">
        <v>0.0</v>
      </c>
      <c r="R348" s="62">
        <v>0.0</v>
      </c>
      <c r="S348" s="62">
        <v>8431.0</v>
      </c>
      <c r="T348" s="62">
        <v>0.0</v>
      </c>
      <c r="U348" s="62">
        <v>0.0</v>
      </c>
      <c r="V348" s="62">
        <v>0.0</v>
      </c>
      <c r="W348" s="62">
        <v>0.0</v>
      </c>
      <c r="X348" s="62">
        <v>0.0</v>
      </c>
      <c r="Y348" s="62">
        <v>0.772777777777777</v>
      </c>
      <c r="Z348" s="62">
        <v>0.0</v>
      </c>
      <c r="AA348" s="62">
        <v>0.0</v>
      </c>
      <c r="AB348" s="62">
        <v>0.772777777777777</v>
      </c>
      <c r="AC348" s="62">
        <v>0.772777777777777</v>
      </c>
      <c r="AD348" s="62">
        <v>0.2375</v>
      </c>
      <c r="AE348" s="62">
        <v>0.772777777777777</v>
      </c>
      <c r="AF348" s="62">
        <v>0.0</v>
      </c>
    </row>
    <row r="349">
      <c r="A349" s="68">
        <v>46141.0</v>
      </c>
      <c r="B349" s="62" t="s">
        <v>41</v>
      </c>
      <c r="C349" s="62" t="s">
        <v>172</v>
      </c>
      <c r="D349" s="62">
        <v>0.0</v>
      </c>
      <c r="E349" s="62">
        <v>0.0</v>
      </c>
      <c r="F349" s="62">
        <v>0.0</v>
      </c>
      <c r="G349" s="62">
        <v>0.0</v>
      </c>
      <c r="H349" s="62">
        <v>5.0</v>
      </c>
      <c r="I349" s="62">
        <v>5.0</v>
      </c>
      <c r="J349" s="62">
        <v>3.0</v>
      </c>
      <c r="K349" s="62">
        <v>3.0</v>
      </c>
      <c r="L349" s="62">
        <v>0.0</v>
      </c>
      <c r="M349" s="62">
        <v>1.0</v>
      </c>
      <c r="N349" s="62">
        <v>1.0</v>
      </c>
      <c r="O349" s="62">
        <v>1.0</v>
      </c>
      <c r="P349" s="62">
        <v>1.0</v>
      </c>
      <c r="Q349" s="62">
        <v>0.0</v>
      </c>
      <c r="R349" s="62">
        <v>0.0</v>
      </c>
      <c r="S349" s="62">
        <v>0.0</v>
      </c>
      <c r="T349" s="62">
        <v>0.696388888888889</v>
      </c>
      <c r="U349" s="62">
        <v>0.0</v>
      </c>
      <c r="V349" s="62">
        <v>0.0</v>
      </c>
      <c r="W349" s="62">
        <v>1.16083333333333</v>
      </c>
      <c r="X349" s="62">
        <v>1.16083333333333</v>
      </c>
      <c r="Y349" s="62">
        <v>0.698055555555555</v>
      </c>
      <c r="Z349" s="62">
        <v>0.715</v>
      </c>
      <c r="AA349" s="62">
        <v>0.0</v>
      </c>
      <c r="AB349" s="62">
        <v>0.220555555555555</v>
      </c>
      <c r="AC349" s="62">
        <v>0.233333333333333</v>
      </c>
      <c r="AD349" s="62">
        <v>0.213055555555555</v>
      </c>
      <c r="AE349" s="62">
        <v>0.233333333333333</v>
      </c>
      <c r="AF349" s="62">
        <v>3.0</v>
      </c>
    </row>
    <row r="350">
      <c r="A350" s="68">
        <v>46141.0</v>
      </c>
      <c r="B350" s="62" t="s">
        <v>65</v>
      </c>
      <c r="C350" s="62" t="s">
        <v>173</v>
      </c>
      <c r="D350" s="62">
        <v>2.0</v>
      </c>
      <c r="E350" s="62">
        <v>5.0</v>
      </c>
      <c r="F350" s="62">
        <v>0.0</v>
      </c>
      <c r="G350" s="62">
        <v>0.0</v>
      </c>
      <c r="H350" s="62">
        <v>0.0</v>
      </c>
      <c r="I350" s="62">
        <v>0.0</v>
      </c>
      <c r="J350" s="62">
        <v>2.0</v>
      </c>
      <c r="K350" s="62">
        <v>0.0</v>
      </c>
      <c r="L350" s="62">
        <v>2.0</v>
      </c>
      <c r="M350" s="62">
        <v>1.0</v>
      </c>
      <c r="N350" s="62">
        <v>0.0</v>
      </c>
      <c r="O350" s="62">
        <v>1.0</v>
      </c>
      <c r="P350" s="62">
        <v>0.0</v>
      </c>
      <c r="Q350" s="62">
        <v>0.0</v>
      </c>
      <c r="R350" s="62">
        <v>3865.0</v>
      </c>
      <c r="S350" s="62">
        <v>10870.0</v>
      </c>
      <c r="T350" s="62">
        <v>0.0</v>
      </c>
      <c r="U350" s="62">
        <v>0.0</v>
      </c>
      <c r="V350" s="62">
        <v>0.0</v>
      </c>
      <c r="W350" s="62">
        <v>0.0</v>
      </c>
      <c r="X350" s="62">
        <v>0.0</v>
      </c>
      <c r="Y350" s="62">
        <v>0.486944444444444</v>
      </c>
      <c r="Z350" s="62">
        <v>0.0</v>
      </c>
      <c r="AA350" s="62">
        <v>0.420555555555555</v>
      </c>
      <c r="AB350" s="62">
        <v>0.258055555555555</v>
      </c>
      <c r="AC350" s="62">
        <v>0.0</v>
      </c>
      <c r="AD350" s="62">
        <v>0.235833333333333</v>
      </c>
      <c r="AE350" s="62">
        <v>0.0</v>
      </c>
      <c r="AF350" s="62">
        <v>0.0</v>
      </c>
    </row>
    <row r="351">
      <c r="A351" s="68">
        <v>46141.0</v>
      </c>
      <c r="B351" s="62" t="s">
        <v>37</v>
      </c>
      <c r="C351" s="62" t="s">
        <v>174</v>
      </c>
      <c r="D351" s="62">
        <v>2.0</v>
      </c>
      <c r="E351" s="62">
        <v>8.0</v>
      </c>
      <c r="F351" s="62">
        <v>0.0</v>
      </c>
      <c r="G351" s="62">
        <v>5.0</v>
      </c>
      <c r="H351" s="62">
        <v>5.0</v>
      </c>
      <c r="I351" s="62">
        <v>0.0</v>
      </c>
      <c r="J351" s="62">
        <v>3.0</v>
      </c>
      <c r="K351" s="62">
        <v>0.0</v>
      </c>
      <c r="L351" s="62">
        <v>0.0</v>
      </c>
      <c r="M351" s="62">
        <v>0.0</v>
      </c>
      <c r="N351" s="62">
        <v>3.0</v>
      </c>
      <c r="O351" s="62">
        <v>1.0</v>
      </c>
      <c r="P351" s="62">
        <v>3.0</v>
      </c>
      <c r="Q351" s="62">
        <v>0.0</v>
      </c>
      <c r="R351" s="62">
        <v>4519.0</v>
      </c>
      <c r="S351" s="62">
        <v>18716.0</v>
      </c>
      <c r="T351" s="62">
        <v>0.0</v>
      </c>
      <c r="U351" s="62">
        <v>0.0</v>
      </c>
      <c r="V351" s="62">
        <v>1.24583333333333</v>
      </c>
      <c r="W351" s="62">
        <v>1.24583333333333</v>
      </c>
      <c r="X351" s="62">
        <v>0.0</v>
      </c>
      <c r="Y351" s="62">
        <v>0.7375</v>
      </c>
      <c r="Z351" s="62">
        <v>0.0</v>
      </c>
      <c r="AA351" s="62">
        <v>0.0</v>
      </c>
      <c r="AB351" s="62">
        <v>0.0</v>
      </c>
      <c r="AC351" s="62">
        <v>0.727222222222222</v>
      </c>
      <c r="AD351" s="62">
        <v>0.275555555555555</v>
      </c>
      <c r="AE351" s="62">
        <v>0.727222222222222</v>
      </c>
      <c r="AF351" s="62">
        <v>0.0</v>
      </c>
    </row>
    <row r="352">
      <c r="A352" s="68">
        <v>46141.0</v>
      </c>
      <c r="B352" s="62" t="s">
        <v>108</v>
      </c>
      <c r="C352" s="62" t="s">
        <v>175</v>
      </c>
      <c r="D352" s="62">
        <v>8.0</v>
      </c>
      <c r="E352" s="62">
        <v>3.0</v>
      </c>
      <c r="F352" s="62">
        <v>2.0</v>
      </c>
      <c r="G352" s="62">
        <v>0.0</v>
      </c>
      <c r="H352" s="62">
        <v>1.0</v>
      </c>
      <c r="I352" s="62">
        <v>1.0</v>
      </c>
      <c r="J352" s="62">
        <v>0.0</v>
      </c>
      <c r="K352" s="62">
        <v>0.0</v>
      </c>
      <c r="L352" s="62">
        <v>0.0</v>
      </c>
      <c r="M352" s="62">
        <v>0.0</v>
      </c>
      <c r="N352" s="62">
        <v>0.0</v>
      </c>
      <c r="O352" s="62">
        <v>0.0</v>
      </c>
      <c r="P352" s="62">
        <v>0.0</v>
      </c>
      <c r="Q352" s="62">
        <v>0.0</v>
      </c>
      <c r="R352" s="62">
        <v>16242.0</v>
      </c>
      <c r="S352" s="62">
        <v>5345.0</v>
      </c>
      <c r="T352" s="62">
        <v>0.560833333333333</v>
      </c>
      <c r="U352" s="62">
        <v>0.374444444444444</v>
      </c>
      <c r="V352" s="62">
        <v>0.0</v>
      </c>
      <c r="W352" s="62">
        <v>0.221388888888888</v>
      </c>
      <c r="X352" s="62">
        <v>0.221388888888888</v>
      </c>
      <c r="Y352" s="62">
        <v>0.0</v>
      </c>
      <c r="Z352" s="62">
        <v>0.0</v>
      </c>
      <c r="AA352" s="62">
        <v>0.0</v>
      </c>
      <c r="AB352" s="62">
        <v>0.0</v>
      </c>
      <c r="AC352" s="62">
        <v>0.0</v>
      </c>
      <c r="AD352" s="62">
        <v>0.0</v>
      </c>
      <c r="AE352" s="62">
        <v>0.0</v>
      </c>
      <c r="AF352" s="62">
        <v>3.0</v>
      </c>
    </row>
    <row r="353">
      <c r="A353" s="68">
        <v>46141.0</v>
      </c>
      <c r="B353" s="62" t="s">
        <v>56</v>
      </c>
      <c r="C353" s="62" t="s">
        <v>176</v>
      </c>
      <c r="D353" s="62">
        <v>11.0</v>
      </c>
      <c r="E353" s="62">
        <v>3.0</v>
      </c>
      <c r="F353" s="62">
        <v>3.0</v>
      </c>
      <c r="G353" s="62">
        <v>6.0</v>
      </c>
      <c r="H353" s="62">
        <v>6.0</v>
      </c>
      <c r="I353" s="62">
        <v>0.0</v>
      </c>
      <c r="J353" s="62">
        <v>6.0</v>
      </c>
      <c r="K353" s="62">
        <v>3.0</v>
      </c>
      <c r="L353" s="62">
        <v>2.0</v>
      </c>
      <c r="M353" s="62">
        <v>4.0</v>
      </c>
      <c r="N353" s="62">
        <v>6.0</v>
      </c>
      <c r="O353" s="62">
        <v>1.0</v>
      </c>
      <c r="P353" s="62">
        <v>6.0</v>
      </c>
      <c r="Q353" s="62">
        <v>0.0</v>
      </c>
      <c r="R353" s="62">
        <v>25546.0</v>
      </c>
      <c r="S353" s="62">
        <v>7369.0</v>
      </c>
      <c r="T353" s="62">
        <v>1.55194444444444</v>
      </c>
      <c r="U353" s="62">
        <v>0.77</v>
      </c>
      <c r="V353" s="62">
        <v>1.51916666666666</v>
      </c>
      <c r="W353" s="62">
        <v>1.51916666666666</v>
      </c>
      <c r="X353" s="62">
        <v>0.0</v>
      </c>
      <c r="Y353" s="62">
        <v>1.51916666666666</v>
      </c>
      <c r="Z353" s="62">
        <v>0.775</v>
      </c>
      <c r="AA353" s="62">
        <v>0.516944444444444</v>
      </c>
      <c r="AB353" s="62">
        <v>1.00916666666666</v>
      </c>
      <c r="AC353" s="62">
        <v>1.35027777777777</v>
      </c>
      <c r="AD353" s="62">
        <v>0.241666666666666</v>
      </c>
      <c r="AE353" s="62">
        <v>1.35027777777777</v>
      </c>
      <c r="AF353" s="62">
        <v>6.0</v>
      </c>
    </row>
    <row r="354">
      <c r="A354" s="68">
        <v>46141.0</v>
      </c>
      <c r="B354" s="62" t="s">
        <v>26</v>
      </c>
      <c r="C354" s="62" t="s">
        <v>178</v>
      </c>
      <c r="D354" s="62">
        <v>0.0</v>
      </c>
      <c r="E354" s="62">
        <v>6.0</v>
      </c>
      <c r="F354" s="62">
        <v>4.0</v>
      </c>
      <c r="G354" s="62">
        <v>7.0</v>
      </c>
      <c r="H354" s="62">
        <v>11.0</v>
      </c>
      <c r="I354" s="62">
        <v>4.0</v>
      </c>
      <c r="J354" s="62">
        <v>10.0</v>
      </c>
      <c r="K354" s="62">
        <v>1.0</v>
      </c>
      <c r="L354" s="62">
        <v>0.0</v>
      </c>
      <c r="M354" s="62">
        <v>10.0</v>
      </c>
      <c r="N354" s="62">
        <v>5.0</v>
      </c>
      <c r="O354" s="62">
        <v>1.0</v>
      </c>
      <c r="P354" s="62">
        <v>5.0</v>
      </c>
      <c r="Q354" s="62">
        <v>0.0</v>
      </c>
      <c r="R354" s="62">
        <v>0.0</v>
      </c>
      <c r="S354" s="62">
        <v>13332.0</v>
      </c>
      <c r="T354" s="62">
        <v>1.10305555555555</v>
      </c>
      <c r="U354" s="62">
        <v>0.696388888888889</v>
      </c>
      <c r="V354" s="62">
        <v>1.27777777777777</v>
      </c>
      <c r="W354" s="62">
        <v>2.02777777777777</v>
      </c>
      <c r="X354" s="62">
        <v>0.75</v>
      </c>
      <c r="Y354" s="62">
        <v>1.83472222222222</v>
      </c>
      <c r="Z354" s="62">
        <v>0.181666666666666</v>
      </c>
      <c r="AA354" s="62">
        <v>0.0</v>
      </c>
      <c r="AB354" s="62">
        <v>1.79194444444444</v>
      </c>
      <c r="AC354" s="62">
        <v>0.921388888888888</v>
      </c>
      <c r="AD354" s="62">
        <v>0.187222222222222</v>
      </c>
      <c r="AE354" s="62">
        <v>0.921388888888888</v>
      </c>
      <c r="AF354" s="62">
        <v>6.0</v>
      </c>
    </row>
    <row r="355">
      <c r="A355" s="68">
        <v>46141.0</v>
      </c>
      <c r="B355" s="62" t="s">
        <v>62</v>
      </c>
      <c r="C355" s="62" t="s">
        <v>63</v>
      </c>
      <c r="D355" s="62">
        <v>0.0</v>
      </c>
      <c r="E355" s="62">
        <v>0.0</v>
      </c>
      <c r="F355" s="62">
        <v>0.0</v>
      </c>
      <c r="G355" s="62">
        <v>0.0</v>
      </c>
      <c r="H355" s="62">
        <v>3.0</v>
      </c>
      <c r="I355" s="62">
        <v>3.0</v>
      </c>
      <c r="J355" s="62">
        <v>6.0</v>
      </c>
      <c r="K355" s="62">
        <v>1.0</v>
      </c>
      <c r="L355" s="62">
        <v>0.0</v>
      </c>
      <c r="M355" s="62">
        <v>4.0</v>
      </c>
      <c r="N355" s="62">
        <v>4.0</v>
      </c>
      <c r="O355" s="62">
        <v>1.0</v>
      </c>
      <c r="P355" s="62">
        <v>4.0</v>
      </c>
      <c r="Q355" s="62">
        <v>0.0</v>
      </c>
      <c r="R355" s="62">
        <v>0.0</v>
      </c>
      <c r="S355" s="62">
        <v>0.0</v>
      </c>
      <c r="T355" s="62">
        <v>1.03083333333333</v>
      </c>
      <c r="U355" s="62">
        <v>0.0</v>
      </c>
      <c r="V355" s="62">
        <v>0.0</v>
      </c>
      <c r="W355" s="62">
        <v>0.619444444444444</v>
      </c>
      <c r="X355" s="62">
        <v>0.619444444444444</v>
      </c>
      <c r="Y355" s="62">
        <v>1.3175</v>
      </c>
      <c r="Z355" s="62">
        <v>0.235833333333333</v>
      </c>
      <c r="AA355" s="62">
        <v>0.0</v>
      </c>
      <c r="AB355" s="62">
        <v>0.903333333333333</v>
      </c>
      <c r="AC355" s="62">
        <v>0.897777777777777</v>
      </c>
      <c r="AD355" s="62">
        <v>0.198333333333333</v>
      </c>
      <c r="AE355" s="62">
        <v>0.897777777777777</v>
      </c>
      <c r="AF355" s="62">
        <v>5.0</v>
      </c>
    </row>
    <row r="356">
      <c r="A356" s="68">
        <v>46141.0</v>
      </c>
      <c r="B356" s="62" t="s">
        <v>89</v>
      </c>
      <c r="C356" s="62" t="s">
        <v>180</v>
      </c>
      <c r="D356" s="62">
        <v>0.0</v>
      </c>
      <c r="E356" s="62">
        <v>11.0</v>
      </c>
      <c r="F356" s="62">
        <v>0.0</v>
      </c>
      <c r="G356" s="62">
        <v>0.0</v>
      </c>
      <c r="H356" s="62">
        <v>0.0</v>
      </c>
      <c r="I356" s="62">
        <v>0.0</v>
      </c>
      <c r="J356" s="62">
        <v>0.0</v>
      </c>
      <c r="K356" s="62">
        <v>0.0</v>
      </c>
      <c r="L356" s="62">
        <v>0.0</v>
      </c>
      <c r="M356" s="62">
        <v>0.0</v>
      </c>
      <c r="N356" s="62">
        <v>12.0</v>
      </c>
      <c r="O356" s="62">
        <v>1.0</v>
      </c>
      <c r="P356" s="62">
        <v>12.0</v>
      </c>
      <c r="Q356" s="62">
        <v>0.0</v>
      </c>
      <c r="R356" s="62">
        <v>0.0</v>
      </c>
      <c r="S356" s="62">
        <v>18797.0</v>
      </c>
      <c r="T356" s="62">
        <v>0.662777777777777</v>
      </c>
      <c r="U356" s="62">
        <v>0.0</v>
      </c>
      <c r="V356" s="62">
        <v>0.0</v>
      </c>
      <c r="W356" s="62">
        <v>0.0</v>
      </c>
      <c r="X356" s="62">
        <v>0.0</v>
      </c>
      <c r="Y356" s="62">
        <v>0.0</v>
      </c>
      <c r="Z356" s="62">
        <v>0.0</v>
      </c>
      <c r="AA356" s="62">
        <v>0.0</v>
      </c>
      <c r="AB356" s="62">
        <v>0.0</v>
      </c>
      <c r="AC356" s="62">
        <v>2.56833333333333</v>
      </c>
      <c r="AD356" s="62">
        <v>0.189444444444444</v>
      </c>
      <c r="AE356" s="62">
        <v>2.56833333333333</v>
      </c>
      <c r="AF356" s="62">
        <v>3.0</v>
      </c>
    </row>
    <row r="357">
      <c r="A357" s="68">
        <v>46140.0</v>
      </c>
      <c r="B357" s="62" t="s">
        <v>79</v>
      </c>
      <c r="C357" s="62" t="s">
        <v>162</v>
      </c>
      <c r="D357" s="62">
        <v>6.0</v>
      </c>
      <c r="E357" s="62">
        <v>6.0</v>
      </c>
      <c r="F357" s="62">
        <v>5.0</v>
      </c>
      <c r="G357" s="62">
        <v>5.0</v>
      </c>
      <c r="H357" s="62">
        <v>5.0</v>
      </c>
      <c r="I357" s="62">
        <v>0.0</v>
      </c>
      <c r="J357" s="62">
        <v>0.0</v>
      </c>
      <c r="K357" s="62">
        <v>0.0</v>
      </c>
      <c r="L357" s="62">
        <v>0.0</v>
      </c>
      <c r="M357" s="62">
        <v>0.0</v>
      </c>
      <c r="N357" s="62">
        <v>0.0</v>
      </c>
      <c r="O357" s="62">
        <v>1.0</v>
      </c>
      <c r="P357" s="62">
        <v>0.0</v>
      </c>
      <c r="Q357" s="62">
        <v>0.0</v>
      </c>
      <c r="R357" s="62">
        <v>12385.0</v>
      </c>
      <c r="S357" s="62">
        <v>13899.0</v>
      </c>
      <c r="T357" s="62">
        <v>1.04055555555555</v>
      </c>
      <c r="U357" s="62">
        <v>1.04055555555555</v>
      </c>
      <c r="V357" s="62">
        <v>1.07722222222222</v>
      </c>
      <c r="W357" s="62">
        <v>1.07722222222222</v>
      </c>
      <c r="X357" s="62">
        <v>0.0</v>
      </c>
      <c r="Y357" s="62">
        <v>0.0</v>
      </c>
      <c r="Z357" s="62">
        <v>0.0</v>
      </c>
      <c r="AA357" s="62">
        <v>0.0</v>
      </c>
      <c r="AB357" s="62">
        <v>0.0</v>
      </c>
      <c r="AC357" s="62">
        <v>0.0</v>
      </c>
      <c r="AD357" s="62">
        <v>0.183333333333333</v>
      </c>
      <c r="AE357" s="62">
        <v>0.0</v>
      </c>
      <c r="AF357" s="62">
        <v>5.0</v>
      </c>
    </row>
    <row r="358">
      <c r="A358" s="68">
        <v>46140.0</v>
      </c>
      <c r="B358" s="62" t="s">
        <v>96</v>
      </c>
      <c r="C358" s="62" t="s">
        <v>97</v>
      </c>
      <c r="D358" s="62">
        <v>3.0</v>
      </c>
      <c r="E358" s="62">
        <v>15.0</v>
      </c>
      <c r="F358" s="62">
        <v>0.0</v>
      </c>
      <c r="G358" s="62">
        <v>0.0</v>
      </c>
      <c r="H358" s="62">
        <v>0.0</v>
      </c>
      <c r="I358" s="62">
        <v>0.0</v>
      </c>
      <c r="J358" s="62">
        <v>0.0</v>
      </c>
      <c r="K358" s="62">
        <v>0.0</v>
      </c>
      <c r="L358" s="62">
        <v>0.0</v>
      </c>
      <c r="M358" s="62">
        <v>0.0</v>
      </c>
      <c r="N358" s="62">
        <v>0.0</v>
      </c>
      <c r="O358" s="62">
        <v>1.0</v>
      </c>
      <c r="P358" s="62">
        <v>0.0</v>
      </c>
      <c r="Q358" s="62">
        <v>0.0</v>
      </c>
      <c r="R358" s="62">
        <v>6546.0</v>
      </c>
      <c r="S358" s="62">
        <v>33371.0</v>
      </c>
      <c r="T358" s="62">
        <v>0.0</v>
      </c>
      <c r="U358" s="62">
        <v>0.0</v>
      </c>
      <c r="V358" s="62">
        <v>0.0</v>
      </c>
      <c r="W358" s="62">
        <v>0.0</v>
      </c>
      <c r="X358" s="62">
        <v>0.0</v>
      </c>
      <c r="Y358" s="62">
        <v>0.0</v>
      </c>
      <c r="Z358" s="62">
        <v>0.0</v>
      </c>
      <c r="AA358" s="62">
        <v>0.0</v>
      </c>
      <c r="AB358" s="62">
        <v>0.0</v>
      </c>
      <c r="AC358" s="62">
        <v>0.0</v>
      </c>
      <c r="AD358" s="62">
        <v>0.205555555555555</v>
      </c>
      <c r="AE358" s="62">
        <v>0.0</v>
      </c>
      <c r="AF358" s="62">
        <v>0.0</v>
      </c>
    </row>
    <row r="359">
      <c r="A359" s="68">
        <v>46140.0</v>
      </c>
      <c r="B359" s="62" t="s">
        <v>106</v>
      </c>
      <c r="C359" s="62" t="s">
        <v>107</v>
      </c>
      <c r="D359" s="62">
        <v>0.0</v>
      </c>
      <c r="E359" s="62">
        <v>0.0</v>
      </c>
      <c r="F359" s="62">
        <v>0.0</v>
      </c>
      <c r="G359" s="62">
        <v>0.0</v>
      </c>
      <c r="H359" s="62">
        <v>0.0</v>
      </c>
      <c r="I359" s="62">
        <v>0.0</v>
      </c>
      <c r="J359" s="62">
        <v>0.0</v>
      </c>
      <c r="K359" s="62">
        <v>0.0</v>
      </c>
      <c r="L359" s="62">
        <v>0.0</v>
      </c>
      <c r="M359" s="62">
        <v>0.0</v>
      </c>
      <c r="N359" s="62">
        <v>8.0</v>
      </c>
      <c r="O359" s="62">
        <v>0.0</v>
      </c>
      <c r="P359" s="62">
        <v>8.0</v>
      </c>
      <c r="Q359" s="62">
        <v>0.0</v>
      </c>
      <c r="R359" s="62">
        <v>0.0</v>
      </c>
      <c r="S359" s="62">
        <v>0.0</v>
      </c>
      <c r="T359" s="62">
        <v>0.0</v>
      </c>
      <c r="U359" s="62">
        <v>0.0</v>
      </c>
      <c r="V359" s="62">
        <v>0.0</v>
      </c>
      <c r="W359" s="62">
        <v>0.0</v>
      </c>
      <c r="X359" s="62">
        <v>0.0</v>
      </c>
      <c r="Y359" s="62">
        <v>0.0</v>
      </c>
      <c r="Z359" s="62">
        <v>0.0</v>
      </c>
      <c r="AA359" s="62">
        <v>0.0</v>
      </c>
      <c r="AB359" s="62">
        <v>0.0</v>
      </c>
      <c r="AC359" s="62">
        <v>1.16138888888888</v>
      </c>
      <c r="AD359" s="62">
        <v>0.0</v>
      </c>
      <c r="AE359" s="62">
        <v>1.16138888888888</v>
      </c>
      <c r="AF359" s="62">
        <v>0.0</v>
      </c>
    </row>
    <row r="360">
      <c r="A360" s="68">
        <v>46140.0</v>
      </c>
      <c r="B360" s="62" t="s">
        <v>71</v>
      </c>
      <c r="C360" s="62" t="s">
        <v>163</v>
      </c>
      <c r="D360" s="62">
        <v>0.0</v>
      </c>
      <c r="E360" s="62">
        <v>2.0</v>
      </c>
      <c r="F360" s="62">
        <v>0.0</v>
      </c>
      <c r="G360" s="62">
        <v>0.0</v>
      </c>
      <c r="H360" s="62">
        <v>0.0</v>
      </c>
      <c r="I360" s="62">
        <v>0.0</v>
      </c>
      <c r="J360" s="62">
        <v>0.0</v>
      </c>
      <c r="K360" s="62">
        <v>0.0</v>
      </c>
      <c r="L360" s="62">
        <v>0.0</v>
      </c>
      <c r="M360" s="62">
        <v>0.0</v>
      </c>
      <c r="N360" s="62">
        <v>0.0</v>
      </c>
      <c r="O360" s="62">
        <v>1.0</v>
      </c>
      <c r="P360" s="62">
        <v>0.0</v>
      </c>
      <c r="Q360" s="62">
        <v>0.0</v>
      </c>
      <c r="R360" s="62">
        <v>0.0</v>
      </c>
      <c r="S360" s="62">
        <v>4369.0</v>
      </c>
      <c r="T360" s="62">
        <v>0.0</v>
      </c>
      <c r="U360" s="62">
        <v>0.0</v>
      </c>
      <c r="V360" s="62">
        <v>0.0</v>
      </c>
      <c r="W360" s="62">
        <v>0.0</v>
      </c>
      <c r="X360" s="62">
        <v>0.0</v>
      </c>
      <c r="Y360" s="62">
        <v>0.0</v>
      </c>
      <c r="Z360" s="62">
        <v>0.0</v>
      </c>
      <c r="AA360" s="62">
        <v>0.0</v>
      </c>
      <c r="AB360" s="62">
        <v>0.0</v>
      </c>
      <c r="AC360" s="62">
        <v>0.0</v>
      </c>
      <c r="AD360" s="62">
        <v>0.253333333333333</v>
      </c>
      <c r="AE360" s="62">
        <v>0.0</v>
      </c>
      <c r="AF360" s="62">
        <v>0.0</v>
      </c>
    </row>
    <row r="361">
      <c r="A361" s="68">
        <v>46140.0</v>
      </c>
      <c r="B361" s="62" t="s">
        <v>76</v>
      </c>
      <c r="C361" s="62" t="s">
        <v>165</v>
      </c>
      <c r="D361" s="62">
        <v>0.0</v>
      </c>
      <c r="E361" s="62">
        <v>4.0</v>
      </c>
      <c r="F361" s="62">
        <v>4.0</v>
      </c>
      <c r="G361" s="62">
        <v>5.0</v>
      </c>
      <c r="H361" s="62">
        <v>5.0</v>
      </c>
      <c r="I361" s="62">
        <v>0.0</v>
      </c>
      <c r="J361" s="62">
        <v>6.0</v>
      </c>
      <c r="K361" s="62">
        <v>0.0</v>
      </c>
      <c r="L361" s="62">
        <v>0.0</v>
      </c>
      <c r="M361" s="62">
        <v>1.0</v>
      </c>
      <c r="N361" s="62">
        <v>1.0</v>
      </c>
      <c r="O361" s="62">
        <v>1.0</v>
      </c>
      <c r="P361" s="62">
        <v>1.0</v>
      </c>
      <c r="Q361" s="62">
        <v>0.0</v>
      </c>
      <c r="R361" s="62">
        <v>0.0</v>
      </c>
      <c r="S361" s="62">
        <v>12658.0</v>
      </c>
      <c r="T361" s="62">
        <v>1.21166666666666</v>
      </c>
      <c r="U361" s="62">
        <v>1.21166666666666</v>
      </c>
      <c r="V361" s="62">
        <v>1.58861111111111</v>
      </c>
      <c r="W361" s="62">
        <v>1.58861111111111</v>
      </c>
      <c r="X361" s="62">
        <v>0.0</v>
      </c>
      <c r="Y361" s="62">
        <v>1.90166666666666</v>
      </c>
      <c r="Z361" s="62">
        <v>0.0</v>
      </c>
      <c r="AA361" s="62">
        <v>0.0</v>
      </c>
      <c r="AB361" s="62">
        <v>0.313055555555555</v>
      </c>
      <c r="AC361" s="62">
        <v>0.313055555555555</v>
      </c>
      <c r="AD361" s="62">
        <v>0.225277777777777</v>
      </c>
      <c r="AE361" s="62">
        <v>0.313055555555555</v>
      </c>
      <c r="AF361" s="62">
        <v>4.0</v>
      </c>
    </row>
    <row r="362">
      <c r="A362" s="68">
        <v>46140.0</v>
      </c>
      <c r="B362" s="62" t="s">
        <v>100</v>
      </c>
      <c r="C362" s="62" t="s">
        <v>167</v>
      </c>
      <c r="D362" s="62">
        <v>0.0</v>
      </c>
      <c r="E362" s="62">
        <v>7.0</v>
      </c>
      <c r="F362" s="62">
        <v>1.0</v>
      </c>
      <c r="G362" s="62">
        <v>5.0</v>
      </c>
      <c r="H362" s="62">
        <v>7.0</v>
      </c>
      <c r="I362" s="62">
        <v>2.0</v>
      </c>
      <c r="J362" s="62">
        <v>6.0</v>
      </c>
      <c r="K362" s="62">
        <v>1.0</v>
      </c>
      <c r="L362" s="62">
        <v>0.0</v>
      </c>
      <c r="M362" s="62">
        <v>0.0</v>
      </c>
      <c r="N362" s="62">
        <v>0.0</v>
      </c>
      <c r="O362" s="62">
        <v>1.0</v>
      </c>
      <c r="P362" s="62">
        <v>0.0</v>
      </c>
      <c r="Q362" s="62">
        <v>0.0</v>
      </c>
      <c r="R362" s="62">
        <v>0.0</v>
      </c>
      <c r="S362" s="62">
        <v>17308.0</v>
      </c>
      <c r="T362" s="62">
        <v>0.688055555555555</v>
      </c>
      <c r="U362" s="62">
        <v>0.224166666666666</v>
      </c>
      <c r="V362" s="62">
        <v>1.19444444444444</v>
      </c>
      <c r="W362" s="62">
        <v>1.6075</v>
      </c>
      <c r="X362" s="62">
        <v>0.413055555555555</v>
      </c>
      <c r="Y362" s="62">
        <v>1.43055555555555</v>
      </c>
      <c r="Z362" s="62">
        <v>0.236111111111111</v>
      </c>
      <c r="AA362" s="62">
        <v>0.0</v>
      </c>
      <c r="AB362" s="62">
        <v>0.0</v>
      </c>
      <c r="AC362" s="62">
        <v>0.0</v>
      </c>
      <c r="AD362" s="62">
        <v>0.260555555555555</v>
      </c>
      <c r="AE362" s="62">
        <v>0.0</v>
      </c>
      <c r="AF362" s="62">
        <v>3.0</v>
      </c>
    </row>
    <row r="363">
      <c r="A363" s="68">
        <v>46140.0</v>
      </c>
      <c r="B363" s="62" t="s">
        <v>32</v>
      </c>
      <c r="C363" s="62" t="s">
        <v>168</v>
      </c>
      <c r="D363" s="62">
        <v>0.0</v>
      </c>
      <c r="E363" s="62">
        <v>0.0</v>
      </c>
      <c r="F363" s="62">
        <v>3.0</v>
      </c>
      <c r="G363" s="62">
        <v>0.0</v>
      </c>
      <c r="H363" s="62">
        <v>3.0</v>
      </c>
      <c r="I363" s="62">
        <v>1.0</v>
      </c>
      <c r="J363" s="62">
        <v>2.0</v>
      </c>
      <c r="K363" s="62">
        <v>0.0</v>
      </c>
      <c r="L363" s="62">
        <v>0.0</v>
      </c>
      <c r="M363" s="62">
        <v>0.0</v>
      </c>
      <c r="N363" s="62">
        <v>0.0</v>
      </c>
      <c r="O363" s="62">
        <v>1.0</v>
      </c>
      <c r="P363" s="62">
        <v>0.0</v>
      </c>
      <c r="Q363" s="62">
        <v>0.0</v>
      </c>
      <c r="R363" s="62">
        <v>0.0</v>
      </c>
      <c r="S363" s="62">
        <v>0.0</v>
      </c>
      <c r="T363" s="62">
        <v>1.32222222222222</v>
      </c>
      <c r="U363" s="62">
        <v>0.6725</v>
      </c>
      <c r="V363" s="62">
        <v>0.0</v>
      </c>
      <c r="W363" s="62">
        <v>0.668055555555555</v>
      </c>
      <c r="X363" s="62">
        <v>0.220833333333333</v>
      </c>
      <c r="Y363" s="62">
        <v>0.447222222222222</v>
      </c>
      <c r="Z363" s="62">
        <v>0.0</v>
      </c>
      <c r="AA363" s="62">
        <v>0.0</v>
      </c>
      <c r="AB363" s="62">
        <v>0.0</v>
      </c>
      <c r="AC363" s="62">
        <v>0.0</v>
      </c>
      <c r="AD363" s="62">
        <v>0.210555555555555</v>
      </c>
      <c r="AE363" s="62">
        <v>0.0</v>
      </c>
      <c r="AF363" s="62">
        <v>6.0</v>
      </c>
    </row>
    <row r="364">
      <c r="A364" s="68">
        <v>46140.0</v>
      </c>
      <c r="B364" s="62" t="s">
        <v>110</v>
      </c>
      <c r="C364" s="62" t="s">
        <v>169</v>
      </c>
      <c r="D364" s="62">
        <v>3.0</v>
      </c>
      <c r="E364" s="62">
        <v>0.0</v>
      </c>
      <c r="F364" s="62">
        <v>0.0</v>
      </c>
      <c r="G364" s="62">
        <v>0.0</v>
      </c>
      <c r="H364" s="62">
        <v>0.0</v>
      </c>
      <c r="I364" s="62">
        <v>0.0</v>
      </c>
      <c r="J364" s="62">
        <v>0.0</v>
      </c>
      <c r="K364" s="62">
        <v>0.0</v>
      </c>
      <c r="L364" s="62">
        <v>0.0</v>
      </c>
      <c r="M364" s="62">
        <v>0.0</v>
      </c>
      <c r="N364" s="62">
        <v>0.0</v>
      </c>
      <c r="O364" s="62">
        <v>0.0</v>
      </c>
      <c r="P364" s="62">
        <v>0.0</v>
      </c>
      <c r="Q364" s="62">
        <v>0.0</v>
      </c>
      <c r="R364" s="62">
        <v>6800.0</v>
      </c>
      <c r="S364" s="62">
        <v>0.0</v>
      </c>
      <c r="T364" s="62">
        <v>0.0</v>
      </c>
      <c r="U364" s="62">
        <v>0.0</v>
      </c>
      <c r="V364" s="62">
        <v>0.0</v>
      </c>
      <c r="W364" s="62">
        <v>0.0</v>
      </c>
      <c r="X364" s="62">
        <v>0.0</v>
      </c>
      <c r="Y364" s="62">
        <v>0.0</v>
      </c>
      <c r="Z364" s="62">
        <v>0.0</v>
      </c>
      <c r="AA364" s="62">
        <v>0.0</v>
      </c>
      <c r="AB364" s="62">
        <v>0.0</v>
      </c>
      <c r="AC364" s="62">
        <v>0.0</v>
      </c>
      <c r="AD364" s="62">
        <v>0.0</v>
      </c>
      <c r="AE364" s="62">
        <v>0.0</v>
      </c>
      <c r="AF364" s="62">
        <v>0.0</v>
      </c>
    </row>
    <row r="365">
      <c r="A365" s="68">
        <v>46140.0</v>
      </c>
      <c r="B365" s="62" t="s">
        <v>102</v>
      </c>
      <c r="C365" s="62" t="s">
        <v>170</v>
      </c>
      <c r="D365" s="62">
        <v>3.0</v>
      </c>
      <c r="E365" s="62">
        <v>0.0</v>
      </c>
      <c r="F365" s="62">
        <v>0.0</v>
      </c>
      <c r="G365" s="62">
        <v>0.0</v>
      </c>
      <c r="H365" s="62">
        <v>0.0</v>
      </c>
      <c r="I365" s="62">
        <v>0.0</v>
      </c>
      <c r="J365" s="62">
        <v>0.0</v>
      </c>
      <c r="K365" s="62">
        <v>0.0</v>
      </c>
      <c r="L365" s="62">
        <v>0.0</v>
      </c>
      <c r="M365" s="62">
        <v>0.0</v>
      </c>
      <c r="N365" s="62">
        <v>0.0</v>
      </c>
      <c r="O365" s="62">
        <v>1.0</v>
      </c>
      <c r="P365" s="62">
        <v>0.0</v>
      </c>
      <c r="Q365" s="62">
        <v>0.0</v>
      </c>
      <c r="R365" s="62">
        <v>7531.0</v>
      </c>
      <c r="S365" s="62">
        <v>0.0</v>
      </c>
      <c r="T365" s="62">
        <v>0.0</v>
      </c>
      <c r="U365" s="62">
        <v>0.0</v>
      </c>
      <c r="V365" s="62">
        <v>0.0</v>
      </c>
      <c r="W365" s="62">
        <v>0.0</v>
      </c>
      <c r="X365" s="62">
        <v>0.0</v>
      </c>
      <c r="Y365" s="62">
        <v>0.0</v>
      </c>
      <c r="Z365" s="62">
        <v>0.0</v>
      </c>
      <c r="AA365" s="62">
        <v>0.0</v>
      </c>
      <c r="AB365" s="62">
        <v>0.0</v>
      </c>
      <c r="AC365" s="62">
        <v>0.0</v>
      </c>
      <c r="AD365" s="62">
        <v>0.265833333333333</v>
      </c>
      <c r="AE365" s="62">
        <v>0.0</v>
      </c>
      <c r="AF365" s="62">
        <v>0.0</v>
      </c>
    </row>
    <row r="366">
      <c r="A366" s="68">
        <v>46140.0</v>
      </c>
      <c r="B366" s="62" t="s">
        <v>93</v>
      </c>
      <c r="C366" s="62" t="s">
        <v>182</v>
      </c>
      <c r="D366" s="62">
        <v>6.0</v>
      </c>
      <c r="E366" s="62">
        <v>2.0</v>
      </c>
      <c r="F366" s="62">
        <v>0.0</v>
      </c>
      <c r="G366" s="62">
        <v>3.0</v>
      </c>
      <c r="H366" s="62">
        <v>1.0</v>
      </c>
      <c r="I366" s="62">
        <v>0.0</v>
      </c>
      <c r="J366" s="62">
        <v>0.0</v>
      </c>
      <c r="K366" s="62">
        <v>0.0</v>
      </c>
      <c r="L366" s="62">
        <v>0.0</v>
      </c>
      <c r="M366" s="62">
        <v>0.0</v>
      </c>
      <c r="N366" s="62">
        <v>0.0</v>
      </c>
      <c r="O366" s="62">
        <v>1.0</v>
      </c>
      <c r="P366" s="62">
        <v>0.0</v>
      </c>
      <c r="Q366" s="62">
        <v>0.0</v>
      </c>
      <c r="R366" s="62">
        <v>13322.0</v>
      </c>
      <c r="S366" s="62">
        <v>4377.0</v>
      </c>
      <c r="T366" s="62">
        <v>0.0</v>
      </c>
      <c r="U366" s="62">
        <v>0.0</v>
      </c>
      <c r="V366" s="62">
        <v>0.772777777777777</v>
      </c>
      <c r="W366" s="62">
        <v>0.253888888888888</v>
      </c>
      <c r="X366" s="62">
        <v>0.0</v>
      </c>
      <c r="Y366" s="62">
        <v>0.0</v>
      </c>
      <c r="Z366" s="62">
        <v>0.0</v>
      </c>
      <c r="AA366" s="62">
        <v>0.0</v>
      </c>
      <c r="AB366" s="62">
        <v>0.0</v>
      </c>
      <c r="AC366" s="62">
        <v>0.0</v>
      </c>
      <c r="AD366" s="62">
        <v>0.252777777777777</v>
      </c>
      <c r="AE366" s="62">
        <v>0.0</v>
      </c>
      <c r="AF366" s="62">
        <v>0.0</v>
      </c>
    </row>
    <row r="367">
      <c r="A367" s="68">
        <v>46140.0</v>
      </c>
      <c r="B367" s="62" t="s">
        <v>41</v>
      </c>
      <c r="C367" s="62" t="s">
        <v>172</v>
      </c>
      <c r="D367" s="62">
        <v>0.0</v>
      </c>
      <c r="E367" s="62">
        <v>1.0</v>
      </c>
      <c r="F367" s="62">
        <v>0.0</v>
      </c>
      <c r="G367" s="62">
        <v>0.0</v>
      </c>
      <c r="H367" s="62">
        <v>2.0</v>
      </c>
      <c r="I367" s="62">
        <v>2.0</v>
      </c>
      <c r="J367" s="62">
        <v>2.0</v>
      </c>
      <c r="K367" s="62">
        <v>3.0</v>
      </c>
      <c r="L367" s="62">
        <v>0.0</v>
      </c>
      <c r="M367" s="62">
        <v>2.0</v>
      </c>
      <c r="N367" s="62">
        <v>0.0</v>
      </c>
      <c r="O367" s="62">
        <v>1.0</v>
      </c>
      <c r="P367" s="62">
        <v>0.0</v>
      </c>
      <c r="Q367" s="62">
        <v>0.0</v>
      </c>
      <c r="R367" s="62">
        <v>0.0</v>
      </c>
      <c r="S367" s="62">
        <v>2423.0</v>
      </c>
      <c r="T367" s="62">
        <v>0.943888888888889</v>
      </c>
      <c r="U367" s="62">
        <v>0.0</v>
      </c>
      <c r="V367" s="62">
        <v>0.0</v>
      </c>
      <c r="W367" s="62">
        <v>0.479444444444444</v>
      </c>
      <c r="X367" s="62">
        <v>0.479444444444444</v>
      </c>
      <c r="Y367" s="62">
        <v>0.476666666666666</v>
      </c>
      <c r="Z367" s="62">
        <v>0.683611111111111</v>
      </c>
      <c r="AA367" s="62">
        <v>0.0</v>
      </c>
      <c r="AB367" s="62">
        <v>0.458888888888888</v>
      </c>
      <c r="AC367" s="62">
        <v>0.0</v>
      </c>
      <c r="AD367" s="62">
        <v>0.218055555555555</v>
      </c>
      <c r="AE367" s="62">
        <v>0.0</v>
      </c>
      <c r="AF367" s="62">
        <v>4.0</v>
      </c>
    </row>
    <row r="368">
      <c r="A368" s="68">
        <v>46140.0</v>
      </c>
      <c r="B368" s="62" t="s">
        <v>65</v>
      </c>
      <c r="C368" s="62" t="s">
        <v>173</v>
      </c>
      <c r="D368" s="62">
        <v>2.0</v>
      </c>
      <c r="E368" s="62">
        <v>3.0</v>
      </c>
      <c r="F368" s="62">
        <v>0.0</v>
      </c>
      <c r="G368" s="62">
        <v>0.0</v>
      </c>
      <c r="H368" s="62">
        <v>2.0</v>
      </c>
      <c r="I368" s="62">
        <v>2.0</v>
      </c>
      <c r="J368" s="62">
        <v>0.0</v>
      </c>
      <c r="K368" s="62">
        <v>2.0</v>
      </c>
      <c r="L368" s="62">
        <v>0.0</v>
      </c>
      <c r="M368" s="62">
        <v>3.0</v>
      </c>
      <c r="N368" s="62">
        <v>3.0</v>
      </c>
      <c r="O368" s="62">
        <v>1.0</v>
      </c>
      <c r="P368" s="62">
        <v>3.0</v>
      </c>
      <c r="Q368" s="62">
        <v>0.0</v>
      </c>
      <c r="R368" s="62">
        <v>4097.0</v>
      </c>
      <c r="S368" s="62">
        <v>6404.0</v>
      </c>
      <c r="T368" s="62">
        <v>0.488055555555555</v>
      </c>
      <c r="U368" s="62">
        <v>0.0</v>
      </c>
      <c r="V368" s="62">
        <v>0.0</v>
      </c>
      <c r="W368" s="62">
        <v>0.488055555555555</v>
      </c>
      <c r="X368" s="62">
        <v>0.488055555555555</v>
      </c>
      <c r="Y368" s="62">
        <v>0.0</v>
      </c>
      <c r="Z368" s="62">
        <v>0.420555555555555</v>
      </c>
      <c r="AA368" s="62">
        <v>0.0</v>
      </c>
      <c r="AB368" s="62">
        <v>0.766944444444444</v>
      </c>
      <c r="AC368" s="62">
        <v>0.766944444444444</v>
      </c>
      <c r="AD368" s="62">
        <v>0.205555555555555</v>
      </c>
      <c r="AE368" s="62">
        <v>0.766944444444444</v>
      </c>
      <c r="AF368" s="62">
        <v>2.0</v>
      </c>
    </row>
    <row r="369">
      <c r="A369" s="68">
        <v>46140.0</v>
      </c>
      <c r="B369" s="62" t="s">
        <v>37</v>
      </c>
      <c r="C369" s="62" t="s">
        <v>174</v>
      </c>
      <c r="D369" s="62">
        <v>4.0</v>
      </c>
      <c r="E369" s="62">
        <v>4.0</v>
      </c>
      <c r="F369" s="62">
        <v>0.0</v>
      </c>
      <c r="G369" s="62">
        <v>0.0</v>
      </c>
      <c r="H369" s="62">
        <v>0.0</v>
      </c>
      <c r="I369" s="62">
        <v>0.0</v>
      </c>
      <c r="J369" s="62">
        <v>0.0</v>
      </c>
      <c r="K369" s="62">
        <v>0.0</v>
      </c>
      <c r="L369" s="62">
        <v>0.0</v>
      </c>
      <c r="M369" s="62">
        <v>3.0</v>
      </c>
      <c r="N369" s="62">
        <v>0.0</v>
      </c>
      <c r="O369" s="62">
        <v>1.0</v>
      </c>
      <c r="P369" s="62">
        <v>0.0</v>
      </c>
      <c r="Q369" s="62">
        <v>0.0</v>
      </c>
      <c r="R369" s="62">
        <v>9726.0</v>
      </c>
      <c r="S369" s="62">
        <v>9135.0</v>
      </c>
      <c r="T369" s="62">
        <v>0.0</v>
      </c>
      <c r="U369" s="62">
        <v>0.0</v>
      </c>
      <c r="V369" s="62">
        <v>0.0</v>
      </c>
      <c r="W369" s="62">
        <v>0.0</v>
      </c>
      <c r="X369" s="62">
        <v>0.0</v>
      </c>
      <c r="Y369" s="62">
        <v>0.0</v>
      </c>
      <c r="Z369" s="62">
        <v>0.0</v>
      </c>
      <c r="AA369" s="62">
        <v>0.0</v>
      </c>
      <c r="AB369" s="62">
        <v>0.727222222222222</v>
      </c>
      <c r="AC369" s="62">
        <v>0.0</v>
      </c>
      <c r="AD369" s="62">
        <v>0.280277777777777</v>
      </c>
      <c r="AE369" s="62">
        <v>0.0</v>
      </c>
      <c r="AF369" s="62">
        <v>0.0</v>
      </c>
    </row>
    <row r="370">
      <c r="A370" s="68">
        <v>46140.0</v>
      </c>
      <c r="B370" s="62" t="s">
        <v>108</v>
      </c>
      <c r="C370" s="62" t="s">
        <v>175</v>
      </c>
      <c r="D370" s="62">
        <v>3.0</v>
      </c>
      <c r="E370" s="62">
        <v>3.0</v>
      </c>
      <c r="F370" s="62">
        <v>1.0</v>
      </c>
      <c r="G370" s="62">
        <v>0.0</v>
      </c>
      <c r="H370" s="62">
        <v>0.0</v>
      </c>
      <c r="I370" s="62">
        <v>0.0</v>
      </c>
      <c r="J370" s="62">
        <v>0.0</v>
      </c>
      <c r="K370" s="62">
        <v>0.0</v>
      </c>
      <c r="L370" s="62">
        <v>0.0</v>
      </c>
      <c r="M370" s="62">
        <v>0.0</v>
      </c>
      <c r="N370" s="62">
        <v>0.0</v>
      </c>
      <c r="O370" s="62">
        <v>0.0</v>
      </c>
      <c r="P370" s="62">
        <v>0.0</v>
      </c>
      <c r="Q370" s="62">
        <v>0.0</v>
      </c>
      <c r="R370" s="62">
        <v>6709.0</v>
      </c>
      <c r="S370" s="62">
        <v>6709.0</v>
      </c>
      <c r="T370" s="62">
        <v>0.660277777777777</v>
      </c>
      <c r="U370" s="62">
        <v>0.232222222222222</v>
      </c>
      <c r="V370" s="62">
        <v>0.0</v>
      </c>
      <c r="W370" s="62">
        <v>0.0</v>
      </c>
      <c r="X370" s="62">
        <v>0.0</v>
      </c>
      <c r="Y370" s="62">
        <v>0.0</v>
      </c>
      <c r="Z370" s="62">
        <v>0.0</v>
      </c>
      <c r="AA370" s="62">
        <v>0.0</v>
      </c>
      <c r="AB370" s="62">
        <v>0.0</v>
      </c>
      <c r="AC370" s="62">
        <v>0.0</v>
      </c>
      <c r="AD370" s="62">
        <v>0.0</v>
      </c>
      <c r="AE370" s="62">
        <v>0.0</v>
      </c>
      <c r="AF370" s="62">
        <v>3.0</v>
      </c>
    </row>
    <row r="371">
      <c r="A371" s="68">
        <v>46140.0</v>
      </c>
      <c r="B371" s="62" t="s">
        <v>56</v>
      </c>
      <c r="C371" s="62" t="s">
        <v>176</v>
      </c>
      <c r="D371" s="62">
        <v>0.0</v>
      </c>
      <c r="E371" s="62">
        <v>6.0</v>
      </c>
      <c r="F371" s="62">
        <v>9.0</v>
      </c>
      <c r="G371" s="62">
        <v>0.0</v>
      </c>
      <c r="H371" s="62">
        <v>2.0</v>
      </c>
      <c r="I371" s="62">
        <v>0.0</v>
      </c>
      <c r="J371" s="62">
        <v>3.0</v>
      </c>
      <c r="K371" s="62">
        <v>4.0</v>
      </c>
      <c r="L371" s="62">
        <v>4.0</v>
      </c>
      <c r="M371" s="62">
        <v>6.0</v>
      </c>
      <c r="N371" s="62">
        <v>1.0</v>
      </c>
      <c r="O371" s="62">
        <v>1.0</v>
      </c>
      <c r="P371" s="62">
        <v>1.0</v>
      </c>
      <c r="Q371" s="62">
        <v>0.0</v>
      </c>
      <c r="R371" s="62">
        <v>0.0</v>
      </c>
      <c r="S371" s="62">
        <v>14388.0</v>
      </c>
      <c r="T371" s="62">
        <v>0.77</v>
      </c>
      <c r="U371" s="62">
        <v>2.30416666666666</v>
      </c>
      <c r="V371" s="62">
        <v>0.0</v>
      </c>
      <c r="W371" s="62">
        <v>0.445833333333333</v>
      </c>
      <c r="X371" s="62">
        <v>0.0</v>
      </c>
      <c r="Y371" s="62">
        <v>0.676388888888888</v>
      </c>
      <c r="Z371" s="62">
        <v>0.884444444444444</v>
      </c>
      <c r="AA371" s="62">
        <v>0.894444444444444</v>
      </c>
      <c r="AB371" s="62">
        <v>1.32666666666666</v>
      </c>
      <c r="AC371" s="62">
        <v>0.219722222222222</v>
      </c>
      <c r="AD371" s="62">
        <v>0.225833333333333</v>
      </c>
      <c r="AE371" s="62">
        <v>0.219722222222222</v>
      </c>
      <c r="AF371" s="62">
        <v>3.0</v>
      </c>
    </row>
    <row r="372">
      <c r="A372" s="68">
        <v>46140.0</v>
      </c>
      <c r="B372" s="62" t="s">
        <v>26</v>
      </c>
      <c r="C372" s="62" t="s">
        <v>178</v>
      </c>
      <c r="D372" s="62">
        <v>0.0</v>
      </c>
      <c r="E372" s="62">
        <v>12.0</v>
      </c>
      <c r="F372" s="62">
        <v>4.0</v>
      </c>
      <c r="G372" s="62">
        <v>2.0</v>
      </c>
      <c r="H372" s="62">
        <v>4.0</v>
      </c>
      <c r="I372" s="62">
        <v>2.0</v>
      </c>
      <c r="J372" s="62">
        <v>8.0</v>
      </c>
      <c r="K372" s="62">
        <v>5.0</v>
      </c>
      <c r="L372" s="62">
        <v>0.0</v>
      </c>
      <c r="M372" s="62">
        <v>6.0</v>
      </c>
      <c r="N372" s="62">
        <v>0.0</v>
      </c>
      <c r="O372" s="62">
        <v>1.0</v>
      </c>
      <c r="P372" s="62">
        <v>0.0</v>
      </c>
      <c r="Q372" s="62">
        <v>0.0</v>
      </c>
      <c r="R372" s="62">
        <v>0.0</v>
      </c>
      <c r="S372" s="62">
        <v>27374.0</v>
      </c>
      <c r="T372" s="62">
        <v>1.16083333333333</v>
      </c>
      <c r="U372" s="62">
        <v>0.783611111111111</v>
      </c>
      <c r="V372" s="62">
        <v>0.37</v>
      </c>
      <c r="W372" s="62">
        <v>0.747222222222222</v>
      </c>
      <c r="X372" s="62">
        <v>0.377222222222222</v>
      </c>
      <c r="Y372" s="62">
        <v>1.42277777777777</v>
      </c>
      <c r="Z372" s="62">
        <v>0.856388888888888</v>
      </c>
      <c r="AA372" s="62">
        <v>0.0</v>
      </c>
      <c r="AB372" s="62">
        <v>1.11555555555555</v>
      </c>
      <c r="AC372" s="62">
        <v>0.0</v>
      </c>
      <c r="AD372" s="62">
        <v>0.183888888888888</v>
      </c>
      <c r="AE372" s="62">
        <v>0.0</v>
      </c>
      <c r="AF372" s="62">
        <v>6.0</v>
      </c>
    </row>
    <row r="373">
      <c r="A373" s="68">
        <v>46140.0</v>
      </c>
      <c r="B373" s="62" t="s">
        <v>62</v>
      </c>
      <c r="C373" s="62" t="s">
        <v>63</v>
      </c>
      <c r="D373" s="62">
        <v>4.0</v>
      </c>
      <c r="E373" s="62">
        <v>4.0</v>
      </c>
      <c r="F373" s="62">
        <v>0.0</v>
      </c>
      <c r="G373" s="62">
        <v>0.0</v>
      </c>
      <c r="H373" s="62">
        <v>3.0</v>
      </c>
      <c r="I373" s="62">
        <v>3.0</v>
      </c>
      <c r="J373" s="62">
        <v>1.0</v>
      </c>
      <c r="K373" s="62">
        <v>0.0</v>
      </c>
      <c r="L373" s="62">
        <v>0.0</v>
      </c>
      <c r="M373" s="62">
        <v>5.0</v>
      </c>
      <c r="N373" s="62">
        <v>0.0</v>
      </c>
      <c r="O373" s="62">
        <v>1.0</v>
      </c>
      <c r="P373" s="62">
        <v>0.0</v>
      </c>
      <c r="Q373" s="62">
        <v>0.0</v>
      </c>
      <c r="R373" s="62">
        <v>10124.0</v>
      </c>
      <c r="S373" s="62">
        <v>8283.0</v>
      </c>
      <c r="T373" s="62">
        <v>0.0</v>
      </c>
      <c r="U373" s="62">
        <v>0.0</v>
      </c>
      <c r="V373" s="62">
        <v>0.0</v>
      </c>
      <c r="W373" s="62">
        <v>0.681944444444444</v>
      </c>
      <c r="X373" s="62">
        <v>0.681944444444444</v>
      </c>
      <c r="Y373" s="62">
        <v>0.215</v>
      </c>
      <c r="Z373" s="62">
        <v>0.0</v>
      </c>
      <c r="AA373" s="62">
        <v>0.0</v>
      </c>
      <c r="AB373" s="62">
        <v>1.11833333333333</v>
      </c>
      <c r="AC373" s="62">
        <v>0.0</v>
      </c>
      <c r="AD373" s="62">
        <v>0.244166666666666</v>
      </c>
      <c r="AE373" s="62">
        <v>0.0</v>
      </c>
      <c r="AF373" s="62">
        <v>0.0</v>
      </c>
    </row>
    <row r="374">
      <c r="A374" s="68">
        <v>46140.0</v>
      </c>
      <c r="B374" s="62" t="s">
        <v>89</v>
      </c>
      <c r="C374" s="62" t="s">
        <v>180</v>
      </c>
      <c r="D374" s="62">
        <v>24.0</v>
      </c>
      <c r="E374" s="62">
        <v>1.0</v>
      </c>
      <c r="F374" s="62">
        <v>0.0</v>
      </c>
      <c r="G374" s="62">
        <v>0.0</v>
      </c>
      <c r="H374" s="62">
        <v>0.0</v>
      </c>
      <c r="I374" s="62">
        <v>0.0</v>
      </c>
      <c r="J374" s="62">
        <v>0.0</v>
      </c>
      <c r="K374" s="62">
        <v>0.0</v>
      </c>
      <c r="L374" s="62">
        <v>0.0</v>
      </c>
      <c r="M374" s="62">
        <v>1.0</v>
      </c>
      <c r="N374" s="62">
        <v>0.0</v>
      </c>
      <c r="O374" s="62">
        <v>1.0</v>
      </c>
      <c r="P374" s="62">
        <v>0.0</v>
      </c>
      <c r="Q374" s="62">
        <v>0.0</v>
      </c>
      <c r="R374" s="62">
        <v>43490.0</v>
      </c>
      <c r="S374" s="62">
        <v>1461.0</v>
      </c>
      <c r="T374" s="62">
        <v>0.269722222222222</v>
      </c>
      <c r="U374" s="62">
        <v>0.0</v>
      </c>
      <c r="V374" s="62">
        <v>0.0</v>
      </c>
      <c r="W374" s="62">
        <v>0.0</v>
      </c>
      <c r="X374" s="62">
        <v>0.0</v>
      </c>
      <c r="Y374" s="62">
        <v>0.0</v>
      </c>
      <c r="Z374" s="62">
        <v>0.0</v>
      </c>
      <c r="AA374" s="62">
        <v>0.0</v>
      </c>
      <c r="AB374" s="62">
        <v>0.195</v>
      </c>
      <c r="AC374" s="62">
        <v>0.0</v>
      </c>
      <c r="AD374" s="62">
        <v>0.294444444444444</v>
      </c>
      <c r="AE374" s="62">
        <v>0.0</v>
      </c>
      <c r="AF374" s="62">
        <v>1.0</v>
      </c>
    </row>
    <row r="375">
      <c r="A375" s="68">
        <v>46139.0</v>
      </c>
      <c r="B375" s="62" t="s">
        <v>79</v>
      </c>
      <c r="C375" s="62" t="s">
        <v>162</v>
      </c>
      <c r="D375" s="62">
        <v>1.0</v>
      </c>
      <c r="E375" s="62">
        <v>5.0</v>
      </c>
      <c r="F375" s="62">
        <v>5.0</v>
      </c>
      <c r="G375" s="62">
        <v>0.0</v>
      </c>
      <c r="H375" s="62">
        <v>0.0</v>
      </c>
      <c r="I375" s="62">
        <v>0.0</v>
      </c>
      <c r="J375" s="62">
        <v>0.0</v>
      </c>
      <c r="K375" s="62">
        <v>0.0</v>
      </c>
      <c r="L375" s="62">
        <v>0.0</v>
      </c>
      <c r="M375" s="62">
        <v>0.0</v>
      </c>
      <c r="N375" s="62">
        <v>0.0</v>
      </c>
      <c r="O375" s="62">
        <v>1.0</v>
      </c>
      <c r="P375" s="62">
        <v>0.0</v>
      </c>
      <c r="Q375" s="62">
        <v>0.0</v>
      </c>
      <c r="R375" s="62">
        <v>2501.0</v>
      </c>
      <c r="S375" s="62">
        <v>11501.0</v>
      </c>
      <c r="T375" s="62">
        <v>1.08361111111111</v>
      </c>
      <c r="U375" s="62">
        <v>1.08361111111111</v>
      </c>
      <c r="V375" s="62">
        <v>0.0</v>
      </c>
      <c r="W375" s="62">
        <v>0.0</v>
      </c>
      <c r="X375" s="62">
        <v>0.0</v>
      </c>
      <c r="Y375" s="62">
        <v>0.0</v>
      </c>
      <c r="Z375" s="62">
        <v>0.0</v>
      </c>
      <c r="AA375" s="62">
        <v>0.0</v>
      </c>
      <c r="AB375" s="62">
        <v>0.0</v>
      </c>
      <c r="AC375" s="62">
        <v>0.0</v>
      </c>
      <c r="AD375" s="62">
        <v>0.159444444444444</v>
      </c>
      <c r="AE375" s="62">
        <v>0.0</v>
      </c>
      <c r="AF375" s="62">
        <v>5.0</v>
      </c>
    </row>
    <row r="376">
      <c r="A376" s="68">
        <v>46139.0</v>
      </c>
      <c r="B376" s="62" t="s">
        <v>96</v>
      </c>
      <c r="C376" s="62" t="s">
        <v>97</v>
      </c>
      <c r="D376" s="62">
        <v>3.0</v>
      </c>
      <c r="E376" s="62">
        <v>0.0</v>
      </c>
      <c r="F376" s="62">
        <v>0.0</v>
      </c>
      <c r="G376" s="62">
        <v>0.0</v>
      </c>
      <c r="H376" s="62">
        <v>1.0</v>
      </c>
      <c r="I376" s="62">
        <v>0.0</v>
      </c>
      <c r="J376" s="62">
        <v>1.0</v>
      </c>
      <c r="K376" s="62">
        <v>0.0</v>
      </c>
      <c r="L376" s="62">
        <v>0.0</v>
      </c>
      <c r="M376" s="62">
        <v>6.0</v>
      </c>
      <c r="N376" s="62">
        <v>8.0</v>
      </c>
      <c r="O376" s="62">
        <v>1.0</v>
      </c>
      <c r="P376" s="62">
        <v>8.0</v>
      </c>
      <c r="Q376" s="62">
        <v>0.0</v>
      </c>
      <c r="R376" s="62">
        <v>6433.0</v>
      </c>
      <c r="S376" s="62">
        <v>0.0</v>
      </c>
      <c r="T376" s="62">
        <v>0.0</v>
      </c>
      <c r="U376" s="62">
        <v>0.0</v>
      </c>
      <c r="V376" s="62">
        <v>0.0</v>
      </c>
      <c r="W376" s="62">
        <v>0.231666666666666</v>
      </c>
      <c r="X376" s="62">
        <v>0.0</v>
      </c>
      <c r="Y376" s="62">
        <v>0.231666666666666</v>
      </c>
      <c r="Z376" s="62">
        <v>0.0</v>
      </c>
      <c r="AA376" s="62">
        <v>0.0</v>
      </c>
      <c r="AB376" s="62">
        <v>1.3475</v>
      </c>
      <c r="AC376" s="62">
        <v>1.79138888888888</v>
      </c>
      <c r="AD376" s="62">
        <v>0.200555555555555</v>
      </c>
      <c r="AE376" s="62">
        <v>1.79138888888888</v>
      </c>
      <c r="AF376" s="62">
        <v>0.0</v>
      </c>
    </row>
    <row r="377">
      <c r="A377" s="68">
        <v>46139.0</v>
      </c>
      <c r="B377" s="62" t="s">
        <v>98</v>
      </c>
      <c r="C377" s="62" t="s">
        <v>183</v>
      </c>
      <c r="D377" s="62">
        <v>0.0</v>
      </c>
      <c r="E377" s="62">
        <v>0.0</v>
      </c>
      <c r="F377" s="62">
        <v>0.0</v>
      </c>
      <c r="G377" s="62">
        <v>1.0</v>
      </c>
      <c r="H377" s="62">
        <v>1.0</v>
      </c>
      <c r="I377" s="62">
        <v>0.0</v>
      </c>
      <c r="J377" s="62">
        <v>1.0</v>
      </c>
      <c r="K377" s="62">
        <v>0.0</v>
      </c>
      <c r="L377" s="62">
        <v>0.0</v>
      </c>
      <c r="M377" s="62">
        <v>2.0</v>
      </c>
      <c r="N377" s="62">
        <v>4.0</v>
      </c>
      <c r="O377" s="62">
        <v>1.0</v>
      </c>
      <c r="P377" s="62">
        <v>4.0</v>
      </c>
      <c r="Q377" s="62">
        <v>0.0</v>
      </c>
      <c r="R377" s="62">
        <v>0.0</v>
      </c>
      <c r="S377" s="62">
        <v>0.0</v>
      </c>
      <c r="T377" s="62">
        <v>0.0</v>
      </c>
      <c r="U377" s="62">
        <v>0.0</v>
      </c>
      <c r="V377" s="62">
        <v>0.224166666666666</v>
      </c>
      <c r="W377" s="62">
        <v>0.224166666666666</v>
      </c>
      <c r="X377" s="62">
        <v>0.0</v>
      </c>
      <c r="Y377" s="62">
        <v>0.224166666666666</v>
      </c>
      <c r="Z377" s="62">
        <v>0.0</v>
      </c>
      <c r="AA377" s="62">
        <v>0.0</v>
      </c>
      <c r="AB377" s="62">
        <v>0.424444444444444</v>
      </c>
      <c r="AC377" s="62">
        <v>0.842222222222222</v>
      </c>
      <c r="AD377" s="62">
        <v>0.231944444444444</v>
      </c>
      <c r="AE377" s="62">
        <v>0.842222222222222</v>
      </c>
      <c r="AF377" s="62">
        <v>0.0</v>
      </c>
    </row>
    <row r="378">
      <c r="A378" s="68">
        <v>46139.0</v>
      </c>
      <c r="B378" s="62" t="s">
        <v>71</v>
      </c>
      <c r="C378" s="62" t="s">
        <v>163</v>
      </c>
      <c r="D378" s="62">
        <v>2.0</v>
      </c>
      <c r="E378" s="62">
        <v>0.0</v>
      </c>
      <c r="F378" s="62">
        <v>0.0</v>
      </c>
      <c r="G378" s="62">
        <v>0.0</v>
      </c>
      <c r="H378" s="62">
        <v>1.0</v>
      </c>
      <c r="I378" s="62">
        <v>1.0</v>
      </c>
      <c r="J378" s="62">
        <v>0.0</v>
      </c>
      <c r="K378" s="62">
        <v>0.0</v>
      </c>
      <c r="L378" s="62">
        <v>0.0</v>
      </c>
      <c r="M378" s="62">
        <v>0.0</v>
      </c>
      <c r="N378" s="62">
        <v>5.0</v>
      </c>
      <c r="O378" s="62">
        <v>1.0</v>
      </c>
      <c r="P378" s="62">
        <v>5.0</v>
      </c>
      <c r="Q378" s="62">
        <v>0.0</v>
      </c>
      <c r="R378" s="62">
        <v>4819.0</v>
      </c>
      <c r="S378" s="62">
        <v>0.0</v>
      </c>
      <c r="T378" s="62">
        <v>0.218055555555555</v>
      </c>
      <c r="U378" s="62">
        <v>0.0</v>
      </c>
      <c r="V378" s="62">
        <v>0.0</v>
      </c>
      <c r="W378" s="62">
        <v>0.218055555555555</v>
      </c>
      <c r="X378" s="62">
        <v>0.218055555555555</v>
      </c>
      <c r="Y378" s="62">
        <v>0.0</v>
      </c>
      <c r="Z378" s="62">
        <v>0.0</v>
      </c>
      <c r="AA378" s="62">
        <v>0.0</v>
      </c>
      <c r="AB378" s="62">
        <v>0.0</v>
      </c>
      <c r="AC378" s="62">
        <v>1.145</v>
      </c>
      <c r="AD378" s="62">
        <v>0.263611111111111</v>
      </c>
      <c r="AE378" s="62">
        <v>1.145</v>
      </c>
      <c r="AF378" s="62">
        <v>1.0</v>
      </c>
    </row>
    <row r="379">
      <c r="A379" s="68">
        <v>46139.0</v>
      </c>
      <c r="B379" s="62" t="s">
        <v>76</v>
      </c>
      <c r="C379" s="62" t="s">
        <v>165</v>
      </c>
      <c r="D379" s="62">
        <v>0.0</v>
      </c>
      <c r="E379" s="62">
        <v>2.0</v>
      </c>
      <c r="F379" s="62">
        <v>3.0</v>
      </c>
      <c r="G379" s="62">
        <v>1.0</v>
      </c>
      <c r="H379" s="62">
        <v>1.0</v>
      </c>
      <c r="I379" s="62">
        <v>0.0</v>
      </c>
      <c r="J379" s="62">
        <v>0.0</v>
      </c>
      <c r="K379" s="62">
        <v>0.0</v>
      </c>
      <c r="L379" s="62">
        <v>0.0</v>
      </c>
      <c r="M379" s="62">
        <v>0.0</v>
      </c>
      <c r="N379" s="62">
        <v>0.0</v>
      </c>
      <c r="O379" s="62">
        <v>1.0</v>
      </c>
      <c r="P379" s="62">
        <v>0.0</v>
      </c>
      <c r="Q379" s="62">
        <v>0.0</v>
      </c>
      <c r="R379" s="62">
        <v>0.0</v>
      </c>
      <c r="S379" s="62">
        <v>7108.0</v>
      </c>
      <c r="T379" s="62">
        <v>0.9225</v>
      </c>
      <c r="U379" s="62">
        <v>0.9225</v>
      </c>
      <c r="V379" s="62">
        <v>0.313055555555555</v>
      </c>
      <c r="W379" s="62">
        <v>0.313055555555555</v>
      </c>
      <c r="X379" s="62">
        <v>0.0</v>
      </c>
      <c r="Y379" s="62">
        <v>0.0</v>
      </c>
      <c r="Z379" s="62">
        <v>0.0</v>
      </c>
      <c r="AA379" s="62">
        <v>0.0</v>
      </c>
      <c r="AB379" s="62">
        <v>0.0</v>
      </c>
      <c r="AC379" s="62">
        <v>0.0</v>
      </c>
      <c r="AD379" s="62">
        <v>0.232777777777777</v>
      </c>
      <c r="AE379" s="62">
        <v>0.0</v>
      </c>
      <c r="AF379" s="62">
        <v>3.0</v>
      </c>
    </row>
    <row r="380">
      <c r="A380" s="68">
        <v>46139.0</v>
      </c>
      <c r="B380" s="62" t="s">
        <v>100</v>
      </c>
      <c r="C380" s="62" t="s">
        <v>167</v>
      </c>
      <c r="D380" s="62">
        <v>0.0</v>
      </c>
      <c r="E380" s="62">
        <v>3.0</v>
      </c>
      <c r="F380" s="62">
        <v>7.0</v>
      </c>
      <c r="G380" s="62">
        <v>0.0</v>
      </c>
      <c r="H380" s="62">
        <v>2.0</v>
      </c>
      <c r="I380" s="62">
        <v>2.0</v>
      </c>
      <c r="J380" s="62">
        <v>0.0</v>
      </c>
      <c r="K380" s="62">
        <v>3.0</v>
      </c>
      <c r="L380" s="62">
        <v>2.0</v>
      </c>
      <c r="M380" s="62">
        <v>3.0</v>
      </c>
      <c r="N380" s="62">
        <v>6.0</v>
      </c>
      <c r="O380" s="62">
        <v>1.0</v>
      </c>
      <c r="P380" s="62">
        <v>6.0</v>
      </c>
      <c r="Q380" s="62">
        <v>0.0</v>
      </c>
      <c r="R380" s="62">
        <v>0.0</v>
      </c>
      <c r="S380" s="62">
        <v>7589.0</v>
      </c>
      <c r="T380" s="62">
        <v>0.637222222222222</v>
      </c>
      <c r="U380" s="62">
        <v>1.61583333333333</v>
      </c>
      <c r="V380" s="62">
        <v>0.0</v>
      </c>
      <c r="W380" s="62">
        <v>0.418888888888888</v>
      </c>
      <c r="X380" s="62">
        <v>0.418888888888888</v>
      </c>
      <c r="Y380" s="62">
        <v>0.0</v>
      </c>
      <c r="Z380" s="62">
        <v>0.706944444444444</v>
      </c>
      <c r="AA380" s="62">
        <v>0.468888888888888</v>
      </c>
      <c r="AB380" s="62">
        <v>0.706944444444444</v>
      </c>
      <c r="AC380" s="62">
        <v>1.41916666666666</v>
      </c>
      <c r="AD380" s="62">
        <v>0.209166666666666</v>
      </c>
      <c r="AE380" s="62">
        <v>1.41916666666666</v>
      </c>
      <c r="AF380" s="62">
        <v>3.0</v>
      </c>
    </row>
    <row r="381">
      <c r="A381" s="68">
        <v>46139.0</v>
      </c>
      <c r="B381" s="62" t="s">
        <v>32</v>
      </c>
      <c r="C381" s="62" t="s">
        <v>168</v>
      </c>
      <c r="D381" s="62">
        <v>1.0</v>
      </c>
      <c r="E381" s="62">
        <v>5.0</v>
      </c>
      <c r="F381" s="62">
        <v>1.0</v>
      </c>
      <c r="G381" s="62">
        <v>0.0</v>
      </c>
      <c r="H381" s="62">
        <v>4.0</v>
      </c>
      <c r="I381" s="62">
        <v>2.0</v>
      </c>
      <c r="J381" s="62">
        <v>4.0</v>
      </c>
      <c r="K381" s="62">
        <v>0.0</v>
      </c>
      <c r="L381" s="62">
        <v>0.0</v>
      </c>
      <c r="M381" s="62">
        <v>7.0</v>
      </c>
      <c r="N381" s="62">
        <v>7.0</v>
      </c>
      <c r="O381" s="62">
        <v>1.0</v>
      </c>
      <c r="P381" s="62">
        <v>7.0</v>
      </c>
      <c r="Q381" s="62">
        <v>0.0</v>
      </c>
      <c r="R381" s="62">
        <v>2314.0</v>
      </c>
      <c r="S381" s="62">
        <v>11959.0</v>
      </c>
      <c r="T381" s="62">
        <v>0.641666666666666</v>
      </c>
      <c r="U381" s="62">
        <v>0.217222222222222</v>
      </c>
      <c r="V381" s="62">
        <v>0.0</v>
      </c>
      <c r="W381" s="62">
        <v>0.871388888888888</v>
      </c>
      <c r="X381" s="62">
        <v>0.424444444444444</v>
      </c>
      <c r="Y381" s="62">
        <v>0.871666666666666</v>
      </c>
      <c r="Z381" s="62">
        <v>0.0</v>
      </c>
      <c r="AA381" s="62">
        <v>0.0</v>
      </c>
      <c r="AB381" s="62">
        <v>1.53138888888888</v>
      </c>
      <c r="AC381" s="62">
        <v>1.53138888888888</v>
      </c>
      <c r="AD381" s="62">
        <v>0.203055555555555</v>
      </c>
      <c r="AE381" s="62">
        <v>1.53138888888888</v>
      </c>
      <c r="AF381" s="62">
        <v>3.0</v>
      </c>
    </row>
    <row r="382">
      <c r="A382" s="68">
        <v>46139.0</v>
      </c>
      <c r="B382" s="62" t="s">
        <v>102</v>
      </c>
      <c r="C382" s="62" t="s">
        <v>170</v>
      </c>
      <c r="D382" s="62">
        <v>1.0</v>
      </c>
      <c r="E382" s="62">
        <v>4.0</v>
      </c>
      <c r="F382" s="62">
        <v>0.0</v>
      </c>
      <c r="G382" s="62">
        <v>0.0</v>
      </c>
      <c r="H382" s="62">
        <v>0.0</v>
      </c>
      <c r="I382" s="62">
        <v>0.0</v>
      </c>
      <c r="J382" s="62">
        <v>0.0</v>
      </c>
      <c r="K382" s="62">
        <v>0.0</v>
      </c>
      <c r="L382" s="62">
        <v>0.0</v>
      </c>
      <c r="M382" s="62">
        <v>0.0</v>
      </c>
      <c r="N382" s="62">
        <v>4.0</v>
      </c>
      <c r="O382" s="62">
        <v>1.0</v>
      </c>
      <c r="P382" s="62">
        <v>4.0</v>
      </c>
      <c r="Q382" s="62">
        <v>0.0</v>
      </c>
      <c r="R382" s="62">
        <v>2368.0</v>
      </c>
      <c r="S382" s="62">
        <v>9807.0</v>
      </c>
      <c r="T382" s="62">
        <v>1.06444444444444</v>
      </c>
      <c r="U382" s="62">
        <v>0.0</v>
      </c>
      <c r="V382" s="62">
        <v>0.0</v>
      </c>
      <c r="W382" s="62">
        <v>0.0</v>
      </c>
      <c r="X382" s="62">
        <v>0.0</v>
      </c>
      <c r="Y382" s="62">
        <v>0.0</v>
      </c>
      <c r="Z382" s="62">
        <v>0.0</v>
      </c>
      <c r="AA382" s="62">
        <v>0.0</v>
      </c>
      <c r="AB382" s="62">
        <v>0.0</v>
      </c>
      <c r="AC382" s="62">
        <v>1.06444444444444</v>
      </c>
      <c r="AD382" s="62">
        <v>0.241666666666666</v>
      </c>
      <c r="AE382" s="62">
        <v>1.06444444444444</v>
      </c>
      <c r="AF382" s="62">
        <v>4.0</v>
      </c>
    </row>
    <row r="383">
      <c r="A383" s="68">
        <v>46139.0</v>
      </c>
      <c r="B383" s="62" t="s">
        <v>93</v>
      </c>
      <c r="C383" s="62" t="s">
        <v>182</v>
      </c>
      <c r="D383" s="62">
        <v>2.0</v>
      </c>
      <c r="E383" s="62">
        <v>0.0</v>
      </c>
      <c r="F383" s="62">
        <v>3.0</v>
      </c>
      <c r="G383" s="62">
        <v>0.0</v>
      </c>
      <c r="H383" s="62">
        <v>2.0</v>
      </c>
      <c r="I383" s="62">
        <v>2.0</v>
      </c>
      <c r="J383" s="62">
        <v>0.0</v>
      </c>
      <c r="K383" s="62">
        <v>0.0</v>
      </c>
      <c r="L383" s="62">
        <v>0.0</v>
      </c>
      <c r="M383" s="62">
        <v>0.0</v>
      </c>
      <c r="N383" s="62">
        <v>0.0</v>
      </c>
      <c r="O383" s="62">
        <v>1.0</v>
      </c>
      <c r="P383" s="62">
        <v>0.0</v>
      </c>
      <c r="Q383" s="62">
        <v>0.0</v>
      </c>
      <c r="R383" s="62">
        <v>4502.0</v>
      </c>
      <c r="S383" s="62">
        <v>0.0</v>
      </c>
      <c r="T383" s="62">
        <v>0.826666666666666</v>
      </c>
      <c r="U383" s="62">
        <v>0.826666666666666</v>
      </c>
      <c r="V383" s="62">
        <v>0.0</v>
      </c>
      <c r="W383" s="62">
        <v>0.5525</v>
      </c>
      <c r="X383" s="62">
        <v>0.5525</v>
      </c>
      <c r="Y383" s="62">
        <v>0.0</v>
      </c>
      <c r="Z383" s="62">
        <v>0.0</v>
      </c>
      <c r="AA383" s="62">
        <v>0.0</v>
      </c>
      <c r="AB383" s="62">
        <v>0.0</v>
      </c>
      <c r="AC383" s="62">
        <v>0.0</v>
      </c>
      <c r="AD383" s="62">
        <v>0.232777777777777</v>
      </c>
      <c r="AE383" s="62">
        <v>0.0</v>
      </c>
      <c r="AF383" s="62">
        <v>3.0</v>
      </c>
    </row>
    <row r="384">
      <c r="A384" s="68">
        <v>46139.0</v>
      </c>
      <c r="B384" s="62" t="s">
        <v>41</v>
      </c>
      <c r="C384" s="62" t="s">
        <v>172</v>
      </c>
      <c r="D384" s="62">
        <v>0.0</v>
      </c>
      <c r="E384" s="62">
        <v>12.0</v>
      </c>
      <c r="F384" s="62">
        <v>0.0</v>
      </c>
      <c r="G384" s="62">
        <v>0.0</v>
      </c>
      <c r="H384" s="62">
        <v>4.0</v>
      </c>
      <c r="I384" s="62">
        <v>4.0</v>
      </c>
      <c r="J384" s="62">
        <v>4.0</v>
      </c>
      <c r="K384" s="62">
        <v>0.0</v>
      </c>
      <c r="L384" s="62">
        <v>0.0</v>
      </c>
      <c r="M384" s="62">
        <v>0.0</v>
      </c>
      <c r="N384" s="62">
        <v>0.0</v>
      </c>
      <c r="O384" s="62">
        <v>1.0</v>
      </c>
      <c r="P384" s="62">
        <v>0.0</v>
      </c>
      <c r="Q384" s="62">
        <v>0.0</v>
      </c>
      <c r="R384" s="62">
        <v>0.0</v>
      </c>
      <c r="S384" s="62">
        <v>29464.0</v>
      </c>
      <c r="T384" s="62">
        <v>0.910833333333333</v>
      </c>
      <c r="U384" s="62">
        <v>0.0</v>
      </c>
      <c r="V384" s="62">
        <v>0.0</v>
      </c>
      <c r="W384" s="62">
        <v>0.910833333333333</v>
      </c>
      <c r="X384" s="62">
        <v>0.910833333333333</v>
      </c>
      <c r="Y384" s="62">
        <v>0.909166666666666</v>
      </c>
      <c r="Z384" s="62">
        <v>0.0</v>
      </c>
      <c r="AA384" s="62">
        <v>0.0</v>
      </c>
      <c r="AB384" s="62">
        <v>0.0</v>
      </c>
      <c r="AC384" s="62">
        <v>0.0</v>
      </c>
      <c r="AD384" s="62">
        <v>0.222777777777777</v>
      </c>
      <c r="AE384" s="62">
        <v>0.0</v>
      </c>
      <c r="AF384" s="62">
        <v>4.0</v>
      </c>
    </row>
    <row r="385">
      <c r="A385" s="68">
        <v>46139.0</v>
      </c>
      <c r="B385" s="62" t="s">
        <v>65</v>
      </c>
      <c r="C385" s="62" t="s">
        <v>173</v>
      </c>
      <c r="D385" s="62">
        <v>0.0</v>
      </c>
      <c r="E385" s="62">
        <v>2.0</v>
      </c>
      <c r="F385" s="62">
        <v>0.0</v>
      </c>
      <c r="G385" s="62">
        <v>0.0</v>
      </c>
      <c r="H385" s="62">
        <v>2.0</v>
      </c>
      <c r="I385" s="62">
        <v>2.0</v>
      </c>
      <c r="J385" s="62">
        <v>2.0</v>
      </c>
      <c r="K385" s="62">
        <v>0.0</v>
      </c>
      <c r="L385" s="62">
        <v>6.0</v>
      </c>
      <c r="M385" s="62">
        <v>0.0</v>
      </c>
      <c r="N385" s="62">
        <v>5.0</v>
      </c>
      <c r="O385" s="62">
        <v>1.0</v>
      </c>
      <c r="P385" s="62">
        <v>5.0</v>
      </c>
      <c r="Q385" s="62">
        <v>0.0</v>
      </c>
      <c r="R385" s="62">
        <v>0.0</v>
      </c>
      <c r="S385" s="62">
        <v>4685.0</v>
      </c>
      <c r="T385" s="62">
        <v>0.0</v>
      </c>
      <c r="U385" s="62">
        <v>0.0</v>
      </c>
      <c r="V385" s="62">
        <v>0.0</v>
      </c>
      <c r="W385" s="62">
        <v>0.419722222222222</v>
      </c>
      <c r="X385" s="62">
        <v>0.419722222222222</v>
      </c>
      <c r="Y385" s="62">
        <v>0.420555555555555</v>
      </c>
      <c r="Z385" s="62">
        <v>0.0</v>
      </c>
      <c r="AA385" s="62">
        <v>1.54916666666666</v>
      </c>
      <c r="AB385" s="62">
        <v>0.0</v>
      </c>
      <c r="AC385" s="62">
        <v>1.10138888888888</v>
      </c>
      <c r="AD385" s="62">
        <v>0.223055555555555</v>
      </c>
      <c r="AE385" s="62">
        <v>1.10138888888888</v>
      </c>
      <c r="AF385" s="62">
        <v>0.0</v>
      </c>
    </row>
    <row r="386">
      <c r="A386" s="68">
        <v>46139.0</v>
      </c>
      <c r="B386" s="62" t="s">
        <v>37</v>
      </c>
      <c r="C386" s="62" t="s">
        <v>174</v>
      </c>
      <c r="D386" s="62">
        <v>2.0</v>
      </c>
      <c r="E386" s="62">
        <v>0.0</v>
      </c>
      <c r="F386" s="62">
        <v>4.0</v>
      </c>
      <c r="G386" s="62">
        <v>0.0</v>
      </c>
      <c r="H386" s="62">
        <v>0.0</v>
      </c>
      <c r="I386" s="62">
        <v>0.0</v>
      </c>
      <c r="J386" s="62">
        <v>1.0</v>
      </c>
      <c r="K386" s="62">
        <v>3.0</v>
      </c>
      <c r="L386" s="62">
        <v>3.0</v>
      </c>
      <c r="M386" s="62">
        <v>1.0</v>
      </c>
      <c r="N386" s="62">
        <v>0.0</v>
      </c>
      <c r="O386" s="62">
        <v>1.0</v>
      </c>
      <c r="P386" s="62">
        <v>0.0</v>
      </c>
      <c r="Q386" s="62">
        <v>0.0</v>
      </c>
      <c r="R386" s="62">
        <v>4438.0</v>
      </c>
      <c r="S386" s="62">
        <v>0.0</v>
      </c>
      <c r="T386" s="62">
        <v>0.0</v>
      </c>
      <c r="U386" s="62">
        <v>1.01416666666666</v>
      </c>
      <c r="V386" s="62">
        <v>0.0</v>
      </c>
      <c r="W386" s="62">
        <v>0.0</v>
      </c>
      <c r="X386" s="62">
        <v>0.0</v>
      </c>
      <c r="Y386" s="62">
        <v>0.227777777777777</v>
      </c>
      <c r="Z386" s="62">
        <v>0.727222222222222</v>
      </c>
      <c r="AA386" s="62">
        <v>0.727222222222222</v>
      </c>
      <c r="AB386" s="62">
        <v>0.227777777777777</v>
      </c>
      <c r="AC386" s="62">
        <v>0.0</v>
      </c>
      <c r="AD386" s="62">
        <v>0.296666666666666</v>
      </c>
      <c r="AE386" s="62">
        <v>0.0</v>
      </c>
      <c r="AF386" s="62">
        <v>0.0</v>
      </c>
    </row>
    <row r="387">
      <c r="A387" s="68">
        <v>46139.0</v>
      </c>
      <c r="B387" s="62" t="s">
        <v>108</v>
      </c>
      <c r="C387" s="62" t="s">
        <v>175</v>
      </c>
      <c r="D387" s="62">
        <v>1.0</v>
      </c>
      <c r="E387" s="62">
        <v>1.0</v>
      </c>
      <c r="F387" s="62">
        <v>0.0</v>
      </c>
      <c r="G387" s="62">
        <v>0.0</v>
      </c>
      <c r="H387" s="62">
        <v>0.0</v>
      </c>
      <c r="I387" s="62">
        <v>0.0</v>
      </c>
      <c r="J387" s="62">
        <v>0.0</v>
      </c>
      <c r="K387" s="62">
        <v>0.0</v>
      </c>
      <c r="L387" s="62">
        <v>0.0</v>
      </c>
      <c r="M387" s="62">
        <v>0.0</v>
      </c>
      <c r="N387" s="62">
        <v>0.0</v>
      </c>
      <c r="O387" s="62">
        <v>0.0</v>
      </c>
      <c r="P387" s="62">
        <v>0.0</v>
      </c>
      <c r="Q387" s="62">
        <v>0.0</v>
      </c>
      <c r="R387" s="62">
        <v>1889.0</v>
      </c>
      <c r="S387" s="62">
        <v>1889.0</v>
      </c>
      <c r="T387" s="62">
        <v>0.0</v>
      </c>
      <c r="U387" s="62">
        <v>0.0</v>
      </c>
      <c r="V387" s="62">
        <v>0.0</v>
      </c>
      <c r="W387" s="62">
        <v>0.0</v>
      </c>
      <c r="X387" s="62">
        <v>0.0</v>
      </c>
      <c r="Y387" s="62">
        <v>0.0</v>
      </c>
      <c r="Z387" s="62">
        <v>0.0</v>
      </c>
      <c r="AA387" s="62">
        <v>0.0</v>
      </c>
      <c r="AB387" s="62">
        <v>0.0</v>
      </c>
      <c r="AC387" s="62">
        <v>0.0</v>
      </c>
      <c r="AD387" s="62">
        <v>0.0</v>
      </c>
      <c r="AE387" s="62">
        <v>0.0</v>
      </c>
      <c r="AF387" s="62">
        <v>0.0</v>
      </c>
    </row>
    <row r="388">
      <c r="A388" s="68">
        <v>46139.0</v>
      </c>
      <c r="B388" s="62" t="s">
        <v>56</v>
      </c>
      <c r="C388" s="62" t="s">
        <v>176</v>
      </c>
      <c r="D388" s="62">
        <v>0.0</v>
      </c>
      <c r="E388" s="62">
        <v>0.0</v>
      </c>
      <c r="F388" s="62">
        <v>1.0</v>
      </c>
      <c r="G388" s="62">
        <v>0.0</v>
      </c>
      <c r="H388" s="62">
        <v>3.0</v>
      </c>
      <c r="I388" s="62">
        <v>0.0</v>
      </c>
      <c r="J388" s="62">
        <v>4.0</v>
      </c>
      <c r="K388" s="62">
        <v>3.0</v>
      </c>
      <c r="L388" s="62">
        <v>0.0</v>
      </c>
      <c r="M388" s="62">
        <v>1.0</v>
      </c>
      <c r="N388" s="62">
        <v>7.0</v>
      </c>
      <c r="O388" s="62">
        <v>1.0</v>
      </c>
      <c r="P388" s="62">
        <v>7.0</v>
      </c>
      <c r="Q388" s="62">
        <v>0.0</v>
      </c>
      <c r="R388" s="62">
        <v>0.0</v>
      </c>
      <c r="S388" s="62">
        <v>0.0</v>
      </c>
      <c r="T388" s="62">
        <v>2.30416666666666</v>
      </c>
      <c r="U388" s="62">
        <v>0.235277777777777</v>
      </c>
      <c r="V388" s="62">
        <v>0.0</v>
      </c>
      <c r="W388" s="62">
        <v>0.686111111111111</v>
      </c>
      <c r="X388" s="62">
        <v>0.0</v>
      </c>
      <c r="Y388" s="62">
        <v>0.894722222222222</v>
      </c>
      <c r="Z388" s="62">
        <v>0.686111111111111</v>
      </c>
      <c r="AA388" s="62">
        <v>0.0</v>
      </c>
      <c r="AB388" s="62">
        <v>0.216388888888888</v>
      </c>
      <c r="AC388" s="62">
        <v>1.55999999999999</v>
      </c>
      <c r="AD388" s="62">
        <v>0.247777777777777</v>
      </c>
      <c r="AE388" s="62">
        <v>1.56</v>
      </c>
      <c r="AF388" s="62">
        <v>9.0</v>
      </c>
    </row>
    <row r="389">
      <c r="A389" s="68">
        <v>46139.0</v>
      </c>
      <c r="B389" s="62" t="s">
        <v>91</v>
      </c>
      <c r="C389" s="62" t="s">
        <v>184</v>
      </c>
      <c r="D389" s="62">
        <v>0.0</v>
      </c>
      <c r="E389" s="62">
        <v>0.0</v>
      </c>
      <c r="F389" s="62">
        <v>0.0</v>
      </c>
      <c r="G389" s="62">
        <v>0.0</v>
      </c>
      <c r="H389" s="62">
        <v>0.0</v>
      </c>
      <c r="I389" s="62">
        <v>0.0</v>
      </c>
      <c r="J389" s="62">
        <v>0.0</v>
      </c>
      <c r="K389" s="62">
        <v>0.0</v>
      </c>
      <c r="L389" s="62">
        <v>0.0</v>
      </c>
      <c r="M389" s="62">
        <v>1.0</v>
      </c>
      <c r="N389" s="62">
        <v>2.0</v>
      </c>
      <c r="O389" s="62">
        <v>1.0</v>
      </c>
      <c r="P389" s="62">
        <v>2.0</v>
      </c>
      <c r="Q389" s="62">
        <v>0.0</v>
      </c>
      <c r="R389" s="62">
        <v>0.0</v>
      </c>
      <c r="S389" s="62">
        <v>0.0</v>
      </c>
      <c r="T389" s="62">
        <v>0.0</v>
      </c>
      <c r="U389" s="62">
        <v>0.0</v>
      </c>
      <c r="V389" s="62">
        <v>0.0</v>
      </c>
      <c r="W389" s="62">
        <v>0.0</v>
      </c>
      <c r="X389" s="62">
        <v>0.0</v>
      </c>
      <c r="Y389" s="62">
        <v>0.0</v>
      </c>
      <c r="Z389" s="62">
        <v>0.0</v>
      </c>
      <c r="AA389" s="62">
        <v>0.0</v>
      </c>
      <c r="AB389" s="62">
        <v>0.239722222222222</v>
      </c>
      <c r="AC389" s="62">
        <v>0.452222222222222</v>
      </c>
      <c r="AD389" s="62">
        <v>0.198888888888888</v>
      </c>
      <c r="AE389" s="62">
        <v>0.452222222222222</v>
      </c>
      <c r="AF389" s="62">
        <v>0.0</v>
      </c>
    </row>
    <row r="390">
      <c r="A390" s="68">
        <v>46139.0</v>
      </c>
      <c r="B390" s="62" t="s">
        <v>26</v>
      </c>
      <c r="C390" s="62" t="s">
        <v>178</v>
      </c>
      <c r="D390" s="62">
        <v>4.0</v>
      </c>
      <c r="E390" s="62">
        <v>12.0</v>
      </c>
      <c r="F390" s="62">
        <v>8.0</v>
      </c>
      <c r="G390" s="62">
        <v>2.0</v>
      </c>
      <c r="H390" s="62">
        <v>9.0</v>
      </c>
      <c r="I390" s="62">
        <v>7.0</v>
      </c>
      <c r="J390" s="62">
        <v>2.0</v>
      </c>
      <c r="K390" s="62">
        <v>3.0</v>
      </c>
      <c r="L390" s="62">
        <v>2.0</v>
      </c>
      <c r="M390" s="62">
        <v>3.0</v>
      </c>
      <c r="N390" s="62">
        <v>0.0</v>
      </c>
      <c r="O390" s="62">
        <v>1.0</v>
      </c>
      <c r="P390" s="62">
        <v>0.0</v>
      </c>
      <c r="Q390" s="62">
        <v>0.0</v>
      </c>
      <c r="R390" s="62">
        <v>9745.0</v>
      </c>
      <c r="S390" s="62">
        <v>26621.0</v>
      </c>
      <c r="T390" s="62">
        <v>2.63972222222222</v>
      </c>
      <c r="U390" s="62">
        <v>1.38694444444444</v>
      </c>
      <c r="V390" s="62">
        <v>0.333888888888888</v>
      </c>
      <c r="W390" s="62">
        <v>1.58666666666666</v>
      </c>
      <c r="X390" s="62">
        <v>1.25277777777777</v>
      </c>
      <c r="Y390" s="62">
        <v>0.385833333333333</v>
      </c>
      <c r="Z390" s="62">
        <v>0.5525</v>
      </c>
      <c r="AA390" s="62">
        <v>0.379444444444444</v>
      </c>
      <c r="AB390" s="62">
        <v>0.545555555555555</v>
      </c>
      <c r="AC390" s="62">
        <v>0.0</v>
      </c>
      <c r="AD390" s="62">
        <v>0.189722222222222</v>
      </c>
      <c r="AE390" s="62">
        <v>0.0</v>
      </c>
      <c r="AF390" s="62">
        <v>15.0</v>
      </c>
    </row>
    <row r="391">
      <c r="A391" s="68">
        <v>46139.0</v>
      </c>
      <c r="B391" s="62" t="s">
        <v>62</v>
      </c>
      <c r="C391" s="62" t="s">
        <v>63</v>
      </c>
      <c r="D391" s="62">
        <v>0.0</v>
      </c>
      <c r="E391" s="62">
        <v>3.0</v>
      </c>
      <c r="F391" s="62">
        <v>0.0</v>
      </c>
      <c r="G391" s="62">
        <v>0.0</v>
      </c>
      <c r="H391" s="62">
        <v>3.0</v>
      </c>
      <c r="I391" s="62">
        <v>3.0</v>
      </c>
      <c r="J391" s="62">
        <v>2.0</v>
      </c>
      <c r="K391" s="62">
        <v>0.0</v>
      </c>
      <c r="L391" s="62">
        <v>0.0</v>
      </c>
      <c r="M391" s="62">
        <v>0.0</v>
      </c>
      <c r="N391" s="62">
        <v>0.0</v>
      </c>
      <c r="O391" s="62">
        <v>1.0</v>
      </c>
      <c r="P391" s="62">
        <v>0.0</v>
      </c>
      <c r="Q391" s="62">
        <v>0.0</v>
      </c>
      <c r="R391" s="62">
        <v>0.0</v>
      </c>
      <c r="S391" s="62">
        <v>6825.0</v>
      </c>
      <c r="T391" s="62">
        <v>0.681944444444444</v>
      </c>
      <c r="U391" s="62">
        <v>0.0</v>
      </c>
      <c r="V391" s="62">
        <v>0.0</v>
      </c>
      <c r="W391" s="62">
        <v>0.638611111111111</v>
      </c>
      <c r="X391" s="62">
        <v>0.638611111111111</v>
      </c>
      <c r="Y391" s="62">
        <v>0.439444444444444</v>
      </c>
      <c r="Z391" s="62">
        <v>0.0</v>
      </c>
      <c r="AA391" s="62">
        <v>0.0</v>
      </c>
      <c r="AB391" s="62">
        <v>0.0</v>
      </c>
      <c r="AC391" s="62">
        <v>0.0</v>
      </c>
      <c r="AD391" s="62">
        <v>0.226944444444444</v>
      </c>
      <c r="AE391" s="62">
        <v>0.0</v>
      </c>
      <c r="AF391" s="62">
        <v>3.0</v>
      </c>
    </row>
    <row r="392">
      <c r="A392" s="68">
        <v>46139.0</v>
      </c>
      <c r="B392" s="62" t="s">
        <v>89</v>
      </c>
      <c r="C392" s="62" t="s">
        <v>180</v>
      </c>
      <c r="D392" s="62">
        <v>3.0</v>
      </c>
      <c r="E392" s="62">
        <v>2.0</v>
      </c>
      <c r="F392" s="62">
        <v>0.0</v>
      </c>
      <c r="G392" s="62">
        <v>0.0</v>
      </c>
      <c r="H392" s="62">
        <v>0.0</v>
      </c>
      <c r="I392" s="62">
        <v>0.0</v>
      </c>
      <c r="J392" s="62">
        <v>0.0</v>
      </c>
      <c r="K392" s="62">
        <v>0.0</v>
      </c>
      <c r="L392" s="62">
        <v>0.0</v>
      </c>
      <c r="M392" s="62">
        <v>0.0</v>
      </c>
      <c r="N392" s="62">
        <v>3.0</v>
      </c>
      <c r="O392" s="62">
        <v>1.0</v>
      </c>
      <c r="P392" s="62">
        <v>3.0</v>
      </c>
      <c r="Q392" s="62">
        <v>0.0</v>
      </c>
      <c r="R392" s="62">
        <v>5722.0</v>
      </c>
      <c r="S392" s="62">
        <v>4261.0</v>
      </c>
      <c r="T392" s="62">
        <v>0.374444444444444</v>
      </c>
      <c r="U392" s="62">
        <v>0.0</v>
      </c>
      <c r="V392" s="62">
        <v>0.0</v>
      </c>
      <c r="W392" s="62">
        <v>0.0</v>
      </c>
      <c r="X392" s="62">
        <v>0.0</v>
      </c>
      <c r="Y392" s="62">
        <v>0.0</v>
      </c>
      <c r="Z392" s="62">
        <v>0.0</v>
      </c>
      <c r="AA392" s="62">
        <v>0.0</v>
      </c>
      <c r="AB392" s="62">
        <v>0.0</v>
      </c>
      <c r="AC392" s="62">
        <v>0.858333333333333</v>
      </c>
      <c r="AD392" s="62">
        <v>0.374444444444444</v>
      </c>
      <c r="AE392" s="62">
        <v>0.858333333333333</v>
      </c>
      <c r="AF392" s="62">
        <v>1.0</v>
      </c>
    </row>
    <row r="393">
      <c r="A393" s="68">
        <v>46138.0</v>
      </c>
      <c r="B393" s="62" t="s">
        <v>79</v>
      </c>
      <c r="C393" s="62" t="s">
        <v>162</v>
      </c>
      <c r="D393" s="62">
        <v>6.0</v>
      </c>
      <c r="E393" s="62">
        <v>0.0</v>
      </c>
      <c r="F393" s="62">
        <v>0.0</v>
      </c>
      <c r="G393" s="62">
        <v>0.0</v>
      </c>
      <c r="H393" s="62">
        <v>0.0</v>
      </c>
      <c r="I393" s="62">
        <v>0.0</v>
      </c>
      <c r="J393" s="62">
        <v>0.0</v>
      </c>
      <c r="K393" s="62">
        <v>0.0</v>
      </c>
      <c r="L393" s="62">
        <v>0.0</v>
      </c>
      <c r="M393" s="62">
        <v>0.0</v>
      </c>
      <c r="N393" s="62">
        <v>0.0</v>
      </c>
      <c r="O393" s="62">
        <v>1.0</v>
      </c>
      <c r="P393" s="62">
        <v>0.0</v>
      </c>
      <c r="Q393" s="62">
        <v>0.0</v>
      </c>
      <c r="R393" s="62">
        <v>14428.0</v>
      </c>
      <c r="S393" s="62">
        <v>0.0</v>
      </c>
      <c r="T393" s="62">
        <v>0.0</v>
      </c>
      <c r="U393" s="62">
        <v>0.0</v>
      </c>
      <c r="V393" s="62">
        <v>0.0</v>
      </c>
      <c r="W393" s="62">
        <v>0.0</v>
      </c>
      <c r="X393" s="62">
        <v>0.0</v>
      </c>
      <c r="Y393" s="62">
        <v>0.0</v>
      </c>
      <c r="Z393" s="62">
        <v>0.0</v>
      </c>
      <c r="AA393" s="62">
        <v>0.0</v>
      </c>
      <c r="AB393" s="62">
        <v>0.0</v>
      </c>
      <c r="AC393" s="62">
        <v>0.0</v>
      </c>
      <c r="AD393" s="62">
        <v>0.192222222222222</v>
      </c>
      <c r="AE393" s="62">
        <v>0.0</v>
      </c>
      <c r="AF393" s="62">
        <v>0.0</v>
      </c>
    </row>
    <row r="394">
      <c r="A394" s="68">
        <v>46138.0</v>
      </c>
      <c r="B394" s="62" t="s">
        <v>96</v>
      </c>
      <c r="C394" s="62" t="s">
        <v>97</v>
      </c>
      <c r="D394" s="62">
        <v>0.0</v>
      </c>
      <c r="E394" s="62">
        <v>0.0</v>
      </c>
      <c r="F394" s="62">
        <v>0.0</v>
      </c>
      <c r="G394" s="62">
        <v>0.0</v>
      </c>
      <c r="H394" s="62">
        <v>1.0</v>
      </c>
      <c r="I394" s="62">
        <v>0.0</v>
      </c>
      <c r="J394" s="62">
        <v>1.0</v>
      </c>
      <c r="K394" s="62">
        <v>0.0</v>
      </c>
      <c r="L394" s="62">
        <v>0.0</v>
      </c>
      <c r="M394" s="62">
        <v>4.0</v>
      </c>
      <c r="N394" s="62">
        <v>2.0</v>
      </c>
      <c r="O394" s="62">
        <v>1.0</v>
      </c>
      <c r="P394" s="62">
        <v>2.0</v>
      </c>
      <c r="Q394" s="62">
        <v>0.0</v>
      </c>
      <c r="R394" s="62">
        <v>0.0</v>
      </c>
      <c r="S394" s="62">
        <v>0.0</v>
      </c>
      <c r="T394" s="62">
        <v>0.0</v>
      </c>
      <c r="U394" s="62">
        <v>0.0</v>
      </c>
      <c r="V394" s="62">
        <v>0.0</v>
      </c>
      <c r="W394" s="62">
        <v>0.219444444444444</v>
      </c>
      <c r="X394" s="62">
        <v>0.0</v>
      </c>
      <c r="Y394" s="62">
        <v>0.219444444444444</v>
      </c>
      <c r="Z394" s="62">
        <v>0.0</v>
      </c>
      <c r="AA394" s="62">
        <v>0.0</v>
      </c>
      <c r="AB394" s="62">
        <v>0.881666666666666</v>
      </c>
      <c r="AC394" s="62">
        <v>0.437777777777777</v>
      </c>
      <c r="AD394" s="62">
        <v>0.244444444444444</v>
      </c>
      <c r="AE394" s="62">
        <v>0.437777777777777</v>
      </c>
      <c r="AF394" s="62">
        <v>0.0</v>
      </c>
    </row>
    <row r="395">
      <c r="A395" s="68">
        <v>46138.0</v>
      </c>
      <c r="B395" s="62" t="s">
        <v>76</v>
      </c>
      <c r="C395" s="62" t="s">
        <v>165</v>
      </c>
      <c r="D395" s="62">
        <v>0.0</v>
      </c>
      <c r="E395" s="62">
        <v>0.0</v>
      </c>
      <c r="F395" s="62">
        <v>1.0</v>
      </c>
      <c r="G395" s="62">
        <v>0.0</v>
      </c>
      <c r="H395" s="62">
        <v>0.0</v>
      </c>
      <c r="I395" s="62">
        <v>0.0</v>
      </c>
      <c r="J395" s="62">
        <v>0.0</v>
      </c>
      <c r="K395" s="62">
        <v>0.0</v>
      </c>
      <c r="L395" s="62">
        <v>0.0</v>
      </c>
      <c r="M395" s="62">
        <v>0.0</v>
      </c>
      <c r="N395" s="62">
        <v>9.0</v>
      </c>
      <c r="O395" s="62">
        <v>1.0</v>
      </c>
      <c r="P395" s="62">
        <v>9.0</v>
      </c>
      <c r="Q395" s="62">
        <v>0.0</v>
      </c>
      <c r="R395" s="62">
        <v>0.0</v>
      </c>
      <c r="S395" s="62">
        <v>0.0</v>
      </c>
      <c r="T395" s="62">
        <v>0.0</v>
      </c>
      <c r="U395" s="62">
        <v>0.321944444444444</v>
      </c>
      <c r="V395" s="62">
        <v>0.0</v>
      </c>
      <c r="W395" s="62">
        <v>0.0</v>
      </c>
      <c r="X395" s="62">
        <v>0.0</v>
      </c>
      <c r="Y395" s="62">
        <v>0.0</v>
      </c>
      <c r="Z395" s="62">
        <v>0.0</v>
      </c>
      <c r="AA395" s="62">
        <v>0.0</v>
      </c>
      <c r="AB395" s="62">
        <v>0.0</v>
      </c>
      <c r="AC395" s="62">
        <v>2.51444444444444</v>
      </c>
      <c r="AD395" s="62">
        <v>0.235</v>
      </c>
      <c r="AE395" s="62">
        <v>2.51444444444444</v>
      </c>
      <c r="AF395" s="62">
        <v>0.0</v>
      </c>
    </row>
    <row r="396">
      <c r="A396" s="68">
        <v>46138.0</v>
      </c>
      <c r="B396" s="62" t="s">
        <v>100</v>
      </c>
      <c r="C396" s="62" t="s">
        <v>167</v>
      </c>
      <c r="D396" s="62">
        <v>0.0</v>
      </c>
      <c r="E396" s="62">
        <v>0.0</v>
      </c>
      <c r="F396" s="62">
        <v>0.0</v>
      </c>
      <c r="G396" s="62">
        <v>0.0</v>
      </c>
      <c r="H396" s="62">
        <v>0.0</v>
      </c>
      <c r="I396" s="62">
        <v>0.0</v>
      </c>
      <c r="J396" s="62">
        <v>0.0</v>
      </c>
      <c r="K396" s="62">
        <v>0.0</v>
      </c>
      <c r="L396" s="62">
        <v>0.0</v>
      </c>
      <c r="M396" s="62">
        <v>0.0</v>
      </c>
      <c r="N396" s="62">
        <v>0.0</v>
      </c>
      <c r="O396" s="62">
        <v>1.0</v>
      </c>
      <c r="P396" s="62">
        <v>0.0</v>
      </c>
      <c r="Q396" s="62">
        <v>0.0</v>
      </c>
      <c r="R396" s="62">
        <v>0.0</v>
      </c>
      <c r="S396" s="62">
        <v>0.0</v>
      </c>
      <c r="T396" s="62">
        <v>0.667777777777777</v>
      </c>
      <c r="U396" s="62">
        <v>0.0</v>
      </c>
      <c r="V396" s="62">
        <v>0.0</v>
      </c>
      <c r="W396" s="62">
        <v>0.0</v>
      </c>
      <c r="X396" s="62">
        <v>0.0</v>
      </c>
      <c r="Y396" s="62">
        <v>0.0</v>
      </c>
      <c r="Z396" s="62">
        <v>0.0</v>
      </c>
      <c r="AA396" s="62">
        <v>0.0</v>
      </c>
      <c r="AB396" s="62">
        <v>0.0</v>
      </c>
      <c r="AC396" s="62">
        <v>0.0</v>
      </c>
      <c r="AD396" s="62">
        <v>0.215833333333333</v>
      </c>
      <c r="AE396" s="62">
        <v>0.0</v>
      </c>
      <c r="AF396" s="62">
        <v>3.0</v>
      </c>
    </row>
    <row r="397">
      <c r="A397" s="68">
        <v>46138.0</v>
      </c>
      <c r="B397" s="62" t="s">
        <v>110</v>
      </c>
      <c r="C397" s="62" t="s">
        <v>169</v>
      </c>
      <c r="D397" s="62">
        <v>1.0</v>
      </c>
      <c r="E397" s="62">
        <v>0.0</v>
      </c>
      <c r="F397" s="62">
        <v>0.0</v>
      </c>
      <c r="G397" s="62">
        <v>0.0</v>
      </c>
      <c r="H397" s="62">
        <v>0.0</v>
      </c>
      <c r="I397" s="62">
        <v>0.0</v>
      </c>
      <c r="J397" s="62">
        <v>0.0</v>
      </c>
      <c r="K397" s="62">
        <v>0.0</v>
      </c>
      <c r="L397" s="62">
        <v>0.0</v>
      </c>
      <c r="M397" s="62">
        <v>0.0</v>
      </c>
      <c r="N397" s="62">
        <v>0.0</v>
      </c>
      <c r="O397" s="62">
        <v>0.0</v>
      </c>
      <c r="P397" s="62">
        <v>0.0</v>
      </c>
      <c r="Q397" s="62">
        <v>0.0</v>
      </c>
      <c r="R397" s="62">
        <v>2112.0</v>
      </c>
      <c r="S397" s="62">
        <v>0.0</v>
      </c>
      <c r="T397" s="62">
        <v>0.0</v>
      </c>
      <c r="U397" s="62">
        <v>0.0</v>
      </c>
      <c r="V397" s="62">
        <v>0.0</v>
      </c>
      <c r="W397" s="62">
        <v>0.0</v>
      </c>
      <c r="X397" s="62">
        <v>0.0</v>
      </c>
      <c r="Y397" s="62">
        <v>0.0</v>
      </c>
      <c r="Z397" s="62">
        <v>0.0</v>
      </c>
      <c r="AA397" s="62">
        <v>0.0</v>
      </c>
      <c r="AB397" s="62">
        <v>0.0</v>
      </c>
      <c r="AC397" s="62">
        <v>0.0</v>
      </c>
      <c r="AD397" s="62">
        <v>0.0</v>
      </c>
      <c r="AE397" s="62">
        <v>0.0</v>
      </c>
      <c r="AF397" s="62">
        <v>0.0</v>
      </c>
    </row>
    <row r="398">
      <c r="A398" s="68">
        <v>46138.0</v>
      </c>
      <c r="B398" s="62" t="s">
        <v>41</v>
      </c>
      <c r="C398" s="62" t="s">
        <v>172</v>
      </c>
      <c r="D398" s="62">
        <v>0.0</v>
      </c>
      <c r="E398" s="62">
        <v>0.0</v>
      </c>
      <c r="F398" s="62">
        <v>0.0</v>
      </c>
      <c r="G398" s="62">
        <v>0.0</v>
      </c>
      <c r="H398" s="62">
        <v>0.0</v>
      </c>
      <c r="I398" s="62">
        <v>0.0</v>
      </c>
      <c r="J398" s="62">
        <v>0.0</v>
      </c>
      <c r="K398" s="62">
        <v>0.0</v>
      </c>
      <c r="L398" s="62">
        <v>1.0</v>
      </c>
      <c r="M398" s="62">
        <v>7.0</v>
      </c>
      <c r="N398" s="62">
        <v>8.0</v>
      </c>
      <c r="O398" s="62">
        <v>1.0</v>
      </c>
      <c r="P398" s="62">
        <v>8.0</v>
      </c>
      <c r="Q398" s="62">
        <v>0.0</v>
      </c>
      <c r="R398" s="62">
        <v>0.0</v>
      </c>
      <c r="S398" s="62">
        <v>0.0</v>
      </c>
      <c r="T398" s="62">
        <v>0.0</v>
      </c>
      <c r="U398" s="62">
        <v>0.0</v>
      </c>
      <c r="V398" s="62">
        <v>0.0</v>
      </c>
      <c r="W398" s="62">
        <v>0.0</v>
      </c>
      <c r="X398" s="62">
        <v>0.0</v>
      </c>
      <c r="Y398" s="62">
        <v>0.0</v>
      </c>
      <c r="Z398" s="62">
        <v>0.0</v>
      </c>
      <c r="AA398" s="62">
        <v>0.226388888888888</v>
      </c>
      <c r="AB398" s="62">
        <v>1.57583333333333</v>
      </c>
      <c r="AC398" s="62">
        <v>1.80277777777777</v>
      </c>
      <c r="AD398" s="62">
        <v>0.239722222222222</v>
      </c>
      <c r="AE398" s="62">
        <v>1.80277777777777</v>
      </c>
      <c r="AF398" s="62">
        <v>0.0</v>
      </c>
    </row>
    <row r="399">
      <c r="A399" s="68">
        <v>46138.0</v>
      </c>
      <c r="B399" s="62" t="s">
        <v>65</v>
      </c>
      <c r="C399" s="62" t="s">
        <v>173</v>
      </c>
      <c r="D399" s="62">
        <v>3.0</v>
      </c>
      <c r="E399" s="62">
        <v>0.0</v>
      </c>
      <c r="F399" s="62">
        <v>0.0</v>
      </c>
      <c r="G399" s="62">
        <v>0.0</v>
      </c>
      <c r="H399" s="62">
        <v>0.0</v>
      </c>
      <c r="I399" s="62">
        <v>0.0</v>
      </c>
      <c r="J399" s="62">
        <v>0.0</v>
      </c>
      <c r="K399" s="62">
        <v>0.0</v>
      </c>
      <c r="L399" s="62">
        <v>0.0</v>
      </c>
      <c r="M399" s="62">
        <v>5.0</v>
      </c>
      <c r="N399" s="62">
        <v>0.0</v>
      </c>
      <c r="O399" s="62">
        <v>1.0</v>
      </c>
      <c r="P399" s="62">
        <v>0.0</v>
      </c>
      <c r="Q399" s="62">
        <v>0.0</v>
      </c>
      <c r="R399" s="62">
        <v>6773.0</v>
      </c>
      <c r="S399" s="62">
        <v>0.0</v>
      </c>
      <c r="T399" s="62">
        <v>0.419722222222222</v>
      </c>
      <c r="U399" s="62">
        <v>0.0</v>
      </c>
      <c r="V399" s="62">
        <v>0.0</v>
      </c>
      <c r="W399" s="62">
        <v>0.0</v>
      </c>
      <c r="X399" s="62">
        <v>0.0</v>
      </c>
      <c r="Y399" s="62">
        <v>0.0</v>
      </c>
      <c r="Z399" s="62">
        <v>0.0</v>
      </c>
      <c r="AA399" s="62">
        <v>0.0</v>
      </c>
      <c r="AB399" s="62">
        <v>1.10138888888888</v>
      </c>
      <c r="AC399" s="62">
        <v>0.0</v>
      </c>
      <c r="AD399" s="62">
        <v>0.2175</v>
      </c>
      <c r="AE399" s="62">
        <v>0.0</v>
      </c>
      <c r="AF399" s="62">
        <v>2.0</v>
      </c>
    </row>
    <row r="400">
      <c r="A400" s="68">
        <v>46138.0</v>
      </c>
      <c r="B400" s="62" t="s">
        <v>56</v>
      </c>
      <c r="C400" s="62" t="s">
        <v>176</v>
      </c>
      <c r="D400" s="62">
        <v>0.0</v>
      </c>
      <c r="E400" s="62">
        <v>0.0</v>
      </c>
      <c r="F400" s="62">
        <v>0.0</v>
      </c>
      <c r="G400" s="62">
        <v>0.0</v>
      </c>
      <c r="H400" s="62">
        <v>0.0</v>
      </c>
      <c r="I400" s="62">
        <v>0.0</v>
      </c>
      <c r="J400" s="62">
        <v>0.0</v>
      </c>
      <c r="K400" s="62">
        <v>0.0</v>
      </c>
      <c r="L400" s="62">
        <v>0.0</v>
      </c>
      <c r="M400" s="62">
        <v>12.0</v>
      </c>
      <c r="N400" s="62">
        <v>9.0</v>
      </c>
      <c r="O400" s="62">
        <v>1.0</v>
      </c>
      <c r="P400" s="62">
        <v>9.0</v>
      </c>
      <c r="Q400" s="62">
        <v>0.0</v>
      </c>
      <c r="R400" s="62">
        <v>0.0</v>
      </c>
      <c r="S400" s="62">
        <v>0.0</v>
      </c>
      <c r="T400" s="62">
        <v>0.235277777777777</v>
      </c>
      <c r="U400" s="62">
        <v>0.0</v>
      </c>
      <c r="V400" s="62">
        <v>0.0</v>
      </c>
      <c r="W400" s="62">
        <v>0.0</v>
      </c>
      <c r="X400" s="62">
        <v>0.0</v>
      </c>
      <c r="Y400" s="62">
        <v>0.0</v>
      </c>
      <c r="Z400" s="62">
        <v>0.0</v>
      </c>
      <c r="AA400" s="62">
        <v>0.0</v>
      </c>
      <c r="AB400" s="62">
        <v>2.80277777777777</v>
      </c>
      <c r="AC400" s="62">
        <v>2.14305555555555</v>
      </c>
      <c r="AD400" s="62">
        <v>0.223333333333333</v>
      </c>
      <c r="AE400" s="62">
        <v>2.14305555555555</v>
      </c>
      <c r="AF400" s="62">
        <v>1.0</v>
      </c>
    </row>
    <row r="401">
      <c r="A401" s="68">
        <v>46137.0</v>
      </c>
      <c r="B401" s="62" t="s">
        <v>96</v>
      </c>
      <c r="C401" s="62" t="s">
        <v>97</v>
      </c>
      <c r="D401" s="62">
        <v>2.0</v>
      </c>
      <c r="E401" s="62">
        <v>3.0</v>
      </c>
      <c r="F401" s="62">
        <v>0.0</v>
      </c>
      <c r="G401" s="62">
        <v>0.0</v>
      </c>
      <c r="H401" s="62">
        <v>0.0</v>
      </c>
      <c r="I401" s="62">
        <v>0.0</v>
      </c>
      <c r="J401" s="62">
        <v>0.0</v>
      </c>
      <c r="K401" s="62">
        <v>0.0</v>
      </c>
      <c r="L401" s="62">
        <v>0.0</v>
      </c>
      <c r="M401" s="62">
        <v>1.0</v>
      </c>
      <c r="N401" s="62">
        <v>12.0</v>
      </c>
      <c r="O401" s="62">
        <v>1.0</v>
      </c>
      <c r="P401" s="62">
        <v>12.0</v>
      </c>
      <c r="Q401" s="62">
        <v>0.0</v>
      </c>
      <c r="R401" s="62">
        <v>4122.0</v>
      </c>
      <c r="S401" s="62">
        <v>6690.0</v>
      </c>
      <c r="T401" s="62">
        <v>0.0</v>
      </c>
      <c r="U401" s="62">
        <v>0.0</v>
      </c>
      <c r="V401" s="62">
        <v>0.0</v>
      </c>
      <c r="W401" s="62">
        <v>0.0</v>
      </c>
      <c r="X401" s="62">
        <v>0.0</v>
      </c>
      <c r="Y401" s="62">
        <v>0.0</v>
      </c>
      <c r="Z401" s="62">
        <v>0.0</v>
      </c>
      <c r="AA401" s="62">
        <v>0.0</v>
      </c>
      <c r="AB401" s="62">
        <v>0.217777777777777</v>
      </c>
      <c r="AC401" s="62">
        <v>2.55833333333333</v>
      </c>
      <c r="AD401" s="62">
        <v>0.246388888888888</v>
      </c>
      <c r="AE401" s="62">
        <v>2.55833333333333</v>
      </c>
      <c r="AF401" s="62">
        <v>0.0</v>
      </c>
    </row>
    <row r="402">
      <c r="A402" s="68">
        <v>46137.0</v>
      </c>
      <c r="B402" s="62" t="s">
        <v>76</v>
      </c>
      <c r="C402" s="62" t="s">
        <v>165</v>
      </c>
      <c r="D402" s="62">
        <v>0.0</v>
      </c>
      <c r="E402" s="62">
        <v>6.0</v>
      </c>
      <c r="F402" s="62">
        <v>0.0</v>
      </c>
      <c r="G402" s="62">
        <v>5.0</v>
      </c>
      <c r="H402" s="62">
        <v>5.0</v>
      </c>
      <c r="I402" s="62">
        <v>0.0</v>
      </c>
      <c r="J402" s="62">
        <v>5.0</v>
      </c>
      <c r="K402" s="62">
        <v>0.0</v>
      </c>
      <c r="L402" s="62">
        <v>0.0</v>
      </c>
      <c r="M402" s="62">
        <v>0.0</v>
      </c>
      <c r="N402" s="62">
        <v>0.0</v>
      </c>
      <c r="O402" s="62">
        <v>1.0</v>
      </c>
      <c r="P402" s="62">
        <v>0.0</v>
      </c>
      <c r="Q402" s="62">
        <v>0.0</v>
      </c>
      <c r="R402" s="62">
        <v>0.0</v>
      </c>
      <c r="S402" s="62">
        <v>18911.0</v>
      </c>
      <c r="T402" s="62">
        <v>0.321944444444444</v>
      </c>
      <c r="U402" s="62">
        <v>0.0</v>
      </c>
      <c r="V402" s="62">
        <v>1.44583333333333</v>
      </c>
      <c r="W402" s="62">
        <v>1.44583333333333</v>
      </c>
      <c r="X402" s="62">
        <v>0.0</v>
      </c>
      <c r="Y402" s="62">
        <v>1.44583333333333</v>
      </c>
      <c r="Z402" s="62">
        <v>0.0</v>
      </c>
      <c r="AA402" s="62">
        <v>0.0</v>
      </c>
      <c r="AB402" s="62">
        <v>0.0</v>
      </c>
      <c r="AC402" s="62">
        <v>0.0</v>
      </c>
      <c r="AD402" s="62">
        <v>0.236666666666666</v>
      </c>
      <c r="AE402" s="62">
        <v>0.0</v>
      </c>
      <c r="AF402" s="62">
        <v>1.0</v>
      </c>
    </row>
    <row r="403">
      <c r="A403" s="68">
        <v>46137.0</v>
      </c>
      <c r="B403" s="62" t="s">
        <v>100</v>
      </c>
      <c r="C403" s="62" t="s">
        <v>167</v>
      </c>
      <c r="D403" s="62">
        <v>4.0</v>
      </c>
      <c r="E403" s="62">
        <v>0.0</v>
      </c>
      <c r="F403" s="62">
        <v>0.0</v>
      </c>
      <c r="G403" s="62">
        <v>2.0</v>
      </c>
      <c r="H403" s="62">
        <v>2.0</v>
      </c>
      <c r="I403" s="62">
        <v>0.0</v>
      </c>
      <c r="J403" s="62">
        <v>2.0</v>
      </c>
      <c r="K403" s="62">
        <v>0.0</v>
      </c>
      <c r="L403" s="62">
        <v>0.0</v>
      </c>
      <c r="M403" s="62">
        <v>0.0</v>
      </c>
      <c r="N403" s="62">
        <v>0.0</v>
      </c>
      <c r="O403" s="62">
        <v>1.0</v>
      </c>
      <c r="P403" s="62">
        <v>0.0</v>
      </c>
      <c r="Q403" s="62">
        <v>0.0</v>
      </c>
      <c r="R403" s="62">
        <v>9675.0</v>
      </c>
      <c r="S403" s="62">
        <v>0.0</v>
      </c>
      <c r="T403" s="62">
        <v>0.906944444444444</v>
      </c>
      <c r="U403" s="62">
        <v>0.0</v>
      </c>
      <c r="V403" s="62">
        <v>0.475277777777777</v>
      </c>
      <c r="W403" s="62">
        <v>0.475277777777777</v>
      </c>
      <c r="X403" s="62">
        <v>0.0</v>
      </c>
      <c r="Y403" s="62">
        <v>0.475277777777777</v>
      </c>
      <c r="Z403" s="62">
        <v>0.0</v>
      </c>
      <c r="AA403" s="62">
        <v>0.0</v>
      </c>
      <c r="AB403" s="62">
        <v>0.0</v>
      </c>
      <c r="AC403" s="62">
        <v>0.0</v>
      </c>
      <c r="AD403" s="62">
        <v>0.215</v>
      </c>
      <c r="AE403" s="62">
        <v>0.0</v>
      </c>
      <c r="AF403" s="62">
        <v>4.0</v>
      </c>
    </row>
    <row r="404">
      <c r="A404" s="68">
        <v>46137.0</v>
      </c>
      <c r="B404" s="62" t="s">
        <v>110</v>
      </c>
      <c r="C404" s="62" t="s">
        <v>169</v>
      </c>
      <c r="D404" s="62">
        <v>3.0</v>
      </c>
      <c r="E404" s="62">
        <v>0.0</v>
      </c>
      <c r="F404" s="62">
        <v>0.0</v>
      </c>
      <c r="G404" s="62">
        <v>0.0</v>
      </c>
      <c r="H404" s="62">
        <v>0.0</v>
      </c>
      <c r="I404" s="62">
        <v>0.0</v>
      </c>
      <c r="J404" s="62">
        <v>0.0</v>
      </c>
      <c r="K404" s="62">
        <v>0.0</v>
      </c>
      <c r="L404" s="62">
        <v>0.0</v>
      </c>
      <c r="M404" s="62">
        <v>0.0</v>
      </c>
      <c r="N404" s="62">
        <v>0.0</v>
      </c>
      <c r="O404" s="62">
        <v>0.0</v>
      </c>
      <c r="P404" s="62">
        <v>0.0</v>
      </c>
      <c r="Q404" s="62">
        <v>0.0</v>
      </c>
      <c r="R404" s="62">
        <v>6422.0</v>
      </c>
      <c r="S404" s="62">
        <v>0.0</v>
      </c>
      <c r="T404" s="62">
        <v>0.0</v>
      </c>
      <c r="U404" s="62">
        <v>0.0</v>
      </c>
      <c r="V404" s="62">
        <v>0.0</v>
      </c>
      <c r="W404" s="62">
        <v>0.0</v>
      </c>
      <c r="X404" s="62">
        <v>0.0</v>
      </c>
      <c r="Y404" s="62">
        <v>0.0</v>
      </c>
      <c r="Z404" s="62">
        <v>0.0</v>
      </c>
      <c r="AA404" s="62">
        <v>0.0</v>
      </c>
      <c r="AB404" s="62">
        <v>0.0</v>
      </c>
      <c r="AC404" s="62">
        <v>0.0</v>
      </c>
      <c r="AD404" s="62">
        <v>0.0</v>
      </c>
      <c r="AE404" s="62">
        <v>0.0</v>
      </c>
      <c r="AF404" s="62">
        <v>0.0</v>
      </c>
    </row>
    <row r="405">
      <c r="A405" s="68">
        <v>46137.0</v>
      </c>
      <c r="B405" s="62" t="s">
        <v>41</v>
      </c>
      <c r="C405" s="62" t="s">
        <v>172</v>
      </c>
      <c r="D405" s="62">
        <v>0.0</v>
      </c>
      <c r="E405" s="62">
        <v>0.0</v>
      </c>
      <c r="F405" s="62">
        <v>1.0</v>
      </c>
      <c r="G405" s="62">
        <v>0.0</v>
      </c>
      <c r="H405" s="62">
        <v>0.0</v>
      </c>
      <c r="I405" s="62">
        <v>0.0</v>
      </c>
      <c r="J405" s="62">
        <v>0.0</v>
      </c>
      <c r="K405" s="62">
        <v>5.0</v>
      </c>
      <c r="L405" s="62">
        <v>0.0</v>
      </c>
      <c r="M405" s="62">
        <v>1.0</v>
      </c>
      <c r="N405" s="62">
        <v>6.0</v>
      </c>
      <c r="O405" s="62">
        <v>1.0</v>
      </c>
      <c r="P405" s="62">
        <v>6.0</v>
      </c>
      <c r="Q405" s="62">
        <v>0.0</v>
      </c>
      <c r="R405" s="62">
        <v>0.0</v>
      </c>
      <c r="S405" s="62">
        <v>0.0</v>
      </c>
      <c r="T405" s="62">
        <v>0.0</v>
      </c>
      <c r="U405" s="62">
        <v>0.218888888888888</v>
      </c>
      <c r="V405" s="62">
        <v>0.0</v>
      </c>
      <c r="W405" s="62">
        <v>0.0</v>
      </c>
      <c r="X405" s="62">
        <v>0.0</v>
      </c>
      <c r="Y405" s="62">
        <v>0.0</v>
      </c>
      <c r="Z405" s="62">
        <v>1.12833333333333</v>
      </c>
      <c r="AA405" s="62">
        <v>0.0</v>
      </c>
      <c r="AB405" s="62">
        <v>0.226944444444444</v>
      </c>
      <c r="AC405" s="62">
        <v>1.34888888888888</v>
      </c>
      <c r="AD405" s="62">
        <v>0.2375</v>
      </c>
      <c r="AE405" s="62">
        <v>1.34888888888888</v>
      </c>
      <c r="AF405" s="62">
        <v>0.0</v>
      </c>
    </row>
    <row r="406">
      <c r="A406" s="68">
        <v>46137.0</v>
      </c>
      <c r="B406" s="62" t="s">
        <v>65</v>
      </c>
      <c r="C406" s="62" t="s">
        <v>173</v>
      </c>
      <c r="D406" s="62">
        <v>0.0</v>
      </c>
      <c r="E406" s="62">
        <v>0.0</v>
      </c>
      <c r="F406" s="62">
        <v>0.0</v>
      </c>
      <c r="G406" s="62">
        <v>0.0</v>
      </c>
      <c r="H406" s="62">
        <v>0.0</v>
      </c>
      <c r="I406" s="62">
        <v>0.0</v>
      </c>
      <c r="J406" s="62">
        <v>0.0</v>
      </c>
      <c r="K406" s="62">
        <v>0.0</v>
      </c>
      <c r="L406" s="62">
        <v>4.0</v>
      </c>
      <c r="M406" s="62">
        <v>0.0</v>
      </c>
      <c r="N406" s="62">
        <v>0.0</v>
      </c>
      <c r="O406" s="62">
        <v>1.0</v>
      </c>
      <c r="P406" s="62">
        <v>0.0</v>
      </c>
      <c r="Q406" s="62">
        <v>0.0</v>
      </c>
      <c r="R406" s="62">
        <v>0.0</v>
      </c>
      <c r="S406" s="62">
        <v>0.0</v>
      </c>
      <c r="T406" s="62">
        <v>0.0</v>
      </c>
      <c r="U406" s="62">
        <v>0.0</v>
      </c>
      <c r="V406" s="62">
        <v>0.0</v>
      </c>
      <c r="W406" s="62">
        <v>0.0</v>
      </c>
      <c r="X406" s="62">
        <v>0.0</v>
      </c>
      <c r="Y406" s="62">
        <v>0.0</v>
      </c>
      <c r="Z406" s="62">
        <v>0.0</v>
      </c>
      <c r="AA406" s="62">
        <v>0.867222222222222</v>
      </c>
      <c r="AB406" s="62">
        <v>0.0</v>
      </c>
      <c r="AC406" s="62">
        <v>0.0</v>
      </c>
      <c r="AD406" s="62">
        <v>0.248888888888888</v>
      </c>
      <c r="AE406" s="62">
        <v>0.0</v>
      </c>
      <c r="AF406" s="62">
        <v>0.0</v>
      </c>
    </row>
    <row r="407">
      <c r="A407" s="68">
        <v>46137.0</v>
      </c>
      <c r="B407" s="62" t="s">
        <v>37</v>
      </c>
      <c r="C407" s="62" t="s">
        <v>174</v>
      </c>
      <c r="D407" s="62">
        <v>0.0</v>
      </c>
      <c r="E407" s="62">
        <v>0.0</v>
      </c>
      <c r="F407" s="62">
        <v>0.0</v>
      </c>
      <c r="G407" s="62">
        <v>0.0</v>
      </c>
      <c r="H407" s="62">
        <v>0.0</v>
      </c>
      <c r="I407" s="62">
        <v>0.0</v>
      </c>
      <c r="J407" s="62">
        <v>0.0</v>
      </c>
      <c r="K407" s="62">
        <v>0.0</v>
      </c>
      <c r="L407" s="62">
        <v>0.0</v>
      </c>
      <c r="M407" s="62">
        <v>0.0</v>
      </c>
      <c r="N407" s="62">
        <v>0.0</v>
      </c>
      <c r="O407" s="62">
        <v>1.0</v>
      </c>
      <c r="P407" s="62">
        <v>0.0</v>
      </c>
      <c r="Q407" s="62">
        <v>0.0</v>
      </c>
      <c r="R407" s="62">
        <v>0.0</v>
      </c>
      <c r="S407" s="62">
        <v>0.0</v>
      </c>
      <c r="T407" s="62">
        <v>1.01416666666666</v>
      </c>
      <c r="U407" s="62">
        <v>0.0</v>
      </c>
      <c r="V407" s="62">
        <v>0.0</v>
      </c>
      <c r="W407" s="62">
        <v>0.0</v>
      </c>
      <c r="X407" s="62">
        <v>0.0</v>
      </c>
      <c r="Y407" s="62">
        <v>0.0</v>
      </c>
      <c r="Z407" s="62">
        <v>0.0</v>
      </c>
      <c r="AA407" s="62">
        <v>0.0</v>
      </c>
      <c r="AB407" s="62">
        <v>0.0</v>
      </c>
      <c r="AC407" s="62">
        <v>0.0</v>
      </c>
      <c r="AD407" s="62">
        <v>0.317222222222222</v>
      </c>
      <c r="AE407" s="62">
        <v>0.0</v>
      </c>
      <c r="AF407" s="62">
        <v>4.0</v>
      </c>
    </row>
    <row r="408">
      <c r="A408" s="68">
        <v>46137.0</v>
      </c>
      <c r="B408" s="62" t="s">
        <v>26</v>
      </c>
      <c r="C408" s="62" t="s">
        <v>178</v>
      </c>
      <c r="D408" s="62">
        <v>0.0</v>
      </c>
      <c r="E408" s="62">
        <v>0.0</v>
      </c>
      <c r="F408" s="62">
        <v>0.0</v>
      </c>
      <c r="G408" s="62">
        <v>1.0</v>
      </c>
      <c r="H408" s="62">
        <v>1.0</v>
      </c>
      <c r="I408" s="62">
        <v>0.0</v>
      </c>
      <c r="J408" s="62">
        <v>3.0</v>
      </c>
      <c r="K408" s="62">
        <v>0.0</v>
      </c>
      <c r="L408" s="62">
        <v>0.0</v>
      </c>
      <c r="M408" s="62">
        <v>0.0</v>
      </c>
      <c r="N408" s="62">
        <v>10.0</v>
      </c>
      <c r="O408" s="62">
        <v>1.0</v>
      </c>
      <c r="P408" s="62">
        <v>10.0</v>
      </c>
      <c r="Q408" s="62">
        <v>0.0</v>
      </c>
      <c r="R408" s="62">
        <v>0.0</v>
      </c>
      <c r="S408" s="62">
        <v>0.0</v>
      </c>
      <c r="T408" s="62">
        <v>0.0</v>
      </c>
      <c r="U408" s="62">
        <v>0.0</v>
      </c>
      <c r="V408" s="62">
        <v>0.169722222222222</v>
      </c>
      <c r="W408" s="62">
        <v>0.169722222222222</v>
      </c>
      <c r="X408" s="62">
        <v>0.0</v>
      </c>
      <c r="Y408" s="62">
        <v>0.545555555555555</v>
      </c>
      <c r="Z408" s="62">
        <v>0.0</v>
      </c>
      <c r="AA408" s="62">
        <v>0.0</v>
      </c>
      <c r="AB408" s="62">
        <v>0.0</v>
      </c>
      <c r="AC408" s="62">
        <v>1.83583333333333</v>
      </c>
      <c r="AD408" s="62">
        <v>0.175</v>
      </c>
      <c r="AE408" s="62">
        <v>1.83583333333333</v>
      </c>
      <c r="AF408" s="62">
        <v>0.0</v>
      </c>
    </row>
    <row r="409">
      <c r="A409" s="68">
        <v>46137.0</v>
      </c>
      <c r="B409" s="62" t="s">
        <v>62</v>
      </c>
      <c r="C409" s="62" t="s">
        <v>63</v>
      </c>
      <c r="D409" s="62">
        <v>3.0</v>
      </c>
      <c r="E409" s="62">
        <v>0.0</v>
      </c>
      <c r="F409" s="62">
        <v>0.0</v>
      </c>
      <c r="G409" s="62">
        <v>0.0</v>
      </c>
      <c r="H409" s="62">
        <v>0.0</v>
      </c>
      <c r="I409" s="62">
        <v>0.0</v>
      </c>
      <c r="J409" s="62">
        <v>0.0</v>
      </c>
      <c r="K409" s="62">
        <v>0.0</v>
      </c>
      <c r="L409" s="62">
        <v>0.0</v>
      </c>
      <c r="M409" s="62">
        <v>0.0</v>
      </c>
      <c r="N409" s="62">
        <v>0.0</v>
      </c>
      <c r="O409" s="62">
        <v>1.0</v>
      </c>
      <c r="P409" s="62">
        <v>0.0</v>
      </c>
      <c r="Q409" s="62">
        <v>0.0</v>
      </c>
      <c r="R409" s="62">
        <v>7511.0</v>
      </c>
      <c r="S409" s="62">
        <v>0.0</v>
      </c>
      <c r="T409" s="62">
        <v>0.0</v>
      </c>
      <c r="U409" s="62">
        <v>0.0</v>
      </c>
      <c r="V409" s="62">
        <v>0.0</v>
      </c>
      <c r="W409" s="62">
        <v>0.0</v>
      </c>
      <c r="X409" s="62">
        <v>0.0</v>
      </c>
      <c r="Y409" s="62">
        <v>0.0</v>
      </c>
      <c r="Z409" s="62">
        <v>0.0</v>
      </c>
      <c r="AA409" s="62">
        <v>0.0</v>
      </c>
      <c r="AB409" s="62">
        <v>0.0</v>
      </c>
      <c r="AC409" s="62">
        <v>0.0</v>
      </c>
      <c r="AD409" s="62">
        <v>0.210555555555555</v>
      </c>
      <c r="AE409" s="62">
        <v>0.0</v>
      </c>
      <c r="AF409" s="62">
        <v>0.0</v>
      </c>
    </row>
    <row r="410">
      <c r="A410" s="68">
        <v>46136.0</v>
      </c>
      <c r="B410" s="62" t="s">
        <v>79</v>
      </c>
      <c r="C410" s="62" t="s">
        <v>162</v>
      </c>
      <c r="D410" s="62">
        <v>0.0</v>
      </c>
      <c r="E410" s="62">
        <v>6.0</v>
      </c>
      <c r="F410" s="62">
        <v>0.0</v>
      </c>
      <c r="G410" s="62">
        <v>0.0</v>
      </c>
      <c r="H410" s="62">
        <v>0.0</v>
      </c>
      <c r="I410" s="62">
        <v>0.0</v>
      </c>
      <c r="J410" s="62">
        <v>0.0</v>
      </c>
      <c r="K410" s="62">
        <v>0.0</v>
      </c>
      <c r="L410" s="62">
        <v>0.0</v>
      </c>
      <c r="M410" s="62">
        <v>0.0</v>
      </c>
      <c r="N410" s="62">
        <v>0.0</v>
      </c>
      <c r="O410" s="62">
        <v>1.0</v>
      </c>
      <c r="P410" s="62">
        <v>0.0</v>
      </c>
      <c r="Q410" s="62">
        <v>0.0</v>
      </c>
      <c r="R410" s="62">
        <v>0.0</v>
      </c>
      <c r="S410" s="62">
        <v>14241.0</v>
      </c>
      <c r="T410" s="62">
        <v>0.0</v>
      </c>
      <c r="U410" s="62">
        <v>0.0</v>
      </c>
      <c r="V410" s="62">
        <v>0.0</v>
      </c>
      <c r="W410" s="62">
        <v>0.0</v>
      </c>
      <c r="X410" s="62">
        <v>0.0</v>
      </c>
      <c r="Y410" s="62">
        <v>0.0</v>
      </c>
      <c r="Z410" s="62">
        <v>0.0</v>
      </c>
      <c r="AA410" s="62">
        <v>0.0</v>
      </c>
      <c r="AB410" s="62">
        <v>0.0</v>
      </c>
      <c r="AC410" s="62">
        <v>0.0</v>
      </c>
      <c r="AD410" s="62">
        <v>0.184722222222222</v>
      </c>
      <c r="AE410" s="62">
        <v>0.0</v>
      </c>
      <c r="AF410" s="62">
        <v>0.0</v>
      </c>
    </row>
    <row r="411">
      <c r="A411" s="68">
        <v>46136.0</v>
      </c>
      <c r="B411" s="62" t="s">
        <v>96</v>
      </c>
      <c r="C411" s="62" t="s">
        <v>97</v>
      </c>
      <c r="D411" s="62">
        <v>28.0</v>
      </c>
      <c r="E411" s="62">
        <v>10.0</v>
      </c>
      <c r="F411" s="62">
        <v>0.0</v>
      </c>
      <c r="G411" s="62">
        <v>0.0</v>
      </c>
      <c r="H411" s="62">
        <v>0.0</v>
      </c>
      <c r="I411" s="62">
        <v>0.0</v>
      </c>
      <c r="J411" s="62">
        <v>0.0</v>
      </c>
      <c r="K411" s="62">
        <v>0.0</v>
      </c>
      <c r="L411" s="62">
        <v>0.0</v>
      </c>
      <c r="M411" s="62">
        <v>6.0</v>
      </c>
      <c r="N411" s="62">
        <v>0.0</v>
      </c>
      <c r="O411" s="62">
        <v>1.0</v>
      </c>
      <c r="P411" s="62">
        <v>0.0</v>
      </c>
      <c r="Q411" s="62">
        <v>0.0</v>
      </c>
      <c r="R411" s="62">
        <v>62167.0</v>
      </c>
      <c r="S411" s="62">
        <v>22106.0</v>
      </c>
      <c r="T411" s="62">
        <v>0.0</v>
      </c>
      <c r="U411" s="62">
        <v>0.0</v>
      </c>
      <c r="V411" s="62">
        <v>0.0</v>
      </c>
      <c r="W411" s="62">
        <v>0.0</v>
      </c>
      <c r="X411" s="62">
        <v>0.0</v>
      </c>
      <c r="Y411" s="62">
        <v>0.0</v>
      </c>
      <c r="Z411" s="62">
        <v>0.0</v>
      </c>
      <c r="AA411" s="62">
        <v>0.0</v>
      </c>
      <c r="AB411" s="62">
        <v>1.30055555555555</v>
      </c>
      <c r="AC411" s="62">
        <v>0.0</v>
      </c>
      <c r="AD411" s="62">
        <v>0.269444444444444</v>
      </c>
      <c r="AE411" s="62">
        <v>0.0</v>
      </c>
      <c r="AF411" s="62">
        <v>0.0</v>
      </c>
    </row>
    <row r="412">
      <c r="A412" s="68">
        <v>46136.0</v>
      </c>
      <c r="B412" s="62" t="s">
        <v>98</v>
      </c>
      <c r="C412" s="62" t="s">
        <v>183</v>
      </c>
      <c r="D412" s="62">
        <v>0.0</v>
      </c>
      <c r="E412" s="62">
        <v>4.0</v>
      </c>
      <c r="F412" s="62">
        <v>4.0</v>
      </c>
      <c r="G412" s="62">
        <v>2.0</v>
      </c>
      <c r="H412" s="62">
        <v>3.0</v>
      </c>
      <c r="I412" s="62">
        <v>1.0</v>
      </c>
      <c r="J412" s="62">
        <v>3.0</v>
      </c>
      <c r="K412" s="62">
        <v>0.0</v>
      </c>
      <c r="L412" s="62">
        <v>0.0</v>
      </c>
      <c r="M412" s="62">
        <v>2.0</v>
      </c>
      <c r="N412" s="62">
        <v>5.0</v>
      </c>
      <c r="O412" s="62">
        <v>1.0</v>
      </c>
      <c r="P412" s="62">
        <v>5.0</v>
      </c>
      <c r="Q412" s="62">
        <v>0.0</v>
      </c>
      <c r="R412" s="62">
        <v>0.0</v>
      </c>
      <c r="S412" s="62">
        <v>8756.0</v>
      </c>
      <c r="T412" s="62">
        <v>0.646666666666666</v>
      </c>
      <c r="U412" s="62">
        <v>0.847222222222222</v>
      </c>
      <c r="V412" s="62">
        <v>0.407777777777777</v>
      </c>
      <c r="W412" s="62">
        <v>0.619166666666666</v>
      </c>
      <c r="X412" s="62">
        <v>0.211388888888888</v>
      </c>
      <c r="Y412" s="62">
        <v>0.618055555555555</v>
      </c>
      <c r="Z412" s="62">
        <v>0.0</v>
      </c>
      <c r="AA412" s="62">
        <v>0.0</v>
      </c>
      <c r="AB412" s="62">
        <v>0.417777777777777</v>
      </c>
      <c r="AC412" s="62">
        <v>1.09166666666666</v>
      </c>
      <c r="AD412" s="62">
        <v>0.225277777777777</v>
      </c>
      <c r="AE412" s="62">
        <v>1.09166666666666</v>
      </c>
      <c r="AF412" s="62">
        <v>3.0</v>
      </c>
    </row>
    <row r="413">
      <c r="A413" s="68">
        <v>46136.0</v>
      </c>
      <c r="B413" s="62" t="s">
        <v>71</v>
      </c>
      <c r="C413" s="62" t="s">
        <v>163</v>
      </c>
      <c r="D413" s="62">
        <v>1.0</v>
      </c>
      <c r="E413" s="62">
        <v>1.0</v>
      </c>
      <c r="F413" s="62">
        <v>0.0</v>
      </c>
      <c r="G413" s="62">
        <v>2.0</v>
      </c>
      <c r="H413" s="62">
        <v>2.0</v>
      </c>
      <c r="I413" s="62">
        <v>0.0</v>
      </c>
      <c r="J413" s="62">
        <v>4.0</v>
      </c>
      <c r="K413" s="62">
        <v>4.0</v>
      </c>
      <c r="L413" s="62">
        <v>0.0</v>
      </c>
      <c r="M413" s="62">
        <v>3.0</v>
      </c>
      <c r="N413" s="62">
        <v>0.0</v>
      </c>
      <c r="O413" s="62">
        <v>1.0</v>
      </c>
      <c r="P413" s="62">
        <v>0.0</v>
      </c>
      <c r="Q413" s="62">
        <v>0.0</v>
      </c>
      <c r="R413" s="62">
        <v>2167.0</v>
      </c>
      <c r="S413" s="62">
        <v>2282.0</v>
      </c>
      <c r="T413" s="62">
        <v>0.0</v>
      </c>
      <c r="U413" s="62">
        <v>0.0</v>
      </c>
      <c r="V413" s="62">
        <v>0.462222222222222</v>
      </c>
      <c r="W413" s="62">
        <v>0.462222222222222</v>
      </c>
      <c r="X413" s="62">
        <v>0.0</v>
      </c>
      <c r="Y413" s="62">
        <v>0.923055555555555</v>
      </c>
      <c r="Z413" s="62">
        <v>0.923055555555555</v>
      </c>
      <c r="AA413" s="62">
        <v>0.0</v>
      </c>
      <c r="AB413" s="62">
        <v>0.668333333333333</v>
      </c>
      <c r="AC413" s="62">
        <v>0.0</v>
      </c>
      <c r="AD413" s="62">
        <v>0.266111111111111</v>
      </c>
      <c r="AE413" s="62">
        <v>0.0</v>
      </c>
      <c r="AF413" s="62">
        <v>0.0</v>
      </c>
    </row>
    <row r="414">
      <c r="A414" s="68">
        <v>46136.0</v>
      </c>
      <c r="B414" s="62" t="s">
        <v>76</v>
      </c>
      <c r="C414" s="62" t="s">
        <v>165</v>
      </c>
      <c r="D414" s="62">
        <v>19.0</v>
      </c>
      <c r="E414" s="62">
        <v>7.0</v>
      </c>
      <c r="F414" s="62">
        <v>7.0</v>
      </c>
      <c r="G414" s="62">
        <v>4.0</v>
      </c>
      <c r="H414" s="62">
        <v>4.0</v>
      </c>
      <c r="I414" s="62">
        <v>0.0</v>
      </c>
      <c r="J414" s="62">
        <v>4.0</v>
      </c>
      <c r="K414" s="62">
        <v>0.0</v>
      </c>
      <c r="L414" s="62">
        <v>1.0</v>
      </c>
      <c r="M414" s="62">
        <v>7.0</v>
      </c>
      <c r="N414" s="62">
        <v>10.0</v>
      </c>
      <c r="O414" s="62">
        <v>1.0</v>
      </c>
      <c r="P414" s="62">
        <v>10.0</v>
      </c>
      <c r="Q414" s="62">
        <v>0.0</v>
      </c>
      <c r="R414" s="62">
        <v>50606.0</v>
      </c>
      <c r="S414" s="62">
        <v>23132.0</v>
      </c>
      <c r="T414" s="62">
        <v>1.44583333333333</v>
      </c>
      <c r="U414" s="62">
        <v>2.11166666666666</v>
      </c>
      <c r="V414" s="62">
        <v>1.06861111111111</v>
      </c>
      <c r="W414" s="62">
        <v>1.06861111111111</v>
      </c>
      <c r="X414" s="62">
        <v>0.0</v>
      </c>
      <c r="Y414" s="62">
        <v>1.06861111111111</v>
      </c>
      <c r="Z414" s="62">
        <v>0.0</v>
      </c>
      <c r="AA414" s="62">
        <v>0.290555555555555</v>
      </c>
      <c r="AB414" s="62">
        <v>2.13083333333333</v>
      </c>
      <c r="AC414" s="62">
        <v>2.98888888888888</v>
      </c>
      <c r="AD414" s="62">
        <v>0.233888888888888</v>
      </c>
      <c r="AE414" s="62">
        <v>2.98888888888888</v>
      </c>
      <c r="AF414" s="62">
        <v>5.0</v>
      </c>
    </row>
    <row r="415">
      <c r="A415" s="68">
        <v>46136.0</v>
      </c>
      <c r="B415" s="62" t="s">
        <v>100</v>
      </c>
      <c r="C415" s="62" t="s">
        <v>167</v>
      </c>
      <c r="D415" s="62">
        <v>16.0</v>
      </c>
      <c r="E415" s="62">
        <v>5.0</v>
      </c>
      <c r="F415" s="62">
        <v>3.0</v>
      </c>
      <c r="G415" s="62">
        <v>3.0</v>
      </c>
      <c r="H415" s="62">
        <v>3.0</v>
      </c>
      <c r="I415" s="62">
        <v>0.0</v>
      </c>
      <c r="J415" s="62">
        <v>3.0</v>
      </c>
      <c r="K415" s="62">
        <v>2.0</v>
      </c>
      <c r="L415" s="62">
        <v>1.0</v>
      </c>
      <c r="M415" s="62">
        <v>5.0</v>
      </c>
      <c r="N415" s="62">
        <v>0.0</v>
      </c>
      <c r="O415" s="62">
        <v>1.0</v>
      </c>
      <c r="P415" s="62">
        <v>0.0</v>
      </c>
      <c r="Q415" s="62">
        <v>0.0</v>
      </c>
      <c r="R415" s="62">
        <v>39312.0</v>
      </c>
      <c r="S415" s="62">
        <v>11837.0</v>
      </c>
      <c r="T415" s="62">
        <v>0.459999999999999</v>
      </c>
      <c r="U415" s="62">
        <v>0.673888888888889</v>
      </c>
      <c r="V415" s="62">
        <v>0.714166666666666</v>
      </c>
      <c r="W415" s="62">
        <v>0.714166666666666</v>
      </c>
      <c r="X415" s="62">
        <v>0.0</v>
      </c>
      <c r="Y415" s="62">
        <v>0.714166666666666</v>
      </c>
      <c r="Z415" s="62">
        <v>0.4825</v>
      </c>
      <c r="AA415" s="62">
        <v>0.223055555555555</v>
      </c>
      <c r="AB415" s="62">
        <v>1.18611111111111</v>
      </c>
      <c r="AC415" s="62">
        <v>0.0</v>
      </c>
      <c r="AD415" s="62">
        <v>0.213611111111111</v>
      </c>
      <c r="AE415" s="62">
        <v>0.0</v>
      </c>
      <c r="AF415" s="62">
        <v>2.0</v>
      </c>
    </row>
    <row r="416">
      <c r="A416" s="68">
        <v>46136.0</v>
      </c>
      <c r="B416" s="62" t="s">
        <v>32</v>
      </c>
      <c r="C416" s="62" t="s">
        <v>168</v>
      </c>
      <c r="D416" s="62">
        <v>10.0</v>
      </c>
      <c r="E416" s="62">
        <v>4.0</v>
      </c>
      <c r="F416" s="62">
        <v>2.0</v>
      </c>
      <c r="G416" s="62">
        <v>0.0</v>
      </c>
      <c r="H416" s="62">
        <v>4.0</v>
      </c>
      <c r="I416" s="62">
        <v>0.0</v>
      </c>
      <c r="J416" s="62">
        <v>7.0</v>
      </c>
      <c r="K416" s="62">
        <v>0.0</v>
      </c>
      <c r="L416" s="62">
        <v>0.0</v>
      </c>
      <c r="M416" s="62">
        <v>7.0</v>
      </c>
      <c r="N416" s="62">
        <v>19.0</v>
      </c>
      <c r="O416" s="62">
        <v>1.0</v>
      </c>
      <c r="P416" s="62">
        <v>19.0</v>
      </c>
      <c r="Q416" s="62">
        <v>0.0</v>
      </c>
      <c r="R416" s="62">
        <v>23875.0</v>
      </c>
      <c r="S416" s="62">
        <v>9585.0</v>
      </c>
      <c r="T416" s="62">
        <v>0.450833333333333</v>
      </c>
      <c r="U416" s="62">
        <v>0.450833333333333</v>
      </c>
      <c r="V416" s="62">
        <v>0.0</v>
      </c>
      <c r="W416" s="62">
        <v>0.856111111111111</v>
      </c>
      <c r="X416" s="62">
        <v>0.0</v>
      </c>
      <c r="Y416" s="62">
        <v>1.54222222222222</v>
      </c>
      <c r="Z416" s="62">
        <v>0.0</v>
      </c>
      <c r="AA416" s="62">
        <v>0.0</v>
      </c>
      <c r="AB416" s="62">
        <v>1.565</v>
      </c>
      <c r="AC416" s="62">
        <v>4.20305555555555</v>
      </c>
      <c r="AD416" s="62">
        <v>0.197222222222222</v>
      </c>
      <c r="AE416" s="62">
        <v>4.20305555555555</v>
      </c>
      <c r="AF416" s="62">
        <v>2.0</v>
      </c>
    </row>
    <row r="417">
      <c r="A417" s="68">
        <v>46136.0</v>
      </c>
      <c r="B417" s="62" t="s">
        <v>93</v>
      </c>
      <c r="C417" s="62" t="s">
        <v>182</v>
      </c>
      <c r="D417" s="62">
        <v>0.0</v>
      </c>
      <c r="E417" s="62">
        <v>0.0</v>
      </c>
      <c r="F417" s="62">
        <v>0.0</v>
      </c>
      <c r="G417" s="62">
        <v>0.0</v>
      </c>
      <c r="H417" s="62">
        <v>0.0</v>
      </c>
      <c r="I417" s="62">
        <v>0.0</v>
      </c>
      <c r="J417" s="62">
        <v>0.0</v>
      </c>
      <c r="K417" s="62">
        <v>0.0</v>
      </c>
      <c r="L417" s="62">
        <v>0.0</v>
      </c>
      <c r="M417" s="62">
        <v>0.0</v>
      </c>
      <c r="N417" s="62">
        <v>1.0</v>
      </c>
      <c r="O417" s="62">
        <v>1.0</v>
      </c>
      <c r="P417" s="62">
        <v>1.0</v>
      </c>
      <c r="Q417" s="62">
        <v>0.0</v>
      </c>
      <c r="R417" s="62">
        <v>0.0</v>
      </c>
      <c r="S417" s="62">
        <v>0.0</v>
      </c>
      <c r="T417" s="62">
        <v>0.0</v>
      </c>
      <c r="U417" s="62">
        <v>0.0</v>
      </c>
      <c r="V417" s="62">
        <v>0.0</v>
      </c>
      <c r="W417" s="62">
        <v>0.0</v>
      </c>
      <c r="X417" s="62">
        <v>0.0</v>
      </c>
      <c r="Y417" s="62">
        <v>0.0</v>
      </c>
      <c r="Z417" s="62">
        <v>0.0</v>
      </c>
      <c r="AA417" s="62">
        <v>0.0</v>
      </c>
      <c r="AB417" s="62">
        <v>0.0</v>
      </c>
      <c r="AC417" s="62">
        <v>0.223333333333333</v>
      </c>
      <c r="AD417" s="62">
        <v>0.258333333333333</v>
      </c>
      <c r="AE417" s="62">
        <v>0.223333333333333</v>
      </c>
      <c r="AF417" s="62">
        <v>0.0</v>
      </c>
    </row>
    <row r="418">
      <c r="A418" s="68">
        <v>46136.0</v>
      </c>
      <c r="B418" s="62" t="s">
        <v>41</v>
      </c>
      <c r="C418" s="62" t="s">
        <v>172</v>
      </c>
      <c r="D418" s="62">
        <v>8.0</v>
      </c>
      <c r="E418" s="62">
        <v>11.0</v>
      </c>
      <c r="F418" s="62">
        <v>0.0</v>
      </c>
      <c r="G418" s="62">
        <v>0.0</v>
      </c>
      <c r="H418" s="62">
        <v>6.0</v>
      </c>
      <c r="I418" s="62">
        <v>6.0</v>
      </c>
      <c r="J418" s="62">
        <v>6.0</v>
      </c>
      <c r="K418" s="62">
        <v>3.0</v>
      </c>
      <c r="L418" s="62">
        <v>0.0</v>
      </c>
      <c r="M418" s="62">
        <v>3.0</v>
      </c>
      <c r="N418" s="62">
        <v>0.0</v>
      </c>
      <c r="O418" s="62">
        <v>0.0</v>
      </c>
      <c r="P418" s="62">
        <v>0.0</v>
      </c>
      <c r="Q418" s="62">
        <v>0.0</v>
      </c>
      <c r="R418" s="62">
        <v>19598.0</v>
      </c>
      <c r="S418" s="62">
        <v>26899.0</v>
      </c>
      <c r="T418" s="62">
        <v>2.45611111111111</v>
      </c>
      <c r="U418" s="62">
        <v>0.0</v>
      </c>
      <c r="V418" s="62">
        <v>0.0</v>
      </c>
      <c r="W418" s="62">
        <v>1.35111111111111</v>
      </c>
      <c r="X418" s="62">
        <v>1.35111111111111</v>
      </c>
      <c r="Y418" s="62">
        <v>1.35527777777777</v>
      </c>
      <c r="Z418" s="62">
        <v>0.669722222222222</v>
      </c>
      <c r="AA418" s="62">
        <v>0.0</v>
      </c>
      <c r="AB418" s="62">
        <v>0.648888888888888</v>
      </c>
      <c r="AC418" s="62">
        <v>0.0</v>
      </c>
      <c r="AD418" s="62">
        <v>0.0</v>
      </c>
      <c r="AE418" s="62">
        <v>0.0</v>
      </c>
      <c r="AF418" s="62">
        <v>11.0</v>
      </c>
    </row>
    <row r="419">
      <c r="A419" s="68">
        <v>46136.0</v>
      </c>
      <c r="B419" s="62" t="s">
        <v>65</v>
      </c>
      <c r="C419" s="62" t="s">
        <v>173</v>
      </c>
      <c r="D419" s="62">
        <v>3.0</v>
      </c>
      <c r="E419" s="62">
        <v>0.0</v>
      </c>
      <c r="F419" s="62">
        <v>0.0</v>
      </c>
      <c r="G419" s="62">
        <v>0.0</v>
      </c>
      <c r="H419" s="62">
        <v>1.0</v>
      </c>
      <c r="I419" s="62">
        <v>1.0</v>
      </c>
      <c r="J419" s="62">
        <v>1.0</v>
      </c>
      <c r="K419" s="62">
        <v>3.0</v>
      </c>
      <c r="L419" s="62">
        <v>0.0</v>
      </c>
      <c r="M419" s="62">
        <v>0.0</v>
      </c>
      <c r="N419" s="62">
        <v>0.0</v>
      </c>
      <c r="O419" s="62">
        <v>1.0</v>
      </c>
      <c r="P419" s="62">
        <v>0.0</v>
      </c>
      <c r="Q419" s="62">
        <v>0.0</v>
      </c>
      <c r="R419" s="62">
        <v>6404.0</v>
      </c>
      <c r="S419" s="62">
        <v>0.0</v>
      </c>
      <c r="T419" s="62">
        <v>0.241388888888888</v>
      </c>
      <c r="U419" s="62">
        <v>0.0</v>
      </c>
      <c r="V419" s="62">
        <v>0.0</v>
      </c>
      <c r="W419" s="62">
        <v>0.241388888888888</v>
      </c>
      <c r="X419" s="62">
        <v>0.241388888888888</v>
      </c>
      <c r="Y419" s="62">
        <v>0.242777777777777</v>
      </c>
      <c r="Z419" s="62">
        <v>0.7575</v>
      </c>
      <c r="AA419" s="62">
        <v>0.0</v>
      </c>
      <c r="AB419" s="62">
        <v>0.0</v>
      </c>
      <c r="AC419" s="62">
        <v>0.0</v>
      </c>
      <c r="AD419" s="62">
        <v>0.233888888888888</v>
      </c>
      <c r="AE419" s="62">
        <v>0.0</v>
      </c>
      <c r="AF419" s="62">
        <v>1.0</v>
      </c>
    </row>
    <row r="420">
      <c r="A420" s="68">
        <v>46136.0</v>
      </c>
      <c r="B420" s="62" t="s">
        <v>37</v>
      </c>
      <c r="C420" s="62" t="s">
        <v>174</v>
      </c>
      <c r="D420" s="62">
        <v>4.0</v>
      </c>
      <c r="E420" s="62">
        <v>0.0</v>
      </c>
      <c r="F420" s="62">
        <v>4.0</v>
      </c>
      <c r="G420" s="62">
        <v>7.0</v>
      </c>
      <c r="H420" s="62">
        <v>8.0</v>
      </c>
      <c r="I420" s="62">
        <v>1.0</v>
      </c>
      <c r="J420" s="62">
        <v>7.0</v>
      </c>
      <c r="K420" s="62">
        <v>4.0</v>
      </c>
      <c r="L420" s="62">
        <v>1.0</v>
      </c>
      <c r="M420" s="62">
        <v>5.0</v>
      </c>
      <c r="N420" s="62">
        <v>10.0</v>
      </c>
      <c r="O420" s="62">
        <v>1.0</v>
      </c>
      <c r="P420" s="62">
        <v>10.0</v>
      </c>
      <c r="Q420" s="62">
        <v>0.0</v>
      </c>
      <c r="R420" s="62">
        <v>9453.0</v>
      </c>
      <c r="S420" s="62">
        <v>0.0</v>
      </c>
      <c r="T420" s="62">
        <v>0.0</v>
      </c>
      <c r="U420" s="62">
        <v>0.956944444444444</v>
      </c>
      <c r="V420" s="62">
        <v>1.76</v>
      </c>
      <c r="W420" s="62">
        <v>1.98777777777777</v>
      </c>
      <c r="X420" s="62">
        <v>0.227777777777777</v>
      </c>
      <c r="Y420" s="62">
        <v>1.76</v>
      </c>
      <c r="Z420" s="62">
        <v>1.03277777777777</v>
      </c>
      <c r="AA420" s="62">
        <v>0.268611111111111</v>
      </c>
      <c r="AB420" s="62">
        <v>1.285</v>
      </c>
      <c r="AC420" s="62">
        <v>2.53194444444444</v>
      </c>
      <c r="AD420" s="62">
        <v>0.317222222222222</v>
      </c>
      <c r="AE420" s="62">
        <v>2.53194444444444</v>
      </c>
      <c r="AF420" s="62">
        <v>0.0</v>
      </c>
    </row>
    <row r="421">
      <c r="A421" s="68">
        <v>46136.0</v>
      </c>
      <c r="B421" s="62" t="s">
        <v>108</v>
      </c>
      <c r="C421" s="62" t="s">
        <v>175</v>
      </c>
      <c r="D421" s="62">
        <v>0.0</v>
      </c>
      <c r="E421" s="62">
        <v>1.0</v>
      </c>
      <c r="F421" s="62">
        <v>0.0</v>
      </c>
      <c r="G421" s="62">
        <v>0.0</v>
      </c>
      <c r="H421" s="62">
        <v>0.0</v>
      </c>
      <c r="I421" s="62">
        <v>0.0</v>
      </c>
      <c r="J421" s="62">
        <v>0.0</v>
      </c>
      <c r="K421" s="62">
        <v>0.0</v>
      </c>
      <c r="L421" s="62">
        <v>0.0</v>
      </c>
      <c r="M421" s="62">
        <v>0.0</v>
      </c>
      <c r="N421" s="62">
        <v>0.0</v>
      </c>
      <c r="O421" s="62">
        <v>0.0</v>
      </c>
      <c r="P421" s="62">
        <v>0.0</v>
      </c>
      <c r="Q421" s="62">
        <v>0.0</v>
      </c>
      <c r="R421" s="62">
        <v>0.0</v>
      </c>
      <c r="S421" s="62">
        <v>2223.0</v>
      </c>
      <c r="T421" s="62">
        <v>0.0</v>
      </c>
      <c r="U421" s="62">
        <v>0.0</v>
      </c>
      <c r="V421" s="62">
        <v>0.0</v>
      </c>
      <c r="W421" s="62">
        <v>0.0</v>
      </c>
      <c r="X421" s="62">
        <v>0.0</v>
      </c>
      <c r="Y421" s="62">
        <v>0.0</v>
      </c>
      <c r="Z421" s="62">
        <v>0.0</v>
      </c>
      <c r="AA421" s="62">
        <v>0.0</v>
      </c>
      <c r="AB421" s="62">
        <v>0.0</v>
      </c>
      <c r="AC421" s="62">
        <v>0.0</v>
      </c>
      <c r="AD421" s="62">
        <v>0.0</v>
      </c>
      <c r="AE421" s="62">
        <v>0.0</v>
      </c>
      <c r="AF421" s="62">
        <v>0.0</v>
      </c>
    </row>
    <row r="422">
      <c r="A422" s="68">
        <v>46136.0</v>
      </c>
      <c r="B422" s="62" t="s">
        <v>56</v>
      </c>
      <c r="C422" s="62" t="s">
        <v>176</v>
      </c>
      <c r="D422" s="62">
        <v>6.0</v>
      </c>
      <c r="E422" s="62">
        <v>0.0</v>
      </c>
      <c r="F422" s="62">
        <v>2.0</v>
      </c>
      <c r="G422" s="62">
        <v>3.0</v>
      </c>
      <c r="H422" s="62">
        <v>4.0</v>
      </c>
      <c r="I422" s="62">
        <v>1.0</v>
      </c>
      <c r="J422" s="62">
        <v>4.0</v>
      </c>
      <c r="K422" s="62">
        <v>16.0</v>
      </c>
      <c r="L422" s="62">
        <v>1.0</v>
      </c>
      <c r="M422" s="62">
        <v>2.0</v>
      </c>
      <c r="N422" s="62">
        <v>0.0</v>
      </c>
      <c r="O422" s="62">
        <v>0.0</v>
      </c>
      <c r="P422" s="62">
        <v>0.0</v>
      </c>
      <c r="Q422" s="62">
        <v>0.0</v>
      </c>
      <c r="R422" s="62">
        <v>14799.0</v>
      </c>
      <c r="S422" s="62">
        <v>0.0</v>
      </c>
      <c r="T422" s="62">
        <v>0.678055555555555</v>
      </c>
      <c r="U422" s="62">
        <v>0.446666666666666</v>
      </c>
      <c r="V422" s="62">
        <v>0.680277777777777</v>
      </c>
      <c r="W422" s="62">
        <v>0.911666666666666</v>
      </c>
      <c r="X422" s="62">
        <v>0.231388888888888</v>
      </c>
      <c r="Y422" s="62">
        <v>0.905</v>
      </c>
      <c r="Z422" s="62">
        <v>3.70333333333333</v>
      </c>
      <c r="AA422" s="62">
        <v>0.217777777777777</v>
      </c>
      <c r="AB422" s="62">
        <v>0.449166666666666</v>
      </c>
      <c r="AC422" s="62">
        <v>0.0</v>
      </c>
      <c r="AD422" s="62">
        <v>0.0</v>
      </c>
      <c r="AE422" s="62">
        <v>0.0</v>
      </c>
      <c r="AF422" s="62">
        <v>3.0</v>
      </c>
    </row>
    <row r="423">
      <c r="A423" s="68">
        <v>46136.0</v>
      </c>
      <c r="B423" s="62" t="s">
        <v>91</v>
      </c>
      <c r="C423" s="62" t="s">
        <v>184</v>
      </c>
      <c r="D423" s="62">
        <v>0.0</v>
      </c>
      <c r="E423" s="62">
        <v>0.0</v>
      </c>
      <c r="F423" s="62">
        <v>0.0</v>
      </c>
      <c r="G423" s="62">
        <v>0.0</v>
      </c>
      <c r="H423" s="62">
        <v>0.0</v>
      </c>
      <c r="I423" s="62">
        <v>0.0</v>
      </c>
      <c r="J423" s="62">
        <v>0.0</v>
      </c>
      <c r="K423" s="62">
        <v>0.0</v>
      </c>
      <c r="L423" s="62">
        <v>4.0</v>
      </c>
      <c r="M423" s="62">
        <v>5.0</v>
      </c>
      <c r="N423" s="62">
        <v>12.0</v>
      </c>
      <c r="O423" s="62">
        <v>1.0</v>
      </c>
      <c r="P423" s="62">
        <v>12.0</v>
      </c>
      <c r="Q423" s="62">
        <v>0.0</v>
      </c>
      <c r="R423" s="62">
        <v>0.0</v>
      </c>
      <c r="S423" s="62">
        <v>0.0</v>
      </c>
      <c r="T423" s="62">
        <v>0.0</v>
      </c>
      <c r="U423" s="62">
        <v>0.0</v>
      </c>
      <c r="V423" s="62">
        <v>0.0</v>
      </c>
      <c r="W423" s="62">
        <v>0.0</v>
      </c>
      <c r="X423" s="62">
        <v>0.0</v>
      </c>
      <c r="Y423" s="62">
        <v>0.0</v>
      </c>
      <c r="Z423" s="62">
        <v>0.0</v>
      </c>
      <c r="AA423" s="62">
        <v>0.875833333333333</v>
      </c>
      <c r="AB423" s="62">
        <v>1.04666666666666</v>
      </c>
      <c r="AC423" s="62">
        <v>2.45444444444444</v>
      </c>
      <c r="AD423" s="62">
        <v>0.156944444444444</v>
      </c>
      <c r="AE423" s="62">
        <v>2.45444444444444</v>
      </c>
      <c r="AF423" s="62">
        <v>0.0</v>
      </c>
    </row>
    <row r="424">
      <c r="A424" s="68">
        <v>46136.0</v>
      </c>
      <c r="B424" s="62" t="s">
        <v>26</v>
      </c>
      <c r="C424" s="62" t="s">
        <v>178</v>
      </c>
      <c r="D424" s="62">
        <v>0.0</v>
      </c>
      <c r="E424" s="62">
        <v>0.0</v>
      </c>
      <c r="F424" s="62">
        <v>0.0</v>
      </c>
      <c r="G424" s="62">
        <v>2.0</v>
      </c>
      <c r="H424" s="62">
        <v>5.0</v>
      </c>
      <c r="I424" s="62">
        <v>3.0</v>
      </c>
      <c r="J424" s="62">
        <v>7.0</v>
      </c>
      <c r="K424" s="62">
        <v>4.0</v>
      </c>
      <c r="L424" s="62">
        <v>1.0</v>
      </c>
      <c r="M424" s="62">
        <v>10.0</v>
      </c>
      <c r="N424" s="62">
        <v>22.0</v>
      </c>
      <c r="O424" s="62">
        <v>1.0</v>
      </c>
      <c r="P424" s="62">
        <v>22.0</v>
      </c>
      <c r="Q424" s="62">
        <v>0.0</v>
      </c>
      <c r="R424" s="62">
        <v>0.0</v>
      </c>
      <c r="S424" s="62">
        <v>0.0</v>
      </c>
      <c r="T424" s="62">
        <v>0.0</v>
      </c>
      <c r="U424" s="62">
        <v>0.0</v>
      </c>
      <c r="V424" s="62">
        <v>0.363055555555555</v>
      </c>
      <c r="W424" s="62">
        <v>0.944166666666666</v>
      </c>
      <c r="X424" s="62">
        <v>0.581111111111111</v>
      </c>
      <c r="Y424" s="62">
        <v>1.27305555555555</v>
      </c>
      <c r="Z424" s="62">
        <v>0.691111111111111</v>
      </c>
      <c r="AA424" s="62">
        <v>0.180833333333333</v>
      </c>
      <c r="AB424" s="62">
        <v>1.78333333333333</v>
      </c>
      <c r="AC424" s="62">
        <v>4.1775</v>
      </c>
      <c r="AD424" s="62">
        <v>0.193333333333333</v>
      </c>
      <c r="AE424" s="62">
        <v>4.1775</v>
      </c>
      <c r="AF424" s="62">
        <v>0.0</v>
      </c>
    </row>
    <row r="425">
      <c r="A425" s="68">
        <v>46136.0</v>
      </c>
      <c r="B425" s="62" t="s">
        <v>62</v>
      </c>
      <c r="C425" s="62" t="s">
        <v>63</v>
      </c>
      <c r="D425" s="62">
        <v>3.0</v>
      </c>
      <c r="E425" s="62">
        <v>2.0</v>
      </c>
      <c r="F425" s="62">
        <v>0.0</v>
      </c>
      <c r="G425" s="62">
        <v>0.0</v>
      </c>
      <c r="H425" s="62">
        <v>3.0</v>
      </c>
      <c r="I425" s="62">
        <v>3.0</v>
      </c>
      <c r="J425" s="62">
        <v>3.0</v>
      </c>
      <c r="K425" s="62">
        <v>3.0</v>
      </c>
      <c r="L425" s="62">
        <v>0.0</v>
      </c>
      <c r="M425" s="62">
        <v>0.0</v>
      </c>
      <c r="N425" s="62">
        <v>0.0</v>
      </c>
      <c r="O425" s="62">
        <v>1.0</v>
      </c>
      <c r="P425" s="62">
        <v>0.0</v>
      </c>
      <c r="Q425" s="62">
        <v>0.0</v>
      </c>
      <c r="R425" s="62">
        <v>6928.0</v>
      </c>
      <c r="S425" s="62">
        <v>4601.0</v>
      </c>
      <c r="T425" s="62">
        <v>0.638611111111111</v>
      </c>
      <c r="U425" s="62">
        <v>0.0</v>
      </c>
      <c r="V425" s="62">
        <v>0.0</v>
      </c>
      <c r="W425" s="62">
        <v>0.672222222222222</v>
      </c>
      <c r="X425" s="62">
        <v>0.672222222222222</v>
      </c>
      <c r="Y425" s="62">
        <v>0.671944444444444</v>
      </c>
      <c r="Z425" s="62">
        <v>0.671944444444444</v>
      </c>
      <c r="AA425" s="62">
        <v>0.0</v>
      </c>
      <c r="AB425" s="62">
        <v>0.0</v>
      </c>
      <c r="AC425" s="62">
        <v>0.0</v>
      </c>
      <c r="AD425" s="62">
        <v>0.216666666666666</v>
      </c>
      <c r="AE425" s="62">
        <v>0.0</v>
      </c>
      <c r="AF425" s="62">
        <v>3.0</v>
      </c>
    </row>
    <row r="426">
      <c r="A426" s="68">
        <v>46135.0</v>
      </c>
      <c r="B426" s="62" t="s">
        <v>79</v>
      </c>
      <c r="C426" s="62" t="s">
        <v>162</v>
      </c>
      <c r="D426" s="62">
        <v>5.0</v>
      </c>
      <c r="E426" s="62">
        <v>4.0</v>
      </c>
      <c r="F426" s="62">
        <v>0.0</v>
      </c>
      <c r="G426" s="62">
        <v>0.0</v>
      </c>
      <c r="H426" s="62">
        <v>0.0</v>
      </c>
      <c r="I426" s="62">
        <v>0.0</v>
      </c>
      <c r="J426" s="62">
        <v>0.0</v>
      </c>
      <c r="K426" s="62">
        <v>0.0</v>
      </c>
      <c r="L426" s="62">
        <v>0.0</v>
      </c>
      <c r="M426" s="62">
        <v>0.0</v>
      </c>
      <c r="N426" s="62">
        <v>0.0</v>
      </c>
      <c r="O426" s="62">
        <v>1.0</v>
      </c>
      <c r="P426" s="62">
        <v>0.0</v>
      </c>
      <c r="Q426" s="62">
        <v>0.0</v>
      </c>
      <c r="R426" s="62">
        <v>11487.0</v>
      </c>
      <c r="S426" s="62">
        <v>9677.0</v>
      </c>
      <c r="T426" s="62">
        <v>0.0</v>
      </c>
      <c r="U426" s="62">
        <v>0.0</v>
      </c>
      <c r="V426" s="62">
        <v>0.0</v>
      </c>
      <c r="W426" s="62">
        <v>0.0</v>
      </c>
      <c r="X426" s="62">
        <v>0.0</v>
      </c>
      <c r="Y426" s="62">
        <v>0.0</v>
      </c>
      <c r="Z426" s="62">
        <v>0.0</v>
      </c>
      <c r="AA426" s="62">
        <v>0.0</v>
      </c>
      <c r="AB426" s="62">
        <v>0.0</v>
      </c>
      <c r="AC426" s="62">
        <v>0.0</v>
      </c>
      <c r="AD426" s="62">
        <v>0.221944444444444</v>
      </c>
      <c r="AE426" s="62">
        <v>0.0</v>
      </c>
      <c r="AF426" s="62">
        <v>0.0</v>
      </c>
    </row>
    <row r="427">
      <c r="A427" s="68">
        <v>46135.0</v>
      </c>
      <c r="B427" s="62" t="s">
        <v>96</v>
      </c>
      <c r="C427" s="62" t="s">
        <v>97</v>
      </c>
      <c r="D427" s="62">
        <v>0.0</v>
      </c>
      <c r="E427" s="62">
        <v>1.0</v>
      </c>
      <c r="F427" s="62">
        <v>0.0</v>
      </c>
      <c r="G427" s="62">
        <v>0.0</v>
      </c>
      <c r="H427" s="62">
        <v>1.0</v>
      </c>
      <c r="I427" s="62">
        <v>0.0</v>
      </c>
      <c r="J427" s="62">
        <v>1.0</v>
      </c>
      <c r="K427" s="62">
        <v>0.0</v>
      </c>
      <c r="L427" s="62">
        <v>0.0</v>
      </c>
      <c r="M427" s="62">
        <v>5.0</v>
      </c>
      <c r="N427" s="62">
        <v>0.0</v>
      </c>
      <c r="O427" s="62">
        <v>1.0</v>
      </c>
      <c r="P427" s="62">
        <v>0.0</v>
      </c>
      <c r="Q427" s="62">
        <v>0.0</v>
      </c>
      <c r="R427" s="62">
        <v>0.0</v>
      </c>
      <c r="S427" s="62">
        <v>2085.0</v>
      </c>
      <c r="T427" s="62">
        <v>0.0</v>
      </c>
      <c r="U427" s="62">
        <v>0.0</v>
      </c>
      <c r="V427" s="62">
        <v>0.0</v>
      </c>
      <c r="W427" s="62">
        <v>0.226388888888888</v>
      </c>
      <c r="X427" s="62">
        <v>0.0</v>
      </c>
      <c r="Y427" s="62">
        <v>0.226388888888888</v>
      </c>
      <c r="Z427" s="62">
        <v>0.0</v>
      </c>
      <c r="AA427" s="62">
        <v>0.0</v>
      </c>
      <c r="AB427" s="62">
        <v>1.04</v>
      </c>
      <c r="AC427" s="62">
        <v>0.0</v>
      </c>
      <c r="AD427" s="62">
        <v>0.255555555555555</v>
      </c>
      <c r="AE427" s="62">
        <v>0.0</v>
      </c>
      <c r="AF427" s="62">
        <v>0.0</v>
      </c>
    </row>
    <row r="428">
      <c r="A428" s="68">
        <v>46135.0</v>
      </c>
      <c r="B428" s="62" t="s">
        <v>98</v>
      </c>
      <c r="C428" s="62" t="s">
        <v>183</v>
      </c>
      <c r="D428" s="62">
        <v>0.0</v>
      </c>
      <c r="E428" s="62">
        <v>2.0</v>
      </c>
      <c r="F428" s="62">
        <v>0.0</v>
      </c>
      <c r="G428" s="62">
        <v>0.0</v>
      </c>
      <c r="H428" s="62">
        <v>0.0</v>
      </c>
      <c r="I428" s="62">
        <v>0.0</v>
      </c>
      <c r="J428" s="62">
        <v>3.0</v>
      </c>
      <c r="K428" s="62">
        <v>0.0</v>
      </c>
      <c r="L428" s="62">
        <v>0.0</v>
      </c>
      <c r="M428" s="62">
        <v>3.0</v>
      </c>
      <c r="N428" s="62">
        <v>2.0</v>
      </c>
      <c r="O428" s="62">
        <v>1.0</v>
      </c>
      <c r="P428" s="62">
        <v>2.0</v>
      </c>
      <c r="Q428" s="62">
        <v>0.0</v>
      </c>
      <c r="R428" s="62">
        <v>0.0</v>
      </c>
      <c r="S428" s="62">
        <v>4285.0</v>
      </c>
      <c r="T428" s="62">
        <v>0.200555555555555</v>
      </c>
      <c r="U428" s="62">
        <v>0.0</v>
      </c>
      <c r="V428" s="62">
        <v>0.0</v>
      </c>
      <c r="W428" s="62">
        <v>0.0</v>
      </c>
      <c r="X428" s="62">
        <v>0.0</v>
      </c>
      <c r="Y428" s="62">
        <v>0.661944444444444</v>
      </c>
      <c r="Z428" s="62">
        <v>0.0</v>
      </c>
      <c r="AA428" s="62">
        <v>0.0</v>
      </c>
      <c r="AB428" s="62">
        <v>0.661944444444444</v>
      </c>
      <c r="AC428" s="62">
        <v>0.424722222222222</v>
      </c>
      <c r="AD428" s="62">
        <v>0.244722222222222</v>
      </c>
      <c r="AE428" s="62">
        <v>0.424722222222222</v>
      </c>
      <c r="AF428" s="62">
        <v>1.0</v>
      </c>
    </row>
    <row r="429">
      <c r="A429" s="68">
        <v>46135.0</v>
      </c>
      <c r="B429" s="62" t="s">
        <v>71</v>
      </c>
      <c r="C429" s="62" t="s">
        <v>163</v>
      </c>
      <c r="D429" s="62">
        <v>1.0</v>
      </c>
      <c r="E429" s="62">
        <v>0.0</v>
      </c>
      <c r="F429" s="62">
        <v>1.0</v>
      </c>
      <c r="G429" s="62">
        <v>1.0</v>
      </c>
      <c r="H429" s="62">
        <v>1.0</v>
      </c>
      <c r="I429" s="62">
        <v>0.0</v>
      </c>
      <c r="J429" s="62">
        <v>1.0</v>
      </c>
      <c r="K429" s="62">
        <v>1.0</v>
      </c>
      <c r="L429" s="62">
        <v>0.0</v>
      </c>
      <c r="M429" s="62">
        <v>1.0</v>
      </c>
      <c r="N429" s="62">
        <v>0.0</v>
      </c>
      <c r="O429" s="62">
        <v>1.0</v>
      </c>
      <c r="P429" s="62">
        <v>0.0</v>
      </c>
      <c r="Q429" s="62">
        <v>0.0</v>
      </c>
      <c r="R429" s="62">
        <v>2282.0</v>
      </c>
      <c r="S429" s="62">
        <v>0.0</v>
      </c>
      <c r="T429" s="62">
        <v>0.254166666666666</v>
      </c>
      <c r="U429" s="62">
        <v>0.254166666666666</v>
      </c>
      <c r="V429" s="62">
        <v>0.228333333333333</v>
      </c>
      <c r="W429" s="62">
        <v>0.228333333333333</v>
      </c>
      <c r="X429" s="62">
        <v>0.0</v>
      </c>
      <c r="Y429" s="62">
        <v>0.221944444444444</v>
      </c>
      <c r="Z429" s="62">
        <v>0.221944444444444</v>
      </c>
      <c r="AA429" s="62">
        <v>0.0</v>
      </c>
      <c r="AB429" s="62">
        <v>0.221944444444444</v>
      </c>
      <c r="AC429" s="62">
        <v>0.0</v>
      </c>
      <c r="AD429" s="62">
        <v>0.267222222222222</v>
      </c>
      <c r="AE429" s="62">
        <v>0.0</v>
      </c>
      <c r="AF429" s="62">
        <v>1.0</v>
      </c>
    </row>
    <row r="430">
      <c r="A430" s="68">
        <v>46135.0</v>
      </c>
      <c r="B430" s="62" t="s">
        <v>76</v>
      </c>
      <c r="C430" s="62" t="s">
        <v>165</v>
      </c>
      <c r="D430" s="62">
        <v>1.0</v>
      </c>
      <c r="E430" s="62">
        <v>5.0</v>
      </c>
      <c r="F430" s="62">
        <v>2.0</v>
      </c>
      <c r="G430" s="62">
        <v>0.0</v>
      </c>
      <c r="H430" s="62">
        <v>0.0</v>
      </c>
      <c r="I430" s="62">
        <v>0.0</v>
      </c>
      <c r="J430" s="62">
        <v>6.0</v>
      </c>
      <c r="K430" s="62">
        <v>4.0</v>
      </c>
      <c r="L430" s="62">
        <v>3.0</v>
      </c>
      <c r="M430" s="62">
        <v>5.0</v>
      </c>
      <c r="N430" s="62">
        <v>0.0</v>
      </c>
      <c r="O430" s="62">
        <v>1.0</v>
      </c>
      <c r="P430" s="62">
        <v>0.0</v>
      </c>
      <c r="Q430" s="62">
        <v>0.0</v>
      </c>
      <c r="R430" s="62">
        <v>2914.0</v>
      </c>
      <c r="S430" s="62">
        <v>14123.0</v>
      </c>
      <c r="T430" s="62">
        <v>1.07305555555555</v>
      </c>
      <c r="U430" s="62">
        <v>0.407222222222222</v>
      </c>
      <c r="V430" s="62">
        <v>0.0</v>
      </c>
      <c r="W430" s="62">
        <v>0.0</v>
      </c>
      <c r="X430" s="62">
        <v>0.0</v>
      </c>
      <c r="Y430" s="62">
        <v>1.74083333333333</v>
      </c>
      <c r="Z430" s="62">
        <v>1.26805555555555</v>
      </c>
      <c r="AA430" s="62">
        <v>0.9775</v>
      </c>
      <c r="AB430" s="62">
        <v>1.39944444444444</v>
      </c>
      <c r="AC430" s="62">
        <v>0.0</v>
      </c>
      <c r="AD430" s="62">
        <v>0.2275</v>
      </c>
      <c r="AE430" s="62">
        <v>0.0</v>
      </c>
      <c r="AF430" s="62">
        <v>4.0</v>
      </c>
    </row>
    <row r="431">
      <c r="A431" s="68">
        <v>46135.0</v>
      </c>
      <c r="B431" s="62" t="s">
        <v>100</v>
      </c>
      <c r="C431" s="62" t="s">
        <v>167</v>
      </c>
      <c r="D431" s="62">
        <v>6.0</v>
      </c>
      <c r="E431" s="62">
        <v>6.0</v>
      </c>
      <c r="F431" s="62">
        <v>1.0</v>
      </c>
      <c r="G431" s="62">
        <v>0.0</v>
      </c>
      <c r="H431" s="62">
        <v>2.0</v>
      </c>
      <c r="I431" s="62">
        <v>2.0</v>
      </c>
      <c r="J431" s="62">
        <v>2.0</v>
      </c>
      <c r="K431" s="62">
        <v>4.0</v>
      </c>
      <c r="L431" s="62">
        <v>0.0</v>
      </c>
      <c r="M431" s="62">
        <v>1.0</v>
      </c>
      <c r="N431" s="62">
        <v>5.0</v>
      </c>
      <c r="O431" s="62">
        <v>1.0</v>
      </c>
      <c r="P431" s="62">
        <v>5.0</v>
      </c>
      <c r="Q431" s="62">
        <v>0.0</v>
      </c>
      <c r="R431" s="62">
        <v>14780.0</v>
      </c>
      <c r="S431" s="62">
        <v>14417.0</v>
      </c>
      <c r="T431" s="62">
        <v>0.673888888888889</v>
      </c>
      <c r="U431" s="62">
        <v>0.214722222222222</v>
      </c>
      <c r="V431" s="62">
        <v>0.0</v>
      </c>
      <c r="W431" s="62">
        <v>0.436111111111111</v>
      </c>
      <c r="X431" s="62">
        <v>0.436111111111111</v>
      </c>
      <c r="Y431" s="62">
        <v>0.455833333333333</v>
      </c>
      <c r="Z431" s="62">
        <v>0.936666666666666</v>
      </c>
      <c r="AA431" s="62">
        <v>0.0</v>
      </c>
      <c r="AB431" s="62">
        <v>0.233055555555555</v>
      </c>
      <c r="AC431" s="62">
        <v>1.08805555555555</v>
      </c>
      <c r="AD431" s="62">
        <v>0.234444444444444</v>
      </c>
      <c r="AE431" s="62">
        <v>1.08805555555555</v>
      </c>
      <c r="AF431" s="62">
        <v>3.0</v>
      </c>
    </row>
    <row r="432">
      <c r="A432" s="68">
        <v>46135.0</v>
      </c>
      <c r="B432" s="62" t="s">
        <v>32</v>
      </c>
      <c r="C432" s="62" t="s">
        <v>168</v>
      </c>
      <c r="D432" s="62">
        <v>2.0</v>
      </c>
      <c r="E432" s="62">
        <v>0.0</v>
      </c>
      <c r="F432" s="62">
        <v>2.0</v>
      </c>
      <c r="G432" s="62">
        <v>0.0</v>
      </c>
      <c r="H432" s="62">
        <v>7.0</v>
      </c>
      <c r="I432" s="62">
        <v>3.0</v>
      </c>
      <c r="J432" s="62">
        <v>6.0</v>
      </c>
      <c r="K432" s="62">
        <v>0.0</v>
      </c>
      <c r="L432" s="62">
        <v>0.0</v>
      </c>
      <c r="M432" s="62">
        <v>5.0</v>
      </c>
      <c r="N432" s="62">
        <v>0.0</v>
      </c>
      <c r="O432" s="62">
        <v>1.0</v>
      </c>
      <c r="P432" s="62">
        <v>0.0</v>
      </c>
      <c r="Q432" s="62">
        <v>0.0</v>
      </c>
      <c r="R432" s="62">
        <v>4809.0</v>
      </c>
      <c r="S432" s="62">
        <v>0.0</v>
      </c>
      <c r="T432" s="62">
        <v>1.11916666666666</v>
      </c>
      <c r="U432" s="62">
        <v>0.428888888888888</v>
      </c>
      <c r="V432" s="62">
        <v>0.0</v>
      </c>
      <c r="W432" s="62">
        <v>1.58138888888888</v>
      </c>
      <c r="X432" s="62">
        <v>0.690277777777777</v>
      </c>
      <c r="Y432" s="62">
        <v>1.31444444444444</v>
      </c>
      <c r="Z432" s="62">
        <v>0.0</v>
      </c>
      <c r="AA432" s="62">
        <v>0.0</v>
      </c>
      <c r="AB432" s="62">
        <v>1.09638888888888</v>
      </c>
      <c r="AC432" s="62">
        <v>0.0</v>
      </c>
      <c r="AD432" s="62">
        <v>0.21</v>
      </c>
      <c r="AE432" s="62">
        <v>0.0</v>
      </c>
      <c r="AF432" s="62">
        <v>5.0</v>
      </c>
    </row>
    <row r="433">
      <c r="A433" s="68">
        <v>46135.0</v>
      </c>
      <c r="B433" s="62" t="s">
        <v>110</v>
      </c>
      <c r="C433" s="62" t="s">
        <v>169</v>
      </c>
      <c r="D433" s="62">
        <v>3.0</v>
      </c>
      <c r="E433" s="62">
        <v>0.0</v>
      </c>
      <c r="F433" s="62">
        <v>0.0</v>
      </c>
      <c r="G433" s="62">
        <v>0.0</v>
      </c>
      <c r="H433" s="62">
        <v>0.0</v>
      </c>
      <c r="I433" s="62">
        <v>0.0</v>
      </c>
      <c r="J433" s="62">
        <v>0.0</v>
      </c>
      <c r="K433" s="62">
        <v>0.0</v>
      </c>
      <c r="L433" s="62">
        <v>0.0</v>
      </c>
      <c r="M433" s="62">
        <v>0.0</v>
      </c>
      <c r="N433" s="62">
        <v>0.0</v>
      </c>
      <c r="O433" s="62">
        <v>0.0</v>
      </c>
      <c r="P433" s="62">
        <v>0.0</v>
      </c>
      <c r="Q433" s="62">
        <v>0.0</v>
      </c>
      <c r="R433" s="62">
        <v>5810.0</v>
      </c>
      <c r="S433" s="62">
        <v>0.0</v>
      </c>
      <c r="T433" s="62">
        <v>0.0</v>
      </c>
      <c r="U433" s="62">
        <v>0.0</v>
      </c>
      <c r="V433" s="62">
        <v>0.0</v>
      </c>
      <c r="W433" s="62">
        <v>0.0</v>
      </c>
      <c r="X433" s="62">
        <v>0.0</v>
      </c>
      <c r="Y433" s="62">
        <v>0.0</v>
      </c>
      <c r="Z433" s="62">
        <v>0.0</v>
      </c>
      <c r="AA433" s="62">
        <v>0.0</v>
      </c>
      <c r="AB433" s="62">
        <v>0.0</v>
      </c>
      <c r="AC433" s="62">
        <v>0.0</v>
      </c>
      <c r="AD433" s="62">
        <v>0.0</v>
      </c>
      <c r="AE433" s="62">
        <v>0.0</v>
      </c>
      <c r="AF433" s="62">
        <v>0.0</v>
      </c>
    </row>
    <row r="434">
      <c r="A434" s="68">
        <v>46135.0</v>
      </c>
      <c r="B434" s="62" t="s">
        <v>93</v>
      </c>
      <c r="C434" s="62" t="s">
        <v>182</v>
      </c>
      <c r="D434" s="62">
        <v>0.0</v>
      </c>
      <c r="E434" s="62">
        <v>3.0</v>
      </c>
      <c r="F434" s="62">
        <v>0.0</v>
      </c>
      <c r="G434" s="62">
        <v>0.0</v>
      </c>
      <c r="H434" s="62">
        <v>0.0</v>
      </c>
      <c r="I434" s="62">
        <v>0.0</v>
      </c>
      <c r="J434" s="62">
        <v>0.0</v>
      </c>
      <c r="K434" s="62">
        <v>0.0</v>
      </c>
      <c r="L434" s="62">
        <v>0.0</v>
      </c>
      <c r="M434" s="62">
        <v>0.0</v>
      </c>
      <c r="N434" s="62">
        <v>0.0</v>
      </c>
      <c r="O434" s="62">
        <v>1.0</v>
      </c>
      <c r="P434" s="62">
        <v>0.0</v>
      </c>
      <c r="Q434" s="62">
        <v>0.0</v>
      </c>
      <c r="R434" s="62">
        <v>0.0</v>
      </c>
      <c r="S434" s="62">
        <v>6987.0</v>
      </c>
      <c r="T434" s="62">
        <v>0.0</v>
      </c>
      <c r="U434" s="62">
        <v>0.0</v>
      </c>
      <c r="V434" s="62">
        <v>0.0</v>
      </c>
      <c r="W434" s="62">
        <v>0.0</v>
      </c>
      <c r="X434" s="62">
        <v>0.0</v>
      </c>
      <c r="Y434" s="62">
        <v>0.0</v>
      </c>
      <c r="Z434" s="62">
        <v>0.0</v>
      </c>
      <c r="AA434" s="62">
        <v>0.0</v>
      </c>
      <c r="AB434" s="62">
        <v>0.0</v>
      </c>
      <c r="AC434" s="62">
        <v>0.0</v>
      </c>
      <c r="AD434" s="62">
        <v>0.214166666666666</v>
      </c>
      <c r="AE434" s="62">
        <v>0.0</v>
      </c>
      <c r="AF434" s="62">
        <v>0.0</v>
      </c>
    </row>
    <row r="435">
      <c r="A435" s="68">
        <v>46135.0</v>
      </c>
      <c r="B435" s="62" t="s">
        <v>41</v>
      </c>
      <c r="C435" s="62" t="s">
        <v>172</v>
      </c>
      <c r="D435" s="62">
        <v>0.0</v>
      </c>
      <c r="E435" s="62">
        <v>10.0</v>
      </c>
      <c r="F435" s="62">
        <v>0.0</v>
      </c>
      <c r="G435" s="62">
        <v>0.0</v>
      </c>
      <c r="H435" s="62">
        <v>0.0</v>
      </c>
      <c r="I435" s="62">
        <v>0.0</v>
      </c>
      <c r="J435" s="62">
        <v>0.0</v>
      </c>
      <c r="K435" s="62">
        <v>0.0</v>
      </c>
      <c r="L435" s="62">
        <v>0.0</v>
      </c>
      <c r="M435" s="62">
        <v>0.0</v>
      </c>
      <c r="N435" s="62">
        <v>0.0</v>
      </c>
      <c r="O435" s="62">
        <v>0.0</v>
      </c>
      <c r="P435" s="62">
        <v>0.0</v>
      </c>
      <c r="Q435" s="62">
        <v>0.0</v>
      </c>
      <c r="R435" s="62">
        <v>0.0</v>
      </c>
      <c r="S435" s="62">
        <v>24498.0</v>
      </c>
      <c r="T435" s="62">
        <v>0.691111111111111</v>
      </c>
      <c r="U435" s="62">
        <v>0.0</v>
      </c>
      <c r="V435" s="62">
        <v>0.0</v>
      </c>
      <c r="W435" s="62">
        <v>0.0</v>
      </c>
      <c r="X435" s="62">
        <v>0.0</v>
      </c>
      <c r="Y435" s="62">
        <v>0.0</v>
      </c>
      <c r="Z435" s="62">
        <v>0.0</v>
      </c>
      <c r="AA435" s="62">
        <v>0.0</v>
      </c>
      <c r="AB435" s="62">
        <v>0.0</v>
      </c>
      <c r="AC435" s="62">
        <v>0.0</v>
      </c>
      <c r="AD435" s="62">
        <v>0.0</v>
      </c>
      <c r="AE435" s="62">
        <v>0.0</v>
      </c>
      <c r="AF435" s="62">
        <v>3.0</v>
      </c>
    </row>
    <row r="436">
      <c r="A436" s="68">
        <v>46135.0</v>
      </c>
      <c r="B436" s="62" t="s">
        <v>65</v>
      </c>
      <c r="C436" s="62" t="s">
        <v>173</v>
      </c>
      <c r="D436" s="62">
        <v>2.0</v>
      </c>
      <c r="E436" s="62">
        <v>0.0</v>
      </c>
      <c r="F436" s="62">
        <v>0.0</v>
      </c>
      <c r="G436" s="62">
        <v>0.0</v>
      </c>
      <c r="H436" s="62">
        <v>2.0</v>
      </c>
      <c r="I436" s="62">
        <v>2.0</v>
      </c>
      <c r="J436" s="62">
        <v>2.0</v>
      </c>
      <c r="K436" s="62">
        <v>0.0</v>
      </c>
      <c r="L436" s="62">
        <v>0.0</v>
      </c>
      <c r="M436" s="62">
        <v>0.0</v>
      </c>
      <c r="N436" s="62">
        <v>0.0</v>
      </c>
      <c r="O436" s="62">
        <v>1.0</v>
      </c>
      <c r="P436" s="62">
        <v>0.0</v>
      </c>
      <c r="Q436" s="62">
        <v>0.0</v>
      </c>
      <c r="R436" s="62">
        <v>4685.0</v>
      </c>
      <c r="S436" s="62">
        <v>0.0</v>
      </c>
      <c r="T436" s="62">
        <v>0.509166666666666</v>
      </c>
      <c r="U436" s="62">
        <v>0.0</v>
      </c>
      <c r="V436" s="62">
        <v>0.0</v>
      </c>
      <c r="W436" s="62">
        <v>0.509166666666666</v>
      </c>
      <c r="X436" s="62">
        <v>0.509166666666666</v>
      </c>
      <c r="Y436" s="62">
        <v>0.514722222222222</v>
      </c>
      <c r="Z436" s="62">
        <v>0.0</v>
      </c>
      <c r="AA436" s="62">
        <v>0.0</v>
      </c>
      <c r="AB436" s="62">
        <v>0.0</v>
      </c>
      <c r="AC436" s="62">
        <v>0.0</v>
      </c>
      <c r="AD436" s="62">
        <v>0.254166666666666</v>
      </c>
      <c r="AE436" s="62">
        <v>0.0</v>
      </c>
      <c r="AF436" s="62">
        <v>2.0</v>
      </c>
    </row>
    <row r="437">
      <c r="A437" s="68">
        <v>46135.0</v>
      </c>
      <c r="B437" s="62" t="s">
        <v>37</v>
      </c>
      <c r="C437" s="62" t="s">
        <v>174</v>
      </c>
      <c r="D437" s="62">
        <v>0.0</v>
      </c>
      <c r="E437" s="62">
        <v>0.0</v>
      </c>
      <c r="F437" s="62">
        <v>0.0</v>
      </c>
      <c r="G437" s="62">
        <v>0.0</v>
      </c>
      <c r="H437" s="62">
        <v>0.0</v>
      </c>
      <c r="I437" s="62">
        <v>0.0</v>
      </c>
      <c r="J437" s="62">
        <v>1.0</v>
      </c>
      <c r="K437" s="62">
        <v>4.0</v>
      </c>
      <c r="L437" s="62">
        <v>1.0</v>
      </c>
      <c r="M437" s="62">
        <v>4.0</v>
      </c>
      <c r="N437" s="62">
        <v>1.0</v>
      </c>
      <c r="O437" s="62">
        <v>1.0</v>
      </c>
      <c r="P437" s="62">
        <v>1.0</v>
      </c>
      <c r="Q437" s="62">
        <v>0.0</v>
      </c>
      <c r="R437" s="62">
        <v>0.0</v>
      </c>
      <c r="S437" s="62">
        <v>0.0</v>
      </c>
      <c r="T437" s="62">
        <v>1.18472222222222</v>
      </c>
      <c r="U437" s="62">
        <v>0.0</v>
      </c>
      <c r="V437" s="62">
        <v>0.0</v>
      </c>
      <c r="W437" s="62">
        <v>0.0</v>
      </c>
      <c r="X437" s="62">
        <v>0.0</v>
      </c>
      <c r="Y437" s="62">
        <v>0.252222222222222</v>
      </c>
      <c r="Z437" s="62">
        <v>0.997777777777777</v>
      </c>
      <c r="AA437" s="62">
        <v>0.252222222222222</v>
      </c>
      <c r="AB437" s="62">
        <v>0.993333333333333</v>
      </c>
      <c r="AC437" s="62">
        <v>0.256666666666666</v>
      </c>
      <c r="AD437" s="62">
        <v>0.310555555555555</v>
      </c>
      <c r="AE437" s="62">
        <v>0.256666666666666</v>
      </c>
      <c r="AF437" s="62">
        <v>5.0</v>
      </c>
    </row>
    <row r="438">
      <c r="A438" s="68">
        <v>46135.0</v>
      </c>
      <c r="B438" s="62" t="s">
        <v>108</v>
      </c>
      <c r="C438" s="62" t="s">
        <v>175</v>
      </c>
      <c r="D438" s="62">
        <v>0.0</v>
      </c>
      <c r="E438" s="62">
        <v>1.0</v>
      </c>
      <c r="F438" s="62">
        <v>0.0</v>
      </c>
      <c r="G438" s="62">
        <v>0.0</v>
      </c>
      <c r="H438" s="62">
        <v>0.0</v>
      </c>
      <c r="I438" s="62">
        <v>0.0</v>
      </c>
      <c r="J438" s="62">
        <v>0.0</v>
      </c>
      <c r="K438" s="62">
        <v>0.0</v>
      </c>
      <c r="L438" s="62">
        <v>0.0</v>
      </c>
      <c r="M438" s="62">
        <v>0.0</v>
      </c>
      <c r="N438" s="62">
        <v>0.0</v>
      </c>
      <c r="O438" s="62">
        <v>0.0</v>
      </c>
      <c r="P438" s="62">
        <v>0.0</v>
      </c>
      <c r="Q438" s="62">
        <v>0.0</v>
      </c>
      <c r="R438" s="62">
        <v>0.0</v>
      </c>
      <c r="S438" s="62">
        <v>2368.0</v>
      </c>
      <c r="T438" s="62">
        <v>0.0</v>
      </c>
      <c r="U438" s="62">
        <v>0.0</v>
      </c>
      <c r="V438" s="62">
        <v>0.0</v>
      </c>
      <c r="W438" s="62">
        <v>0.0</v>
      </c>
      <c r="X438" s="62">
        <v>0.0</v>
      </c>
      <c r="Y438" s="62">
        <v>0.0</v>
      </c>
      <c r="Z438" s="62">
        <v>0.0</v>
      </c>
      <c r="AA438" s="62">
        <v>0.0</v>
      </c>
      <c r="AB438" s="62">
        <v>0.0</v>
      </c>
      <c r="AC438" s="62">
        <v>0.0</v>
      </c>
      <c r="AD438" s="62">
        <v>0.0</v>
      </c>
      <c r="AE438" s="62">
        <v>0.0</v>
      </c>
      <c r="AF438" s="62">
        <v>0.0</v>
      </c>
    </row>
    <row r="439">
      <c r="A439" s="68">
        <v>46135.0</v>
      </c>
      <c r="B439" s="62" t="s">
        <v>56</v>
      </c>
      <c r="C439" s="62" t="s">
        <v>176</v>
      </c>
      <c r="D439" s="62">
        <v>0.0</v>
      </c>
      <c r="E439" s="62">
        <v>3.0</v>
      </c>
      <c r="F439" s="62">
        <v>2.0</v>
      </c>
      <c r="G439" s="62">
        <v>3.0</v>
      </c>
      <c r="H439" s="62">
        <v>4.0</v>
      </c>
      <c r="I439" s="62">
        <v>1.0</v>
      </c>
      <c r="J439" s="62">
        <v>4.0</v>
      </c>
      <c r="K439" s="62">
        <v>0.0</v>
      </c>
      <c r="L439" s="62">
        <v>0.0</v>
      </c>
      <c r="M439" s="62">
        <v>0.0</v>
      </c>
      <c r="N439" s="62">
        <v>0.0</v>
      </c>
      <c r="O439" s="62">
        <v>0.0</v>
      </c>
      <c r="P439" s="62">
        <v>0.0</v>
      </c>
      <c r="Q439" s="62">
        <v>0.0</v>
      </c>
      <c r="R439" s="62">
        <v>0.0</v>
      </c>
      <c r="S439" s="62">
        <v>7177.0</v>
      </c>
      <c r="T439" s="62">
        <v>0.675833333333333</v>
      </c>
      <c r="U439" s="62">
        <v>0.467222222222222</v>
      </c>
      <c r="V439" s="62">
        <v>0.686388888888888</v>
      </c>
      <c r="W439" s="62">
        <v>0.895</v>
      </c>
      <c r="X439" s="62">
        <v>0.208611111111111</v>
      </c>
      <c r="Y439" s="62">
        <v>0.901111111111111</v>
      </c>
      <c r="Z439" s="62">
        <v>0.0</v>
      </c>
      <c r="AA439" s="62">
        <v>0.0</v>
      </c>
      <c r="AB439" s="62">
        <v>0.0</v>
      </c>
      <c r="AC439" s="62">
        <v>0.0</v>
      </c>
      <c r="AD439" s="62">
        <v>0.0</v>
      </c>
      <c r="AE439" s="62">
        <v>0.0</v>
      </c>
      <c r="AF439" s="62">
        <v>3.0</v>
      </c>
    </row>
    <row r="440">
      <c r="A440" s="68">
        <v>46135.0</v>
      </c>
      <c r="B440" s="62" t="s">
        <v>91</v>
      </c>
      <c r="C440" s="62" t="s">
        <v>184</v>
      </c>
      <c r="D440" s="62">
        <v>0.0</v>
      </c>
      <c r="E440" s="62">
        <v>0.0</v>
      </c>
      <c r="F440" s="62">
        <v>0.0</v>
      </c>
      <c r="G440" s="62">
        <v>0.0</v>
      </c>
      <c r="H440" s="62">
        <v>0.0</v>
      </c>
      <c r="I440" s="62">
        <v>0.0</v>
      </c>
      <c r="J440" s="62">
        <v>1.0</v>
      </c>
      <c r="K440" s="62">
        <v>4.0</v>
      </c>
      <c r="L440" s="62">
        <v>2.0</v>
      </c>
      <c r="M440" s="62">
        <v>0.0</v>
      </c>
      <c r="N440" s="62">
        <v>0.0</v>
      </c>
      <c r="O440" s="62">
        <v>1.0</v>
      </c>
      <c r="P440" s="62">
        <v>0.0</v>
      </c>
      <c r="Q440" s="62">
        <v>0.0</v>
      </c>
      <c r="R440" s="62">
        <v>0.0</v>
      </c>
      <c r="S440" s="62">
        <v>0.0</v>
      </c>
      <c r="T440" s="62">
        <v>0.0</v>
      </c>
      <c r="U440" s="62">
        <v>0.0</v>
      </c>
      <c r="V440" s="62">
        <v>0.0</v>
      </c>
      <c r="W440" s="62">
        <v>0.0</v>
      </c>
      <c r="X440" s="62">
        <v>0.0</v>
      </c>
      <c r="Y440" s="62">
        <v>0.2125</v>
      </c>
      <c r="Z440" s="62">
        <v>0.875833333333333</v>
      </c>
      <c r="AA440" s="62">
        <v>0.410555555555555</v>
      </c>
      <c r="AB440" s="62">
        <v>0.0</v>
      </c>
      <c r="AC440" s="62">
        <v>0.0</v>
      </c>
      <c r="AD440" s="62">
        <v>0.158611111111111</v>
      </c>
      <c r="AE440" s="62">
        <v>0.0</v>
      </c>
      <c r="AF440" s="62">
        <v>0.0</v>
      </c>
    </row>
    <row r="441">
      <c r="A441" s="68">
        <v>46135.0</v>
      </c>
      <c r="B441" s="62" t="s">
        <v>26</v>
      </c>
      <c r="C441" s="62" t="s">
        <v>178</v>
      </c>
      <c r="D441" s="62">
        <v>16.0</v>
      </c>
      <c r="E441" s="62">
        <v>0.0</v>
      </c>
      <c r="F441" s="62">
        <v>2.0</v>
      </c>
      <c r="G441" s="62">
        <v>1.0</v>
      </c>
      <c r="H441" s="62">
        <v>4.0</v>
      </c>
      <c r="I441" s="62">
        <v>3.0</v>
      </c>
      <c r="J441" s="62">
        <v>10.0</v>
      </c>
      <c r="K441" s="62">
        <v>3.0</v>
      </c>
      <c r="L441" s="62">
        <v>0.0</v>
      </c>
      <c r="M441" s="62">
        <v>16.0</v>
      </c>
      <c r="N441" s="62">
        <v>2.0</v>
      </c>
      <c r="O441" s="62">
        <v>1.0</v>
      </c>
      <c r="P441" s="62">
        <v>2.0</v>
      </c>
      <c r="Q441" s="62">
        <v>0.0</v>
      </c>
      <c r="R441" s="62">
        <v>37732.0</v>
      </c>
      <c r="S441" s="62">
        <v>0.0</v>
      </c>
      <c r="T441" s="62">
        <v>0.581111111111111</v>
      </c>
      <c r="U441" s="62">
        <v>0.363611111111111</v>
      </c>
      <c r="V441" s="62">
        <v>0.188055555555555</v>
      </c>
      <c r="W441" s="62">
        <v>0.736944444444444</v>
      </c>
      <c r="X441" s="62">
        <v>0.548888888888888</v>
      </c>
      <c r="Y441" s="62">
        <v>1.89916666666666</v>
      </c>
      <c r="Z441" s="62">
        <v>0.510277777777777</v>
      </c>
      <c r="AA441" s="62">
        <v>0.0</v>
      </c>
      <c r="AB441" s="62">
        <v>2.98194444444444</v>
      </c>
      <c r="AC441" s="62">
        <v>0.371388888888888</v>
      </c>
      <c r="AD441" s="62">
        <v>0.1975</v>
      </c>
      <c r="AE441" s="62">
        <v>0.371388888888888</v>
      </c>
      <c r="AF441" s="62">
        <v>3.0</v>
      </c>
    </row>
    <row r="442">
      <c r="A442" s="68">
        <v>46135.0</v>
      </c>
      <c r="B442" s="62" t="s">
        <v>62</v>
      </c>
      <c r="C442" s="62" t="s">
        <v>63</v>
      </c>
      <c r="D442" s="62">
        <v>2.0</v>
      </c>
      <c r="E442" s="62">
        <v>2.0</v>
      </c>
      <c r="F442" s="62">
        <v>0.0</v>
      </c>
      <c r="G442" s="62">
        <v>0.0</v>
      </c>
      <c r="H442" s="62">
        <v>0.0</v>
      </c>
      <c r="I442" s="62">
        <v>0.0</v>
      </c>
      <c r="J442" s="62">
        <v>0.0</v>
      </c>
      <c r="K442" s="62">
        <v>0.0</v>
      </c>
      <c r="L442" s="62">
        <v>0.0</v>
      </c>
      <c r="M442" s="62">
        <v>0.0</v>
      </c>
      <c r="N442" s="62">
        <v>2.0</v>
      </c>
      <c r="O442" s="62">
        <v>1.0</v>
      </c>
      <c r="P442" s="62">
        <v>2.0</v>
      </c>
      <c r="Q442" s="62">
        <v>0.0</v>
      </c>
      <c r="R442" s="62">
        <v>4734.0</v>
      </c>
      <c r="S442" s="62">
        <v>5026.0</v>
      </c>
      <c r="T442" s="62">
        <v>0.672222222222222</v>
      </c>
      <c r="U442" s="62">
        <v>0.0</v>
      </c>
      <c r="V442" s="62">
        <v>0.0</v>
      </c>
      <c r="W442" s="62">
        <v>0.0</v>
      </c>
      <c r="X442" s="62">
        <v>0.0</v>
      </c>
      <c r="Y442" s="62">
        <v>0.0</v>
      </c>
      <c r="Z442" s="62">
        <v>0.0</v>
      </c>
      <c r="AA442" s="62">
        <v>0.0</v>
      </c>
      <c r="AB442" s="62">
        <v>0.0</v>
      </c>
      <c r="AC442" s="62">
        <v>0.424722222222222</v>
      </c>
      <c r="AD442" s="62">
        <v>0.220277777777777</v>
      </c>
      <c r="AE442" s="62">
        <v>0.424722222222222</v>
      </c>
      <c r="AF442" s="62">
        <v>3.0</v>
      </c>
    </row>
    <row r="443">
      <c r="A443" s="68">
        <v>46134.0</v>
      </c>
      <c r="B443" s="62" t="s">
        <v>79</v>
      </c>
      <c r="C443" s="62" t="s">
        <v>162</v>
      </c>
      <c r="D443" s="62">
        <v>15.0</v>
      </c>
      <c r="E443" s="62">
        <v>0.0</v>
      </c>
      <c r="F443" s="62">
        <v>0.0</v>
      </c>
      <c r="G443" s="62">
        <v>0.0</v>
      </c>
      <c r="H443" s="62">
        <v>0.0</v>
      </c>
      <c r="I443" s="62">
        <v>0.0</v>
      </c>
      <c r="J443" s="62">
        <v>0.0</v>
      </c>
      <c r="K443" s="62">
        <v>0.0</v>
      </c>
      <c r="L443" s="62">
        <v>0.0</v>
      </c>
      <c r="M443" s="62">
        <v>0.0</v>
      </c>
      <c r="N443" s="62">
        <v>0.0</v>
      </c>
      <c r="O443" s="62">
        <v>1.0</v>
      </c>
      <c r="P443" s="62">
        <v>0.0</v>
      </c>
      <c r="Q443" s="62">
        <v>0.0</v>
      </c>
      <c r="R443" s="62">
        <v>35419.0</v>
      </c>
      <c r="S443" s="62">
        <v>0.0</v>
      </c>
      <c r="T443" s="62">
        <v>0.0</v>
      </c>
      <c r="U443" s="62">
        <v>0.0</v>
      </c>
      <c r="V443" s="62">
        <v>0.0</v>
      </c>
      <c r="W443" s="62">
        <v>0.0</v>
      </c>
      <c r="X443" s="62">
        <v>0.0</v>
      </c>
      <c r="Y443" s="62">
        <v>0.0</v>
      </c>
      <c r="Z443" s="62">
        <v>0.0</v>
      </c>
      <c r="AA443" s="62">
        <v>0.0</v>
      </c>
      <c r="AB443" s="62">
        <v>0.0</v>
      </c>
      <c r="AC443" s="62">
        <v>0.0</v>
      </c>
      <c r="AD443" s="62">
        <v>0.189722222222222</v>
      </c>
      <c r="AE443" s="62">
        <v>0.0</v>
      </c>
      <c r="AF443" s="62">
        <v>0.0</v>
      </c>
    </row>
    <row r="444">
      <c r="A444" s="68">
        <v>46134.0</v>
      </c>
      <c r="B444" s="62" t="s">
        <v>96</v>
      </c>
      <c r="C444" s="62" t="s">
        <v>97</v>
      </c>
      <c r="D444" s="62">
        <v>7.0</v>
      </c>
      <c r="E444" s="62">
        <v>6.0</v>
      </c>
      <c r="F444" s="62">
        <v>0.0</v>
      </c>
      <c r="G444" s="62">
        <v>0.0</v>
      </c>
      <c r="H444" s="62">
        <v>4.0</v>
      </c>
      <c r="I444" s="62">
        <v>0.0</v>
      </c>
      <c r="J444" s="62">
        <v>4.0</v>
      </c>
      <c r="K444" s="62">
        <v>0.0</v>
      </c>
      <c r="L444" s="62">
        <v>0.0</v>
      </c>
      <c r="M444" s="62">
        <v>0.0</v>
      </c>
      <c r="N444" s="62">
        <v>6.0</v>
      </c>
      <c r="O444" s="62">
        <v>1.0</v>
      </c>
      <c r="P444" s="62">
        <v>6.0</v>
      </c>
      <c r="Q444" s="62">
        <v>0.0</v>
      </c>
      <c r="R444" s="62">
        <v>15049.0</v>
      </c>
      <c r="S444" s="62">
        <v>12964.0</v>
      </c>
      <c r="T444" s="62">
        <v>0.519722222222222</v>
      </c>
      <c r="U444" s="62">
        <v>0.0</v>
      </c>
      <c r="V444" s="62">
        <v>0.0</v>
      </c>
      <c r="W444" s="62">
        <v>0.813611111111111</v>
      </c>
      <c r="X444" s="62">
        <v>0.0</v>
      </c>
      <c r="Y444" s="62">
        <v>0.813611111111111</v>
      </c>
      <c r="Z444" s="62">
        <v>0.0</v>
      </c>
      <c r="AA444" s="62">
        <v>0.0</v>
      </c>
      <c r="AB444" s="62">
        <v>0.0</v>
      </c>
      <c r="AC444" s="62">
        <v>1.48055555555555</v>
      </c>
      <c r="AD444" s="62">
        <v>0.264166666666666</v>
      </c>
      <c r="AE444" s="62">
        <v>1.48055555555555</v>
      </c>
      <c r="AF444" s="62">
        <v>2.0</v>
      </c>
    </row>
    <row r="445">
      <c r="A445" s="68">
        <v>46134.0</v>
      </c>
      <c r="B445" s="62" t="s">
        <v>98</v>
      </c>
      <c r="C445" s="62" t="s">
        <v>183</v>
      </c>
      <c r="D445" s="62">
        <v>3.0</v>
      </c>
      <c r="E445" s="62">
        <v>0.0</v>
      </c>
      <c r="F445" s="62">
        <v>3.0</v>
      </c>
      <c r="G445" s="62">
        <v>5.0</v>
      </c>
      <c r="H445" s="62">
        <v>3.0</v>
      </c>
      <c r="I445" s="62">
        <v>0.0</v>
      </c>
      <c r="J445" s="62">
        <v>0.0</v>
      </c>
      <c r="K445" s="62">
        <v>0.0</v>
      </c>
      <c r="L445" s="62">
        <v>0.0</v>
      </c>
      <c r="M445" s="62">
        <v>2.0</v>
      </c>
      <c r="N445" s="62">
        <v>1.0</v>
      </c>
      <c r="O445" s="62">
        <v>1.0</v>
      </c>
      <c r="P445" s="62">
        <v>1.0</v>
      </c>
      <c r="Q445" s="62">
        <v>0.0</v>
      </c>
      <c r="R445" s="62">
        <v>6736.0</v>
      </c>
      <c r="S445" s="62">
        <v>0.0</v>
      </c>
      <c r="T445" s="62">
        <v>0.0</v>
      </c>
      <c r="U445" s="62">
        <v>0.662222222222222</v>
      </c>
      <c r="V445" s="62">
        <v>1.08666666666666</v>
      </c>
      <c r="W445" s="62">
        <v>0.661944444444444</v>
      </c>
      <c r="X445" s="62">
        <v>0.0</v>
      </c>
      <c r="Y445" s="62">
        <v>0.0</v>
      </c>
      <c r="Z445" s="62">
        <v>0.0</v>
      </c>
      <c r="AA445" s="62">
        <v>0.0</v>
      </c>
      <c r="AB445" s="62">
        <v>0.424722222222222</v>
      </c>
      <c r="AC445" s="62">
        <v>0.211388888888888</v>
      </c>
      <c r="AD445" s="62">
        <v>0.228611111111111</v>
      </c>
      <c r="AE445" s="62">
        <v>0.211388888888888</v>
      </c>
      <c r="AF445" s="62">
        <v>0.0</v>
      </c>
    </row>
    <row r="446">
      <c r="A446" s="68">
        <v>46134.0</v>
      </c>
      <c r="B446" s="62" t="s">
        <v>71</v>
      </c>
      <c r="C446" s="62" t="s">
        <v>163</v>
      </c>
      <c r="D446" s="62">
        <v>0.0</v>
      </c>
      <c r="E446" s="62">
        <v>0.0</v>
      </c>
      <c r="F446" s="62">
        <v>1.0</v>
      </c>
      <c r="G446" s="62">
        <v>0.0</v>
      </c>
      <c r="H446" s="62">
        <v>1.0</v>
      </c>
      <c r="I446" s="62">
        <v>1.0</v>
      </c>
      <c r="J446" s="62">
        <v>0.0</v>
      </c>
      <c r="K446" s="62">
        <v>0.0</v>
      </c>
      <c r="L446" s="62">
        <v>0.0</v>
      </c>
      <c r="M446" s="62">
        <v>0.0</v>
      </c>
      <c r="N446" s="62">
        <v>0.0</v>
      </c>
      <c r="O446" s="62">
        <v>1.0</v>
      </c>
      <c r="P446" s="62">
        <v>0.0</v>
      </c>
      <c r="Q446" s="62">
        <v>0.0</v>
      </c>
      <c r="R446" s="62">
        <v>0.0</v>
      </c>
      <c r="S446" s="62">
        <v>0.0</v>
      </c>
      <c r="T446" s="62">
        <v>0.438611111111111</v>
      </c>
      <c r="U446" s="62">
        <v>0.206944444444444</v>
      </c>
      <c r="V446" s="62">
        <v>0.0</v>
      </c>
      <c r="W446" s="62">
        <v>0.231666666666666</v>
      </c>
      <c r="X446" s="62">
        <v>0.231666666666666</v>
      </c>
      <c r="Y446" s="62">
        <v>0.0</v>
      </c>
      <c r="Z446" s="62">
        <v>0.0</v>
      </c>
      <c r="AA446" s="62">
        <v>0.0</v>
      </c>
      <c r="AB446" s="62">
        <v>0.0</v>
      </c>
      <c r="AC446" s="62">
        <v>0.0</v>
      </c>
      <c r="AD446" s="62">
        <v>0.264166666666666</v>
      </c>
      <c r="AE446" s="62">
        <v>0.0</v>
      </c>
      <c r="AF446" s="62">
        <v>2.0</v>
      </c>
    </row>
    <row r="447">
      <c r="A447" s="68">
        <v>46134.0</v>
      </c>
      <c r="B447" s="62" t="s">
        <v>76</v>
      </c>
      <c r="C447" s="62" t="s">
        <v>165</v>
      </c>
      <c r="D447" s="62">
        <v>0.0</v>
      </c>
      <c r="E447" s="62">
        <v>5.0</v>
      </c>
      <c r="F447" s="62">
        <v>4.0</v>
      </c>
      <c r="G447" s="62">
        <v>9.0</v>
      </c>
      <c r="H447" s="62">
        <v>9.0</v>
      </c>
      <c r="I447" s="62">
        <v>0.0</v>
      </c>
      <c r="J447" s="62">
        <v>4.0</v>
      </c>
      <c r="K447" s="62">
        <v>0.0</v>
      </c>
      <c r="L447" s="62">
        <v>0.0</v>
      </c>
      <c r="M447" s="62">
        <v>1.0</v>
      </c>
      <c r="N447" s="62">
        <v>6.0</v>
      </c>
      <c r="O447" s="62">
        <v>1.0</v>
      </c>
      <c r="P447" s="62">
        <v>6.0</v>
      </c>
      <c r="Q447" s="62">
        <v>0.0</v>
      </c>
      <c r="R447" s="62">
        <v>0.0</v>
      </c>
      <c r="S447" s="62">
        <v>14719.0</v>
      </c>
      <c r="T447" s="62">
        <v>1.17666666666666</v>
      </c>
      <c r="U447" s="62">
        <v>1.17666666666666</v>
      </c>
      <c r="V447" s="62">
        <v>2.6675</v>
      </c>
      <c r="W447" s="62">
        <v>2.6675</v>
      </c>
      <c r="X447" s="62">
        <v>0.0</v>
      </c>
      <c r="Y447" s="62">
        <v>1.24805555555555</v>
      </c>
      <c r="Z447" s="62">
        <v>0.0</v>
      </c>
      <c r="AA447" s="62">
        <v>0.0</v>
      </c>
      <c r="AB447" s="62">
        <v>0.321388888888888</v>
      </c>
      <c r="AC447" s="62">
        <v>1.84555555555555</v>
      </c>
      <c r="AD447" s="62">
        <v>0.226666666666666</v>
      </c>
      <c r="AE447" s="62">
        <v>1.84555555555555</v>
      </c>
      <c r="AF447" s="62">
        <v>4.0</v>
      </c>
    </row>
    <row r="448">
      <c r="A448" s="68">
        <v>46134.0</v>
      </c>
      <c r="B448" s="62" t="s">
        <v>100</v>
      </c>
      <c r="C448" s="62" t="s">
        <v>167</v>
      </c>
      <c r="D448" s="62">
        <v>10.0</v>
      </c>
      <c r="E448" s="62">
        <v>2.0</v>
      </c>
      <c r="F448" s="62">
        <v>1.0</v>
      </c>
      <c r="G448" s="62">
        <v>0.0</v>
      </c>
      <c r="H448" s="62">
        <v>2.0</v>
      </c>
      <c r="I448" s="62">
        <v>2.0</v>
      </c>
      <c r="J448" s="62">
        <v>3.0</v>
      </c>
      <c r="K448" s="62">
        <v>1.0</v>
      </c>
      <c r="L448" s="62">
        <v>0.0</v>
      </c>
      <c r="M448" s="62">
        <v>1.0</v>
      </c>
      <c r="N448" s="62">
        <v>0.0</v>
      </c>
      <c r="O448" s="62">
        <v>0.0</v>
      </c>
      <c r="P448" s="62">
        <v>0.0</v>
      </c>
      <c r="Q448" s="62">
        <v>0.0</v>
      </c>
      <c r="R448" s="62">
        <v>23690.0</v>
      </c>
      <c r="S448" s="62">
        <v>4871.0</v>
      </c>
      <c r="T448" s="62">
        <v>0.650833333333333</v>
      </c>
      <c r="U448" s="62">
        <v>0.248888888888888</v>
      </c>
      <c r="V448" s="62">
        <v>0.0</v>
      </c>
      <c r="W448" s="62">
        <v>0.460555555555555</v>
      </c>
      <c r="X448" s="62">
        <v>0.460555555555555</v>
      </c>
      <c r="Y448" s="62">
        <v>0.69</v>
      </c>
      <c r="Z448" s="62">
        <v>0.209166666666666</v>
      </c>
      <c r="AA448" s="62">
        <v>0.0</v>
      </c>
      <c r="AB448" s="62">
        <v>0.209166666666666</v>
      </c>
      <c r="AC448" s="62">
        <v>0.0</v>
      </c>
      <c r="AD448" s="62">
        <v>0.0</v>
      </c>
      <c r="AE448" s="62">
        <v>0.0</v>
      </c>
      <c r="AF448" s="62">
        <v>3.0</v>
      </c>
    </row>
    <row r="449">
      <c r="A449" s="68">
        <v>46134.0</v>
      </c>
      <c r="B449" s="62" t="s">
        <v>32</v>
      </c>
      <c r="C449" s="62" t="s">
        <v>168</v>
      </c>
      <c r="D449" s="62">
        <v>0.0</v>
      </c>
      <c r="E449" s="62">
        <v>6.0</v>
      </c>
      <c r="F449" s="62">
        <v>6.0</v>
      </c>
      <c r="G449" s="62">
        <v>0.0</v>
      </c>
      <c r="H449" s="62">
        <v>6.0</v>
      </c>
      <c r="I449" s="62">
        <v>5.0</v>
      </c>
      <c r="J449" s="62">
        <v>4.0</v>
      </c>
      <c r="K449" s="62">
        <v>2.0</v>
      </c>
      <c r="L449" s="62">
        <v>0.0</v>
      </c>
      <c r="M449" s="62">
        <v>6.0</v>
      </c>
      <c r="N449" s="62">
        <v>3.0</v>
      </c>
      <c r="O449" s="62">
        <v>1.0</v>
      </c>
      <c r="P449" s="62">
        <v>3.0</v>
      </c>
      <c r="Q449" s="62">
        <v>0.0</v>
      </c>
      <c r="R449" s="62">
        <v>0.0</v>
      </c>
      <c r="S449" s="62">
        <v>14295.0</v>
      </c>
      <c r="T449" s="62">
        <v>1.09277777777777</v>
      </c>
      <c r="U449" s="62">
        <v>1.32527777777777</v>
      </c>
      <c r="V449" s="62">
        <v>0.0</v>
      </c>
      <c r="W449" s="62">
        <v>1.30333333333333</v>
      </c>
      <c r="X449" s="62">
        <v>1.08055555555555</v>
      </c>
      <c r="Y449" s="62">
        <v>0.875555555555555</v>
      </c>
      <c r="Z449" s="62">
        <v>0.464444444444444</v>
      </c>
      <c r="AA449" s="62">
        <v>0.0</v>
      </c>
      <c r="AB449" s="62">
        <v>1.30444444444444</v>
      </c>
      <c r="AC449" s="62">
        <v>0.6675</v>
      </c>
      <c r="AD449" s="62">
        <v>0.205</v>
      </c>
      <c r="AE449" s="62">
        <v>0.6675</v>
      </c>
      <c r="AF449" s="62">
        <v>5.0</v>
      </c>
    </row>
    <row r="450">
      <c r="A450" s="68">
        <v>46134.0</v>
      </c>
      <c r="B450" s="62" t="s">
        <v>110</v>
      </c>
      <c r="C450" s="62" t="s">
        <v>169</v>
      </c>
      <c r="D450" s="62">
        <v>3.0</v>
      </c>
      <c r="E450" s="62">
        <v>0.0</v>
      </c>
      <c r="F450" s="62">
        <v>0.0</v>
      </c>
      <c r="G450" s="62">
        <v>0.0</v>
      </c>
      <c r="H450" s="62">
        <v>0.0</v>
      </c>
      <c r="I450" s="62">
        <v>0.0</v>
      </c>
      <c r="J450" s="62">
        <v>0.0</v>
      </c>
      <c r="K450" s="62">
        <v>0.0</v>
      </c>
      <c r="L450" s="62">
        <v>0.0</v>
      </c>
      <c r="M450" s="62">
        <v>0.0</v>
      </c>
      <c r="N450" s="62">
        <v>0.0</v>
      </c>
      <c r="O450" s="62">
        <v>0.0</v>
      </c>
      <c r="P450" s="62">
        <v>0.0</v>
      </c>
      <c r="Q450" s="62">
        <v>0.0</v>
      </c>
      <c r="R450" s="62">
        <v>6537.0</v>
      </c>
      <c r="S450" s="62">
        <v>0.0</v>
      </c>
      <c r="T450" s="62">
        <v>0.0</v>
      </c>
      <c r="U450" s="62">
        <v>0.0</v>
      </c>
      <c r="V450" s="62">
        <v>0.0</v>
      </c>
      <c r="W450" s="62">
        <v>0.0</v>
      </c>
      <c r="X450" s="62">
        <v>0.0</v>
      </c>
      <c r="Y450" s="62">
        <v>0.0</v>
      </c>
      <c r="Z450" s="62">
        <v>0.0</v>
      </c>
      <c r="AA450" s="62">
        <v>0.0</v>
      </c>
      <c r="AB450" s="62">
        <v>0.0</v>
      </c>
      <c r="AC450" s="62">
        <v>0.0</v>
      </c>
      <c r="AD450" s="62">
        <v>0.0</v>
      </c>
      <c r="AE450" s="62">
        <v>0.0</v>
      </c>
      <c r="AF450" s="62">
        <v>0.0</v>
      </c>
    </row>
    <row r="451">
      <c r="A451" s="68">
        <v>46134.0</v>
      </c>
      <c r="B451" s="62" t="s">
        <v>93</v>
      </c>
      <c r="C451" s="62" t="s">
        <v>182</v>
      </c>
      <c r="D451" s="62">
        <v>1.0</v>
      </c>
      <c r="E451" s="62">
        <v>0.0</v>
      </c>
      <c r="F451" s="62">
        <v>0.0</v>
      </c>
      <c r="G451" s="62">
        <v>0.0</v>
      </c>
      <c r="H451" s="62">
        <v>0.0</v>
      </c>
      <c r="I451" s="62">
        <v>0.0</v>
      </c>
      <c r="J451" s="62">
        <v>0.0</v>
      </c>
      <c r="K451" s="62">
        <v>0.0</v>
      </c>
      <c r="L451" s="62">
        <v>0.0</v>
      </c>
      <c r="M451" s="62">
        <v>0.0</v>
      </c>
      <c r="N451" s="62">
        <v>0.0</v>
      </c>
      <c r="O451" s="62">
        <v>2.0</v>
      </c>
      <c r="P451" s="62">
        <v>0.0</v>
      </c>
      <c r="Q451" s="62">
        <v>0.0</v>
      </c>
      <c r="R451" s="62">
        <v>2156.0</v>
      </c>
      <c r="S451" s="62">
        <v>0.0</v>
      </c>
      <c r="T451" s="62">
        <v>0.0</v>
      </c>
      <c r="U451" s="62">
        <v>0.0</v>
      </c>
      <c r="V451" s="62">
        <v>0.0</v>
      </c>
      <c r="W451" s="62">
        <v>0.0</v>
      </c>
      <c r="X451" s="62">
        <v>0.0</v>
      </c>
      <c r="Y451" s="62">
        <v>0.0</v>
      </c>
      <c r="Z451" s="62">
        <v>0.0</v>
      </c>
      <c r="AA451" s="62">
        <v>0.0</v>
      </c>
      <c r="AB451" s="62">
        <v>0.0</v>
      </c>
      <c r="AC451" s="62">
        <v>0.0</v>
      </c>
      <c r="AD451" s="62">
        <v>0.473888888888888</v>
      </c>
      <c r="AE451" s="62">
        <v>0.0</v>
      </c>
      <c r="AF451" s="62">
        <v>0.0</v>
      </c>
    </row>
    <row r="452">
      <c r="A452" s="68">
        <v>46134.0</v>
      </c>
      <c r="B452" s="62" t="s">
        <v>41</v>
      </c>
      <c r="C452" s="62" t="s">
        <v>172</v>
      </c>
      <c r="D452" s="62">
        <v>37.0</v>
      </c>
      <c r="E452" s="62">
        <v>11.0</v>
      </c>
      <c r="F452" s="62">
        <v>0.0</v>
      </c>
      <c r="G452" s="62">
        <v>0.0</v>
      </c>
      <c r="H452" s="62">
        <v>0.0</v>
      </c>
      <c r="I452" s="62">
        <v>0.0</v>
      </c>
      <c r="J452" s="62">
        <v>0.0</v>
      </c>
      <c r="K452" s="62">
        <v>0.0</v>
      </c>
      <c r="L452" s="62">
        <v>0.0</v>
      </c>
      <c r="M452" s="62">
        <v>0.0</v>
      </c>
      <c r="N452" s="62">
        <v>11.0</v>
      </c>
      <c r="O452" s="62">
        <v>0.0</v>
      </c>
      <c r="P452" s="62">
        <v>11.0</v>
      </c>
      <c r="Q452" s="62">
        <v>0.0</v>
      </c>
      <c r="R452" s="62">
        <v>80925.0</v>
      </c>
      <c r="S452" s="62">
        <v>24609.0</v>
      </c>
      <c r="T452" s="62">
        <v>0.0</v>
      </c>
      <c r="U452" s="62">
        <v>0.0</v>
      </c>
      <c r="V452" s="62">
        <v>0.0</v>
      </c>
      <c r="W452" s="62">
        <v>0.0</v>
      </c>
      <c r="X452" s="62">
        <v>0.0</v>
      </c>
      <c r="Y452" s="62">
        <v>0.0</v>
      </c>
      <c r="Z452" s="62">
        <v>0.0</v>
      </c>
      <c r="AA452" s="62">
        <v>0.0</v>
      </c>
      <c r="AB452" s="62">
        <v>0.0</v>
      </c>
      <c r="AC452" s="62">
        <v>2.6075</v>
      </c>
      <c r="AD452" s="62">
        <v>0.0</v>
      </c>
      <c r="AE452" s="62">
        <v>2.6075</v>
      </c>
      <c r="AF452" s="62">
        <v>0.0</v>
      </c>
    </row>
    <row r="453">
      <c r="A453" s="68">
        <v>46134.0</v>
      </c>
      <c r="B453" s="62" t="s">
        <v>65</v>
      </c>
      <c r="C453" s="62" t="s">
        <v>173</v>
      </c>
      <c r="D453" s="62">
        <v>0.0</v>
      </c>
      <c r="E453" s="62">
        <v>0.0</v>
      </c>
      <c r="F453" s="62">
        <v>0.0</v>
      </c>
      <c r="G453" s="62">
        <v>0.0</v>
      </c>
      <c r="H453" s="62">
        <v>0.0</v>
      </c>
      <c r="I453" s="62">
        <v>0.0</v>
      </c>
      <c r="J453" s="62">
        <v>2.0</v>
      </c>
      <c r="K453" s="62">
        <v>2.0</v>
      </c>
      <c r="L453" s="62">
        <v>0.0</v>
      </c>
      <c r="M453" s="62">
        <v>0.0</v>
      </c>
      <c r="N453" s="62">
        <v>0.0</v>
      </c>
      <c r="O453" s="62">
        <v>1.0</v>
      </c>
      <c r="P453" s="62">
        <v>0.0</v>
      </c>
      <c r="Q453" s="62">
        <v>0.0</v>
      </c>
      <c r="R453" s="62">
        <v>0.0</v>
      </c>
      <c r="S453" s="62">
        <v>0.0</v>
      </c>
      <c r="T453" s="62">
        <v>0.0</v>
      </c>
      <c r="U453" s="62">
        <v>0.0</v>
      </c>
      <c r="V453" s="62">
        <v>0.0</v>
      </c>
      <c r="W453" s="62">
        <v>0.0</v>
      </c>
      <c r="X453" s="62">
        <v>0.0</v>
      </c>
      <c r="Y453" s="62">
        <v>0.566666666666666</v>
      </c>
      <c r="Z453" s="62">
        <v>0.566666666666666</v>
      </c>
      <c r="AA453" s="62">
        <v>0.0</v>
      </c>
      <c r="AB453" s="62">
        <v>0.0</v>
      </c>
      <c r="AC453" s="62">
        <v>0.0</v>
      </c>
      <c r="AD453" s="62">
        <v>0.232222222222222</v>
      </c>
      <c r="AE453" s="62">
        <v>0.0</v>
      </c>
      <c r="AF453" s="62">
        <v>0.0</v>
      </c>
    </row>
    <row r="454">
      <c r="A454" s="68">
        <v>46134.0</v>
      </c>
      <c r="B454" s="62" t="s">
        <v>37</v>
      </c>
      <c r="C454" s="62" t="s">
        <v>174</v>
      </c>
      <c r="D454" s="62">
        <v>3.0</v>
      </c>
      <c r="E454" s="62">
        <v>5.0</v>
      </c>
      <c r="F454" s="62">
        <v>4.0</v>
      </c>
      <c r="G454" s="62">
        <v>4.0</v>
      </c>
      <c r="H454" s="62">
        <v>4.0</v>
      </c>
      <c r="I454" s="62">
        <v>0.0</v>
      </c>
      <c r="J454" s="62">
        <v>3.0</v>
      </c>
      <c r="K454" s="62">
        <v>1.0</v>
      </c>
      <c r="L454" s="62">
        <v>1.0</v>
      </c>
      <c r="M454" s="62">
        <v>0.0</v>
      </c>
      <c r="N454" s="62">
        <v>0.0</v>
      </c>
      <c r="O454" s="62">
        <v>1.0</v>
      </c>
      <c r="P454" s="62">
        <v>0.0</v>
      </c>
      <c r="Q454" s="62">
        <v>0.0</v>
      </c>
      <c r="R454" s="62">
        <v>6819.0</v>
      </c>
      <c r="S454" s="62">
        <v>11874.0</v>
      </c>
      <c r="T454" s="62">
        <v>0.0</v>
      </c>
      <c r="U454" s="62">
        <v>1.03305555555555</v>
      </c>
      <c r="V454" s="62">
        <v>0.997777777777777</v>
      </c>
      <c r="W454" s="62">
        <v>0.997777777777777</v>
      </c>
      <c r="X454" s="62">
        <v>0.0</v>
      </c>
      <c r="Y454" s="62">
        <v>0.745555555555555</v>
      </c>
      <c r="Z454" s="62">
        <v>0.247777777777777</v>
      </c>
      <c r="AA454" s="62">
        <v>0.247777777777777</v>
      </c>
      <c r="AB454" s="62">
        <v>0.0</v>
      </c>
      <c r="AC454" s="62">
        <v>0.0</v>
      </c>
      <c r="AD454" s="62">
        <v>0.301111111111111</v>
      </c>
      <c r="AE454" s="62">
        <v>0.0</v>
      </c>
      <c r="AF454" s="62">
        <v>0.0</v>
      </c>
    </row>
    <row r="455">
      <c r="A455" s="68">
        <v>46134.0</v>
      </c>
      <c r="B455" s="62" t="s">
        <v>108</v>
      </c>
      <c r="C455" s="62" t="s">
        <v>175</v>
      </c>
      <c r="D455" s="62">
        <v>2.0</v>
      </c>
      <c r="E455" s="62">
        <v>1.0</v>
      </c>
      <c r="F455" s="62">
        <v>0.0</v>
      </c>
      <c r="G455" s="62">
        <v>0.0</v>
      </c>
      <c r="H455" s="62">
        <v>0.0</v>
      </c>
      <c r="I455" s="62">
        <v>0.0</v>
      </c>
      <c r="J455" s="62">
        <v>0.0</v>
      </c>
      <c r="K455" s="62">
        <v>0.0</v>
      </c>
      <c r="L455" s="62">
        <v>0.0</v>
      </c>
      <c r="M455" s="62">
        <v>0.0</v>
      </c>
      <c r="N455" s="62">
        <v>0.0</v>
      </c>
      <c r="O455" s="62">
        <v>0.0</v>
      </c>
      <c r="P455" s="62">
        <v>0.0</v>
      </c>
      <c r="Q455" s="62">
        <v>0.0</v>
      </c>
      <c r="R455" s="62">
        <v>4591.0</v>
      </c>
      <c r="S455" s="62">
        <v>2298.0</v>
      </c>
      <c r="T455" s="62">
        <v>0.0</v>
      </c>
      <c r="U455" s="62">
        <v>0.0</v>
      </c>
      <c r="V455" s="62">
        <v>0.0</v>
      </c>
      <c r="W455" s="62">
        <v>0.0</v>
      </c>
      <c r="X455" s="62">
        <v>0.0</v>
      </c>
      <c r="Y455" s="62">
        <v>0.0</v>
      </c>
      <c r="Z455" s="62">
        <v>0.0</v>
      </c>
      <c r="AA455" s="62">
        <v>0.0</v>
      </c>
      <c r="AB455" s="62">
        <v>0.0</v>
      </c>
      <c r="AC455" s="62">
        <v>0.0</v>
      </c>
      <c r="AD455" s="62">
        <v>0.0</v>
      </c>
      <c r="AE455" s="62">
        <v>0.0</v>
      </c>
      <c r="AF455" s="62">
        <v>0.0</v>
      </c>
    </row>
    <row r="456">
      <c r="A456" s="68">
        <v>46134.0</v>
      </c>
      <c r="B456" s="62" t="s">
        <v>56</v>
      </c>
      <c r="C456" s="62" t="s">
        <v>176</v>
      </c>
      <c r="D456" s="62">
        <v>0.0</v>
      </c>
      <c r="E456" s="62">
        <v>8.0</v>
      </c>
      <c r="F456" s="62">
        <v>3.0</v>
      </c>
      <c r="G456" s="62">
        <v>0.0</v>
      </c>
      <c r="H456" s="62">
        <v>0.0</v>
      </c>
      <c r="I456" s="62">
        <v>0.0</v>
      </c>
      <c r="J456" s="62">
        <v>0.0</v>
      </c>
      <c r="K456" s="62">
        <v>0.0</v>
      </c>
      <c r="L456" s="62">
        <v>0.0</v>
      </c>
      <c r="M456" s="62">
        <v>0.0</v>
      </c>
      <c r="N456" s="62">
        <v>0.0</v>
      </c>
      <c r="O456" s="62">
        <v>0.0</v>
      </c>
      <c r="P456" s="62">
        <v>0.0</v>
      </c>
      <c r="Q456" s="62">
        <v>0.0</v>
      </c>
      <c r="R456" s="62">
        <v>0.0</v>
      </c>
      <c r="S456" s="62">
        <v>18602.0</v>
      </c>
      <c r="T456" s="62">
        <v>0.0</v>
      </c>
      <c r="U456" s="62">
        <v>0.647222222222222</v>
      </c>
      <c r="V456" s="62">
        <v>0.0</v>
      </c>
      <c r="W456" s="62">
        <v>0.0</v>
      </c>
      <c r="X456" s="62">
        <v>0.0</v>
      </c>
      <c r="Y456" s="62">
        <v>0.0</v>
      </c>
      <c r="Z456" s="62">
        <v>0.0</v>
      </c>
      <c r="AA456" s="62">
        <v>0.0</v>
      </c>
      <c r="AB456" s="62">
        <v>0.0</v>
      </c>
      <c r="AC456" s="62">
        <v>0.0</v>
      </c>
      <c r="AD456" s="62">
        <v>0.0</v>
      </c>
      <c r="AE456" s="62">
        <v>0.0</v>
      </c>
      <c r="AF456" s="62">
        <v>0.0</v>
      </c>
    </row>
    <row r="457">
      <c r="A457" s="68">
        <v>46134.0</v>
      </c>
      <c r="B457" s="62" t="s">
        <v>91</v>
      </c>
      <c r="C457" s="62" t="s">
        <v>184</v>
      </c>
      <c r="D457" s="62">
        <v>0.0</v>
      </c>
      <c r="E457" s="62">
        <v>0.0</v>
      </c>
      <c r="F457" s="62">
        <v>0.0</v>
      </c>
      <c r="G457" s="62">
        <v>0.0</v>
      </c>
      <c r="H457" s="62">
        <v>5.0</v>
      </c>
      <c r="I457" s="62">
        <v>5.0</v>
      </c>
      <c r="J457" s="62">
        <v>4.0</v>
      </c>
      <c r="K457" s="62">
        <v>2.0</v>
      </c>
      <c r="L457" s="62">
        <v>4.0</v>
      </c>
      <c r="M457" s="62">
        <v>5.0</v>
      </c>
      <c r="N457" s="62">
        <v>0.0</v>
      </c>
      <c r="O457" s="62">
        <v>1.0</v>
      </c>
      <c r="P457" s="62">
        <v>0.0</v>
      </c>
      <c r="Q457" s="62">
        <v>0.0</v>
      </c>
      <c r="R457" s="62">
        <v>0.0</v>
      </c>
      <c r="S457" s="62">
        <v>0.0</v>
      </c>
      <c r="T457" s="62">
        <v>0.0</v>
      </c>
      <c r="U457" s="62">
        <v>0.0</v>
      </c>
      <c r="V457" s="62">
        <v>0.0</v>
      </c>
      <c r="W457" s="62">
        <v>1.10416666666666</v>
      </c>
      <c r="X457" s="62">
        <v>1.10416666666666</v>
      </c>
      <c r="Y457" s="62">
        <v>0.876666666666666</v>
      </c>
      <c r="Z457" s="62">
        <v>0.410555555555555</v>
      </c>
      <c r="AA457" s="62">
        <v>0.783611111111111</v>
      </c>
      <c r="AB457" s="62">
        <v>0.996944444444444</v>
      </c>
      <c r="AC457" s="62">
        <v>0.0</v>
      </c>
      <c r="AD457" s="62">
        <v>0.150277777777777</v>
      </c>
      <c r="AE457" s="62">
        <v>0.0</v>
      </c>
      <c r="AF457" s="62">
        <v>0.0</v>
      </c>
    </row>
    <row r="458">
      <c r="A458" s="68">
        <v>46134.0</v>
      </c>
      <c r="B458" s="62" t="s">
        <v>26</v>
      </c>
      <c r="C458" s="62" t="s">
        <v>178</v>
      </c>
      <c r="D458" s="62">
        <v>14.0</v>
      </c>
      <c r="E458" s="62">
        <v>6.0</v>
      </c>
      <c r="F458" s="62">
        <v>2.0</v>
      </c>
      <c r="G458" s="62">
        <v>5.0</v>
      </c>
      <c r="H458" s="62">
        <v>11.0</v>
      </c>
      <c r="I458" s="62">
        <v>6.0</v>
      </c>
      <c r="J458" s="62">
        <v>5.0</v>
      </c>
      <c r="K458" s="62">
        <v>5.0</v>
      </c>
      <c r="L458" s="62">
        <v>0.0</v>
      </c>
      <c r="M458" s="62">
        <v>0.0</v>
      </c>
      <c r="N458" s="62">
        <v>0.0</v>
      </c>
      <c r="O458" s="62">
        <v>1.0</v>
      </c>
      <c r="P458" s="62">
        <v>0.0</v>
      </c>
      <c r="Q458" s="62">
        <v>0.0</v>
      </c>
      <c r="R458" s="62">
        <v>32259.0</v>
      </c>
      <c r="S458" s="62">
        <v>12977.0</v>
      </c>
      <c r="T458" s="62">
        <v>1.61611111111111</v>
      </c>
      <c r="U458" s="62">
        <v>0.351944444444444</v>
      </c>
      <c r="V458" s="62">
        <v>0.9625</v>
      </c>
      <c r="W458" s="62">
        <v>2.0675</v>
      </c>
      <c r="X458" s="62">
        <v>1.105</v>
      </c>
      <c r="Y458" s="62">
        <v>0.893055555555555</v>
      </c>
      <c r="Z458" s="62">
        <v>0.893055555555555</v>
      </c>
      <c r="AA458" s="62">
        <v>0.0</v>
      </c>
      <c r="AB458" s="62">
        <v>0.0</v>
      </c>
      <c r="AC458" s="62">
        <v>0.0</v>
      </c>
      <c r="AD458" s="62">
        <v>0.1675</v>
      </c>
      <c r="AE458" s="62">
        <v>0.0</v>
      </c>
      <c r="AF458" s="62">
        <v>9.0</v>
      </c>
    </row>
    <row r="459">
      <c r="A459" s="68">
        <v>46134.0</v>
      </c>
      <c r="B459" s="62" t="s">
        <v>62</v>
      </c>
      <c r="C459" s="62" t="s">
        <v>63</v>
      </c>
      <c r="D459" s="62">
        <v>3.0</v>
      </c>
      <c r="E459" s="62">
        <v>3.0</v>
      </c>
      <c r="F459" s="62">
        <v>0.0</v>
      </c>
      <c r="G459" s="62">
        <v>0.0</v>
      </c>
      <c r="H459" s="62">
        <v>0.0</v>
      </c>
      <c r="I459" s="62">
        <v>0.0</v>
      </c>
      <c r="J459" s="62">
        <v>0.0</v>
      </c>
      <c r="K459" s="62">
        <v>0.0</v>
      </c>
      <c r="L459" s="62">
        <v>0.0</v>
      </c>
      <c r="M459" s="62">
        <v>1.0</v>
      </c>
      <c r="N459" s="62">
        <v>0.0</v>
      </c>
      <c r="O459" s="62">
        <v>1.0</v>
      </c>
      <c r="P459" s="62">
        <v>0.0</v>
      </c>
      <c r="Q459" s="62">
        <v>0.0</v>
      </c>
      <c r="R459" s="62">
        <v>6159.0</v>
      </c>
      <c r="S459" s="62">
        <v>6754.0</v>
      </c>
      <c r="T459" s="62">
        <v>0.0</v>
      </c>
      <c r="U459" s="62">
        <v>0.0</v>
      </c>
      <c r="V459" s="62">
        <v>0.0</v>
      </c>
      <c r="W459" s="62">
        <v>0.0</v>
      </c>
      <c r="X459" s="62">
        <v>0.0</v>
      </c>
      <c r="Y459" s="62">
        <v>0.0</v>
      </c>
      <c r="Z459" s="62">
        <v>0.0</v>
      </c>
      <c r="AA459" s="62">
        <v>0.0</v>
      </c>
      <c r="AB459" s="62">
        <v>0.198888888888888</v>
      </c>
      <c r="AC459" s="62">
        <v>0.0</v>
      </c>
      <c r="AD459" s="62">
        <v>0.232222222222222</v>
      </c>
      <c r="AE459" s="62">
        <v>0.0</v>
      </c>
      <c r="AF459" s="62">
        <v>0.0</v>
      </c>
    </row>
    <row r="460">
      <c r="A460" s="68">
        <v>46133.0</v>
      </c>
      <c r="B460" s="62" t="s">
        <v>96</v>
      </c>
      <c r="C460" s="62" t="s">
        <v>97</v>
      </c>
      <c r="D460" s="62">
        <v>0.0</v>
      </c>
      <c r="E460" s="62">
        <v>15.0</v>
      </c>
      <c r="F460" s="62">
        <v>0.0</v>
      </c>
      <c r="G460" s="62">
        <v>0.0</v>
      </c>
      <c r="H460" s="62">
        <v>0.0</v>
      </c>
      <c r="I460" s="62">
        <v>0.0</v>
      </c>
      <c r="J460" s="62">
        <v>0.0</v>
      </c>
      <c r="K460" s="62">
        <v>0.0</v>
      </c>
      <c r="L460" s="62">
        <v>0.0</v>
      </c>
      <c r="M460" s="62">
        <v>0.0</v>
      </c>
      <c r="N460" s="62">
        <v>0.0</v>
      </c>
      <c r="O460" s="62">
        <v>0.0</v>
      </c>
      <c r="P460" s="62">
        <v>0.0</v>
      </c>
      <c r="Q460" s="62">
        <v>0.0</v>
      </c>
      <c r="R460" s="62">
        <v>0.0</v>
      </c>
      <c r="S460" s="62">
        <v>30914.0</v>
      </c>
      <c r="T460" s="62">
        <v>0.0</v>
      </c>
      <c r="U460" s="62">
        <v>0.0</v>
      </c>
      <c r="V460" s="62">
        <v>0.0</v>
      </c>
      <c r="W460" s="62">
        <v>0.0</v>
      </c>
      <c r="X460" s="62">
        <v>0.0</v>
      </c>
      <c r="Y460" s="62">
        <v>0.0</v>
      </c>
      <c r="Z460" s="62">
        <v>0.0</v>
      </c>
      <c r="AA460" s="62">
        <v>0.0</v>
      </c>
      <c r="AB460" s="62">
        <v>0.0</v>
      </c>
      <c r="AC460" s="62">
        <v>0.0</v>
      </c>
      <c r="AD460" s="62">
        <v>0.0</v>
      </c>
      <c r="AE460" s="62">
        <v>0.0</v>
      </c>
      <c r="AF460" s="62">
        <v>0.0</v>
      </c>
    </row>
    <row r="461">
      <c r="A461" s="68">
        <v>46133.0</v>
      </c>
      <c r="B461" s="62" t="s">
        <v>98</v>
      </c>
      <c r="C461" s="62" t="s">
        <v>183</v>
      </c>
      <c r="D461" s="62">
        <v>2.0</v>
      </c>
      <c r="E461" s="62">
        <v>4.0</v>
      </c>
      <c r="F461" s="62">
        <v>0.0</v>
      </c>
      <c r="G461" s="62">
        <v>0.0</v>
      </c>
      <c r="H461" s="62">
        <v>0.0</v>
      </c>
      <c r="I461" s="62">
        <v>0.0</v>
      </c>
      <c r="J461" s="62">
        <v>2.0</v>
      </c>
      <c r="K461" s="62">
        <v>0.0</v>
      </c>
      <c r="L461" s="62">
        <v>1.0</v>
      </c>
      <c r="M461" s="62">
        <v>5.0</v>
      </c>
      <c r="N461" s="62">
        <v>3.0</v>
      </c>
      <c r="O461" s="62">
        <v>1.0</v>
      </c>
      <c r="P461" s="62">
        <v>3.0</v>
      </c>
      <c r="Q461" s="62">
        <v>0.0</v>
      </c>
      <c r="R461" s="62">
        <v>4126.0</v>
      </c>
      <c r="S461" s="62">
        <v>8996.0</v>
      </c>
      <c r="T461" s="62">
        <v>0.662222222222222</v>
      </c>
      <c r="U461" s="62">
        <v>0.0</v>
      </c>
      <c r="V461" s="62">
        <v>0.0</v>
      </c>
      <c r="W461" s="62">
        <v>0.0</v>
      </c>
      <c r="X461" s="62">
        <v>0.0</v>
      </c>
      <c r="Y461" s="62">
        <v>0.429722222222222</v>
      </c>
      <c r="Z461" s="62">
        <v>0.0</v>
      </c>
      <c r="AA461" s="62">
        <v>0.211944444444444</v>
      </c>
      <c r="AB461" s="62">
        <v>1.05777777777777</v>
      </c>
      <c r="AC461" s="62">
        <v>0.63</v>
      </c>
      <c r="AD461" s="62">
        <v>0.203611111111111</v>
      </c>
      <c r="AE461" s="62">
        <v>0.63</v>
      </c>
      <c r="AF461" s="62">
        <v>3.0</v>
      </c>
    </row>
    <row r="462">
      <c r="A462" s="68">
        <v>46133.0</v>
      </c>
      <c r="B462" s="62" t="s">
        <v>71</v>
      </c>
      <c r="C462" s="62" t="s">
        <v>163</v>
      </c>
      <c r="D462" s="62">
        <v>0.0</v>
      </c>
      <c r="E462" s="62">
        <v>3.0</v>
      </c>
      <c r="F462" s="62">
        <v>1.0</v>
      </c>
      <c r="G462" s="62">
        <v>0.0</v>
      </c>
      <c r="H462" s="62">
        <v>0.0</v>
      </c>
      <c r="I462" s="62">
        <v>0.0</v>
      </c>
      <c r="J462" s="62">
        <v>0.0</v>
      </c>
      <c r="K462" s="62">
        <v>0.0</v>
      </c>
      <c r="L462" s="62">
        <v>0.0</v>
      </c>
      <c r="M462" s="62">
        <v>0.0</v>
      </c>
      <c r="N462" s="62">
        <v>0.0</v>
      </c>
      <c r="O462" s="62">
        <v>1.0</v>
      </c>
      <c r="P462" s="62">
        <v>0.0</v>
      </c>
      <c r="Q462" s="62">
        <v>0.0</v>
      </c>
      <c r="R462" s="62">
        <v>0.0</v>
      </c>
      <c r="S462" s="62">
        <v>6804.0</v>
      </c>
      <c r="T462" s="62">
        <v>0.227777777777777</v>
      </c>
      <c r="U462" s="62">
        <v>0.227777777777777</v>
      </c>
      <c r="V462" s="62">
        <v>0.0</v>
      </c>
      <c r="W462" s="62">
        <v>0.0</v>
      </c>
      <c r="X462" s="62">
        <v>0.0</v>
      </c>
      <c r="Y462" s="62">
        <v>0.0</v>
      </c>
      <c r="Z462" s="62">
        <v>0.0</v>
      </c>
      <c r="AA462" s="62">
        <v>0.0</v>
      </c>
      <c r="AB462" s="62">
        <v>0.0</v>
      </c>
      <c r="AC462" s="62">
        <v>0.0</v>
      </c>
      <c r="AD462" s="62">
        <v>0.261111111111111</v>
      </c>
      <c r="AE462" s="62">
        <v>0.0</v>
      </c>
      <c r="AF462" s="62">
        <v>1.0</v>
      </c>
    </row>
    <row r="463">
      <c r="A463" s="68">
        <v>46133.0</v>
      </c>
      <c r="B463" s="62" t="s">
        <v>46</v>
      </c>
      <c r="C463" s="62" t="s">
        <v>185</v>
      </c>
      <c r="D463" s="62">
        <v>7.0</v>
      </c>
      <c r="E463" s="62">
        <v>7.0</v>
      </c>
      <c r="F463" s="62">
        <v>0.0</v>
      </c>
      <c r="G463" s="62">
        <v>0.0</v>
      </c>
      <c r="H463" s="62">
        <v>1.0</v>
      </c>
      <c r="I463" s="62">
        <v>0.0</v>
      </c>
      <c r="J463" s="62">
        <v>1.0</v>
      </c>
      <c r="K463" s="62">
        <v>2.0</v>
      </c>
      <c r="L463" s="62">
        <v>0.0</v>
      </c>
      <c r="M463" s="62">
        <v>0.0</v>
      </c>
      <c r="N463" s="62">
        <v>7.0</v>
      </c>
      <c r="O463" s="62">
        <v>0.0</v>
      </c>
      <c r="P463" s="62">
        <v>7.0</v>
      </c>
      <c r="Q463" s="62">
        <v>0.0</v>
      </c>
      <c r="R463" s="62">
        <v>13628.0</v>
      </c>
      <c r="S463" s="62">
        <v>13628.0</v>
      </c>
      <c r="T463" s="62">
        <v>0.0</v>
      </c>
      <c r="U463" s="62">
        <v>0.0</v>
      </c>
      <c r="V463" s="62">
        <v>0.0</v>
      </c>
      <c r="W463" s="62">
        <v>0.197777777777777</v>
      </c>
      <c r="X463" s="62">
        <v>0.0</v>
      </c>
      <c r="Y463" s="62">
        <v>0.197777777777777</v>
      </c>
      <c r="Z463" s="62">
        <v>0.393888888888888</v>
      </c>
      <c r="AA463" s="62">
        <v>0.0</v>
      </c>
      <c r="AB463" s="62">
        <v>0.0</v>
      </c>
      <c r="AC463" s="62">
        <v>1.34611111111111</v>
      </c>
      <c r="AD463" s="62">
        <v>0.0</v>
      </c>
      <c r="AE463" s="62">
        <v>1.34611111111111</v>
      </c>
      <c r="AF463" s="62">
        <v>0.0</v>
      </c>
    </row>
    <row r="464">
      <c r="A464" s="68">
        <v>46133.0</v>
      </c>
      <c r="B464" s="62" t="s">
        <v>76</v>
      </c>
      <c r="C464" s="62" t="s">
        <v>165</v>
      </c>
      <c r="D464" s="62">
        <v>0.0</v>
      </c>
      <c r="E464" s="62">
        <v>0.0</v>
      </c>
      <c r="F464" s="62">
        <v>4.0</v>
      </c>
      <c r="G464" s="62">
        <v>1.0</v>
      </c>
      <c r="H464" s="62">
        <v>1.0</v>
      </c>
      <c r="I464" s="62">
        <v>0.0</v>
      </c>
      <c r="J464" s="62">
        <v>3.0</v>
      </c>
      <c r="K464" s="62">
        <v>0.0</v>
      </c>
      <c r="L464" s="62">
        <v>0.0</v>
      </c>
      <c r="M464" s="62">
        <v>3.0</v>
      </c>
      <c r="N464" s="62">
        <v>0.0</v>
      </c>
      <c r="O464" s="62">
        <v>1.0</v>
      </c>
      <c r="P464" s="62">
        <v>0.0</v>
      </c>
      <c r="Q464" s="62">
        <v>0.0</v>
      </c>
      <c r="R464" s="62">
        <v>0.0</v>
      </c>
      <c r="S464" s="62">
        <v>0.0</v>
      </c>
      <c r="T464" s="62">
        <v>1.16916666666666</v>
      </c>
      <c r="U464" s="62">
        <v>1.16916666666666</v>
      </c>
      <c r="V464" s="62">
        <v>0.321388888888888</v>
      </c>
      <c r="W464" s="62">
        <v>0.321388888888888</v>
      </c>
      <c r="X464" s="62">
        <v>0.0</v>
      </c>
      <c r="Y464" s="62">
        <v>0.9075</v>
      </c>
      <c r="Z464" s="62">
        <v>0.0</v>
      </c>
      <c r="AA464" s="62">
        <v>0.0</v>
      </c>
      <c r="AB464" s="62">
        <v>0.9075</v>
      </c>
      <c r="AC464" s="62">
        <v>0.0</v>
      </c>
      <c r="AD464" s="62">
        <v>0.235</v>
      </c>
      <c r="AE464" s="62">
        <v>0.0</v>
      </c>
      <c r="AF464" s="62">
        <v>4.0</v>
      </c>
    </row>
    <row r="465">
      <c r="A465" s="68">
        <v>46133.0</v>
      </c>
      <c r="B465" s="62" t="s">
        <v>100</v>
      </c>
      <c r="C465" s="62" t="s">
        <v>167</v>
      </c>
      <c r="D465" s="62">
        <v>0.0</v>
      </c>
      <c r="E465" s="62">
        <v>3.0</v>
      </c>
      <c r="F465" s="62">
        <v>0.0</v>
      </c>
      <c r="G465" s="62">
        <v>1.0</v>
      </c>
      <c r="H465" s="62">
        <v>1.0</v>
      </c>
      <c r="I465" s="62">
        <v>0.0</v>
      </c>
      <c r="J465" s="62">
        <v>1.0</v>
      </c>
      <c r="K465" s="62">
        <v>0.0</v>
      </c>
      <c r="L465" s="62">
        <v>0.0</v>
      </c>
      <c r="M465" s="62">
        <v>3.0</v>
      </c>
      <c r="N465" s="62">
        <v>0.0</v>
      </c>
      <c r="O465" s="62">
        <v>0.0</v>
      </c>
      <c r="P465" s="62">
        <v>0.0</v>
      </c>
      <c r="Q465" s="62">
        <v>0.0</v>
      </c>
      <c r="R465" s="62">
        <v>0.0</v>
      </c>
      <c r="S465" s="62">
        <v>7061.0</v>
      </c>
      <c r="T465" s="62">
        <v>0.709444444444444</v>
      </c>
      <c r="U465" s="62">
        <v>0.0</v>
      </c>
      <c r="V465" s="62">
        <v>0.209166666666666</v>
      </c>
      <c r="W465" s="62">
        <v>0.209166666666666</v>
      </c>
      <c r="X465" s="62">
        <v>0.0</v>
      </c>
      <c r="Y465" s="62">
        <v>0.215</v>
      </c>
      <c r="Z465" s="62">
        <v>0.0</v>
      </c>
      <c r="AA465" s="62">
        <v>0.0</v>
      </c>
      <c r="AB465" s="62">
        <v>0.644444444444444</v>
      </c>
      <c r="AC465" s="62">
        <v>0.0</v>
      </c>
      <c r="AD465" s="62">
        <v>0.0</v>
      </c>
      <c r="AE465" s="62">
        <v>0.0</v>
      </c>
      <c r="AF465" s="62">
        <v>3.0</v>
      </c>
    </row>
    <row r="466">
      <c r="A466" s="68">
        <v>46133.0</v>
      </c>
      <c r="B466" s="62" t="s">
        <v>32</v>
      </c>
      <c r="C466" s="62" t="s">
        <v>168</v>
      </c>
      <c r="D466" s="62">
        <v>0.0</v>
      </c>
      <c r="E466" s="62">
        <v>3.0</v>
      </c>
      <c r="F466" s="62">
        <v>3.0</v>
      </c>
      <c r="G466" s="62">
        <v>0.0</v>
      </c>
      <c r="H466" s="62">
        <v>4.0</v>
      </c>
      <c r="I466" s="62">
        <v>1.0</v>
      </c>
      <c r="J466" s="62">
        <v>4.0</v>
      </c>
      <c r="K466" s="62">
        <v>0.0</v>
      </c>
      <c r="L466" s="62">
        <v>0.0</v>
      </c>
      <c r="M466" s="62">
        <v>1.0</v>
      </c>
      <c r="N466" s="62">
        <v>0.0</v>
      </c>
      <c r="O466" s="62">
        <v>1.0</v>
      </c>
      <c r="P466" s="62">
        <v>0.0</v>
      </c>
      <c r="Q466" s="62">
        <v>0.0</v>
      </c>
      <c r="R466" s="62">
        <v>0.0</v>
      </c>
      <c r="S466" s="62">
        <v>7193.0</v>
      </c>
      <c r="T466" s="62">
        <v>1.76749999999999</v>
      </c>
      <c r="U466" s="62">
        <v>0.679999999999999</v>
      </c>
      <c r="V466" s="62">
        <v>0.0</v>
      </c>
      <c r="W466" s="62">
        <v>0.893611111111111</v>
      </c>
      <c r="X466" s="62">
        <v>0.203888888888888</v>
      </c>
      <c r="Y466" s="62">
        <v>0.893333333333333</v>
      </c>
      <c r="Z466" s="62">
        <v>0.0</v>
      </c>
      <c r="AA466" s="62">
        <v>0.0</v>
      </c>
      <c r="AB466" s="62">
        <v>0.240833333333333</v>
      </c>
      <c r="AC466" s="62">
        <v>0.0</v>
      </c>
      <c r="AD466" s="62">
        <v>0.209444444444444</v>
      </c>
      <c r="AE466" s="62">
        <v>0.0</v>
      </c>
      <c r="AF466" s="62">
        <v>8.0</v>
      </c>
    </row>
    <row r="467">
      <c r="A467" s="68">
        <v>46133.0</v>
      </c>
      <c r="B467" s="62" t="s">
        <v>110</v>
      </c>
      <c r="C467" s="62" t="s">
        <v>169</v>
      </c>
      <c r="D467" s="62">
        <v>1.0</v>
      </c>
      <c r="E467" s="62">
        <v>0.0</v>
      </c>
      <c r="F467" s="62">
        <v>0.0</v>
      </c>
      <c r="G467" s="62">
        <v>0.0</v>
      </c>
      <c r="H467" s="62">
        <v>0.0</v>
      </c>
      <c r="I467" s="62">
        <v>0.0</v>
      </c>
      <c r="J467" s="62">
        <v>0.0</v>
      </c>
      <c r="K467" s="62">
        <v>0.0</v>
      </c>
      <c r="L467" s="62">
        <v>0.0</v>
      </c>
      <c r="M467" s="62">
        <v>0.0</v>
      </c>
      <c r="N467" s="62">
        <v>0.0</v>
      </c>
      <c r="O467" s="62">
        <v>0.0</v>
      </c>
      <c r="P467" s="62">
        <v>0.0</v>
      </c>
      <c r="Q467" s="62">
        <v>0.0</v>
      </c>
      <c r="R467" s="62">
        <v>2172.0</v>
      </c>
      <c r="S467" s="62">
        <v>0.0</v>
      </c>
      <c r="T467" s="62">
        <v>0.0</v>
      </c>
      <c r="U467" s="62">
        <v>0.0</v>
      </c>
      <c r="V467" s="62">
        <v>0.0</v>
      </c>
      <c r="W467" s="62">
        <v>0.0</v>
      </c>
      <c r="X467" s="62">
        <v>0.0</v>
      </c>
      <c r="Y467" s="62">
        <v>0.0</v>
      </c>
      <c r="Z467" s="62">
        <v>0.0</v>
      </c>
      <c r="AA467" s="62">
        <v>0.0</v>
      </c>
      <c r="AB467" s="62">
        <v>0.0</v>
      </c>
      <c r="AC467" s="62">
        <v>0.0</v>
      </c>
      <c r="AD467" s="62">
        <v>0.0</v>
      </c>
      <c r="AE467" s="62">
        <v>0.0</v>
      </c>
      <c r="AF467" s="62">
        <v>0.0</v>
      </c>
    </row>
    <row r="468">
      <c r="A468" s="68">
        <v>46133.0</v>
      </c>
      <c r="B468" s="62" t="s">
        <v>93</v>
      </c>
      <c r="C468" s="62" t="s">
        <v>182</v>
      </c>
      <c r="D468" s="62">
        <v>4.0</v>
      </c>
      <c r="E468" s="62">
        <v>0.0</v>
      </c>
      <c r="F468" s="62">
        <v>0.0</v>
      </c>
      <c r="G468" s="62">
        <v>0.0</v>
      </c>
      <c r="H468" s="62">
        <v>0.0</v>
      </c>
      <c r="I468" s="62">
        <v>0.0</v>
      </c>
      <c r="J468" s="62">
        <v>0.0</v>
      </c>
      <c r="K468" s="62">
        <v>0.0</v>
      </c>
      <c r="L468" s="62">
        <v>0.0</v>
      </c>
      <c r="M468" s="62">
        <v>1.0</v>
      </c>
      <c r="N468" s="62">
        <v>0.0</v>
      </c>
      <c r="O468" s="62">
        <v>1.0</v>
      </c>
      <c r="P468" s="62">
        <v>0.0</v>
      </c>
      <c r="Q468" s="62">
        <v>0.0</v>
      </c>
      <c r="R468" s="62">
        <v>9208.0</v>
      </c>
      <c r="S468" s="62">
        <v>0.0</v>
      </c>
      <c r="T468" s="62">
        <v>0.0</v>
      </c>
      <c r="U468" s="62">
        <v>0.0</v>
      </c>
      <c r="V468" s="62">
        <v>0.0</v>
      </c>
      <c r="W468" s="62">
        <v>0.0</v>
      </c>
      <c r="X468" s="62">
        <v>0.0</v>
      </c>
      <c r="Y468" s="62">
        <v>0.0</v>
      </c>
      <c r="Z468" s="62">
        <v>0.0</v>
      </c>
      <c r="AA468" s="62">
        <v>0.0</v>
      </c>
      <c r="AB468" s="62">
        <v>0.223333333333333</v>
      </c>
      <c r="AC468" s="62">
        <v>0.0</v>
      </c>
      <c r="AD468" s="62">
        <v>0.238333333333333</v>
      </c>
      <c r="AE468" s="62">
        <v>0.0</v>
      </c>
      <c r="AF468" s="62">
        <v>0.0</v>
      </c>
    </row>
    <row r="469">
      <c r="A469" s="68">
        <v>46133.0</v>
      </c>
      <c r="B469" s="62" t="s">
        <v>65</v>
      </c>
      <c r="C469" s="62" t="s">
        <v>173</v>
      </c>
      <c r="D469" s="62">
        <v>0.0</v>
      </c>
      <c r="E469" s="62">
        <v>3.0</v>
      </c>
      <c r="F469" s="62">
        <v>0.0</v>
      </c>
      <c r="G469" s="62">
        <v>0.0</v>
      </c>
      <c r="H469" s="62">
        <v>2.0</v>
      </c>
      <c r="I469" s="62">
        <v>2.0</v>
      </c>
      <c r="J469" s="62">
        <v>2.0</v>
      </c>
      <c r="K469" s="62">
        <v>2.0</v>
      </c>
      <c r="L469" s="62">
        <v>0.0</v>
      </c>
      <c r="M469" s="62">
        <v>0.0</v>
      </c>
      <c r="N469" s="62">
        <v>0.0</v>
      </c>
      <c r="O469" s="62">
        <v>1.0</v>
      </c>
      <c r="P469" s="62">
        <v>0.0</v>
      </c>
      <c r="Q469" s="62">
        <v>0.0</v>
      </c>
      <c r="R469" s="62">
        <v>0.0</v>
      </c>
      <c r="S469" s="62">
        <v>6052.0</v>
      </c>
      <c r="T469" s="62">
        <v>0.559166666666666</v>
      </c>
      <c r="U469" s="62">
        <v>0.0</v>
      </c>
      <c r="V469" s="62">
        <v>0.0</v>
      </c>
      <c r="W469" s="62">
        <v>0.559166666666666</v>
      </c>
      <c r="X469" s="62">
        <v>0.559166666666666</v>
      </c>
      <c r="Y469" s="62">
        <v>0.484166666666666</v>
      </c>
      <c r="Z469" s="62">
        <v>0.484166666666666</v>
      </c>
      <c r="AA469" s="62">
        <v>0.0</v>
      </c>
      <c r="AB469" s="62">
        <v>0.0</v>
      </c>
      <c r="AC469" s="62">
        <v>0.0</v>
      </c>
      <c r="AD469" s="62">
        <v>0.249722222222222</v>
      </c>
      <c r="AE469" s="62">
        <v>0.0</v>
      </c>
      <c r="AF469" s="62">
        <v>2.0</v>
      </c>
    </row>
    <row r="470">
      <c r="A470" s="68">
        <v>46133.0</v>
      </c>
      <c r="B470" s="62" t="s">
        <v>37</v>
      </c>
      <c r="C470" s="62" t="s">
        <v>174</v>
      </c>
      <c r="D470" s="62">
        <v>2.0</v>
      </c>
      <c r="E470" s="62">
        <v>4.0</v>
      </c>
      <c r="F470" s="62">
        <v>0.0</v>
      </c>
      <c r="G470" s="62">
        <v>1.0</v>
      </c>
      <c r="H470" s="62">
        <v>1.0</v>
      </c>
      <c r="I470" s="62">
        <v>0.0</v>
      </c>
      <c r="J470" s="62">
        <v>1.0</v>
      </c>
      <c r="K470" s="62">
        <v>0.0</v>
      </c>
      <c r="L470" s="62">
        <v>0.0</v>
      </c>
      <c r="M470" s="62">
        <v>2.0</v>
      </c>
      <c r="N470" s="62">
        <v>1.0</v>
      </c>
      <c r="O470" s="62">
        <v>1.0</v>
      </c>
      <c r="P470" s="62">
        <v>1.0</v>
      </c>
      <c r="Q470" s="62">
        <v>0.0</v>
      </c>
      <c r="R470" s="62">
        <v>4621.0</v>
      </c>
      <c r="S470" s="62">
        <v>9617.0</v>
      </c>
      <c r="T470" s="62">
        <v>1.03305555555555</v>
      </c>
      <c r="U470" s="62">
        <v>0.0</v>
      </c>
      <c r="V470" s="62">
        <v>0.247777777777777</v>
      </c>
      <c r="W470" s="62">
        <v>0.247777777777777</v>
      </c>
      <c r="X470" s="62">
        <v>0.0</v>
      </c>
      <c r="Y470" s="62">
        <v>0.247777777777777</v>
      </c>
      <c r="Z470" s="62">
        <v>0.0</v>
      </c>
      <c r="AA470" s="62">
        <v>0.0</v>
      </c>
      <c r="AB470" s="62">
        <v>0.510277777777777</v>
      </c>
      <c r="AC470" s="62">
        <v>0.230277777777777</v>
      </c>
      <c r="AD470" s="62">
        <v>0.303055555555555</v>
      </c>
      <c r="AE470" s="62">
        <v>0.230277777777777</v>
      </c>
      <c r="AF470" s="62">
        <v>4.0</v>
      </c>
    </row>
    <row r="471">
      <c r="A471" s="68">
        <v>46133.0</v>
      </c>
      <c r="B471" s="62" t="s">
        <v>56</v>
      </c>
      <c r="C471" s="62" t="s">
        <v>176</v>
      </c>
      <c r="D471" s="62">
        <v>0.0</v>
      </c>
      <c r="E471" s="62">
        <v>4.0</v>
      </c>
      <c r="F471" s="62">
        <v>1.0</v>
      </c>
      <c r="G471" s="62">
        <v>0.0</v>
      </c>
      <c r="H471" s="62">
        <v>3.0</v>
      </c>
      <c r="I471" s="62">
        <v>2.0</v>
      </c>
      <c r="J471" s="62">
        <v>2.0</v>
      </c>
      <c r="K471" s="62">
        <v>0.0</v>
      </c>
      <c r="L471" s="62">
        <v>0.0</v>
      </c>
      <c r="M471" s="62">
        <v>0.0</v>
      </c>
      <c r="N471" s="62">
        <v>0.0</v>
      </c>
      <c r="O471" s="62">
        <v>0.0</v>
      </c>
      <c r="P471" s="62">
        <v>0.0</v>
      </c>
      <c r="Q471" s="62">
        <v>0.0</v>
      </c>
      <c r="R471" s="62">
        <v>0.0</v>
      </c>
      <c r="S471" s="62">
        <v>9041.0</v>
      </c>
      <c r="T471" s="62">
        <v>1.34166666666666</v>
      </c>
      <c r="U471" s="62">
        <v>0.255</v>
      </c>
      <c r="V471" s="62">
        <v>0.0</v>
      </c>
      <c r="W471" s="62">
        <v>0.684444444444444</v>
      </c>
      <c r="X471" s="62">
        <v>0.439444444444444</v>
      </c>
      <c r="Y471" s="62">
        <v>0.496666666666666</v>
      </c>
      <c r="Z471" s="62">
        <v>0.0</v>
      </c>
      <c r="AA471" s="62">
        <v>0.0</v>
      </c>
      <c r="AB471" s="62">
        <v>0.0</v>
      </c>
      <c r="AC471" s="62">
        <v>0.0</v>
      </c>
      <c r="AD471" s="62">
        <v>0.0</v>
      </c>
      <c r="AE471" s="62">
        <v>0.0</v>
      </c>
      <c r="AF471" s="62">
        <v>6.0</v>
      </c>
    </row>
    <row r="472">
      <c r="A472" s="68">
        <v>46133.0</v>
      </c>
      <c r="B472" s="62" t="s">
        <v>91</v>
      </c>
      <c r="C472" s="62" t="s">
        <v>184</v>
      </c>
      <c r="D472" s="62">
        <v>0.0</v>
      </c>
      <c r="E472" s="62">
        <v>3.0</v>
      </c>
      <c r="F472" s="62">
        <v>0.0</v>
      </c>
      <c r="G472" s="62">
        <v>0.0</v>
      </c>
      <c r="H472" s="62">
        <v>0.0</v>
      </c>
      <c r="I472" s="62">
        <v>0.0</v>
      </c>
      <c r="J472" s="62">
        <v>5.0</v>
      </c>
      <c r="K472" s="62">
        <v>1.0</v>
      </c>
      <c r="L472" s="62">
        <v>0.0</v>
      </c>
      <c r="M472" s="62">
        <v>2.0</v>
      </c>
      <c r="N472" s="62">
        <v>0.0</v>
      </c>
      <c r="O472" s="62">
        <v>1.0</v>
      </c>
      <c r="P472" s="62">
        <v>0.0</v>
      </c>
      <c r="Q472" s="62">
        <v>0.0</v>
      </c>
      <c r="R472" s="62">
        <v>0.0</v>
      </c>
      <c r="S472" s="62">
        <v>7507.0</v>
      </c>
      <c r="T472" s="62">
        <v>1.1075</v>
      </c>
      <c r="U472" s="62">
        <v>0.0</v>
      </c>
      <c r="V472" s="62">
        <v>0.0</v>
      </c>
      <c r="W472" s="62">
        <v>0.0</v>
      </c>
      <c r="X472" s="62">
        <v>0.0</v>
      </c>
      <c r="Y472" s="62">
        <v>1.02277777777777</v>
      </c>
      <c r="Z472" s="62">
        <v>0.203611111111111</v>
      </c>
      <c r="AA472" s="62">
        <v>0.0</v>
      </c>
      <c r="AB472" s="62">
        <v>0.408611111111111</v>
      </c>
      <c r="AC472" s="62">
        <v>0.0</v>
      </c>
      <c r="AD472" s="62">
        <v>0.155833333333333</v>
      </c>
      <c r="AE472" s="62">
        <v>0.0</v>
      </c>
      <c r="AF472" s="62">
        <v>5.0</v>
      </c>
    </row>
    <row r="473">
      <c r="A473" s="68">
        <v>46133.0</v>
      </c>
      <c r="B473" s="62" t="s">
        <v>26</v>
      </c>
      <c r="C473" s="62" t="s">
        <v>178</v>
      </c>
      <c r="D473" s="62">
        <v>0.0</v>
      </c>
      <c r="E473" s="62">
        <v>13.0</v>
      </c>
      <c r="F473" s="62">
        <v>4.0</v>
      </c>
      <c r="G473" s="62">
        <v>2.0</v>
      </c>
      <c r="H473" s="62">
        <v>2.0</v>
      </c>
      <c r="I473" s="62">
        <v>1.0</v>
      </c>
      <c r="J473" s="62">
        <v>6.0</v>
      </c>
      <c r="K473" s="62">
        <v>3.0</v>
      </c>
      <c r="L473" s="62">
        <v>1.0</v>
      </c>
      <c r="M473" s="62">
        <v>7.0</v>
      </c>
      <c r="N473" s="62">
        <v>1.0</v>
      </c>
      <c r="O473" s="62">
        <v>1.0</v>
      </c>
      <c r="P473" s="62">
        <v>1.0</v>
      </c>
      <c r="Q473" s="62">
        <v>0.0</v>
      </c>
      <c r="R473" s="62">
        <v>0.0</v>
      </c>
      <c r="S473" s="62">
        <v>28510.0</v>
      </c>
      <c r="T473" s="62">
        <v>1.67138888888888</v>
      </c>
      <c r="U473" s="62">
        <v>0.7475</v>
      </c>
      <c r="V473" s="62">
        <v>0.359444444444444</v>
      </c>
      <c r="W473" s="62">
        <v>0.346944444444444</v>
      </c>
      <c r="X473" s="62">
        <v>0.170555555555555</v>
      </c>
      <c r="Y473" s="62">
        <v>1.14305555555555</v>
      </c>
      <c r="Z473" s="62">
        <v>0.531111111111111</v>
      </c>
      <c r="AA473" s="62">
        <v>0.182777777777777</v>
      </c>
      <c r="AB473" s="62">
        <v>1.42111111111111</v>
      </c>
      <c r="AC473" s="62">
        <v>0.204166666666666</v>
      </c>
      <c r="AD473" s="62">
        <v>0.18</v>
      </c>
      <c r="AE473" s="62">
        <v>0.204166666666666</v>
      </c>
      <c r="AF473" s="62">
        <v>9.0</v>
      </c>
    </row>
    <row r="474">
      <c r="A474" s="68">
        <v>46133.0</v>
      </c>
      <c r="B474" s="62" t="s">
        <v>62</v>
      </c>
      <c r="C474" s="62" t="s">
        <v>63</v>
      </c>
      <c r="D474" s="62">
        <v>4.0</v>
      </c>
      <c r="E474" s="62">
        <v>4.0</v>
      </c>
      <c r="F474" s="62">
        <v>0.0</v>
      </c>
      <c r="G474" s="62">
        <v>0.0</v>
      </c>
      <c r="H474" s="62">
        <v>0.0</v>
      </c>
      <c r="I474" s="62">
        <v>0.0</v>
      </c>
      <c r="J474" s="62">
        <v>1.0</v>
      </c>
      <c r="K474" s="62">
        <v>1.0</v>
      </c>
      <c r="L474" s="62">
        <v>0.0</v>
      </c>
      <c r="M474" s="62">
        <v>1.0</v>
      </c>
      <c r="N474" s="62">
        <v>0.0</v>
      </c>
      <c r="O474" s="62">
        <v>1.0</v>
      </c>
      <c r="P474" s="62">
        <v>0.0</v>
      </c>
      <c r="Q474" s="62">
        <v>0.0</v>
      </c>
      <c r="R474" s="62">
        <v>8043.0</v>
      </c>
      <c r="S474" s="62">
        <v>9262.0</v>
      </c>
      <c r="T474" s="62">
        <v>0.0</v>
      </c>
      <c r="U474" s="62">
        <v>0.0</v>
      </c>
      <c r="V474" s="62">
        <v>0.0</v>
      </c>
      <c r="W474" s="62">
        <v>0.0</v>
      </c>
      <c r="X474" s="62">
        <v>0.0</v>
      </c>
      <c r="Y474" s="62">
        <v>0.225833333333333</v>
      </c>
      <c r="Z474" s="62">
        <v>0.198888888888888</v>
      </c>
      <c r="AA474" s="62">
        <v>0.0</v>
      </c>
      <c r="AB474" s="62">
        <v>0.225833333333333</v>
      </c>
      <c r="AC474" s="62">
        <v>0.0</v>
      </c>
      <c r="AD474" s="62">
        <v>0.190555555555555</v>
      </c>
      <c r="AE474" s="62">
        <v>0.0</v>
      </c>
      <c r="AF474" s="62">
        <v>0.0</v>
      </c>
    </row>
    <row r="475">
      <c r="A475" s="68">
        <v>46132.0</v>
      </c>
      <c r="B475" s="62" t="s">
        <v>106</v>
      </c>
      <c r="C475" s="62" t="s">
        <v>107</v>
      </c>
      <c r="D475" s="62">
        <v>0.0</v>
      </c>
      <c r="E475" s="62">
        <v>0.0</v>
      </c>
      <c r="F475" s="62">
        <v>0.0</v>
      </c>
      <c r="G475" s="62">
        <v>0.0</v>
      </c>
      <c r="H475" s="62">
        <v>0.0</v>
      </c>
      <c r="I475" s="62">
        <v>0.0</v>
      </c>
      <c r="J475" s="62">
        <v>0.0</v>
      </c>
      <c r="K475" s="62">
        <v>1.0</v>
      </c>
      <c r="L475" s="62">
        <v>7.0</v>
      </c>
      <c r="M475" s="62">
        <v>8.0</v>
      </c>
      <c r="N475" s="62">
        <v>0.0</v>
      </c>
      <c r="O475" s="62">
        <v>0.0</v>
      </c>
      <c r="P475" s="62">
        <v>0.0</v>
      </c>
      <c r="Q475" s="62">
        <v>0.0</v>
      </c>
      <c r="R475" s="62">
        <v>0.0</v>
      </c>
      <c r="S475" s="62">
        <v>0.0</v>
      </c>
      <c r="T475" s="62">
        <v>0.0</v>
      </c>
      <c r="U475" s="62">
        <v>0.0</v>
      </c>
      <c r="V475" s="62">
        <v>0.0</v>
      </c>
      <c r="W475" s="62">
        <v>0.0</v>
      </c>
      <c r="X475" s="62">
        <v>0.0</v>
      </c>
      <c r="Y475" s="62">
        <v>0.0</v>
      </c>
      <c r="Z475" s="62">
        <v>0.128888888888888</v>
      </c>
      <c r="AA475" s="62">
        <v>1.02833333333333</v>
      </c>
      <c r="AB475" s="62">
        <v>1.16361111111111</v>
      </c>
      <c r="AC475" s="62">
        <v>0.0</v>
      </c>
      <c r="AD475" s="62">
        <v>0.0</v>
      </c>
      <c r="AE475" s="62">
        <v>0.0</v>
      </c>
      <c r="AF475" s="62">
        <v>0.0</v>
      </c>
    </row>
    <row r="476">
      <c r="A476" s="68">
        <v>46132.0</v>
      </c>
      <c r="B476" s="62" t="s">
        <v>98</v>
      </c>
      <c r="C476" s="62" t="s">
        <v>183</v>
      </c>
      <c r="D476" s="62">
        <v>1.0</v>
      </c>
      <c r="E476" s="62">
        <v>2.0</v>
      </c>
      <c r="F476" s="62">
        <v>2.0</v>
      </c>
      <c r="G476" s="62">
        <v>1.0</v>
      </c>
      <c r="H476" s="62">
        <v>6.0</v>
      </c>
      <c r="I476" s="62">
        <v>3.0</v>
      </c>
      <c r="J476" s="62">
        <v>4.0</v>
      </c>
      <c r="K476" s="62">
        <v>1.0</v>
      </c>
      <c r="L476" s="62">
        <v>0.0</v>
      </c>
      <c r="M476" s="62">
        <v>0.0</v>
      </c>
      <c r="N476" s="62">
        <v>0.0</v>
      </c>
      <c r="O476" s="62">
        <v>1.0</v>
      </c>
      <c r="P476" s="62">
        <v>0.0</v>
      </c>
      <c r="Q476" s="62">
        <v>0.0</v>
      </c>
      <c r="R476" s="62">
        <v>2179.0</v>
      </c>
      <c r="S476" s="62">
        <v>4529.0</v>
      </c>
      <c r="T476" s="62">
        <v>0.208055555555555</v>
      </c>
      <c r="U476" s="62">
        <v>0.424722222222222</v>
      </c>
      <c r="V476" s="62">
        <v>0.216944444444444</v>
      </c>
      <c r="W476" s="62">
        <v>1.28277777777777</v>
      </c>
      <c r="X476" s="62">
        <v>0.641111111111111</v>
      </c>
      <c r="Y476" s="62">
        <v>0.853055555555555</v>
      </c>
      <c r="Z476" s="62">
        <v>0.211944444444444</v>
      </c>
      <c r="AA476" s="62">
        <v>0.0</v>
      </c>
      <c r="AB476" s="62">
        <v>0.0</v>
      </c>
      <c r="AC476" s="62">
        <v>0.0</v>
      </c>
      <c r="AD476" s="62">
        <v>0.226111111111111</v>
      </c>
      <c r="AE476" s="62">
        <v>0.0</v>
      </c>
      <c r="AF476" s="62">
        <v>1.0</v>
      </c>
    </row>
    <row r="477">
      <c r="A477" s="68">
        <v>46132.0</v>
      </c>
      <c r="B477" s="62" t="s">
        <v>71</v>
      </c>
      <c r="C477" s="62" t="s">
        <v>163</v>
      </c>
      <c r="D477" s="62">
        <v>1.0</v>
      </c>
      <c r="E477" s="62">
        <v>0.0</v>
      </c>
      <c r="F477" s="62">
        <v>0.0</v>
      </c>
      <c r="G477" s="62">
        <v>0.0</v>
      </c>
      <c r="H477" s="62">
        <v>1.0</v>
      </c>
      <c r="I477" s="62">
        <v>1.0</v>
      </c>
      <c r="J477" s="62">
        <v>0.0</v>
      </c>
      <c r="K477" s="62">
        <v>0.0</v>
      </c>
      <c r="L477" s="62">
        <v>0.0</v>
      </c>
      <c r="M477" s="62">
        <v>0.0</v>
      </c>
      <c r="N477" s="62">
        <v>0.0</v>
      </c>
      <c r="O477" s="62">
        <v>1.0</v>
      </c>
      <c r="P477" s="62">
        <v>0.0</v>
      </c>
      <c r="Q477" s="62">
        <v>0.0</v>
      </c>
      <c r="R477" s="62">
        <v>2551.0</v>
      </c>
      <c r="S477" s="62">
        <v>0.0</v>
      </c>
      <c r="T477" s="62">
        <v>0.221388888888888</v>
      </c>
      <c r="U477" s="62">
        <v>0.0</v>
      </c>
      <c r="V477" s="62">
        <v>0.0</v>
      </c>
      <c r="W477" s="62">
        <v>0.221388888888888</v>
      </c>
      <c r="X477" s="62">
        <v>0.221388888888888</v>
      </c>
      <c r="Y477" s="62">
        <v>0.0</v>
      </c>
      <c r="Z477" s="62">
        <v>0.0</v>
      </c>
      <c r="AA477" s="62">
        <v>0.0</v>
      </c>
      <c r="AB477" s="62">
        <v>0.0</v>
      </c>
      <c r="AC477" s="62">
        <v>0.0</v>
      </c>
      <c r="AD477" s="62">
        <v>0.278888888888888</v>
      </c>
      <c r="AE477" s="62">
        <v>0.0</v>
      </c>
      <c r="AF477" s="62">
        <v>1.0</v>
      </c>
    </row>
    <row r="478">
      <c r="A478" s="68">
        <v>46132.0</v>
      </c>
      <c r="B478" s="62" t="s">
        <v>76</v>
      </c>
      <c r="C478" s="62" t="s">
        <v>165</v>
      </c>
      <c r="D478" s="62">
        <v>7.0</v>
      </c>
      <c r="E478" s="62">
        <v>0.0</v>
      </c>
      <c r="F478" s="62">
        <v>4.0</v>
      </c>
      <c r="G478" s="62">
        <v>3.0</v>
      </c>
      <c r="H478" s="62">
        <v>3.0</v>
      </c>
      <c r="I478" s="62">
        <v>0.0</v>
      </c>
      <c r="J478" s="62">
        <v>1.0</v>
      </c>
      <c r="K478" s="62">
        <v>0.0</v>
      </c>
      <c r="L478" s="62">
        <v>0.0</v>
      </c>
      <c r="M478" s="62">
        <v>1.0</v>
      </c>
      <c r="N478" s="62">
        <v>0.0</v>
      </c>
      <c r="O478" s="62">
        <v>1.0</v>
      </c>
      <c r="P478" s="62">
        <v>0.0</v>
      </c>
      <c r="Q478" s="62">
        <v>0.0</v>
      </c>
      <c r="R478" s="62">
        <v>22498.0</v>
      </c>
      <c r="S478" s="62">
        <v>0.0</v>
      </c>
      <c r="T478" s="62">
        <v>0.643611111111111</v>
      </c>
      <c r="U478" s="62">
        <v>1.23833333333333</v>
      </c>
      <c r="V478" s="62">
        <v>0.9075</v>
      </c>
      <c r="W478" s="62">
        <v>0.9075</v>
      </c>
      <c r="X478" s="62">
        <v>0.0</v>
      </c>
      <c r="Y478" s="62">
        <v>0.331944444444444</v>
      </c>
      <c r="Z478" s="62">
        <v>0.0</v>
      </c>
      <c r="AA478" s="62">
        <v>0.0</v>
      </c>
      <c r="AB478" s="62">
        <v>0.331944444444444</v>
      </c>
      <c r="AC478" s="62">
        <v>0.0</v>
      </c>
      <c r="AD478" s="62">
        <v>0.236944444444444</v>
      </c>
      <c r="AE478" s="62">
        <v>0.0</v>
      </c>
      <c r="AF478" s="62">
        <v>2.0</v>
      </c>
    </row>
    <row r="479">
      <c r="A479" s="68">
        <v>46132.0</v>
      </c>
      <c r="B479" s="62" t="s">
        <v>100</v>
      </c>
      <c r="C479" s="62" t="s">
        <v>167</v>
      </c>
      <c r="D479" s="62">
        <v>0.0</v>
      </c>
      <c r="E479" s="62">
        <v>4.0</v>
      </c>
      <c r="F479" s="62">
        <v>0.0</v>
      </c>
      <c r="G479" s="62">
        <v>1.0</v>
      </c>
      <c r="H479" s="62">
        <v>1.0</v>
      </c>
      <c r="I479" s="62">
        <v>0.0</v>
      </c>
      <c r="J479" s="62">
        <v>0.0</v>
      </c>
      <c r="K479" s="62">
        <v>2.0</v>
      </c>
      <c r="L479" s="62">
        <v>2.0</v>
      </c>
      <c r="M479" s="62">
        <v>0.0</v>
      </c>
      <c r="N479" s="62">
        <v>0.0</v>
      </c>
      <c r="O479" s="62">
        <v>0.0</v>
      </c>
      <c r="P479" s="62">
        <v>0.0</v>
      </c>
      <c r="Q479" s="62">
        <v>0.0</v>
      </c>
      <c r="R479" s="62">
        <v>0.0</v>
      </c>
      <c r="S479" s="62">
        <v>9669.0</v>
      </c>
      <c r="T479" s="62">
        <v>0.0</v>
      </c>
      <c r="U479" s="62">
        <v>0.0</v>
      </c>
      <c r="V479" s="62">
        <v>0.215</v>
      </c>
      <c r="W479" s="62">
        <v>0.215</v>
      </c>
      <c r="X479" s="62">
        <v>0.0</v>
      </c>
      <c r="Y479" s="62">
        <v>0.0</v>
      </c>
      <c r="Z479" s="62">
        <v>0.429444444444444</v>
      </c>
      <c r="AA479" s="62">
        <v>0.429444444444444</v>
      </c>
      <c r="AB479" s="62">
        <v>0.0</v>
      </c>
      <c r="AC479" s="62">
        <v>0.0</v>
      </c>
      <c r="AD479" s="62">
        <v>0.0</v>
      </c>
      <c r="AE479" s="62">
        <v>0.0</v>
      </c>
      <c r="AF479" s="62">
        <v>0.0</v>
      </c>
    </row>
    <row r="480">
      <c r="A480" s="68">
        <v>46132.0</v>
      </c>
      <c r="B480" s="62" t="s">
        <v>32</v>
      </c>
      <c r="C480" s="62" t="s">
        <v>168</v>
      </c>
      <c r="D480" s="62">
        <v>1.0</v>
      </c>
      <c r="E480" s="62">
        <v>5.0</v>
      </c>
      <c r="F480" s="62">
        <v>3.0</v>
      </c>
      <c r="G480" s="62">
        <v>0.0</v>
      </c>
      <c r="H480" s="62">
        <v>2.0</v>
      </c>
      <c r="I480" s="62">
        <v>0.0</v>
      </c>
      <c r="J480" s="62">
        <v>4.0</v>
      </c>
      <c r="K480" s="62">
        <v>0.0</v>
      </c>
      <c r="L480" s="62">
        <v>0.0</v>
      </c>
      <c r="M480" s="62">
        <v>3.0</v>
      </c>
      <c r="N480" s="62">
        <v>0.0</v>
      </c>
      <c r="O480" s="62">
        <v>1.0</v>
      </c>
      <c r="P480" s="62">
        <v>0.0</v>
      </c>
      <c r="Q480" s="62">
        <v>0.0</v>
      </c>
      <c r="R480" s="62">
        <v>2377.0</v>
      </c>
      <c r="S480" s="62">
        <v>11763.0</v>
      </c>
      <c r="T480" s="62">
        <v>1.15055555555555</v>
      </c>
      <c r="U480" s="62">
        <v>0.721111111111111</v>
      </c>
      <c r="V480" s="62">
        <v>0.0</v>
      </c>
      <c r="W480" s="62">
        <v>0.478055555555555</v>
      </c>
      <c r="X480" s="62">
        <v>0.0</v>
      </c>
      <c r="Y480" s="62">
        <v>0.904722222222222</v>
      </c>
      <c r="Z480" s="62">
        <v>0.0</v>
      </c>
      <c r="AA480" s="62">
        <v>0.0</v>
      </c>
      <c r="AB480" s="62">
        <v>0.663888888888888</v>
      </c>
      <c r="AC480" s="62">
        <v>0.0</v>
      </c>
      <c r="AD480" s="62">
        <v>0.206944444444444</v>
      </c>
      <c r="AE480" s="62">
        <v>0.0</v>
      </c>
      <c r="AF480" s="62">
        <v>5.0</v>
      </c>
    </row>
    <row r="481">
      <c r="A481" s="68">
        <v>46132.0</v>
      </c>
      <c r="B481" s="62" t="s">
        <v>93</v>
      </c>
      <c r="C481" s="62" t="s">
        <v>182</v>
      </c>
      <c r="D481" s="62">
        <v>0.0</v>
      </c>
      <c r="E481" s="62">
        <v>0.0</v>
      </c>
      <c r="F481" s="62">
        <v>0.0</v>
      </c>
      <c r="G481" s="62">
        <v>0.0</v>
      </c>
      <c r="H481" s="62">
        <v>0.0</v>
      </c>
      <c r="I481" s="62">
        <v>0.0</v>
      </c>
      <c r="J481" s="62">
        <v>0.0</v>
      </c>
      <c r="K481" s="62">
        <v>1.0</v>
      </c>
      <c r="L481" s="62">
        <v>0.0</v>
      </c>
      <c r="M481" s="62">
        <v>0.0</v>
      </c>
      <c r="N481" s="62">
        <v>0.0</v>
      </c>
      <c r="O481" s="62">
        <v>1.0</v>
      </c>
      <c r="P481" s="62">
        <v>0.0</v>
      </c>
      <c r="Q481" s="62">
        <v>0.0</v>
      </c>
      <c r="R481" s="62">
        <v>0.0</v>
      </c>
      <c r="S481" s="62">
        <v>0.0</v>
      </c>
      <c r="T481" s="62">
        <v>0.0</v>
      </c>
      <c r="U481" s="62">
        <v>0.0</v>
      </c>
      <c r="V481" s="62">
        <v>0.0</v>
      </c>
      <c r="W481" s="62">
        <v>0.0</v>
      </c>
      <c r="X481" s="62">
        <v>0.0</v>
      </c>
      <c r="Y481" s="62">
        <v>0.0</v>
      </c>
      <c r="Z481" s="62">
        <v>0.223333333333333</v>
      </c>
      <c r="AA481" s="62">
        <v>0.0</v>
      </c>
      <c r="AB481" s="62">
        <v>0.0</v>
      </c>
      <c r="AC481" s="62">
        <v>0.0</v>
      </c>
      <c r="AD481" s="62">
        <v>0.270833333333333</v>
      </c>
      <c r="AE481" s="62">
        <v>0.0</v>
      </c>
      <c r="AF481" s="62">
        <v>0.0</v>
      </c>
    </row>
    <row r="482">
      <c r="A482" s="68">
        <v>46132.0</v>
      </c>
      <c r="B482" s="62" t="s">
        <v>65</v>
      </c>
      <c r="C482" s="62" t="s">
        <v>173</v>
      </c>
      <c r="D482" s="62">
        <v>0.0</v>
      </c>
      <c r="E482" s="62">
        <v>0.0</v>
      </c>
      <c r="F482" s="62">
        <v>0.0</v>
      </c>
      <c r="G482" s="62">
        <v>0.0</v>
      </c>
      <c r="H482" s="62">
        <v>0.0</v>
      </c>
      <c r="I482" s="62">
        <v>0.0</v>
      </c>
      <c r="J482" s="62">
        <v>2.0</v>
      </c>
      <c r="K482" s="62">
        <v>2.0</v>
      </c>
      <c r="L482" s="62">
        <v>0.0</v>
      </c>
      <c r="M482" s="62">
        <v>0.0</v>
      </c>
      <c r="N482" s="62">
        <v>0.0</v>
      </c>
      <c r="O482" s="62">
        <v>1.0</v>
      </c>
      <c r="P482" s="62">
        <v>0.0</v>
      </c>
      <c r="Q482" s="62">
        <v>0.0</v>
      </c>
      <c r="R482" s="62">
        <v>0.0</v>
      </c>
      <c r="S482" s="62">
        <v>0.0</v>
      </c>
      <c r="T482" s="62">
        <v>0.0</v>
      </c>
      <c r="U482" s="62">
        <v>0.0</v>
      </c>
      <c r="V482" s="62">
        <v>0.0</v>
      </c>
      <c r="W482" s="62">
        <v>0.0</v>
      </c>
      <c r="X482" s="62">
        <v>0.0</v>
      </c>
      <c r="Y482" s="62">
        <v>0.434166666666666</v>
      </c>
      <c r="Z482" s="62">
        <v>0.434166666666666</v>
      </c>
      <c r="AA482" s="62">
        <v>0.0</v>
      </c>
      <c r="AB482" s="62">
        <v>0.0</v>
      </c>
      <c r="AC482" s="62">
        <v>0.0</v>
      </c>
      <c r="AD482" s="62">
        <v>0.280833333333333</v>
      </c>
      <c r="AE482" s="62">
        <v>0.0</v>
      </c>
      <c r="AF482" s="62">
        <v>0.0</v>
      </c>
    </row>
    <row r="483">
      <c r="A483" s="68">
        <v>46132.0</v>
      </c>
      <c r="B483" s="62" t="s">
        <v>37</v>
      </c>
      <c r="C483" s="62" t="s">
        <v>174</v>
      </c>
      <c r="D483" s="62">
        <v>6.0</v>
      </c>
      <c r="E483" s="62">
        <v>7.0</v>
      </c>
      <c r="F483" s="62">
        <v>0.0</v>
      </c>
      <c r="G483" s="62">
        <v>0.0</v>
      </c>
      <c r="H483" s="62">
        <v>0.0</v>
      </c>
      <c r="I483" s="62">
        <v>0.0</v>
      </c>
      <c r="J483" s="62">
        <v>3.0</v>
      </c>
      <c r="K483" s="62">
        <v>2.0</v>
      </c>
      <c r="L483" s="62">
        <v>0.0</v>
      </c>
      <c r="M483" s="62">
        <v>4.0</v>
      </c>
      <c r="N483" s="62">
        <v>3.0</v>
      </c>
      <c r="O483" s="62">
        <v>1.0</v>
      </c>
      <c r="P483" s="62">
        <v>3.0</v>
      </c>
      <c r="Q483" s="62">
        <v>0.0</v>
      </c>
      <c r="R483" s="62">
        <v>11455.0</v>
      </c>
      <c r="S483" s="62">
        <v>13530.0</v>
      </c>
      <c r="T483" s="62">
        <v>0.0</v>
      </c>
      <c r="U483" s="62">
        <v>0.0</v>
      </c>
      <c r="V483" s="62">
        <v>0.0</v>
      </c>
      <c r="W483" s="62">
        <v>0.0</v>
      </c>
      <c r="X483" s="62">
        <v>0.0</v>
      </c>
      <c r="Y483" s="62">
        <v>0.740555555555555</v>
      </c>
      <c r="Z483" s="62">
        <v>0.510277777777777</v>
      </c>
      <c r="AA483" s="62">
        <v>0.0</v>
      </c>
      <c r="AB483" s="62">
        <v>0.993611111111111</v>
      </c>
      <c r="AC483" s="62">
        <v>0.763333333333333</v>
      </c>
      <c r="AD483" s="62">
        <v>0.310277777777777</v>
      </c>
      <c r="AE483" s="62">
        <v>0.763333333333333</v>
      </c>
      <c r="AF483" s="62">
        <v>0.0</v>
      </c>
    </row>
    <row r="484">
      <c r="A484" s="68">
        <v>46132.0</v>
      </c>
      <c r="B484" s="62" t="s">
        <v>108</v>
      </c>
      <c r="C484" s="62" t="s">
        <v>175</v>
      </c>
      <c r="D484" s="62">
        <v>1.0</v>
      </c>
      <c r="E484" s="62">
        <v>0.0</v>
      </c>
      <c r="F484" s="62">
        <v>0.0</v>
      </c>
      <c r="G484" s="62">
        <v>0.0</v>
      </c>
      <c r="H484" s="62">
        <v>0.0</v>
      </c>
      <c r="I484" s="62">
        <v>0.0</v>
      </c>
      <c r="J484" s="62">
        <v>0.0</v>
      </c>
      <c r="K484" s="62">
        <v>0.0</v>
      </c>
      <c r="L484" s="62">
        <v>0.0</v>
      </c>
      <c r="M484" s="62">
        <v>0.0</v>
      </c>
      <c r="N484" s="62">
        <v>0.0</v>
      </c>
      <c r="O484" s="62">
        <v>0.0</v>
      </c>
      <c r="P484" s="62">
        <v>0.0</v>
      </c>
      <c r="Q484" s="62">
        <v>0.0</v>
      </c>
      <c r="R484" s="62">
        <v>2298.0</v>
      </c>
      <c r="S484" s="62">
        <v>0.0</v>
      </c>
      <c r="T484" s="62">
        <v>0.0</v>
      </c>
      <c r="U484" s="62">
        <v>0.0</v>
      </c>
      <c r="V484" s="62">
        <v>0.0</v>
      </c>
      <c r="W484" s="62">
        <v>0.0</v>
      </c>
      <c r="X484" s="62">
        <v>0.0</v>
      </c>
      <c r="Y484" s="62">
        <v>0.0</v>
      </c>
      <c r="Z484" s="62">
        <v>0.0</v>
      </c>
      <c r="AA484" s="62">
        <v>0.0</v>
      </c>
      <c r="AB484" s="62">
        <v>0.0</v>
      </c>
      <c r="AC484" s="62">
        <v>0.0</v>
      </c>
      <c r="AD484" s="62">
        <v>0.0</v>
      </c>
      <c r="AE484" s="62">
        <v>0.0</v>
      </c>
      <c r="AF484" s="62">
        <v>0.0</v>
      </c>
    </row>
    <row r="485">
      <c r="A485" s="68">
        <v>46132.0</v>
      </c>
      <c r="B485" s="62" t="s">
        <v>56</v>
      </c>
      <c r="C485" s="62" t="s">
        <v>176</v>
      </c>
      <c r="D485" s="62">
        <v>0.0</v>
      </c>
      <c r="E485" s="62">
        <v>0.0</v>
      </c>
      <c r="F485" s="62">
        <v>3.0</v>
      </c>
      <c r="G485" s="62">
        <v>0.0</v>
      </c>
      <c r="H485" s="62">
        <v>0.0</v>
      </c>
      <c r="I485" s="62">
        <v>0.0</v>
      </c>
      <c r="J485" s="62">
        <v>2.0</v>
      </c>
      <c r="K485" s="62">
        <v>0.0</v>
      </c>
      <c r="L485" s="62">
        <v>0.0</v>
      </c>
      <c r="M485" s="62">
        <v>0.0</v>
      </c>
      <c r="N485" s="62">
        <v>0.0</v>
      </c>
      <c r="O485" s="62">
        <v>0.0</v>
      </c>
      <c r="P485" s="62">
        <v>0.0</v>
      </c>
      <c r="Q485" s="62">
        <v>0.0</v>
      </c>
      <c r="R485" s="62">
        <v>0.0</v>
      </c>
      <c r="S485" s="62">
        <v>0.0</v>
      </c>
      <c r="T485" s="62">
        <v>0.0</v>
      </c>
      <c r="U485" s="62">
        <v>0.688611111111111</v>
      </c>
      <c r="V485" s="62">
        <v>0.0</v>
      </c>
      <c r="W485" s="62">
        <v>0.0</v>
      </c>
      <c r="X485" s="62">
        <v>0.0</v>
      </c>
      <c r="Y485" s="62">
        <v>0.4825</v>
      </c>
      <c r="Z485" s="62">
        <v>0.0</v>
      </c>
      <c r="AA485" s="62">
        <v>0.0</v>
      </c>
      <c r="AB485" s="62">
        <v>0.0</v>
      </c>
      <c r="AC485" s="62">
        <v>0.0</v>
      </c>
      <c r="AD485" s="62">
        <v>0.0</v>
      </c>
      <c r="AE485" s="62">
        <v>0.0</v>
      </c>
      <c r="AF485" s="62">
        <v>0.0</v>
      </c>
    </row>
    <row r="486">
      <c r="A486" s="68">
        <v>46132.0</v>
      </c>
      <c r="B486" s="62" t="s">
        <v>91</v>
      </c>
      <c r="C486" s="62" t="s">
        <v>184</v>
      </c>
      <c r="D486" s="62">
        <v>0.0</v>
      </c>
      <c r="E486" s="62">
        <v>2.0</v>
      </c>
      <c r="F486" s="62">
        <v>0.0</v>
      </c>
      <c r="G486" s="62">
        <v>0.0</v>
      </c>
      <c r="H486" s="62">
        <v>0.0</v>
      </c>
      <c r="I486" s="62">
        <v>0.0</v>
      </c>
      <c r="J486" s="62">
        <v>0.0</v>
      </c>
      <c r="K486" s="62">
        <v>3.0</v>
      </c>
      <c r="L486" s="62">
        <v>0.0</v>
      </c>
      <c r="M486" s="62">
        <v>1.0</v>
      </c>
      <c r="N486" s="62">
        <v>0.0</v>
      </c>
      <c r="O486" s="62">
        <v>1.0</v>
      </c>
      <c r="P486" s="62">
        <v>0.0</v>
      </c>
      <c r="Q486" s="62">
        <v>0.0</v>
      </c>
      <c r="R486" s="62">
        <v>0.0</v>
      </c>
      <c r="S486" s="62">
        <v>4926.0</v>
      </c>
      <c r="T486" s="62">
        <v>0.0</v>
      </c>
      <c r="U486" s="62">
        <v>0.0</v>
      </c>
      <c r="V486" s="62">
        <v>0.0</v>
      </c>
      <c r="W486" s="62">
        <v>0.0</v>
      </c>
      <c r="X486" s="62">
        <v>0.0</v>
      </c>
      <c r="Y486" s="62">
        <v>0.0</v>
      </c>
      <c r="Z486" s="62">
        <v>0.580277777777777</v>
      </c>
      <c r="AA486" s="62">
        <v>0.0</v>
      </c>
      <c r="AB486" s="62">
        <v>0.214722222222222</v>
      </c>
      <c r="AC486" s="62">
        <v>0.0</v>
      </c>
      <c r="AD486" s="62">
        <v>0.145277777777777</v>
      </c>
      <c r="AE486" s="62">
        <v>0.0</v>
      </c>
      <c r="AF486" s="62">
        <v>0.0</v>
      </c>
    </row>
    <row r="487">
      <c r="A487" s="68">
        <v>46132.0</v>
      </c>
      <c r="B487" s="62" t="s">
        <v>26</v>
      </c>
      <c r="C487" s="62" t="s">
        <v>178</v>
      </c>
      <c r="D487" s="62">
        <v>0.0</v>
      </c>
      <c r="E487" s="62">
        <v>11.0</v>
      </c>
      <c r="F487" s="62">
        <v>3.0</v>
      </c>
      <c r="G487" s="62">
        <v>1.0</v>
      </c>
      <c r="H487" s="62">
        <v>12.0</v>
      </c>
      <c r="I487" s="62">
        <v>12.0</v>
      </c>
      <c r="J487" s="62">
        <v>6.0</v>
      </c>
      <c r="K487" s="62">
        <v>1.0</v>
      </c>
      <c r="L487" s="62">
        <v>0.0</v>
      </c>
      <c r="M487" s="62">
        <v>2.0</v>
      </c>
      <c r="N487" s="62">
        <v>0.0</v>
      </c>
      <c r="O487" s="62">
        <v>1.0</v>
      </c>
      <c r="P487" s="62">
        <v>0.0</v>
      </c>
      <c r="Q487" s="62">
        <v>0.0</v>
      </c>
      <c r="R487" s="62">
        <v>0.0</v>
      </c>
      <c r="S487" s="62">
        <v>24035.0</v>
      </c>
      <c r="T487" s="62">
        <v>2.67111111111111</v>
      </c>
      <c r="U487" s="62">
        <v>0.567777777777777</v>
      </c>
      <c r="V487" s="62">
        <v>0.203055555555555</v>
      </c>
      <c r="W487" s="62">
        <v>2.285</v>
      </c>
      <c r="X487" s="62">
        <v>2.285</v>
      </c>
      <c r="Y487" s="62">
        <v>1.18166666666666</v>
      </c>
      <c r="Z487" s="62">
        <v>0.168333333333333</v>
      </c>
      <c r="AA487" s="62">
        <v>0.0</v>
      </c>
      <c r="AB487" s="62">
        <v>0.402499999999999</v>
      </c>
      <c r="AC487" s="62">
        <v>0.0</v>
      </c>
      <c r="AD487" s="62">
        <v>0.182222222222222</v>
      </c>
      <c r="AE487" s="62">
        <v>0.0</v>
      </c>
      <c r="AF487" s="62">
        <v>14.0</v>
      </c>
    </row>
    <row r="488">
      <c r="A488" s="68">
        <v>46132.0</v>
      </c>
      <c r="B488" s="62" t="s">
        <v>62</v>
      </c>
      <c r="C488" s="62" t="s">
        <v>63</v>
      </c>
      <c r="D488" s="62">
        <v>0.0</v>
      </c>
      <c r="E488" s="62">
        <v>5.0</v>
      </c>
      <c r="F488" s="62">
        <v>0.0</v>
      </c>
      <c r="G488" s="62">
        <v>0.0</v>
      </c>
      <c r="H488" s="62">
        <v>2.0</v>
      </c>
      <c r="I488" s="62">
        <v>2.0</v>
      </c>
      <c r="J488" s="62">
        <v>1.0</v>
      </c>
      <c r="K488" s="62">
        <v>0.0</v>
      </c>
      <c r="L488" s="62">
        <v>0.0</v>
      </c>
      <c r="M488" s="62">
        <v>0.0</v>
      </c>
      <c r="N488" s="62">
        <v>0.0</v>
      </c>
      <c r="O488" s="62">
        <v>1.0</v>
      </c>
      <c r="P488" s="62">
        <v>0.0</v>
      </c>
      <c r="Q488" s="62">
        <v>0.0</v>
      </c>
      <c r="R488" s="62">
        <v>0.0</v>
      </c>
      <c r="S488" s="62">
        <v>11409.0</v>
      </c>
      <c r="T488" s="62">
        <v>0.0</v>
      </c>
      <c r="U488" s="62">
        <v>0.0</v>
      </c>
      <c r="V488" s="62">
        <v>0.0</v>
      </c>
      <c r="W488" s="62">
        <v>0.412777777777777</v>
      </c>
      <c r="X488" s="62">
        <v>0.412777777777777</v>
      </c>
      <c r="Y488" s="62">
        <v>0.198888888888888</v>
      </c>
      <c r="Z488" s="62">
        <v>0.0</v>
      </c>
      <c r="AA488" s="62">
        <v>0.0</v>
      </c>
      <c r="AB488" s="62">
        <v>0.0</v>
      </c>
      <c r="AC488" s="62">
        <v>0.0</v>
      </c>
      <c r="AD488" s="62">
        <v>0.193888888888888</v>
      </c>
      <c r="AE488" s="62">
        <v>0.0</v>
      </c>
      <c r="AF488" s="62">
        <v>0.0</v>
      </c>
    </row>
    <row r="489">
      <c r="A489" s="68">
        <v>46131.0</v>
      </c>
      <c r="B489" s="62" t="s">
        <v>76</v>
      </c>
      <c r="C489" s="62" t="s">
        <v>165</v>
      </c>
      <c r="D489" s="62">
        <v>0.0</v>
      </c>
      <c r="E489" s="62">
        <v>0.0</v>
      </c>
      <c r="F489" s="62">
        <v>0.0</v>
      </c>
      <c r="G489" s="62">
        <v>0.0</v>
      </c>
      <c r="H489" s="62">
        <v>0.0</v>
      </c>
      <c r="I489" s="62">
        <v>0.0</v>
      </c>
      <c r="J489" s="62">
        <v>0.0</v>
      </c>
      <c r="K489" s="62">
        <v>0.0</v>
      </c>
      <c r="L489" s="62">
        <v>0.0</v>
      </c>
      <c r="M489" s="62">
        <v>0.0</v>
      </c>
      <c r="N489" s="62">
        <v>0.0</v>
      </c>
      <c r="O489" s="62">
        <v>1.0</v>
      </c>
      <c r="P489" s="62">
        <v>0.0</v>
      </c>
      <c r="Q489" s="62">
        <v>0.0</v>
      </c>
      <c r="R489" s="62">
        <v>0.0</v>
      </c>
      <c r="S489" s="62">
        <v>0.0</v>
      </c>
      <c r="T489" s="62">
        <v>0.594722222222222</v>
      </c>
      <c r="U489" s="62">
        <v>0.0</v>
      </c>
      <c r="V489" s="62">
        <v>0.0</v>
      </c>
      <c r="W489" s="62">
        <v>0.0</v>
      </c>
      <c r="X489" s="62">
        <v>0.0</v>
      </c>
      <c r="Y489" s="62">
        <v>0.0</v>
      </c>
      <c r="Z489" s="62">
        <v>0.0</v>
      </c>
      <c r="AA489" s="62">
        <v>0.0</v>
      </c>
      <c r="AB489" s="62">
        <v>0.0</v>
      </c>
      <c r="AC489" s="62">
        <v>0.0</v>
      </c>
      <c r="AD489" s="62">
        <v>0.230833333333333</v>
      </c>
      <c r="AE489" s="62">
        <v>0.0</v>
      </c>
      <c r="AF489" s="62">
        <v>2.0</v>
      </c>
    </row>
    <row r="490">
      <c r="A490" s="68">
        <v>46131.0</v>
      </c>
      <c r="B490" s="62" t="s">
        <v>102</v>
      </c>
      <c r="C490" s="62" t="s">
        <v>170</v>
      </c>
      <c r="D490" s="62">
        <v>3.0</v>
      </c>
      <c r="E490" s="62">
        <v>0.0</v>
      </c>
      <c r="F490" s="62">
        <v>0.0</v>
      </c>
      <c r="G490" s="62">
        <v>0.0</v>
      </c>
      <c r="H490" s="62">
        <v>0.0</v>
      </c>
      <c r="I490" s="62">
        <v>0.0</v>
      </c>
      <c r="J490" s="62">
        <v>0.0</v>
      </c>
      <c r="K490" s="62">
        <v>0.0</v>
      </c>
      <c r="L490" s="62">
        <v>0.0</v>
      </c>
      <c r="M490" s="62">
        <v>0.0</v>
      </c>
      <c r="N490" s="62">
        <v>0.0</v>
      </c>
      <c r="O490" s="62">
        <v>0.0</v>
      </c>
      <c r="P490" s="62">
        <v>0.0</v>
      </c>
      <c r="Q490" s="62">
        <v>0.0</v>
      </c>
      <c r="R490" s="62">
        <v>6962.0</v>
      </c>
      <c r="S490" s="62">
        <v>0.0</v>
      </c>
      <c r="T490" s="62">
        <v>0.0</v>
      </c>
      <c r="U490" s="62">
        <v>0.0</v>
      </c>
      <c r="V490" s="62">
        <v>0.0</v>
      </c>
      <c r="W490" s="62">
        <v>0.0</v>
      </c>
      <c r="X490" s="62">
        <v>0.0</v>
      </c>
      <c r="Y490" s="62">
        <v>0.0</v>
      </c>
      <c r="Z490" s="62">
        <v>0.0</v>
      </c>
      <c r="AA490" s="62">
        <v>0.0</v>
      </c>
      <c r="AB490" s="62">
        <v>0.0</v>
      </c>
      <c r="AC490" s="62">
        <v>0.0</v>
      </c>
      <c r="AD490" s="62">
        <v>0.0</v>
      </c>
      <c r="AE490" s="62">
        <v>0.0</v>
      </c>
      <c r="AF490" s="62">
        <v>0.0</v>
      </c>
    </row>
    <row r="491">
      <c r="A491" s="68">
        <v>46131.0</v>
      </c>
      <c r="B491" s="62" t="s">
        <v>65</v>
      </c>
      <c r="C491" s="62" t="s">
        <v>173</v>
      </c>
      <c r="D491" s="62">
        <v>0.0</v>
      </c>
      <c r="E491" s="62">
        <v>1.0</v>
      </c>
      <c r="F491" s="62">
        <v>0.0</v>
      </c>
      <c r="G491" s="62">
        <v>0.0</v>
      </c>
      <c r="H491" s="62">
        <v>4.0</v>
      </c>
      <c r="I491" s="62">
        <v>4.0</v>
      </c>
      <c r="J491" s="62">
        <v>0.0</v>
      </c>
      <c r="K491" s="62">
        <v>0.0</v>
      </c>
      <c r="L491" s="62">
        <v>0.0</v>
      </c>
      <c r="M491" s="62">
        <v>0.0</v>
      </c>
      <c r="N491" s="62">
        <v>0.0</v>
      </c>
      <c r="O491" s="62">
        <v>1.0</v>
      </c>
      <c r="P491" s="62">
        <v>0.0</v>
      </c>
      <c r="Q491" s="62">
        <v>0.0</v>
      </c>
      <c r="R491" s="62">
        <v>0.0</v>
      </c>
      <c r="S491" s="62">
        <v>2294.0</v>
      </c>
      <c r="T491" s="62">
        <v>0.0</v>
      </c>
      <c r="U491" s="62">
        <v>0.0</v>
      </c>
      <c r="V491" s="62">
        <v>0.0</v>
      </c>
      <c r="W491" s="62">
        <v>0.915555555555555</v>
      </c>
      <c r="X491" s="62">
        <v>0.915555555555555</v>
      </c>
      <c r="Y491" s="62">
        <v>0.0</v>
      </c>
      <c r="Z491" s="62">
        <v>0.0</v>
      </c>
      <c r="AA491" s="62">
        <v>0.0</v>
      </c>
      <c r="AB491" s="62">
        <v>0.0</v>
      </c>
      <c r="AC491" s="62">
        <v>0.0</v>
      </c>
      <c r="AD491" s="62">
        <v>0.215833333333333</v>
      </c>
      <c r="AE491" s="62">
        <v>0.0</v>
      </c>
      <c r="AF491" s="62">
        <v>0.0</v>
      </c>
    </row>
    <row r="492">
      <c r="A492" s="68">
        <v>46131.0</v>
      </c>
      <c r="B492" s="62" t="s">
        <v>56</v>
      </c>
      <c r="C492" s="62" t="s">
        <v>176</v>
      </c>
      <c r="D492" s="62">
        <v>7.0</v>
      </c>
      <c r="E492" s="62">
        <v>0.0</v>
      </c>
      <c r="F492" s="62">
        <v>0.0</v>
      </c>
      <c r="G492" s="62">
        <v>0.0</v>
      </c>
      <c r="H492" s="62">
        <v>0.0</v>
      </c>
      <c r="I492" s="62">
        <v>0.0</v>
      </c>
      <c r="J492" s="62">
        <v>0.0</v>
      </c>
      <c r="K492" s="62">
        <v>0.0</v>
      </c>
      <c r="L492" s="62">
        <v>0.0</v>
      </c>
      <c r="M492" s="62">
        <v>0.0</v>
      </c>
      <c r="N492" s="62">
        <v>0.0</v>
      </c>
      <c r="O492" s="62">
        <v>0.0</v>
      </c>
      <c r="P492" s="62">
        <v>0.0</v>
      </c>
      <c r="Q492" s="62">
        <v>0.0</v>
      </c>
      <c r="R492" s="62">
        <v>16503.0</v>
      </c>
      <c r="S492" s="62">
        <v>0.0</v>
      </c>
      <c r="T492" s="62">
        <v>0.688611111111111</v>
      </c>
      <c r="U492" s="62">
        <v>0.0</v>
      </c>
      <c r="V492" s="62">
        <v>0.0</v>
      </c>
      <c r="W492" s="62">
        <v>0.0</v>
      </c>
      <c r="X492" s="62">
        <v>0.0</v>
      </c>
      <c r="Y492" s="62">
        <v>0.0</v>
      </c>
      <c r="Z492" s="62">
        <v>0.0</v>
      </c>
      <c r="AA492" s="62">
        <v>0.0</v>
      </c>
      <c r="AB492" s="62">
        <v>0.0</v>
      </c>
      <c r="AC492" s="62">
        <v>0.0</v>
      </c>
      <c r="AD492" s="62">
        <v>0.0</v>
      </c>
      <c r="AE492" s="62">
        <v>0.0</v>
      </c>
      <c r="AF492" s="62">
        <v>3.0</v>
      </c>
    </row>
    <row r="493">
      <c r="A493" s="68">
        <v>46131.0</v>
      </c>
      <c r="B493" s="62" t="s">
        <v>91</v>
      </c>
      <c r="C493" s="62" t="s">
        <v>184</v>
      </c>
      <c r="D493" s="62">
        <v>5.0</v>
      </c>
      <c r="E493" s="62">
        <v>0.0</v>
      </c>
      <c r="F493" s="62">
        <v>0.0</v>
      </c>
      <c r="G493" s="62">
        <v>0.0</v>
      </c>
      <c r="H493" s="62">
        <v>5.0</v>
      </c>
      <c r="I493" s="62">
        <v>5.0</v>
      </c>
      <c r="J493" s="62">
        <v>0.0</v>
      </c>
      <c r="K493" s="62">
        <v>0.0</v>
      </c>
      <c r="L493" s="62">
        <v>0.0</v>
      </c>
      <c r="M493" s="62">
        <v>0.0</v>
      </c>
      <c r="N493" s="62">
        <v>0.0</v>
      </c>
      <c r="O493" s="62">
        <v>1.0</v>
      </c>
      <c r="P493" s="62">
        <v>0.0</v>
      </c>
      <c r="Q493" s="62">
        <v>0.0</v>
      </c>
      <c r="R493" s="62">
        <v>12433.0</v>
      </c>
      <c r="S493" s="62">
        <v>0.0</v>
      </c>
      <c r="T493" s="62">
        <v>0.0</v>
      </c>
      <c r="U493" s="62">
        <v>0.0</v>
      </c>
      <c r="V493" s="62">
        <v>0.0</v>
      </c>
      <c r="W493" s="62">
        <v>1.04027777777777</v>
      </c>
      <c r="X493" s="62">
        <v>1.04027777777777</v>
      </c>
      <c r="Y493" s="62">
        <v>0.0</v>
      </c>
      <c r="Z493" s="62">
        <v>0.0</v>
      </c>
      <c r="AA493" s="62">
        <v>0.0</v>
      </c>
      <c r="AB493" s="62">
        <v>0.0</v>
      </c>
      <c r="AC493" s="62">
        <v>0.0</v>
      </c>
      <c r="AD493" s="62">
        <v>0.140277777777777</v>
      </c>
      <c r="AE493" s="62">
        <v>0.0</v>
      </c>
      <c r="AF493" s="62">
        <v>0.0</v>
      </c>
    </row>
    <row r="494">
      <c r="A494" s="68">
        <v>46130.0</v>
      </c>
      <c r="B494" s="62" t="s">
        <v>98</v>
      </c>
      <c r="C494" s="62" t="s">
        <v>183</v>
      </c>
      <c r="D494" s="62">
        <v>0.0</v>
      </c>
      <c r="E494" s="62">
        <v>0.0</v>
      </c>
      <c r="F494" s="62">
        <v>0.0</v>
      </c>
      <c r="G494" s="62">
        <v>0.0</v>
      </c>
      <c r="H494" s="62">
        <v>0.0</v>
      </c>
      <c r="I494" s="62">
        <v>0.0</v>
      </c>
      <c r="J494" s="62">
        <v>0.0</v>
      </c>
      <c r="K494" s="62">
        <v>0.0</v>
      </c>
      <c r="L494" s="62">
        <v>0.0</v>
      </c>
      <c r="M494" s="62">
        <v>0.0</v>
      </c>
      <c r="N494" s="62">
        <v>0.0</v>
      </c>
      <c r="O494" s="62">
        <v>2.0</v>
      </c>
      <c r="P494" s="62">
        <v>0.0</v>
      </c>
      <c r="Q494" s="62">
        <v>0.0</v>
      </c>
      <c r="R494" s="62">
        <v>0.0</v>
      </c>
      <c r="S494" s="62">
        <v>0.0</v>
      </c>
      <c r="T494" s="62">
        <v>0.857777777777777</v>
      </c>
      <c r="U494" s="62">
        <v>0.0</v>
      </c>
      <c r="V494" s="62">
        <v>0.0</v>
      </c>
      <c r="W494" s="62">
        <v>0.0</v>
      </c>
      <c r="X494" s="62">
        <v>0.0</v>
      </c>
      <c r="Y494" s="62">
        <v>0.0</v>
      </c>
      <c r="Z494" s="62">
        <v>0.0</v>
      </c>
      <c r="AA494" s="62">
        <v>0.0</v>
      </c>
      <c r="AB494" s="62">
        <v>0.0</v>
      </c>
      <c r="AC494" s="62">
        <v>0.0</v>
      </c>
      <c r="AD494" s="62">
        <v>0.429722222222222</v>
      </c>
      <c r="AE494" s="62">
        <v>0.0</v>
      </c>
      <c r="AF494" s="62">
        <v>4.0</v>
      </c>
    </row>
    <row r="495">
      <c r="A495" s="68">
        <v>46130.0</v>
      </c>
      <c r="B495" s="62" t="s">
        <v>71</v>
      </c>
      <c r="C495" s="62" t="s">
        <v>163</v>
      </c>
      <c r="D495" s="62">
        <v>0.0</v>
      </c>
      <c r="E495" s="62">
        <v>2.0</v>
      </c>
      <c r="F495" s="62">
        <v>0.0</v>
      </c>
      <c r="G495" s="62">
        <v>0.0</v>
      </c>
      <c r="H495" s="62">
        <v>0.0</v>
      </c>
      <c r="I495" s="62">
        <v>0.0</v>
      </c>
      <c r="J495" s="62">
        <v>0.0</v>
      </c>
      <c r="K495" s="62">
        <v>0.0</v>
      </c>
      <c r="L495" s="62">
        <v>0.0</v>
      </c>
      <c r="M495" s="62">
        <v>0.0</v>
      </c>
      <c r="N495" s="62">
        <v>0.0</v>
      </c>
      <c r="O495" s="62">
        <v>1.0</v>
      </c>
      <c r="P495" s="62">
        <v>0.0</v>
      </c>
      <c r="Q495" s="62">
        <v>0.0</v>
      </c>
      <c r="R495" s="62">
        <v>0.0</v>
      </c>
      <c r="S495" s="62">
        <v>4428.0</v>
      </c>
      <c r="T495" s="62">
        <v>0.0</v>
      </c>
      <c r="U495" s="62">
        <v>0.0</v>
      </c>
      <c r="V495" s="62">
        <v>0.0</v>
      </c>
      <c r="W495" s="62">
        <v>0.0</v>
      </c>
      <c r="X495" s="62">
        <v>0.0</v>
      </c>
      <c r="Y495" s="62">
        <v>0.0</v>
      </c>
      <c r="Z495" s="62">
        <v>0.0</v>
      </c>
      <c r="AA495" s="62">
        <v>0.0</v>
      </c>
      <c r="AB495" s="62">
        <v>0.0</v>
      </c>
      <c r="AC495" s="62">
        <v>0.0</v>
      </c>
      <c r="AD495" s="62">
        <v>0.263888888888888</v>
      </c>
      <c r="AE495" s="62">
        <v>0.0</v>
      </c>
      <c r="AF495" s="62">
        <v>0.0</v>
      </c>
    </row>
    <row r="496">
      <c r="A496" s="68">
        <v>46130.0</v>
      </c>
      <c r="B496" s="62" t="s">
        <v>76</v>
      </c>
      <c r="C496" s="62" t="s">
        <v>165</v>
      </c>
      <c r="D496" s="62">
        <v>0.0</v>
      </c>
      <c r="E496" s="62">
        <v>2.0</v>
      </c>
      <c r="F496" s="62">
        <v>0.0</v>
      </c>
      <c r="G496" s="62">
        <v>0.0</v>
      </c>
      <c r="H496" s="62">
        <v>0.0</v>
      </c>
      <c r="I496" s="62">
        <v>0.0</v>
      </c>
      <c r="J496" s="62">
        <v>0.0</v>
      </c>
      <c r="K496" s="62">
        <v>0.0</v>
      </c>
      <c r="L496" s="62">
        <v>0.0</v>
      </c>
      <c r="M496" s="62">
        <v>0.0</v>
      </c>
      <c r="N496" s="62">
        <v>0.0</v>
      </c>
      <c r="O496" s="62">
        <v>1.0</v>
      </c>
      <c r="P496" s="62">
        <v>0.0</v>
      </c>
      <c r="Q496" s="62">
        <v>0.0</v>
      </c>
      <c r="R496" s="62">
        <v>0.0</v>
      </c>
      <c r="S496" s="62">
        <v>3988.0</v>
      </c>
      <c r="T496" s="62">
        <v>0.0</v>
      </c>
      <c r="U496" s="62">
        <v>0.0</v>
      </c>
      <c r="V496" s="62">
        <v>0.0</v>
      </c>
      <c r="W496" s="62">
        <v>0.0</v>
      </c>
      <c r="X496" s="62">
        <v>0.0</v>
      </c>
      <c r="Y496" s="62">
        <v>0.0</v>
      </c>
      <c r="Z496" s="62">
        <v>0.0</v>
      </c>
      <c r="AA496" s="62">
        <v>0.0</v>
      </c>
      <c r="AB496" s="62">
        <v>0.0</v>
      </c>
      <c r="AC496" s="62">
        <v>0.0</v>
      </c>
      <c r="AD496" s="62">
        <v>0.231944444444444</v>
      </c>
      <c r="AE496" s="62">
        <v>0.0</v>
      </c>
      <c r="AF496" s="62">
        <v>0.0</v>
      </c>
    </row>
    <row r="497">
      <c r="A497" s="68">
        <v>46130.0</v>
      </c>
      <c r="B497" s="62" t="s">
        <v>32</v>
      </c>
      <c r="C497" s="62" t="s">
        <v>168</v>
      </c>
      <c r="D497" s="62">
        <v>0.0</v>
      </c>
      <c r="E497" s="62">
        <v>3.0</v>
      </c>
      <c r="F497" s="62">
        <v>0.0</v>
      </c>
      <c r="G497" s="62">
        <v>0.0</v>
      </c>
      <c r="H497" s="62">
        <v>0.0</v>
      </c>
      <c r="I497" s="62">
        <v>0.0</v>
      </c>
      <c r="J497" s="62">
        <v>0.0</v>
      </c>
      <c r="K497" s="62">
        <v>0.0</v>
      </c>
      <c r="L497" s="62">
        <v>0.0</v>
      </c>
      <c r="M497" s="62">
        <v>0.0</v>
      </c>
      <c r="N497" s="62">
        <v>0.0</v>
      </c>
      <c r="O497" s="62">
        <v>1.0</v>
      </c>
      <c r="P497" s="62">
        <v>0.0</v>
      </c>
      <c r="Q497" s="62">
        <v>0.0</v>
      </c>
      <c r="R497" s="62">
        <v>0.0</v>
      </c>
      <c r="S497" s="62">
        <v>7041.0</v>
      </c>
      <c r="T497" s="62">
        <v>0.0</v>
      </c>
      <c r="U497" s="62">
        <v>0.0</v>
      </c>
      <c r="V497" s="62">
        <v>0.0</v>
      </c>
      <c r="W497" s="62">
        <v>0.0</v>
      </c>
      <c r="X497" s="62">
        <v>0.0</v>
      </c>
      <c r="Y497" s="62">
        <v>0.0</v>
      </c>
      <c r="Z497" s="62">
        <v>0.0</v>
      </c>
      <c r="AA497" s="62">
        <v>0.0</v>
      </c>
      <c r="AB497" s="62">
        <v>0.0</v>
      </c>
      <c r="AC497" s="62">
        <v>0.0</v>
      </c>
      <c r="AD497" s="62">
        <v>0.195833333333333</v>
      </c>
      <c r="AE497" s="62">
        <v>0.0</v>
      </c>
      <c r="AF497" s="62">
        <v>0.0</v>
      </c>
    </row>
    <row r="498">
      <c r="A498" s="68">
        <v>46130.0</v>
      </c>
      <c r="B498" s="62" t="s">
        <v>93</v>
      </c>
      <c r="C498" s="62" t="s">
        <v>182</v>
      </c>
      <c r="D498" s="62">
        <v>0.0</v>
      </c>
      <c r="E498" s="62">
        <v>0.0</v>
      </c>
      <c r="F498" s="62">
        <v>0.0</v>
      </c>
      <c r="G498" s="62">
        <v>0.0</v>
      </c>
      <c r="H498" s="62">
        <v>0.0</v>
      </c>
      <c r="I498" s="62">
        <v>0.0</v>
      </c>
      <c r="J498" s="62">
        <v>0.0</v>
      </c>
      <c r="K498" s="62">
        <v>0.0</v>
      </c>
      <c r="L498" s="62">
        <v>0.0</v>
      </c>
      <c r="M498" s="62">
        <v>0.0</v>
      </c>
      <c r="N498" s="62">
        <v>10.0</v>
      </c>
      <c r="O498" s="62">
        <v>1.0</v>
      </c>
      <c r="P498" s="62">
        <v>10.0</v>
      </c>
      <c r="Q498" s="62">
        <v>0.0</v>
      </c>
      <c r="R498" s="62">
        <v>0.0</v>
      </c>
      <c r="S498" s="62">
        <v>0.0</v>
      </c>
      <c r="T498" s="62">
        <v>0.0</v>
      </c>
      <c r="U498" s="62">
        <v>0.0</v>
      </c>
      <c r="V498" s="62">
        <v>0.0</v>
      </c>
      <c r="W498" s="62">
        <v>0.0</v>
      </c>
      <c r="X498" s="62">
        <v>0.0</v>
      </c>
      <c r="Y498" s="62">
        <v>0.0</v>
      </c>
      <c r="Z498" s="62">
        <v>0.0</v>
      </c>
      <c r="AA498" s="62">
        <v>0.0</v>
      </c>
      <c r="AB498" s="62">
        <v>0.0</v>
      </c>
      <c r="AC498" s="62">
        <v>2.38999999999999</v>
      </c>
      <c r="AD498" s="62">
        <v>0.224444444444444</v>
      </c>
      <c r="AE498" s="62">
        <v>2.39</v>
      </c>
      <c r="AF498" s="62">
        <v>0.0</v>
      </c>
    </row>
    <row r="499">
      <c r="A499" s="68">
        <v>46130.0</v>
      </c>
      <c r="B499" s="62" t="s">
        <v>65</v>
      </c>
      <c r="C499" s="62" t="s">
        <v>173</v>
      </c>
      <c r="D499" s="62">
        <v>0.0</v>
      </c>
      <c r="E499" s="62">
        <v>3.0</v>
      </c>
      <c r="F499" s="62">
        <v>0.0</v>
      </c>
      <c r="G499" s="62">
        <v>0.0</v>
      </c>
      <c r="H499" s="62">
        <v>0.0</v>
      </c>
      <c r="I499" s="62">
        <v>0.0</v>
      </c>
      <c r="J499" s="62">
        <v>0.0</v>
      </c>
      <c r="K499" s="62">
        <v>0.0</v>
      </c>
      <c r="L499" s="62">
        <v>0.0</v>
      </c>
      <c r="M499" s="62">
        <v>0.0</v>
      </c>
      <c r="N499" s="62">
        <v>0.0</v>
      </c>
      <c r="O499" s="62">
        <v>1.0</v>
      </c>
      <c r="P499" s="62">
        <v>0.0</v>
      </c>
      <c r="Q499" s="62">
        <v>0.0</v>
      </c>
      <c r="R499" s="62">
        <v>0.0</v>
      </c>
      <c r="S499" s="62">
        <v>6983.0</v>
      </c>
      <c r="T499" s="62">
        <v>0.915555555555555</v>
      </c>
      <c r="U499" s="62">
        <v>0.0</v>
      </c>
      <c r="V499" s="62">
        <v>0.0</v>
      </c>
      <c r="W499" s="62">
        <v>0.0</v>
      </c>
      <c r="X499" s="62">
        <v>0.0</v>
      </c>
      <c r="Y499" s="62">
        <v>0.0</v>
      </c>
      <c r="Z499" s="62">
        <v>0.0</v>
      </c>
      <c r="AA499" s="62">
        <v>0.0</v>
      </c>
      <c r="AB499" s="62">
        <v>0.0</v>
      </c>
      <c r="AC499" s="62">
        <v>0.0</v>
      </c>
      <c r="AD499" s="62">
        <v>0.255</v>
      </c>
      <c r="AE499" s="62">
        <v>0.0</v>
      </c>
      <c r="AF499" s="62">
        <v>4.0</v>
      </c>
    </row>
    <row r="500">
      <c r="A500" s="68">
        <v>46130.0</v>
      </c>
      <c r="B500" s="62" t="s">
        <v>37</v>
      </c>
      <c r="C500" s="62" t="s">
        <v>174</v>
      </c>
      <c r="D500" s="62">
        <v>0.0</v>
      </c>
      <c r="E500" s="62">
        <v>4.0</v>
      </c>
      <c r="F500" s="62">
        <v>0.0</v>
      </c>
      <c r="G500" s="62">
        <v>0.0</v>
      </c>
      <c r="H500" s="62">
        <v>0.0</v>
      </c>
      <c r="I500" s="62">
        <v>0.0</v>
      </c>
      <c r="J500" s="62">
        <v>0.0</v>
      </c>
      <c r="K500" s="62">
        <v>0.0</v>
      </c>
      <c r="L500" s="62">
        <v>0.0</v>
      </c>
      <c r="M500" s="62">
        <v>0.0</v>
      </c>
      <c r="N500" s="62">
        <v>0.0</v>
      </c>
      <c r="O500" s="62">
        <v>1.0</v>
      </c>
      <c r="P500" s="62">
        <v>0.0</v>
      </c>
      <c r="Q500" s="62">
        <v>0.0</v>
      </c>
      <c r="R500" s="62">
        <v>0.0</v>
      </c>
      <c r="S500" s="62">
        <v>9349.0</v>
      </c>
      <c r="T500" s="62">
        <v>0.0</v>
      </c>
      <c r="U500" s="62">
        <v>0.0</v>
      </c>
      <c r="V500" s="62">
        <v>0.0</v>
      </c>
      <c r="W500" s="62">
        <v>0.0</v>
      </c>
      <c r="X500" s="62">
        <v>0.0</v>
      </c>
      <c r="Y500" s="62">
        <v>0.0</v>
      </c>
      <c r="Z500" s="62">
        <v>0.0</v>
      </c>
      <c r="AA500" s="62">
        <v>0.0</v>
      </c>
      <c r="AB500" s="62">
        <v>0.0</v>
      </c>
      <c r="AC500" s="62">
        <v>0.0</v>
      </c>
      <c r="AD500" s="62">
        <v>0.288888888888888</v>
      </c>
      <c r="AE500" s="62">
        <v>0.0</v>
      </c>
      <c r="AF500" s="62">
        <v>0.0</v>
      </c>
    </row>
    <row r="501">
      <c r="A501" s="68">
        <v>46130.0</v>
      </c>
      <c r="B501" s="62" t="s">
        <v>91</v>
      </c>
      <c r="C501" s="62" t="s">
        <v>184</v>
      </c>
      <c r="D501" s="62">
        <v>0.0</v>
      </c>
      <c r="E501" s="62">
        <v>0.0</v>
      </c>
      <c r="F501" s="62">
        <v>0.0</v>
      </c>
      <c r="G501" s="62">
        <v>0.0</v>
      </c>
      <c r="H501" s="62">
        <v>0.0</v>
      </c>
      <c r="I501" s="62">
        <v>0.0</v>
      </c>
      <c r="J501" s="62">
        <v>3.0</v>
      </c>
      <c r="K501" s="62">
        <v>0.0</v>
      </c>
      <c r="L501" s="62">
        <v>0.0</v>
      </c>
      <c r="M501" s="62">
        <v>0.0</v>
      </c>
      <c r="N501" s="62">
        <v>0.0</v>
      </c>
      <c r="O501" s="62">
        <v>1.0</v>
      </c>
      <c r="P501" s="62">
        <v>0.0</v>
      </c>
      <c r="Q501" s="62">
        <v>0.0</v>
      </c>
      <c r="R501" s="62">
        <v>0.0</v>
      </c>
      <c r="S501" s="62">
        <v>0.0</v>
      </c>
      <c r="T501" s="62">
        <v>0.0</v>
      </c>
      <c r="U501" s="62">
        <v>0.0</v>
      </c>
      <c r="V501" s="62">
        <v>0.0</v>
      </c>
      <c r="W501" s="62">
        <v>0.0</v>
      </c>
      <c r="X501" s="62">
        <v>0.0</v>
      </c>
      <c r="Y501" s="62">
        <v>0.601666666666666</v>
      </c>
      <c r="Z501" s="62">
        <v>0.0</v>
      </c>
      <c r="AA501" s="62">
        <v>0.0</v>
      </c>
      <c r="AB501" s="62">
        <v>0.0</v>
      </c>
      <c r="AC501" s="62">
        <v>0.0</v>
      </c>
      <c r="AD501" s="62">
        <v>0.126944444444444</v>
      </c>
      <c r="AE501" s="62">
        <v>0.0</v>
      </c>
      <c r="AF501" s="62">
        <v>0.0</v>
      </c>
    </row>
    <row r="502">
      <c r="A502" s="68">
        <v>46130.0</v>
      </c>
      <c r="B502" s="62" t="s">
        <v>26</v>
      </c>
      <c r="C502" s="62" t="s">
        <v>178</v>
      </c>
      <c r="D502" s="62">
        <v>0.0</v>
      </c>
      <c r="E502" s="62">
        <v>0.0</v>
      </c>
      <c r="F502" s="62">
        <v>0.0</v>
      </c>
      <c r="G502" s="62">
        <v>2.0</v>
      </c>
      <c r="H502" s="62">
        <v>2.0</v>
      </c>
      <c r="I502" s="62">
        <v>0.0</v>
      </c>
      <c r="J502" s="62">
        <v>1.0</v>
      </c>
      <c r="K502" s="62">
        <v>0.0</v>
      </c>
      <c r="L502" s="62">
        <v>0.0</v>
      </c>
      <c r="M502" s="62">
        <v>0.0</v>
      </c>
      <c r="N502" s="62">
        <v>20.0</v>
      </c>
      <c r="O502" s="62">
        <v>1.0</v>
      </c>
      <c r="P502" s="62">
        <v>20.0</v>
      </c>
      <c r="Q502" s="62">
        <v>0.0</v>
      </c>
      <c r="R502" s="62">
        <v>0.0</v>
      </c>
      <c r="S502" s="62">
        <v>0.0</v>
      </c>
      <c r="T502" s="62">
        <v>0.0</v>
      </c>
      <c r="U502" s="62">
        <v>0.0</v>
      </c>
      <c r="V502" s="62">
        <v>0.3725</v>
      </c>
      <c r="W502" s="62">
        <v>0.3725</v>
      </c>
      <c r="X502" s="62">
        <v>0.0</v>
      </c>
      <c r="Y502" s="62">
        <v>0.198333333333333</v>
      </c>
      <c r="Z502" s="62">
        <v>0.0</v>
      </c>
      <c r="AA502" s="62">
        <v>0.0</v>
      </c>
      <c r="AB502" s="62">
        <v>0.0</v>
      </c>
      <c r="AC502" s="62">
        <v>3.9125</v>
      </c>
      <c r="AD502" s="62">
        <v>0.188055555555555</v>
      </c>
      <c r="AE502" s="62">
        <v>3.9125</v>
      </c>
      <c r="AF502" s="62">
        <v>0.0</v>
      </c>
    </row>
    <row r="503">
      <c r="A503" s="68">
        <v>46130.0</v>
      </c>
      <c r="B503" s="62" t="s">
        <v>62</v>
      </c>
      <c r="C503" s="62" t="s">
        <v>63</v>
      </c>
      <c r="D503" s="62">
        <v>5.0</v>
      </c>
      <c r="E503" s="62">
        <v>0.0</v>
      </c>
      <c r="F503" s="62">
        <v>0.0</v>
      </c>
      <c r="G503" s="62">
        <v>0.0</v>
      </c>
      <c r="H503" s="62">
        <v>0.0</v>
      </c>
      <c r="I503" s="62">
        <v>0.0</v>
      </c>
      <c r="J503" s="62">
        <v>0.0</v>
      </c>
      <c r="K503" s="62">
        <v>0.0</v>
      </c>
      <c r="L503" s="62">
        <v>0.0</v>
      </c>
      <c r="M503" s="62">
        <v>0.0</v>
      </c>
      <c r="N503" s="62">
        <v>2.0</v>
      </c>
      <c r="O503" s="62">
        <v>1.0</v>
      </c>
      <c r="P503" s="62">
        <v>2.0</v>
      </c>
      <c r="Q503" s="62">
        <v>0.0</v>
      </c>
      <c r="R503" s="62">
        <v>11374.0</v>
      </c>
      <c r="S503" s="62">
        <v>0.0</v>
      </c>
      <c r="T503" s="62">
        <v>0.0</v>
      </c>
      <c r="U503" s="62">
        <v>0.0</v>
      </c>
      <c r="V503" s="62">
        <v>0.0</v>
      </c>
      <c r="W503" s="62">
        <v>0.0</v>
      </c>
      <c r="X503" s="62">
        <v>0.0</v>
      </c>
      <c r="Y503" s="62">
        <v>0.0</v>
      </c>
      <c r="Z503" s="62">
        <v>0.0</v>
      </c>
      <c r="AA503" s="62">
        <v>0.0</v>
      </c>
      <c r="AB503" s="62">
        <v>0.0</v>
      </c>
      <c r="AC503" s="62">
        <v>0.441944444444444</v>
      </c>
      <c r="AD503" s="62">
        <v>0.19</v>
      </c>
      <c r="AE503" s="62">
        <v>0.441944444444444</v>
      </c>
      <c r="AF503" s="62">
        <v>0.0</v>
      </c>
    </row>
    <row r="504">
      <c r="A504" s="68">
        <v>46129.0</v>
      </c>
      <c r="B504" s="62" t="s">
        <v>106</v>
      </c>
      <c r="C504" s="62" t="s">
        <v>107</v>
      </c>
      <c r="D504" s="62">
        <v>0.0</v>
      </c>
      <c r="E504" s="62">
        <v>0.0</v>
      </c>
      <c r="F504" s="62">
        <v>0.0</v>
      </c>
      <c r="G504" s="62">
        <v>0.0</v>
      </c>
      <c r="H504" s="62">
        <v>0.0</v>
      </c>
      <c r="I504" s="62">
        <v>0.0</v>
      </c>
      <c r="J504" s="62">
        <v>4.0</v>
      </c>
      <c r="K504" s="62">
        <v>7.0</v>
      </c>
      <c r="L504" s="62">
        <v>0.0</v>
      </c>
      <c r="M504" s="62">
        <v>0.0</v>
      </c>
      <c r="N504" s="62">
        <v>0.0</v>
      </c>
      <c r="O504" s="62">
        <v>0.0</v>
      </c>
      <c r="P504" s="62">
        <v>0.0</v>
      </c>
      <c r="Q504" s="62">
        <v>0.0</v>
      </c>
      <c r="R504" s="62">
        <v>0.0</v>
      </c>
      <c r="S504" s="62">
        <v>0.0</v>
      </c>
      <c r="T504" s="62">
        <v>0.0</v>
      </c>
      <c r="U504" s="62">
        <v>0.0</v>
      </c>
      <c r="V504" s="62">
        <v>0.0</v>
      </c>
      <c r="W504" s="62">
        <v>0.0</v>
      </c>
      <c r="X504" s="62">
        <v>0.0</v>
      </c>
      <c r="Y504" s="62">
        <v>0.515833333333333</v>
      </c>
      <c r="Z504" s="62">
        <v>1.03166666666666</v>
      </c>
      <c r="AA504" s="62">
        <v>0.0</v>
      </c>
      <c r="AB504" s="62">
        <v>0.0</v>
      </c>
      <c r="AC504" s="62">
        <v>0.0</v>
      </c>
      <c r="AD504" s="62">
        <v>0.0</v>
      </c>
      <c r="AE504" s="62">
        <v>0.0</v>
      </c>
      <c r="AF504" s="62">
        <v>0.0</v>
      </c>
    </row>
    <row r="505">
      <c r="A505" s="68">
        <v>46129.0</v>
      </c>
      <c r="B505" s="62" t="s">
        <v>98</v>
      </c>
      <c r="C505" s="62" t="s">
        <v>183</v>
      </c>
      <c r="D505" s="62">
        <v>2.0</v>
      </c>
      <c r="E505" s="62">
        <v>0.0</v>
      </c>
      <c r="F505" s="62">
        <v>1.0</v>
      </c>
      <c r="G505" s="62">
        <v>1.0</v>
      </c>
      <c r="H505" s="62">
        <v>2.0</v>
      </c>
      <c r="I505" s="62">
        <v>1.0</v>
      </c>
      <c r="J505" s="62">
        <v>2.0</v>
      </c>
      <c r="K505" s="62">
        <v>0.0</v>
      </c>
      <c r="L505" s="62">
        <v>0.0</v>
      </c>
      <c r="M505" s="62">
        <v>2.0</v>
      </c>
      <c r="N505" s="62">
        <v>6.0</v>
      </c>
      <c r="O505" s="62">
        <v>1.0</v>
      </c>
      <c r="P505" s="62">
        <v>6.0</v>
      </c>
      <c r="Q505" s="62">
        <v>0.0</v>
      </c>
      <c r="R505" s="62">
        <v>4344.0</v>
      </c>
      <c r="S505" s="62">
        <v>0.0</v>
      </c>
      <c r="T505" s="62">
        <v>0.424444444444444</v>
      </c>
      <c r="U505" s="62">
        <v>0.211388888888888</v>
      </c>
      <c r="V505" s="62">
        <v>0.211944444444444</v>
      </c>
      <c r="W505" s="62">
        <v>0.425</v>
      </c>
      <c r="X505" s="62">
        <v>0.213055555555555</v>
      </c>
      <c r="Y505" s="62">
        <v>0.425277777777777</v>
      </c>
      <c r="Z505" s="62">
        <v>0.0</v>
      </c>
      <c r="AA505" s="62">
        <v>0.0</v>
      </c>
      <c r="AB505" s="62">
        <v>0.436944444444444</v>
      </c>
      <c r="AC505" s="62">
        <v>1.28638888888888</v>
      </c>
      <c r="AD505" s="62">
        <v>0.217777777777777</v>
      </c>
      <c r="AE505" s="62">
        <v>1.28638888888888</v>
      </c>
      <c r="AF505" s="62">
        <v>2.0</v>
      </c>
    </row>
    <row r="506">
      <c r="A506" s="68">
        <v>46129.0</v>
      </c>
      <c r="B506" s="62" t="s">
        <v>71</v>
      </c>
      <c r="C506" s="62" t="s">
        <v>163</v>
      </c>
      <c r="D506" s="62">
        <v>2.0</v>
      </c>
      <c r="E506" s="62">
        <v>0.0</v>
      </c>
      <c r="F506" s="62">
        <v>0.0</v>
      </c>
      <c r="G506" s="62">
        <v>1.0</v>
      </c>
      <c r="H506" s="62">
        <v>1.0</v>
      </c>
      <c r="I506" s="62">
        <v>0.0</v>
      </c>
      <c r="J506" s="62">
        <v>1.0</v>
      </c>
      <c r="K506" s="62">
        <v>0.0</v>
      </c>
      <c r="L506" s="62">
        <v>0.0</v>
      </c>
      <c r="M506" s="62">
        <v>2.0</v>
      </c>
      <c r="N506" s="62">
        <v>4.0</v>
      </c>
      <c r="O506" s="62">
        <v>1.0</v>
      </c>
      <c r="P506" s="62">
        <v>4.0</v>
      </c>
      <c r="Q506" s="62">
        <v>0.0</v>
      </c>
      <c r="R506" s="62">
        <v>4253.0</v>
      </c>
      <c r="S506" s="62">
        <v>0.0</v>
      </c>
      <c r="T506" s="62">
        <v>0.0</v>
      </c>
      <c r="U506" s="62">
        <v>0.0</v>
      </c>
      <c r="V506" s="62">
        <v>0.211666666666666</v>
      </c>
      <c r="W506" s="62">
        <v>0.211666666666666</v>
      </c>
      <c r="X506" s="62">
        <v>0.0</v>
      </c>
      <c r="Y506" s="62">
        <v>0.211666666666666</v>
      </c>
      <c r="Z506" s="62">
        <v>0.0</v>
      </c>
      <c r="AA506" s="62">
        <v>0.0</v>
      </c>
      <c r="AB506" s="62">
        <v>0.450833333333333</v>
      </c>
      <c r="AC506" s="62">
        <v>1.00722222222222</v>
      </c>
      <c r="AD506" s="62">
        <v>0.250277777777777</v>
      </c>
      <c r="AE506" s="62">
        <v>1.00722222222222</v>
      </c>
      <c r="AF506" s="62">
        <v>0.0</v>
      </c>
    </row>
    <row r="507">
      <c r="A507" s="68">
        <v>46129.0</v>
      </c>
      <c r="B507" s="62" t="s">
        <v>76</v>
      </c>
      <c r="C507" s="62" t="s">
        <v>165</v>
      </c>
      <c r="D507" s="62">
        <v>12.0</v>
      </c>
      <c r="E507" s="62">
        <v>4.0</v>
      </c>
      <c r="F507" s="62">
        <v>4.0</v>
      </c>
      <c r="G507" s="62">
        <v>5.0</v>
      </c>
      <c r="H507" s="62">
        <v>5.0</v>
      </c>
      <c r="I507" s="62">
        <v>0.0</v>
      </c>
      <c r="J507" s="62">
        <v>12.0</v>
      </c>
      <c r="K507" s="62">
        <v>0.0</v>
      </c>
      <c r="L507" s="62">
        <v>0.0</v>
      </c>
      <c r="M507" s="62">
        <v>12.0</v>
      </c>
      <c r="N507" s="62">
        <v>15.0</v>
      </c>
      <c r="O507" s="62">
        <v>1.0</v>
      </c>
      <c r="P507" s="62">
        <v>15.0</v>
      </c>
      <c r="Q507" s="62">
        <v>0.0</v>
      </c>
      <c r="R507" s="62">
        <v>31387.0</v>
      </c>
      <c r="S507" s="62">
        <v>11558.0</v>
      </c>
      <c r="T507" s="62">
        <v>0.641944444444444</v>
      </c>
      <c r="U507" s="62">
        <v>1.24805555555555</v>
      </c>
      <c r="V507" s="62">
        <v>1.49305555555555</v>
      </c>
      <c r="W507" s="62">
        <v>1.49305555555555</v>
      </c>
      <c r="X507" s="62">
        <v>0.0</v>
      </c>
      <c r="Y507" s="62">
        <v>3.84083333333333</v>
      </c>
      <c r="Z507" s="62">
        <v>0.0</v>
      </c>
      <c r="AA507" s="62">
        <v>0.0</v>
      </c>
      <c r="AB507" s="62">
        <v>3.84083333333333</v>
      </c>
      <c r="AC507" s="62">
        <v>4.69333333333333</v>
      </c>
      <c r="AD507" s="62">
        <v>0.235555555555555</v>
      </c>
      <c r="AE507" s="62">
        <v>4.69333333333333</v>
      </c>
      <c r="AF507" s="62">
        <v>2.0</v>
      </c>
    </row>
    <row r="508">
      <c r="A508" s="68">
        <v>46129.0</v>
      </c>
      <c r="B508" s="62" t="s">
        <v>104</v>
      </c>
      <c r="C508" s="62" t="s">
        <v>166</v>
      </c>
      <c r="D508" s="62">
        <v>0.0</v>
      </c>
      <c r="E508" s="62">
        <v>0.0</v>
      </c>
      <c r="F508" s="62">
        <v>0.0</v>
      </c>
      <c r="G508" s="62">
        <v>0.0</v>
      </c>
      <c r="H508" s="62">
        <v>0.0</v>
      </c>
      <c r="I508" s="62">
        <v>0.0</v>
      </c>
      <c r="J508" s="62">
        <v>0.0</v>
      </c>
      <c r="K508" s="62">
        <v>0.0</v>
      </c>
      <c r="L508" s="62">
        <v>1.0</v>
      </c>
      <c r="M508" s="62">
        <v>1.0</v>
      </c>
      <c r="N508" s="62">
        <v>9.0</v>
      </c>
      <c r="O508" s="62">
        <v>1.0</v>
      </c>
      <c r="P508" s="62">
        <v>9.0</v>
      </c>
      <c r="Q508" s="62">
        <v>0.0</v>
      </c>
      <c r="R508" s="62">
        <v>0.0</v>
      </c>
      <c r="S508" s="62">
        <v>0.0</v>
      </c>
      <c r="T508" s="62">
        <v>0.0</v>
      </c>
      <c r="U508" s="62">
        <v>0.0</v>
      </c>
      <c r="V508" s="62">
        <v>0.0</v>
      </c>
      <c r="W508" s="62">
        <v>0.0</v>
      </c>
      <c r="X508" s="62">
        <v>0.0</v>
      </c>
      <c r="Y508" s="62">
        <v>0.0</v>
      </c>
      <c r="Z508" s="62">
        <v>0.0</v>
      </c>
      <c r="AA508" s="62">
        <v>0.22</v>
      </c>
      <c r="AB508" s="62">
        <v>0.22</v>
      </c>
      <c r="AC508" s="62">
        <v>1.89361111111111</v>
      </c>
      <c r="AD508" s="62">
        <v>0.194444444444444</v>
      </c>
      <c r="AE508" s="62">
        <v>1.89361111111111</v>
      </c>
      <c r="AF508" s="62">
        <v>0.0</v>
      </c>
    </row>
    <row r="509">
      <c r="A509" s="68">
        <v>46129.0</v>
      </c>
      <c r="B509" s="62" t="s">
        <v>100</v>
      </c>
      <c r="C509" s="62" t="s">
        <v>167</v>
      </c>
      <c r="D509" s="62">
        <v>0.0</v>
      </c>
      <c r="E509" s="62">
        <v>0.0</v>
      </c>
      <c r="F509" s="62">
        <v>2.0</v>
      </c>
      <c r="G509" s="62">
        <v>1.0</v>
      </c>
      <c r="H509" s="62">
        <v>2.0</v>
      </c>
      <c r="I509" s="62">
        <v>1.0</v>
      </c>
      <c r="J509" s="62">
        <v>3.0</v>
      </c>
      <c r="K509" s="62">
        <v>1.0</v>
      </c>
      <c r="L509" s="62">
        <v>0.0</v>
      </c>
      <c r="M509" s="62">
        <v>1.0</v>
      </c>
      <c r="N509" s="62">
        <v>0.0</v>
      </c>
      <c r="O509" s="62">
        <v>0.0</v>
      </c>
      <c r="P509" s="62">
        <v>0.0</v>
      </c>
      <c r="Q509" s="62">
        <v>0.0</v>
      </c>
      <c r="R509" s="62">
        <v>0.0</v>
      </c>
      <c r="S509" s="62">
        <v>0.0</v>
      </c>
      <c r="T509" s="62">
        <v>0.0</v>
      </c>
      <c r="U509" s="62">
        <v>0.426111111111111</v>
      </c>
      <c r="V509" s="62">
        <v>0.234444444444444</v>
      </c>
      <c r="W509" s="62">
        <v>0.451388888888888</v>
      </c>
      <c r="X509" s="62">
        <v>0.216944444444444</v>
      </c>
      <c r="Y509" s="62">
        <v>0.663888888888888</v>
      </c>
      <c r="Z509" s="62">
        <v>0.234444444444444</v>
      </c>
      <c r="AA509" s="62">
        <v>0.0</v>
      </c>
      <c r="AB509" s="62">
        <v>0.234444444444444</v>
      </c>
      <c r="AC509" s="62">
        <v>0.0</v>
      </c>
      <c r="AD509" s="62">
        <v>0.0</v>
      </c>
      <c r="AE509" s="62">
        <v>0.0</v>
      </c>
      <c r="AF509" s="62">
        <v>0.0</v>
      </c>
    </row>
    <row r="510">
      <c r="A510" s="68">
        <v>46129.0</v>
      </c>
      <c r="B510" s="62" t="s">
        <v>32</v>
      </c>
      <c r="C510" s="62" t="s">
        <v>168</v>
      </c>
      <c r="D510" s="62">
        <v>12.0</v>
      </c>
      <c r="E510" s="62">
        <v>7.0</v>
      </c>
      <c r="F510" s="62">
        <v>2.0</v>
      </c>
      <c r="G510" s="62">
        <v>1.0</v>
      </c>
      <c r="H510" s="62">
        <v>12.0</v>
      </c>
      <c r="I510" s="62">
        <v>6.0</v>
      </c>
      <c r="J510" s="62">
        <v>12.0</v>
      </c>
      <c r="K510" s="62">
        <v>1.0</v>
      </c>
      <c r="L510" s="62">
        <v>0.0</v>
      </c>
      <c r="M510" s="62">
        <v>14.0</v>
      </c>
      <c r="N510" s="62">
        <v>17.0</v>
      </c>
      <c r="O510" s="62">
        <v>1.0</v>
      </c>
      <c r="P510" s="62">
        <v>17.0</v>
      </c>
      <c r="Q510" s="62">
        <v>0.0</v>
      </c>
      <c r="R510" s="62">
        <v>28907.0</v>
      </c>
      <c r="S510" s="62">
        <v>14328.0</v>
      </c>
      <c r="T510" s="62">
        <v>1.79527777777777</v>
      </c>
      <c r="U510" s="62">
        <v>0.455833333333333</v>
      </c>
      <c r="V510" s="62">
        <v>0.220833333333333</v>
      </c>
      <c r="W510" s="62">
        <v>2.69722222222222</v>
      </c>
      <c r="X510" s="62">
        <v>1.33944444444444</v>
      </c>
      <c r="Y510" s="62">
        <v>2.71361111111111</v>
      </c>
      <c r="Z510" s="62">
        <v>0.226111111111111</v>
      </c>
      <c r="AA510" s="62">
        <v>0.0</v>
      </c>
      <c r="AB510" s="62">
        <v>3.19138888888888</v>
      </c>
      <c r="AC510" s="62">
        <v>3.86472222222222</v>
      </c>
      <c r="AD510" s="62">
        <v>0.2</v>
      </c>
      <c r="AE510" s="62">
        <v>3.86472222222222</v>
      </c>
      <c r="AF510" s="62">
        <v>8.0</v>
      </c>
    </row>
    <row r="511">
      <c r="A511" s="68">
        <v>46129.0</v>
      </c>
      <c r="B511" s="62" t="s">
        <v>102</v>
      </c>
      <c r="C511" s="62" t="s">
        <v>170</v>
      </c>
      <c r="D511" s="62">
        <v>5.0</v>
      </c>
      <c r="E511" s="62">
        <v>0.0</v>
      </c>
      <c r="F511" s="62">
        <v>0.0</v>
      </c>
      <c r="G511" s="62">
        <v>0.0</v>
      </c>
      <c r="H511" s="62">
        <v>0.0</v>
      </c>
      <c r="I511" s="62">
        <v>0.0</v>
      </c>
      <c r="J511" s="62">
        <v>0.0</v>
      </c>
      <c r="K511" s="62">
        <v>0.0</v>
      </c>
      <c r="L511" s="62">
        <v>0.0</v>
      </c>
      <c r="M511" s="62">
        <v>0.0</v>
      </c>
      <c r="N511" s="62">
        <v>0.0</v>
      </c>
      <c r="O511" s="62">
        <v>0.0</v>
      </c>
      <c r="P511" s="62">
        <v>0.0</v>
      </c>
      <c r="Q511" s="62">
        <v>0.0</v>
      </c>
      <c r="R511" s="62">
        <v>12192.0</v>
      </c>
      <c r="S511" s="62">
        <v>0.0</v>
      </c>
      <c r="T511" s="62">
        <v>0.0</v>
      </c>
      <c r="U511" s="62">
        <v>0.0</v>
      </c>
      <c r="V511" s="62">
        <v>0.0</v>
      </c>
      <c r="W511" s="62">
        <v>0.0</v>
      </c>
      <c r="X511" s="62">
        <v>0.0</v>
      </c>
      <c r="Y511" s="62">
        <v>0.0</v>
      </c>
      <c r="Z511" s="62">
        <v>0.0</v>
      </c>
      <c r="AA511" s="62">
        <v>0.0</v>
      </c>
      <c r="AB511" s="62">
        <v>0.0</v>
      </c>
      <c r="AC511" s="62">
        <v>0.0</v>
      </c>
      <c r="AD511" s="62">
        <v>0.0</v>
      </c>
      <c r="AE511" s="62">
        <v>0.0</v>
      </c>
      <c r="AF511" s="62">
        <v>0.0</v>
      </c>
    </row>
    <row r="512">
      <c r="A512" s="68">
        <v>46129.0</v>
      </c>
      <c r="B512" s="62" t="s">
        <v>93</v>
      </c>
      <c r="C512" s="62" t="s">
        <v>182</v>
      </c>
      <c r="D512" s="62">
        <v>0.0</v>
      </c>
      <c r="E512" s="62">
        <v>0.0</v>
      </c>
      <c r="F512" s="62">
        <v>4.0</v>
      </c>
      <c r="G512" s="62">
        <v>5.0</v>
      </c>
      <c r="H512" s="62">
        <v>5.0</v>
      </c>
      <c r="I512" s="62">
        <v>0.0</v>
      </c>
      <c r="J512" s="62">
        <v>6.0</v>
      </c>
      <c r="K512" s="62">
        <v>3.0</v>
      </c>
      <c r="L512" s="62">
        <v>1.0</v>
      </c>
      <c r="M512" s="62">
        <v>8.0</v>
      </c>
      <c r="N512" s="62">
        <v>3.0</v>
      </c>
      <c r="O512" s="62">
        <v>1.0</v>
      </c>
      <c r="P512" s="62">
        <v>3.0</v>
      </c>
      <c r="Q512" s="62">
        <v>0.0</v>
      </c>
      <c r="R512" s="62">
        <v>0.0</v>
      </c>
      <c r="S512" s="62">
        <v>0.0</v>
      </c>
      <c r="T512" s="62">
        <v>0.0</v>
      </c>
      <c r="U512" s="62">
        <v>0.987777777777777</v>
      </c>
      <c r="V512" s="62">
        <v>1.15138888888888</v>
      </c>
      <c r="W512" s="62">
        <v>1.15138888888888</v>
      </c>
      <c r="X512" s="62">
        <v>0.0</v>
      </c>
      <c r="Y512" s="62">
        <v>1.39527777777777</v>
      </c>
      <c r="Z512" s="62">
        <v>0.695</v>
      </c>
      <c r="AA512" s="62">
        <v>0.211111111111111</v>
      </c>
      <c r="AB512" s="62">
        <v>1.91249999999999</v>
      </c>
      <c r="AC512" s="62">
        <v>0.744444444444444</v>
      </c>
      <c r="AD512" s="62">
        <v>0.222222222222222</v>
      </c>
      <c r="AE512" s="62">
        <v>0.744444444444444</v>
      </c>
      <c r="AF512" s="62">
        <v>0.0</v>
      </c>
    </row>
    <row r="513">
      <c r="A513" s="68">
        <v>46129.0</v>
      </c>
      <c r="B513" s="62" t="s">
        <v>41</v>
      </c>
      <c r="C513" s="62" t="s">
        <v>172</v>
      </c>
      <c r="D513" s="62">
        <v>0.0</v>
      </c>
      <c r="E513" s="62">
        <v>967.0</v>
      </c>
      <c r="F513" s="62">
        <v>0.0</v>
      </c>
      <c r="G513" s="62">
        <v>0.0</v>
      </c>
      <c r="H513" s="62">
        <v>0.0</v>
      </c>
      <c r="I513" s="62">
        <v>0.0</v>
      </c>
      <c r="J513" s="62">
        <v>0.0</v>
      </c>
      <c r="K513" s="62">
        <v>0.0</v>
      </c>
      <c r="L513" s="62">
        <v>0.0</v>
      </c>
      <c r="M513" s="62">
        <v>0.0</v>
      </c>
      <c r="N513" s="62">
        <v>0.0</v>
      </c>
      <c r="O513" s="62">
        <v>0.0</v>
      </c>
      <c r="P513" s="62">
        <v>967.0</v>
      </c>
      <c r="Q513" s="62">
        <v>0.0</v>
      </c>
      <c r="R513" s="62">
        <v>0.0</v>
      </c>
      <c r="S513" s="62">
        <v>961183.0</v>
      </c>
      <c r="T513" s="62">
        <v>0.0</v>
      </c>
      <c r="U513" s="62">
        <v>0.0</v>
      </c>
      <c r="V513" s="62">
        <v>0.0</v>
      </c>
      <c r="W513" s="62">
        <v>0.0</v>
      </c>
      <c r="X513" s="62">
        <v>0.0</v>
      </c>
      <c r="Y513" s="62">
        <v>0.0</v>
      </c>
      <c r="Z513" s="62">
        <v>0.0</v>
      </c>
      <c r="AA513" s="62">
        <v>0.0</v>
      </c>
      <c r="AB513" s="62">
        <v>0.0</v>
      </c>
      <c r="AC513" s="62">
        <v>0.0</v>
      </c>
      <c r="AD513" s="62">
        <v>0.0</v>
      </c>
      <c r="AE513" s="62">
        <v>222.504444444444</v>
      </c>
      <c r="AF513" s="62">
        <v>0.0</v>
      </c>
    </row>
    <row r="514">
      <c r="A514" s="68">
        <v>46129.0</v>
      </c>
      <c r="B514" s="62" t="s">
        <v>65</v>
      </c>
      <c r="C514" s="62" t="s">
        <v>173</v>
      </c>
      <c r="D514" s="62">
        <v>3.0</v>
      </c>
      <c r="E514" s="62">
        <v>4.0</v>
      </c>
      <c r="F514" s="62">
        <v>0.0</v>
      </c>
      <c r="G514" s="62">
        <v>0.0</v>
      </c>
      <c r="H514" s="62">
        <v>1.0</v>
      </c>
      <c r="I514" s="62">
        <v>1.0</v>
      </c>
      <c r="J514" s="62">
        <v>1.0</v>
      </c>
      <c r="K514" s="62">
        <v>1.0</v>
      </c>
      <c r="L514" s="62">
        <v>2.0</v>
      </c>
      <c r="M514" s="62">
        <v>3.0</v>
      </c>
      <c r="N514" s="62">
        <v>6.0</v>
      </c>
      <c r="O514" s="62">
        <v>1.0</v>
      </c>
      <c r="P514" s="62">
        <v>6.0</v>
      </c>
      <c r="Q514" s="62">
        <v>0.0</v>
      </c>
      <c r="R514" s="62">
        <v>6052.0</v>
      </c>
      <c r="S514" s="62">
        <v>8577.0</v>
      </c>
      <c r="T514" s="62">
        <v>0.233055555555555</v>
      </c>
      <c r="U514" s="62">
        <v>0.0</v>
      </c>
      <c r="V514" s="62">
        <v>0.0</v>
      </c>
      <c r="W514" s="62">
        <v>0.233055555555555</v>
      </c>
      <c r="X514" s="62">
        <v>0.233055555555555</v>
      </c>
      <c r="Y514" s="62">
        <v>0.234166666666666</v>
      </c>
      <c r="Z514" s="62">
        <v>0.234166666666666</v>
      </c>
      <c r="AA514" s="62">
        <v>0.505277777777777</v>
      </c>
      <c r="AB514" s="62">
        <v>0.741666666666666</v>
      </c>
      <c r="AC514" s="62">
        <v>1.40305555555555</v>
      </c>
      <c r="AD514" s="62">
        <v>0.260277777777777</v>
      </c>
      <c r="AE514" s="62">
        <v>1.40305555555555</v>
      </c>
      <c r="AF514" s="62">
        <v>1.0</v>
      </c>
    </row>
    <row r="515">
      <c r="A515" s="68">
        <v>46129.0</v>
      </c>
      <c r="B515" s="62" t="s">
        <v>37</v>
      </c>
      <c r="C515" s="62" t="s">
        <v>174</v>
      </c>
      <c r="D515" s="62">
        <v>5.0</v>
      </c>
      <c r="E515" s="62">
        <v>0.0</v>
      </c>
      <c r="F515" s="62">
        <v>4.0</v>
      </c>
      <c r="G515" s="62">
        <v>3.0</v>
      </c>
      <c r="H515" s="62">
        <v>3.0</v>
      </c>
      <c r="I515" s="62">
        <v>0.0</v>
      </c>
      <c r="J515" s="62">
        <v>4.0</v>
      </c>
      <c r="K515" s="62">
        <v>2.0</v>
      </c>
      <c r="L515" s="62">
        <v>2.0</v>
      </c>
      <c r="M515" s="62">
        <v>4.0</v>
      </c>
      <c r="N515" s="62">
        <v>6.0</v>
      </c>
      <c r="O515" s="62">
        <v>1.0</v>
      </c>
      <c r="P515" s="62">
        <v>6.0</v>
      </c>
      <c r="Q515" s="62">
        <v>0.0</v>
      </c>
      <c r="R515" s="62">
        <v>11974.0</v>
      </c>
      <c r="S515" s="62">
        <v>0.0</v>
      </c>
      <c r="T515" s="62">
        <v>0.997777777777777</v>
      </c>
      <c r="U515" s="62">
        <v>0.997777777777777</v>
      </c>
      <c r="V515" s="62">
        <v>0.763333333333333</v>
      </c>
      <c r="W515" s="62">
        <v>0.763333333333333</v>
      </c>
      <c r="X515" s="62">
        <v>0.0</v>
      </c>
      <c r="Y515" s="62">
        <v>1.00861111111111</v>
      </c>
      <c r="Z515" s="62">
        <v>0.49</v>
      </c>
      <c r="AA515" s="62">
        <v>0.49</v>
      </c>
      <c r="AB515" s="62">
        <v>0.990277777777777</v>
      </c>
      <c r="AC515" s="62">
        <v>1.54194444444444</v>
      </c>
      <c r="AD515" s="62">
        <v>0.303333333333333</v>
      </c>
      <c r="AE515" s="62">
        <v>1.54194444444444</v>
      </c>
      <c r="AF515" s="62">
        <v>4.0</v>
      </c>
    </row>
    <row r="516">
      <c r="A516" s="68">
        <v>46129.0</v>
      </c>
      <c r="B516" s="62" t="s">
        <v>56</v>
      </c>
      <c r="C516" s="62" t="s">
        <v>176</v>
      </c>
      <c r="D516" s="62">
        <v>0.0</v>
      </c>
      <c r="E516" s="62">
        <v>6.0</v>
      </c>
      <c r="F516" s="62">
        <v>0.0</v>
      </c>
      <c r="G516" s="62">
        <v>0.0</v>
      </c>
      <c r="H516" s="62">
        <v>2.0</v>
      </c>
      <c r="I516" s="62">
        <v>0.0</v>
      </c>
      <c r="J516" s="62">
        <v>4.0</v>
      </c>
      <c r="K516" s="62">
        <v>0.0</v>
      </c>
      <c r="L516" s="62">
        <v>0.0</v>
      </c>
      <c r="M516" s="62">
        <v>0.0</v>
      </c>
      <c r="N516" s="62">
        <v>0.0</v>
      </c>
      <c r="O516" s="62">
        <v>0.0</v>
      </c>
      <c r="P516" s="62">
        <v>0.0</v>
      </c>
      <c r="Q516" s="62">
        <v>0.0</v>
      </c>
      <c r="R516" s="62">
        <v>0.0</v>
      </c>
      <c r="S516" s="62">
        <v>12519.0</v>
      </c>
      <c r="T516" s="62">
        <v>0.0</v>
      </c>
      <c r="U516" s="62">
        <v>0.0</v>
      </c>
      <c r="V516" s="62">
        <v>0.0</v>
      </c>
      <c r="W516" s="62">
        <v>0.473611111111111</v>
      </c>
      <c r="X516" s="62">
        <v>0.0</v>
      </c>
      <c r="Y516" s="62">
        <v>0.938611111111111</v>
      </c>
      <c r="Z516" s="62">
        <v>0.0</v>
      </c>
      <c r="AA516" s="62">
        <v>0.0</v>
      </c>
      <c r="AB516" s="62">
        <v>0.0</v>
      </c>
      <c r="AC516" s="62">
        <v>0.0</v>
      </c>
      <c r="AD516" s="62">
        <v>0.0</v>
      </c>
      <c r="AE516" s="62">
        <v>0.0</v>
      </c>
      <c r="AF516" s="62">
        <v>0.0</v>
      </c>
    </row>
    <row r="517">
      <c r="A517" s="68">
        <v>46129.0</v>
      </c>
      <c r="B517" s="62" t="s">
        <v>91</v>
      </c>
      <c r="C517" s="62" t="s">
        <v>184</v>
      </c>
      <c r="D517" s="62">
        <v>0.0</v>
      </c>
      <c r="E517" s="62">
        <v>4.0</v>
      </c>
      <c r="F517" s="62">
        <v>0.0</v>
      </c>
      <c r="G517" s="62">
        <v>0.0</v>
      </c>
      <c r="H517" s="62">
        <v>4.0</v>
      </c>
      <c r="I517" s="62">
        <v>4.0</v>
      </c>
      <c r="J517" s="62">
        <v>1.0</v>
      </c>
      <c r="K517" s="62">
        <v>0.0</v>
      </c>
      <c r="L517" s="62">
        <v>4.0</v>
      </c>
      <c r="M517" s="62">
        <v>4.0</v>
      </c>
      <c r="N517" s="62">
        <v>6.0</v>
      </c>
      <c r="O517" s="62">
        <v>1.0</v>
      </c>
      <c r="P517" s="62">
        <v>6.0</v>
      </c>
      <c r="Q517" s="62">
        <v>0.0</v>
      </c>
      <c r="R517" s="62">
        <v>0.0</v>
      </c>
      <c r="S517" s="62">
        <v>9805.0</v>
      </c>
      <c r="T517" s="62">
        <v>1.84611111111111</v>
      </c>
      <c r="U517" s="62">
        <v>0.0</v>
      </c>
      <c r="V517" s="62">
        <v>0.0</v>
      </c>
      <c r="W517" s="62">
        <v>0.805833333333333</v>
      </c>
      <c r="X517" s="62">
        <v>0.805833333333333</v>
      </c>
      <c r="Y517" s="62">
        <v>0.193333333333333</v>
      </c>
      <c r="Z517" s="62">
        <v>0.0</v>
      </c>
      <c r="AA517" s="62">
        <v>0.851666666666666</v>
      </c>
      <c r="AB517" s="62">
        <v>0.851666666666666</v>
      </c>
      <c r="AC517" s="62">
        <v>1.2475</v>
      </c>
      <c r="AD517" s="62">
        <v>0.152222222222222</v>
      </c>
      <c r="AE517" s="62">
        <v>1.2475</v>
      </c>
      <c r="AF517" s="62">
        <v>9.0</v>
      </c>
    </row>
    <row r="518">
      <c r="A518" s="68">
        <v>46129.0</v>
      </c>
      <c r="B518" s="62" t="s">
        <v>26</v>
      </c>
      <c r="C518" s="62" t="s">
        <v>178</v>
      </c>
      <c r="D518" s="62">
        <v>31.0</v>
      </c>
      <c r="E518" s="62">
        <v>0.0</v>
      </c>
      <c r="F518" s="62">
        <v>0.0</v>
      </c>
      <c r="G518" s="62">
        <v>0.0</v>
      </c>
      <c r="H518" s="62">
        <v>0.0</v>
      </c>
      <c r="I518" s="62">
        <v>0.0</v>
      </c>
      <c r="J518" s="62">
        <v>9.0</v>
      </c>
      <c r="K518" s="62">
        <v>3.0</v>
      </c>
      <c r="L518" s="62">
        <v>0.0</v>
      </c>
      <c r="M518" s="62">
        <v>9.0</v>
      </c>
      <c r="N518" s="62">
        <v>4.0</v>
      </c>
      <c r="O518" s="62">
        <v>1.0</v>
      </c>
      <c r="P518" s="62">
        <v>4.0</v>
      </c>
      <c r="Q518" s="62">
        <v>0.0</v>
      </c>
      <c r="R518" s="62">
        <v>70537.0</v>
      </c>
      <c r="S518" s="62">
        <v>0.0</v>
      </c>
      <c r="T518" s="62">
        <v>0.0</v>
      </c>
      <c r="U518" s="62">
        <v>0.0</v>
      </c>
      <c r="V518" s="62">
        <v>0.0</v>
      </c>
      <c r="W518" s="62">
        <v>0.0</v>
      </c>
      <c r="X518" s="62">
        <v>0.0</v>
      </c>
      <c r="Y518" s="62">
        <v>1.75749999999999</v>
      </c>
      <c r="Z518" s="62">
        <v>0.532222222222222</v>
      </c>
      <c r="AA518" s="62">
        <v>0.0</v>
      </c>
      <c r="AB518" s="62">
        <v>1.75749999999999</v>
      </c>
      <c r="AC518" s="62">
        <v>0.768333333333333</v>
      </c>
      <c r="AD518" s="62">
        <v>0.186944444444444</v>
      </c>
      <c r="AE518" s="62">
        <v>0.768333333333333</v>
      </c>
      <c r="AF518" s="62">
        <v>0.0</v>
      </c>
    </row>
    <row r="519">
      <c r="A519" s="68">
        <v>46129.0</v>
      </c>
      <c r="B519" s="62" t="s">
        <v>62</v>
      </c>
      <c r="C519" s="62" t="s">
        <v>63</v>
      </c>
      <c r="D519" s="62">
        <v>2.0</v>
      </c>
      <c r="E519" s="62">
        <v>11.0</v>
      </c>
      <c r="F519" s="62">
        <v>0.0</v>
      </c>
      <c r="G519" s="62">
        <v>0.0</v>
      </c>
      <c r="H519" s="62">
        <v>0.0</v>
      </c>
      <c r="I519" s="62">
        <v>0.0</v>
      </c>
      <c r="J519" s="62">
        <v>6.0</v>
      </c>
      <c r="K519" s="62">
        <v>1.0</v>
      </c>
      <c r="L519" s="62">
        <v>0.0</v>
      </c>
      <c r="M519" s="62">
        <v>6.0</v>
      </c>
      <c r="N519" s="62">
        <v>6.0</v>
      </c>
      <c r="O519" s="62">
        <v>1.0</v>
      </c>
      <c r="P519" s="62">
        <v>6.0</v>
      </c>
      <c r="Q519" s="62">
        <v>0.0</v>
      </c>
      <c r="R519" s="62">
        <v>4780.0</v>
      </c>
      <c r="S519" s="62">
        <v>27241.0</v>
      </c>
      <c r="T519" s="62">
        <v>0.412777777777777</v>
      </c>
      <c r="U519" s="62">
        <v>0.0</v>
      </c>
      <c r="V519" s="62">
        <v>0.0</v>
      </c>
      <c r="W519" s="62">
        <v>0.0</v>
      </c>
      <c r="X519" s="62">
        <v>0.0</v>
      </c>
      <c r="Y519" s="62">
        <v>1.30305555555555</v>
      </c>
      <c r="Z519" s="62">
        <v>0.218611111111111</v>
      </c>
      <c r="AA519" s="62">
        <v>0.0</v>
      </c>
      <c r="AB519" s="62">
        <v>1.30305555555555</v>
      </c>
      <c r="AC519" s="62">
        <v>1.25861111111111</v>
      </c>
      <c r="AD519" s="62">
        <v>0.188055555555555</v>
      </c>
      <c r="AE519" s="62">
        <v>1.25861111111111</v>
      </c>
      <c r="AF519" s="62">
        <v>2.0</v>
      </c>
    </row>
    <row r="520">
      <c r="A520" s="68">
        <v>46128.0</v>
      </c>
      <c r="B520" s="62" t="s">
        <v>106</v>
      </c>
      <c r="C520" s="62" t="s">
        <v>107</v>
      </c>
      <c r="D520" s="62">
        <v>0.0</v>
      </c>
      <c r="E520" s="62">
        <v>0.0</v>
      </c>
      <c r="F520" s="62">
        <v>0.0</v>
      </c>
      <c r="G520" s="62">
        <v>0.0</v>
      </c>
      <c r="H520" s="62">
        <v>8.0</v>
      </c>
      <c r="I520" s="62">
        <v>8.0</v>
      </c>
      <c r="J520" s="62">
        <v>4.0</v>
      </c>
      <c r="K520" s="62">
        <v>0.0</v>
      </c>
      <c r="L520" s="62">
        <v>0.0</v>
      </c>
      <c r="M520" s="62">
        <v>0.0</v>
      </c>
      <c r="N520" s="62">
        <v>0.0</v>
      </c>
      <c r="O520" s="62">
        <v>0.0</v>
      </c>
      <c r="P520" s="62">
        <v>0.0</v>
      </c>
      <c r="Q520" s="62">
        <v>0.0</v>
      </c>
      <c r="R520" s="62">
        <v>0.0</v>
      </c>
      <c r="S520" s="62">
        <v>0.0</v>
      </c>
      <c r="T520" s="62">
        <v>0.0</v>
      </c>
      <c r="U520" s="62">
        <v>0.0</v>
      </c>
      <c r="V520" s="62">
        <v>0.0</v>
      </c>
      <c r="W520" s="62">
        <v>1.15472222222222</v>
      </c>
      <c r="X520" s="62">
        <v>1.15472222222222</v>
      </c>
      <c r="Y520" s="62">
        <v>0.644722222222222</v>
      </c>
      <c r="Z520" s="62">
        <v>0.0</v>
      </c>
      <c r="AA520" s="62">
        <v>0.0</v>
      </c>
      <c r="AB520" s="62">
        <v>0.0</v>
      </c>
      <c r="AC520" s="62">
        <v>0.0</v>
      </c>
      <c r="AD520" s="62">
        <v>0.0</v>
      </c>
      <c r="AE520" s="62">
        <v>0.0</v>
      </c>
      <c r="AF520" s="62">
        <v>0.0</v>
      </c>
    </row>
    <row r="521">
      <c r="A521" s="68">
        <v>46128.0</v>
      </c>
      <c r="B521" s="62" t="s">
        <v>98</v>
      </c>
      <c r="C521" s="62" t="s">
        <v>183</v>
      </c>
      <c r="D521" s="62">
        <v>4.0</v>
      </c>
      <c r="E521" s="62">
        <v>3.0</v>
      </c>
      <c r="F521" s="62">
        <v>0.0</v>
      </c>
      <c r="G521" s="62">
        <v>0.0</v>
      </c>
      <c r="H521" s="62">
        <v>0.0</v>
      </c>
      <c r="I521" s="62">
        <v>0.0</v>
      </c>
      <c r="J521" s="62">
        <v>1.0</v>
      </c>
      <c r="K521" s="62">
        <v>0.0</v>
      </c>
      <c r="L521" s="62">
        <v>0.0</v>
      </c>
      <c r="M521" s="62">
        <v>1.0</v>
      </c>
      <c r="N521" s="62">
        <v>1.0</v>
      </c>
      <c r="O521" s="62">
        <v>1.0</v>
      </c>
      <c r="P521" s="62">
        <v>1.0</v>
      </c>
      <c r="Q521" s="62">
        <v>0.0</v>
      </c>
      <c r="R521" s="62">
        <v>9181.0</v>
      </c>
      <c r="S521" s="62">
        <v>6805.0</v>
      </c>
      <c r="T521" s="62">
        <v>0.0</v>
      </c>
      <c r="U521" s="62">
        <v>0.0</v>
      </c>
      <c r="V521" s="62">
        <v>0.0</v>
      </c>
      <c r="W521" s="62">
        <v>0.0</v>
      </c>
      <c r="X521" s="62">
        <v>0.0</v>
      </c>
      <c r="Y521" s="62">
        <v>0.214444444444444</v>
      </c>
      <c r="Z521" s="62">
        <v>0.0</v>
      </c>
      <c r="AA521" s="62">
        <v>0.0</v>
      </c>
      <c r="AB521" s="62">
        <v>0.214444444444444</v>
      </c>
      <c r="AC521" s="62">
        <v>0.212222222222222</v>
      </c>
      <c r="AD521" s="62">
        <v>0.21</v>
      </c>
      <c r="AE521" s="62">
        <v>0.212222222222222</v>
      </c>
      <c r="AF521" s="62">
        <v>0.0</v>
      </c>
    </row>
    <row r="522">
      <c r="A522" s="68">
        <v>46128.0</v>
      </c>
      <c r="B522" s="62" t="s">
        <v>71</v>
      </c>
      <c r="C522" s="62" t="s">
        <v>163</v>
      </c>
      <c r="D522" s="62">
        <v>2.0</v>
      </c>
      <c r="E522" s="62">
        <v>0.0</v>
      </c>
      <c r="F522" s="62">
        <v>0.0</v>
      </c>
      <c r="G522" s="62">
        <v>0.0</v>
      </c>
      <c r="H522" s="62">
        <v>0.0</v>
      </c>
      <c r="I522" s="62">
        <v>0.0</v>
      </c>
      <c r="J522" s="62">
        <v>1.0</v>
      </c>
      <c r="K522" s="62">
        <v>1.0</v>
      </c>
      <c r="L522" s="62">
        <v>0.0</v>
      </c>
      <c r="M522" s="62">
        <v>2.0</v>
      </c>
      <c r="N522" s="62">
        <v>0.0</v>
      </c>
      <c r="O522" s="62">
        <v>1.0</v>
      </c>
      <c r="P522" s="62">
        <v>0.0</v>
      </c>
      <c r="Q522" s="62">
        <v>0.0</v>
      </c>
      <c r="R522" s="62">
        <v>4428.0</v>
      </c>
      <c r="S522" s="62">
        <v>0.0</v>
      </c>
      <c r="T522" s="62">
        <v>0.0</v>
      </c>
      <c r="U522" s="62">
        <v>0.0</v>
      </c>
      <c r="V522" s="62">
        <v>0.0</v>
      </c>
      <c r="W522" s="62">
        <v>0.0</v>
      </c>
      <c r="X522" s="62">
        <v>0.0</v>
      </c>
      <c r="Y522" s="62">
        <v>0.239166666666666</v>
      </c>
      <c r="Z522" s="62">
        <v>0.239166666666666</v>
      </c>
      <c r="AA522" s="62">
        <v>0.0</v>
      </c>
      <c r="AB522" s="62">
        <v>0.556388888888888</v>
      </c>
      <c r="AC522" s="62">
        <v>0.0</v>
      </c>
      <c r="AD522" s="62">
        <v>0.234166666666666</v>
      </c>
      <c r="AE522" s="62">
        <v>0.0</v>
      </c>
      <c r="AF522" s="62">
        <v>0.0</v>
      </c>
    </row>
    <row r="523">
      <c r="A523" s="68">
        <v>46128.0</v>
      </c>
      <c r="B523" s="62" t="s">
        <v>46</v>
      </c>
      <c r="C523" s="62" t="s">
        <v>185</v>
      </c>
      <c r="D523" s="62">
        <v>5.0</v>
      </c>
      <c r="E523" s="62">
        <v>446.0</v>
      </c>
      <c r="F523" s="62">
        <v>0.0</v>
      </c>
      <c r="G523" s="62">
        <v>0.0</v>
      </c>
      <c r="H523" s="62">
        <v>0.0</v>
      </c>
      <c r="I523" s="62">
        <v>0.0</v>
      </c>
      <c r="J523" s="62">
        <v>0.0</v>
      </c>
      <c r="K523" s="62">
        <v>0.0</v>
      </c>
      <c r="L523" s="62">
        <v>0.0</v>
      </c>
      <c r="M523" s="62">
        <v>0.0</v>
      </c>
      <c r="N523" s="62">
        <v>2.0</v>
      </c>
      <c r="O523" s="62">
        <v>0.0</v>
      </c>
      <c r="P523" s="62">
        <v>446.0</v>
      </c>
      <c r="Q523" s="62">
        <v>0.0</v>
      </c>
      <c r="R523" s="62">
        <v>9334.0</v>
      </c>
      <c r="S523" s="62">
        <v>642974.0</v>
      </c>
      <c r="T523" s="62">
        <v>0.0</v>
      </c>
      <c r="U523" s="62">
        <v>0.0</v>
      </c>
      <c r="V523" s="62">
        <v>0.0</v>
      </c>
      <c r="W523" s="62">
        <v>0.0</v>
      </c>
      <c r="X523" s="62">
        <v>0.0</v>
      </c>
      <c r="Y523" s="62">
        <v>0.0</v>
      </c>
      <c r="Z523" s="62">
        <v>0.0</v>
      </c>
      <c r="AA523" s="62">
        <v>0.0</v>
      </c>
      <c r="AB523" s="62">
        <v>0.0</v>
      </c>
      <c r="AC523" s="62">
        <v>0.384444444444444</v>
      </c>
      <c r="AD523" s="62">
        <v>0.0</v>
      </c>
      <c r="AE523" s="62">
        <v>90.3094444444444</v>
      </c>
      <c r="AF523" s="62">
        <v>0.0</v>
      </c>
    </row>
    <row r="524">
      <c r="A524" s="68">
        <v>46128.0</v>
      </c>
      <c r="B524" s="62" t="s">
        <v>76</v>
      </c>
      <c r="C524" s="62" t="s">
        <v>165</v>
      </c>
      <c r="D524" s="62">
        <v>0.0</v>
      </c>
      <c r="E524" s="62">
        <v>4.0</v>
      </c>
      <c r="F524" s="62">
        <v>3.0</v>
      </c>
      <c r="G524" s="62">
        <v>6.0</v>
      </c>
      <c r="H524" s="62">
        <v>6.0</v>
      </c>
      <c r="I524" s="62">
        <v>0.0</v>
      </c>
      <c r="J524" s="62">
        <v>1.0</v>
      </c>
      <c r="K524" s="62">
        <v>0.0</v>
      </c>
      <c r="L524" s="62">
        <v>0.0</v>
      </c>
      <c r="M524" s="62">
        <v>4.0</v>
      </c>
      <c r="N524" s="62">
        <v>1.0</v>
      </c>
      <c r="O524" s="62">
        <v>1.0</v>
      </c>
      <c r="P524" s="62">
        <v>1.0</v>
      </c>
      <c r="Q524" s="62">
        <v>0.0</v>
      </c>
      <c r="R524" s="62">
        <v>0.0</v>
      </c>
      <c r="S524" s="62">
        <v>11277.0</v>
      </c>
      <c r="T524" s="62">
        <v>1.61055555555555</v>
      </c>
      <c r="U524" s="62">
        <v>1.00444444444444</v>
      </c>
      <c r="V524" s="62">
        <v>1.99222222222222</v>
      </c>
      <c r="W524" s="62">
        <v>1.99222222222222</v>
      </c>
      <c r="X524" s="62">
        <v>0.0</v>
      </c>
      <c r="Y524" s="62">
        <v>0.305833333333333</v>
      </c>
      <c r="Z524" s="62">
        <v>0.0</v>
      </c>
      <c r="AA524" s="62">
        <v>0.0</v>
      </c>
      <c r="AB524" s="62">
        <v>1.34305555555555</v>
      </c>
      <c r="AC524" s="62">
        <v>0.408333333333333</v>
      </c>
      <c r="AD524" s="62">
        <v>0.219166666666666</v>
      </c>
      <c r="AE524" s="62">
        <v>0.408333333333333</v>
      </c>
      <c r="AF524" s="62">
        <v>5.0</v>
      </c>
    </row>
    <row r="525">
      <c r="A525" s="68">
        <v>46128.0</v>
      </c>
      <c r="B525" s="62" t="s">
        <v>104</v>
      </c>
      <c r="C525" s="62" t="s">
        <v>166</v>
      </c>
      <c r="D525" s="62">
        <v>0.0</v>
      </c>
      <c r="E525" s="62">
        <v>0.0</v>
      </c>
      <c r="F525" s="62">
        <v>0.0</v>
      </c>
      <c r="G525" s="62">
        <v>0.0</v>
      </c>
      <c r="H525" s="62">
        <v>0.0</v>
      </c>
      <c r="I525" s="62">
        <v>0.0</v>
      </c>
      <c r="J525" s="62">
        <v>0.0</v>
      </c>
      <c r="K525" s="62">
        <v>1.0</v>
      </c>
      <c r="L525" s="62">
        <v>0.0</v>
      </c>
      <c r="M525" s="62">
        <v>1.0</v>
      </c>
      <c r="N525" s="62">
        <v>0.0</v>
      </c>
      <c r="O525" s="62">
        <v>1.0</v>
      </c>
      <c r="P525" s="62">
        <v>0.0</v>
      </c>
      <c r="Q525" s="62">
        <v>0.0</v>
      </c>
      <c r="R525" s="62">
        <v>0.0</v>
      </c>
      <c r="S525" s="62">
        <v>0.0</v>
      </c>
      <c r="T525" s="62">
        <v>0.0</v>
      </c>
      <c r="U525" s="62">
        <v>0.0</v>
      </c>
      <c r="V525" s="62">
        <v>0.0</v>
      </c>
      <c r="W525" s="62">
        <v>0.0</v>
      </c>
      <c r="X525" s="62">
        <v>0.0</v>
      </c>
      <c r="Y525" s="62">
        <v>0.0</v>
      </c>
      <c r="Z525" s="62">
        <v>0.22</v>
      </c>
      <c r="AA525" s="62">
        <v>0.0</v>
      </c>
      <c r="AB525" s="62">
        <v>0.191666666666666</v>
      </c>
      <c r="AC525" s="62">
        <v>0.0</v>
      </c>
      <c r="AD525" s="62">
        <v>0.188333333333333</v>
      </c>
      <c r="AE525" s="62">
        <v>0.0</v>
      </c>
      <c r="AF525" s="62">
        <v>0.0</v>
      </c>
    </row>
    <row r="526">
      <c r="A526" s="68">
        <v>46128.0</v>
      </c>
      <c r="B526" s="62" t="s">
        <v>100</v>
      </c>
      <c r="C526" s="62" t="s">
        <v>167</v>
      </c>
      <c r="D526" s="62">
        <v>7.0</v>
      </c>
      <c r="E526" s="62">
        <v>1.0</v>
      </c>
      <c r="F526" s="62">
        <v>0.0</v>
      </c>
      <c r="G526" s="62">
        <v>0.0</v>
      </c>
      <c r="H526" s="62">
        <v>1.0</v>
      </c>
      <c r="I526" s="62">
        <v>1.0</v>
      </c>
      <c r="J526" s="62">
        <v>0.0</v>
      </c>
      <c r="K526" s="62">
        <v>0.0</v>
      </c>
      <c r="L526" s="62">
        <v>0.0</v>
      </c>
      <c r="M526" s="62">
        <v>0.0</v>
      </c>
      <c r="N526" s="62">
        <v>0.0</v>
      </c>
      <c r="O526" s="62">
        <v>0.0</v>
      </c>
      <c r="P526" s="62">
        <v>0.0</v>
      </c>
      <c r="Q526" s="62">
        <v>0.0</v>
      </c>
      <c r="R526" s="62">
        <v>16600.0</v>
      </c>
      <c r="S526" s="62">
        <v>2199.0</v>
      </c>
      <c r="T526" s="62">
        <v>0.643055555555555</v>
      </c>
      <c r="U526" s="62">
        <v>0.0</v>
      </c>
      <c r="V526" s="62">
        <v>0.0</v>
      </c>
      <c r="W526" s="62">
        <v>0.213333333333333</v>
      </c>
      <c r="X526" s="62">
        <v>0.213333333333333</v>
      </c>
      <c r="Y526" s="62">
        <v>0.0</v>
      </c>
      <c r="Z526" s="62">
        <v>0.0</v>
      </c>
      <c r="AA526" s="62">
        <v>0.0</v>
      </c>
      <c r="AB526" s="62">
        <v>0.0</v>
      </c>
      <c r="AC526" s="62">
        <v>0.0</v>
      </c>
      <c r="AD526" s="62">
        <v>0.0</v>
      </c>
      <c r="AE526" s="62">
        <v>0.0</v>
      </c>
      <c r="AF526" s="62">
        <v>3.0</v>
      </c>
    </row>
    <row r="527">
      <c r="A527" s="68">
        <v>46128.0</v>
      </c>
      <c r="B527" s="62" t="s">
        <v>32</v>
      </c>
      <c r="C527" s="62" t="s">
        <v>168</v>
      </c>
      <c r="D527" s="62">
        <v>0.0</v>
      </c>
      <c r="E527" s="62">
        <v>4.0</v>
      </c>
      <c r="F527" s="62">
        <v>4.0</v>
      </c>
      <c r="G527" s="62">
        <v>0.0</v>
      </c>
      <c r="H527" s="62">
        <v>3.0</v>
      </c>
      <c r="I527" s="62">
        <v>2.0</v>
      </c>
      <c r="J527" s="62">
        <v>1.0</v>
      </c>
      <c r="K527" s="62">
        <v>2.0</v>
      </c>
      <c r="L527" s="62">
        <v>0.0</v>
      </c>
      <c r="M527" s="62">
        <v>3.0</v>
      </c>
      <c r="N527" s="62">
        <v>0.0</v>
      </c>
      <c r="O527" s="62">
        <v>1.0</v>
      </c>
      <c r="P527" s="62">
        <v>0.0</v>
      </c>
      <c r="Q527" s="62">
        <v>0.0</v>
      </c>
      <c r="R527" s="62">
        <v>0.0</v>
      </c>
      <c r="S527" s="62">
        <v>9660.0</v>
      </c>
      <c r="T527" s="62">
        <v>0.900555555555555</v>
      </c>
      <c r="U527" s="62">
        <v>0.905</v>
      </c>
      <c r="V527" s="62">
        <v>0.0</v>
      </c>
      <c r="W527" s="62">
        <v>0.696388888888888</v>
      </c>
      <c r="X527" s="62">
        <v>0.4525</v>
      </c>
      <c r="Y527" s="62">
        <v>0.243888888888888</v>
      </c>
      <c r="Z527" s="62">
        <v>0.477777777777777</v>
      </c>
      <c r="AA527" s="62">
        <v>0.0</v>
      </c>
      <c r="AB527" s="62">
        <v>0.673333333333333</v>
      </c>
      <c r="AC527" s="62">
        <v>0.0</v>
      </c>
      <c r="AD527" s="62">
        <v>0.21</v>
      </c>
      <c r="AE527" s="62">
        <v>0.0</v>
      </c>
      <c r="AF527" s="62">
        <v>4.0</v>
      </c>
    </row>
    <row r="528">
      <c r="A528" s="68">
        <v>46128.0</v>
      </c>
      <c r="B528" s="62" t="s">
        <v>93</v>
      </c>
      <c r="C528" s="62" t="s">
        <v>182</v>
      </c>
      <c r="D528" s="62">
        <v>0.0</v>
      </c>
      <c r="E528" s="62">
        <v>0.0</v>
      </c>
      <c r="F528" s="62">
        <v>0.0</v>
      </c>
      <c r="G528" s="62">
        <v>2.0</v>
      </c>
      <c r="H528" s="62">
        <v>2.0</v>
      </c>
      <c r="I528" s="62">
        <v>0.0</v>
      </c>
      <c r="J528" s="62">
        <v>5.0</v>
      </c>
      <c r="K528" s="62">
        <v>3.0</v>
      </c>
      <c r="L528" s="62">
        <v>2.0</v>
      </c>
      <c r="M528" s="62">
        <v>2.0</v>
      </c>
      <c r="N528" s="62">
        <v>1.0</v>
      </c>
      <c r="O528" s="62">
        <v>1.0</v>
      </c>
      <c r="P528" s="62">
        <v>1.0</v>
      </c>
      <c r="Q528" s="62">
        <v>0.0</v>
      </c>
      <c r="R528" s="62">
        <v>0.0</v>
      </c>
      <c r="S528" s="62">
        <v>0.0</v>
      </c>
      <c r="T528" s="62">
        <v>0.987777777777777</v>
      </c>
      <c r="U528" s="62">
        <v>0.0</v>
      </c>
      <c r="V528" s="62">
        <v>0.488055555555555</v>
      </c>
      <c r="W528" s="62">
        <v>0.488055555555555</v>
      </c>
      <c r="X528" s="62">
        <v>0.0</v>
      </c>
      <c r="Y528" s="62">
        <v>1.21805555555555</v>
      </c>
      <c r="Z528" s="62">
        <v>0.740555555555555</v>
      </c>
      <c r="AA528" s="62">
        <v>0.496388888888888</v>
      </c>
      <c r="AB528" s="62">
        <v>0.4775</v>
      </c>
      <c r="AC528" s="62">
        <v>0.2375</v>
      </c>
      <c r="AD528" s="62">
        <v>0.23</v>
      </c>
      <c r="AE528" s="62">
        <v>0.2375</v>
      </c>
      <c r="AF528" s="62">
        <v>4.0</v>
      </c>
    </row>
    <row r="529">
      <c r="A529" s="68">
        <v>46128.0</v>
      </c>
      <c r="B529" s="62" t="s">
        <v>65</v>
      </c>
      <c r="C529" s="62" t="s">
        <v>173</v>
      </c>
      <c r="D529" s="62">
        <v>2.0</v>
      </c>
      <c r="E529" s="62">
        <v>0.0</v>
      </c>
      <c r="F529" s="62">
        <v>0.0</v>
      </c>
      <c r="G529" s="62">
        <v>0.0</v>
      </c>
      <c r="H529" s="62">
        <v>0.0</v>
      </c>
      <c r="I529" s="62">
        <v>0.0</v>
      </c>
      <c r="J529" s="62">
        <v>0.0</v>
      </c>
      <c r="K529" s="62">
        <v>2.0</v>
      </c>
      <c r="L529" s="62">
        <v>0.0</v>
      </c>
      <c r="M529" s="62">
        <v>1.0</v>
      </c>
      <c r="N529" s="62">
        <v>0.0</v>
      </c>
      <c r="O529" s="62">
        <v>1.0</v>
      </c>
      <c r="P529" s="62">
        <v>0.0</v>
      </c>
      <c r="Q529" s="62">
        <v>0.0</v>
      </c>
      <c r="R529" s="62">
        <v>4454.0</v>
      </c>
      <c r="S529" s="62">
        <v>0.0</v>
      </c>
      <c r="T529" s="62">
        <v>0.0</v>
      </c>
      <c r="U529" s="62">
        <v>0.0</v>
      </c>
      <c r="V529" s="62">
        <v>0.0</v>
      </c>
      <c r="W529" s="62">
        <v>0.0</v>
      </c>
      <c r="X529" s="62">
        <v>0.0</v>
      </c>
      <c r="Y529" s="62">
        <v>0.0</v>
      </c>
      <c r="Z529" s="62">
        <v>0.431388888888888</v>
      </c>
      <c r="AA529" s="62">
        <v>0.0</v>
      </c>
      <c r="AB529" s="62">
        <v>0.212222222222222</v>
      </c>
      <c r="AC529" s="62">
        <v>0.0</v>
      </c>
      <c r="AD529" s="62">
        <v>0.240555555555555</v>
      </c>
      <c r="AE529" s="62">
        <v>0.0</v>
      </c>
      <c r="AF529" s="62">
        <v>0.0</v>
      </c>
    </row>
    <row r="530">
      <c r="A530" s="68">
        <v>46128.0</v>
      </c>
      <c r="B530" s="62" t="s">
        <v>37</v>
      </c>
      <c r="C530" s="62" t="s">
        <v>174</v>
      </c>
      <c r="D530" s="62">
        <v>2.0</v>
      </c>
      <c r="E530" s="62">
        <v>1.0</v>
      </c>
      <c r="F530" s="62">
        <v>0.0</v>
      </c>
      <c r="G530" s="62">
        <v>2.0</v>
      </c>
      <c r="H530" s="62">
        <v>1.0</v>
      </c>
      <c r="I530" s="62">
        <v>0.0</v>
      </c>
      <c r="J530" s="62">
        <v>3.0</v>
      </c>
      <c r="K530" s="62">
        <v>1.0</v>
      </c>
      <c r="L530" s="62">
        <v>1.0</v>
      </c>
      <c r="M530" s="62">
        <v>2.0</v>
      </c>
      <c r="N530" s="62">
        <v>0.0</v>
      </c>
      <c r="O530" s="62">
        <v>1.0</v>
      </c>
      <c r="P530" s="62">
        <v>0.0</v>
      </c>
      <c r="Q530" s="62">
        <v>0.0</v>
      </c>
      <c r="R530" s="62">
        <v>4784.0</v>
      </c>
      <c r="S530" s="62">
        <v>2247.0</v>
      </c>
      <c r="T530" s="62">
        <v>0.0</v>
      </c>
      <c r="U530" s="62">
        <v>0.0</v>
      </c>
      <c r="V530" s="62">
        <v>0.476944444444444</v>
      </c>
      <c r="W530" s="62">
        <v>0.245277777777777</v>
      </c>
      <c r="X530" s="62">
        <v>0.0</v>
      </c>
      <c r="Y530" s="62">
        <v>0.773888888888888</v>
      </c>
      <c r="Z530" s="62">
        <v>0.255</v>
      </c>
      <c r="AA530" s="62">
        <v>0.255</v>
      </c>
      <c r="AB530" s="62">
        <v>0.551666666666666</v>
      </c>
      <c r="AC530" s="62">
        <v>0.0</v>
      </c>
      <c r="AD530" s="62">
        <v>0.304166666666666</v>
      </c>
      <c r="AE530" s="62">
        <v>0.0</v>
      </c>
      <c r="AF530" s="62">
        <v>0.0</v>
      </c>
    </row>
    <row r="531">
      <c r="A531" s="68">
        <v>46128.0</v>
      </c>
      <c r="B531" s="62" t="s">
        <v>56</v>
      </c>
      <c r="C531" s="62" t="s">
        <v>176</v>
      </c>
      <c r="D531" s="62">
        <v>0.0</v>
      </c>
      <c r="E531" s="62">
        <v>0.0</v>
      </c>
      <c r="F531" s="62">
        <v>3.0</v>
      </c>
      <c r="G531" s="62">
        <v>0.0</v>
      </c>
      <c r="H531" s="62">
        <v>5.0</v>
      </c>
      <c r="I531" s="62">
        <v>5.0</v>
      </c>
      <c r="J531" s="62">
        <v>0.0</v>
      </c>
      <c r="K531" s="62">
        <v>0.0</v>
      </c>
      <c r="L531" s="62">
        <v>0.0</v>
      </c>
      <c r="M531" s="62">
        <v>0.0</v>
      </c>
      <c r="N531" s="62">
        <v>0.0</v>
      </c>
      <c r="O531" s="62">
        <v>0.0</v>
      </c>
      <c r="P531" s="62">
        <v>0.0</v>
      </c>
      <c r="Q531" s="62">
        <v>0.0</v>
      </c>
      <c r="R531" s="62">
        <v>0.0</v>
      </c>
      <c r="S531" s="62">
        <v>0.0</v>
      </c>
      <c r="T531" s="62">
        <v>0.0</v>
      </c>
      <c r="U531" s="62">
        <v>0.723333333333333</v>
      </c>
      <c r="V531" s="62">
        <v>0.0</v>
      </c>
      <c r="W531" s="62">
        <v>1.1825</v>
      </c>
      <c r="X531" s="62">
        <v>1.1825</v>
      </c>
      <c r="Y531" s="62">
        <v>0.0</v>
      </c>
      <c r="Z531" s="62">
        <v>0.0</v>
      </c>
      <c r="AA531" s="62">
        <v>0.0</v>
      </c>
      <c r="AB531" s="62">
        <v>0.0</v>
      </c>
      <c r="AC531" s="62">
        <v>0.0</v>
      </c>
      <c r="AD531" s="62">
        <v>0.0</v>
      </c>
      <c r="AE531" s="62">
        <v>0.0</v>
      </c>
      <c r="AF531" s="62">
        <v>0.0</v>
      </c>
    </row>
    <row r="532">
      <c r="A532" s="68">
        <v>46128.0</v>
      </c>
      <c r="B532" s="62" t="s">
        <v>91</v>
      </c>
      <c r="C532" s="62" t="s">
        <v>184</v>
      </c>
      <c r="D532" s="62">
        <v>0.0</v>
      </c>
      <c r="E532" s="62">
        <v>0.0</v>
      </c>
      <c r="F532" s="62">
        <v>0.0</v>
      </c>
      <c r="G532" s="62">
        <v>0.0</v>
      </c>
      <c r="H532" s="62">
        <v>0.0</v>
      </c>
      <c r="I532" s="62">
        <v>0.0</v>
      </c>
      <c r="J532" s="62">
        <v>0.0</v>
      </c>
      <c r="K532" s="62">
        <v>3.0</v>
      </c>
      <c r="L532" s="62">
        <v>0.0</v>
      </c>
      <c r="M532" s="62">
        <v>0.0</v>
      </c>
      <c r="N532" s="62">
        <v>0.0</v>
      </c>
      <c r="O532" s="62">
        <v>1.0</v>
      </c>
      <c r="P532" s="62">
        <v>0.0</v>
      </c>
      <c r="Q532" s="62">
        <v>0.0</v>
      </c>
      <c r="R532" s="62">
        <v>0.0</v>
      </c>
      <c r="S532" s="62">
        <v>0.0</v>
      </c>
      <c r="T532" s="62">
        <v>0.0</v>
      </c>
      <c r="U532" s="62">
        <v>0.0</v>
      </c>
      <c r="V532" s="62">
        <v>0.0</v>
      </c>
      <c r="W532" s="62">
        <v>0.0</v>
      </c>
      <c r="X532" s="62">
        <v>0.0</v>
      </c>
      <c r="Y532" s="62">
        <v>0.0</v>
      </c>
      <c r="Z532" s="62">
        <v>0.635</v>
      </c>
      <c r="AA532" s="62">
        <v>0.0</v>
      </c>
      <c r="AB532" s="62">
        <v>0.0</v>
      </c>
      <c r="AC532" s="62">
        <v>0.0</v>
      </c>
      <c r="AD532" s="62">
        <v>0.149444444444444</v>
      </c>
      <c r="AE532" s="62">
        <v>0.0</v>
      </c>
      <c r="AF532" s="62">
        <v>0.0</v>
      </c>
    </row>
    <row r="533">
      <c r="A533" s="68">
        <v>46128.0</v>
      </c>
      <c r="B533" s="62" t="s">
        <v>26</v>
      </c>
      <c r="C533" s="62" t="s">
        <v>178</v>
      </c>
      <c r="D533" s="62">
        <v>2.0</v>
      </c>
      <c r="E533" s="62">
        <v>11.0</v>
      </c>
      <c r="F533" s="62">
        <v>3.0</v>
      </c>
      <c r="G533" s="62">
        <v>3.0</v>
      </c>
      <c r="H533" s="62">
        <v>9.0</v>
      </c>
      <c r="I533" s="62">
        <v>6.0</v>
      </c>
      <c r="J533" s="62">
        <v>4.0</v>
      </c>
      <c r="K533" s="62">
        <v>0.0</v>
      </c>
      <c r="L533" s="62">
        <v>0.0</v>
      </c>
      <c r="M533" s="62">
        <v>7.0</v>
      </c>
      <c r="N533" s="62">
        <v>3.0</v>
      </c>
      <c r="O533" s="62">
        <v>1.0</v>
      </c>
      <c r="P533" s="62">
        <v>3.0</v>
      </c>
      <c r="Q533" s="62">
        <v>0.0</v>
      </c>
      <c r="R533" s="62">
        <v>4727.0</v>
      </c>
      <c r="S533" s="62">
        <v>24399.0</v>
      </c>
      <c r="T533" s="62">
        <v>0.399722222222222</v>
      </c>
      <c r="U533" s="62">
        <v>0.571944444444444</v>
      </c>
      <c r="V533" s="62">
        <v>0.618888888888888</v>
      </c>
      <c r="W533" s="62">
        <v>1.7425</v>
      </c>
      <c r="X533" s="62">
        <v>1.12361111111111</v>
      </c>
      <c r="Y533" s="62">
        <v>0.792777777777777</v>
      </c>
      <c r="Z533" s="62">
        <v>0.0</v>
      </c>
      <c r="AA533" s="62">
        <v>0.0</v>
      </c>
      <c r="AB533" s="62">
        <v>1.3325</v>
      </c>
      <c r="AC533" s="62">
        <v>0.554444444444444</v>
      </c>
      <c r="AD533" s="62">
        <v>0.190555555555555</v>
      </c>
      <c r="AE533" s="62">
        <v>0.554444444444444</v>
      </c>
      <c r="AF533" s="62">
        <v>2.0</v>
      </c>
    </row>
    <row r="534">
      <c r="A534" s="68">
        <v>46128.0</v>
      </c>
      <c r="B534" s="62" t="s">
        <v>62</v>
      </c>
      <c r="C534" s="62" t="s">
        <v>63</v>
      </c>
      <c r="D534" s="62">
        <v>4.0</v>
      </c>
      <c r="E534" s="62">
        <v>6.0</v>
      </c>
      <c r="F534" s="62">
        <v>0.0</v>
      </c>
      <c r="G534" s="62">
        <v>0.0</v>
      </c>
      <c r="H534" s="62">
        <v>6.0</v>
      </c>
      <c r="I534" s="62">
        <v>6.0</v>
      </c>
      <c r="J534" s="62">
        <v>0.0</v>
      </c>
      <c r="K534" s="62">
        <v>0.0</v>
      </c>
      <c r="L534" s="62">
        <v>0.0</v>
      </c>
      <c r="M534" s="62">
        <v>1.0</v>
      </c>
      <c r="N534" s="62">
        <v>3.0</v>
      </c>
      <c r="O534" s="62">
        <v>1.0</v>
      </c>
      <c r="P534" s="62">
        <v>3.0</v>
      </c>
      <c r="Q534" s="62">
        <v>0.0</v>
      </c>
      <c r="R534" s="62">
        <v>9256.0</v>
      </c>
      <c r="S534" s="62">
        <v>15505.0</v>
      </c>
      <c r="T534" s="62">
        <v>0.647777777777777</v>
      </c>
      <c r="U534" s="62">
        <v>0.0</v>
      </c>
      <c r="V534" s="62">
        <v>0.0</v>
      </c>
      <c r="W534" s="62">
        <v>1.26305555555555</v>
      </c>
      <c r="X534" s="62">
        <v>1.26305555555555</v>
      </c>
      <c r="Y534" s="62">
        <v>0.0</v>
      </c>
      <c r="Z534" s="62">
        <v>0.0</v>
      </c>
      <c r="AA534" s="62">
        <v>0.0</v>
      </c>
      <c r="AB534" s="62">
        <v>0.175833333333333</v>
      </c>
      <c r="AC534" s="62">
        <v>0.586388888888888</v>
      </c>
      <c r="AD534" s="62">
        <v>0.204166666666666</v>
      </c>
      <c r="AE534" s="62">
        <v>0.586388888888888</v>
      </c>
      <c r="AF534" s="62">
        <v>3.0</v>
      </c>
    </row>
    <row r="535">
      <c r="A535" s="68">
        <v>46127.0</v>
      </c>
      <c r="B535" s="62" t="s">
        <v>98</v>
      </c>
      <c r="C535" s="62" t="s">
        <v>183</v>
      </c>
      <c r="D535" s="62">
        <v>0.0</v>
      </c>
      <c r="E535" s="62">
        <v>3.0</v>
      </c>
      <c r="F535" s="62">
        <v>1.0</v>
      </c>
      <c r="G535" s="62">
        <v>1.0</v>
      </c>
      <c r="H535" s="62">
        <v>1.0</v>
      </c>
      <c r="I535" s="62">
        <v>0.0</v>
      </c>
      <c r="J535" s="62">
        <v>2.0</v>
      </c>
      <c r="K535" s="62">
        <v>1.0</v>
      </c>
      <c r="L535" s="62">
        <v>2.0</v>
      </c>
      <c r="M535" s="62">
        <v>1.0</v>
      </c>
      <c r="N535" s="62">
        <v>0.0</v>
      </c>
      <c r="O535" s="62">
        <v>1.0</v>
      </c>
      <c r="P535" s="62">
        <v>0.0</v>
      </c>
      <c r="Q535" s="62">
        <v>0.0</v>
      </c>
      <c r="R535" s="62">
        <v>0.0</v>
      </c>
      <c r="S535" s="62">
        <v>6547.0</v>
      </c>
      <c r="T535" s="62">
        <v>0.0</v>
      </c>
      <c r="U535" s="62">
        <v>0.204166666666666</v>
      </c>
      <c r="V535" s="62">
        <v>0.214444444444444</v>
      </c>
      <c r="W535" s="62">
        <v>0.214444444444444</v>
      </c>
      <c r="X535" s="62">
        <v>0.0</v>
      </c>
      <c r="Y535" s="62">
        <v>0.4325</v>
      </c>
      <c r="Z535" s="62">
        <v>0.225277777777777</v>
      </c>
      <c r="AA535" s="62">
        <v>0.435555555555555</v>
      </c>
      <c r="AB535" s="62">
        <v>0.207222222222222</v>
      </c>
      <c r="AC535" s="62">
        <v>0.0</v>
      </c>
      <c r="AD535" s="62">
        <v>0.213333333333333</v>
      </c>
      <c r="AE535" s="62">
        <v>0.0</v>
      </c>
      <c r="AF535" s="62">
        <v>0.0</v>
      </c>
    </row>
    <row r="536">
      <c r="A536" s="68">
        <v>46127.0</v>
      </c>
      <c r="B536" s="62" t="s">
        <v>71</v>
      </c>
      <c r="C536" s="62" t="s">
        <v>163</v>
      </c>
      <c r="D536" s="62">
        <v>0.0</v>
      </c>
      <c r="E536" s="62">
        <v>0.0</v>
      </c>
      <c r="F536" s="62">
        <v>0.0</v>
      </c>
      <c r="G536" s="62">
        <v>1.0</v>
      </c>
      <c r="H536" s="62">
        <v>1.0</v>
      </c>
      <c r="I536" s="62">
        <v>0.0</v>
      </c>
      <c r="J536" s="62">
        <v>0.0</v>
      </c>
      <c r="K536" s="62">
        <v>2.0</v>
      </c>
      <c r="L536" s="62">
        <v>0.0</v>
      </c>
      <c r="M536" s="62">
        <v>0.0</v>
      </c>
      <c r="N536" s="62">
        <v>1.0</v>
      </c>
      <c r="O536" s="62">
        <v>1.0</v>
      </c>
      <c r="P536" s="62">
        <v>1.0</v>
      </c>
      <c r="Q536" s="62">
        <v>0.0</v>
      </c>
      <c r="R536" s="62">
        <v>0.0</v>
      </c>
      <c r="S536" s="62">
        <v>0.0</v>
      </c>
      <c r="T536" s="62">
        <v>0.0</v>
      </c>
      <c r="U536" s="62">
        <v>0.0</v>
      </c>
      <c r="V536" s="62">
        <v>0.239166666666666</v>
      </c>
      <c r="W536" s="62">
        <v>0.239166666666666</v>
      </c>
      <c r="X536" s="62">
        <v>0.0</v>
      </c>
      <c r="Y536" s="62">
        <v>0.0</v>
      </c>
      <c r="Z536" s="62">
        <v>0.556388888888888</v>
      </c>
      <c r="AA536" s="62">
        <v>0.0</v>
      </c>
      <c r="AB536" s="62">
        <v>0.0</v>
      </c>
      <c r="AC536" s="62">
        <v>0.257777777777777</v>
      </c>
      <c r="AD536" s="62">
        <v>0.263611111111111</v>
      </c>
      <c r="AE536" s="62">
        <v>0.257777777777777</v>
      </c>
      <c r="AF536" s="62">
        <v>0.0</v>
      </c>
    </row>
    <row r="537">
      <c r="A537" s="68">
        <v>46127.0</v>
      </c>
      <c r="B537" s="62" t="s">
        <v>76</v>
      </c>
      <c r="C537" s="62" t="s">
        <v>165</v>
      </c>
      <c r="D537" s="62">
        <v>0.0</v>
      </c>
      <c r="E537" s="62">
        <v>8.0</v>
      </c>
      <c r="F537" s="62">
        <v>4.0</v>
      </c>
      <c r="G537" s="62">
        <v>3.0</v>
      </c>
      <c r="H537" s="62">
        <v>2.0</v>
      </c>
      <c r="I537" s="62">
        <v>0.0</v>
      </c>
      <c r="J537" s="62">
        <v>0.0</v>
      </c>
      <c r="K537" s="62">
        <v>0.0</v>
      </c>
      <c r="L537" s="62">
        <v>1.0</v>
      </c>
      <c r="M537" s="62">
        <v>3.0</v>
      </c>
      <c r="N537" s="62">
        <v>5.0</v>
      </c>
      <c r="O537" s="62">
        <v>1.0</v>
      </c>
      <c r="P537" s="62">
        <v>5.0</v>
      </c>
      <c r="Q537" s="62">
        <v>0.0</v>
      </c>
      <c r="R537" s="62">
        <v>0.0</v>
      </c>
      <c r="S537" s="62">
        <v>24931.0</v>
      </c>
      <c r="T537" s="62">
        <v>1.28611111111111</v>
      </c>
      <c r="U537" s="62">
        <v>1.28611111111111</v>
      </c>
      <c r="V537" s="62">
        <v>0.993333333333333</v>
      </c>
      <c r="W537" s="62">
        <v>0.683888888888888</v>
      </c>
      <c r="X537" s="62">
        <v>0.0</v>
      </c>
      <c r="Y537" s="62">
        <v>0.0</v>
      </c>
      <c r="Z537" s="62">
        <v>0.0</v>
      </c>
      <c r="AA537" s="62">
        <v>0.425</v>
      </c>
      <c r="AB537" s="62">
        <v>0.948888888888888</v>
      </c>
      <c r="AC537" s="62">
        <v>1.5175</v>
      </c>
      <c r="AD537" s="62">
        <v>0.227777777777777</v>
      </c>
      <c r="AE537" s="62">
        <v>1.5175</v>
      </c>
      <c r="AF537" s="62">
        <v>4.0</v>
      </c>
    </row>
    <row r="538">
      <c r="A538" s="68">
        <v>46127.0</v>
      </c>
      <c r="B538" s="62" t="s">
        <v>104</v>
      </c>
      <c r="C538" s="62" t="s">
        <v>166</v>
      </c>
      <c r="D538" s="62">
        <v>0.0</v>
      </c>
      <c r="E538" s="62">
        <v>0.0</v>
      </c>
      <c r="F538" s="62">
        <v>0.0</v>
      </c>
      <c r="G538" s="62">
        <v>0.0</v>
      </c>
      <c r="H538" s="62">
        <v>0.0</v>
      </c>
      <c r="I538" s="62">
        <v>0.0</v>
      </c>
      <c r="J538" s="62">
        <v>3.0</v>
      </c>
      <c r="K538" s="62">
        <v>0.0</v>
      </c>
      <c r="L538" s="62">
        <v>1.0</v>
      </c>
      <c r="M538" s="62">
        <v>3.0</v>
      </c>
      <c r="N538" s="62">
        <v>0.0</v>
      </c>
      <c r="O538" s="62">
        <v>1.0</v>
      </c>
      <c r="P538" s="62">
        <v>0.0</v>
      </c>
      <c r="Q538" s="62">
        <v>0.0</v>
      </c>
      <c r="R538" s="62">
        <v>0.0</v>
      </c>
      <c r="S538" s="62">
        <v>0.0</v>
      </c>
      <c r="T538" s="62">
        <v>0.0</v>
      </c>
      <c r="U538" s="62">
        <v>0.0</v>
      </c>
      <c r="V538" s="62">
        <v>0.0</v>
      </c>
      <c r="W538" s="62">
        <v>0.0</v>
      </c>
      <c r="X538" s="62">
        <v>0.0</v>
      </c>
      <c r="Y538" s="62">
        <v>0.649444444444444</v>
      </c>
      <c r="Z538" s="62">
        <v>0.0</v>
      </c>
      <c r="AA538" s="62">
        <v>0.191666666666666</v>
      </c>
      <c r="AB538" s="62">
        <v>0.639999999999999</v>
      </c>
      <c r="AC538" s="62">
        <v>0.0</v>
      </c>
      <c r="AD538" s="62">
        <v>0.217222222222222</v>
      </c>
      <c r="AE538" s="62">
        <v>0.0</v>
      </c>
      <c r="AF538" s="62">
        <v>0.0</v>
      </c>
    </row>
    <row r="539">
      <c r="A539" s="68">
        <v>46127.0</v>
      </c>
      <c r="B539" s="62" t="s">
        <v>100</v>
      </c>
      <c r="C539" s="62" t="s">
        <v>167</v>
      </c>
      <c r="D539" s="62">
        <v>0.0</v>
      </c>
      <c r="E539" s="62">
        <v>0.0</v>
      </c>
      <c r="F539" s="62">
        <v>0.0</v>
      </c>
      <c r="G539" s="62">
        <v>0.0</v>
      </c>
      <c r="H539" s="62">
        <v>0.0</v>
      </c>
      <c r="I539" s="62">
        <v>0.0</v>
      </c>
      <c r="J539" s="62">
        <v>0.0</v>
      </c>
      <c r="K539" s="62">
        <v>0.0</v>
      </c>
      <c r="L539" s="62">
        <v>0.0</v>
      </c>
      <c r="M539" s="62">
        <v>0.0</v>
      </c>
      <c r="N539" s="62">
        <v>0.0</v>
      </c>
      <c r="O539" s="62">
        <v>0.0</v>
      </c>
      <c r="P539" s="62">
        <v>0.0</v>
      </c>
      <c r="Q539" s="62">
        <v>0.0</v>
      </c>
      <c r="R539" s="62">
        <v>0.0</v>
      </c>
      <c r="S539" s="62">
        <v>0.0</v>
      </c>
      <c r="T539" s="62">
        <v>0.213333333333333</v>
      </c>
      <c r="U539" s="62">
        <v>0.0</v>
      </c>
      <c r="V539" s="62">
        <v>0.0</v>
      </c>
      <c r="W539" s="62">
        <v>0.0</v>
      </c>
      <c r="X539" s="62">
        <v>0.0</v>
      </c>
      <c r="Y539" s="62">
        <v>0.0</v>
      </c>
      <c r="Z539" s="62">
        <v>0.0</v>
      </c>
      <c r="AA539" s="62">
        <v>0.0</v>
      </c>
      <c r="AB539" s="62">
        <v>0.0</v>
      </c>
      <c r="AC539" s="62">
        <v>0.0</v>
      </c>
      <c r="AD539" s="62">
        <v>0.0</v>
      </c>
      <c r="AE539" s="62">
        <v>0.0</v>
      </c>
      <c r="AF539" s="62">
        <v>1.0</v>
      </c>
    </row>
    <row r="540">
      <c r="A540" s="68">
        <v>46127.0</v>
      </c>
      <c r="B540" s="62" t="s">
        <v>32</v>
      </c>
      <c r="C540" s="62" t="s">
        <v>168</v>
      </c>
      <c r="D540" s="62">
        <v>0.0</v>
      </c>
      <c r="E540" s="62">
        <v>3.0</v>
      </c>
      <c r="F540" s="62">
        <v>1.0</v>
      </c>
      <c r="G540" s="62">
        <v>0.0</v>
      </c>
      <c r="H540" s="62">
        <v>4.0</v>
      </c>
      <c r="I540" s="62">
        <v>3.0</v>
      </c>
      <c r="J540" s="62">
        <v>8.0</v>
      </c>
      <c r="K540" s="62">
        <v>0.0</v>
      </c>
      <c r="L540" s="62">
        <v>0.0</v>
      </c>
      <c r="M540" s="62">
        <v>6.0</v>
      </c>
      <c r="N540" s="62">
        <v>8.0</v>
      </c>
      <c r="O540" s="62">
        <v>1.0</v>
      </c>
      <c r="P540" s="62">
        <v>8.0</v>
      </c>
      <c r="Q540" s="62">
        <v>0.0</v>
      </c>
      <c r="R540" s="62">
        <v>0.0</v>
      </c>
      <c r="S540" s="62">
        <v>7175.0</v>
      </c>
      <c r="T540" s="62">
        <v>0.456944444444444</v>
      </c>
      <c r="U540" s="62">
        <v>0.243611111111111</v>
      </c>
      <c r="V540" s="62">
        <v>0.0</v>
      </c>
      <c r="W540" s="62">
        <v>0.905555555555555</v>
      </c>
      <c r="X540" s="62">
        <v>0.680277777777777</v>
      </c>
      <c r="Y540" s="62">
        <v>1.805</v>
      </c>
      <c r="Z540" s="62">
        <v>0.0</v>
      </c>
      <c r="AA540" s="62">
        <v>0.0</v>
      </c>
      <c r="AB540" s="62">
        <v>1.39166666666666</v>
      </c>
      <c r="AC540" s="62">
        <v>1.84388888888888</v>
      </c>
      <c r="AD540" s="62">
        <v>0.186388888888888</v>
      </c>
      <c r="AE540" s="62">
        <v>1.84388888888888</v>
      </c>
      <c r="AF540" s="62">
        <v>2.0</v>
      </c>
    </row>
    <row r="541">
      <c r="A541" s="68">
        <v>46127.0</v>
      </c>
      <c r="B541" s="62" t="s">
        <v>93</v>
      </c>
      <c r="C541" s="62" t="s">
        <v>182</v>
      </c>
      <c r="D541" s="62">
        <v>0.0</v>
      </c>
      <c r="E541" s="62">
        <v>0.0</v>
      </c>
      <c r="F541" s="62">
        <v>3.0</v>
      </c>
      <c r="G541" s="62">
        <v>5.0</v>
      </c>
      <c r="H541" s="62">
        <v>5.0</v>
      </c>
      <c r="I541" s="62">
        <v>0.0</v>
      </c>
      <c r="J541" s="62">
        <v>1.0</v>
      </c>
      <c r="K541" s="62">
        <v>0.0</v>
      </c>
      <c r="L541" s="62">
        <v>0.0</v>
      </c>
      <c r="M541" s="62">
        <v>2.0</v>
      </c>
      <c r="N541" s="62">
        <v>0.0</v>
      </c>
      <c r="O541" s="62">
        <v>1.0</v>
      </c>
      <c r="P541" s="62">
        <v>0.0</v>
      </c>
      <c r="Q541" s="62">
        <v>0.0</v>
      </c>
      <c r="R541" s="62">
        <v>0.0</v>
      </c>
      <c r="S541" s="62">
        <v>0.0</v>
      </c>
      <c r="T541" s="62">
        <v>0.0</v>
      </c>
      <c r="U541" s="62">
        <v>0.787777777777777</v>
      </c>
      <c r="V541" s="62">
        <v>1.215</v>
      </c>
      <c r="W541" s="62">
        <v>1.215</v>
      </c>
      <c r="X541" s="62">
        <v>0.0</v>
      </c>
      <c r="Y541" s="62">
        <v>0.241111111111111</v>
      </c>
      <c r="Z541" s="62">
        <v>0.0</v>
      </c>
      <c r="AA541" s="62">
        <v>0.0</v>
      </c>
      <c r="AB541" s="62">
        <v>0.488888888888888</v>
      </c>
      <c r="AC541" s="62">
        <v>0.0</v>
      </c>
      <c r="AD541" s="62">
        <v>0.213055555555555</v>
      </c>
      <c r="AE541" s="62">
        <v>0.0</v>
      </c>
      <c r="AF541" s="62">
        <v>0.0</v>
      </c>
    </row>
    <row r="542">
      <c r="A542" s="68">
        <v>46127.0</v>
      </c>
      <c r="B542" s="62" t="s">
        <v>65</v>
      </c>
      <c r="C542" s="62" t="s">
        <v>173</v>
      </c>
      <c r="D542" s="62">
        <v>2.0</v>
      </c>
      <c r="E542" s="62">
        <v>0.0</v>
      </c>
      <c r="F542" s="62">
        <v>0.0</v>
      </c>
      <c r="G542" s="62">
        <v>0.0</v>
      </c>
      <c r="H542" s="62">
        <v>3.0</v>
      </c>
      <c r="I542" s="62">
        <v>3.0</v>
      </c>
      <c r="J542" s="62">
        <v>3.0</v>
      </c>
      <c r="K542" s="62">
        <v>1.0</v>
      </c>
      <c r="L542" s="62">
        <v>0.0</v>
      </c>
      <c r="M542" s="62">
        <v>1.0</v>
      </c>
      <c r="N542" s="62">
        <v>0.0</v>
      </c>
      <c r="O542" s="62">
        <v>1.0</v>
      </c>
      <c r="P542" s="62">
        <v>0.0</v>
      </c>
      <c r="Q542" s="62">
        <v>0.0</v>
      </c>
      <c r="R542" s="62">
        <v>4823.0</v>
      </c>
      <c r="S542" s="62">
        <v>0.0</v>
      </c>
      <c r="T542" s="62">
        <v>0.640833333333333</v>
      </c>
      <c r="U542" s="62">
        <v>0.0</v>
      </c>
      <c r="V542" s="62">
        <v>0.0</v>
      </c>
      <c r="W542" s="62">
        <v>0.640833333333333</v>
      </c>
      <c r="X542" s="62">
        <v>0.640833333333333</v>
      </c>
      <c r="Y542" s="62">
        <v>0.643611111111111</v>
      </c>
      <c r="Z542" s="62">
        <v>0.224444444444444</v>
      </c>
      <c r="AA542" s="62">
        <v>0.0</v>
      </c>
      <c r="AB542" s="62">
        <v>0.235</v>
      </c>
      <c r="AC542" s="62">
        <v>0.0</v>
      </c>
      <c r="AD542" s="62">
        <v>0.252222222222222</v>
      </c>
      <c r="AE542" s="62">
        <v>0.0</v>
      </c>
      <c r="AF542" s="62">
        <v>3.0</v>
      </c>
    </row>
    <row r="543">
      <c r="A543" s="68">
        <v>46127.0</v>
      </c>
      <c r="B543" s="62" t="s">
        <v>37</v>
      </c>
      <c r="C543" s="62" t="s">
        <v>174</v>
      </c>
      <c r="D543" s="62">
        <v>5.0</v>
      </c>
      <c r="E543" s="62">
        <v>2.0</v>
      </c>
      <c r="F543" s="62">
        <v>1.0</v>
      </c>
      <c r="G543" s="62">
        <v>3.0</v>
      </c>
      <c r="H543" s="62">
        <v>6.0</v>
      </c>
      <c r="I543" s="62">
        <v>3.0</v>
      </c>
      <c r="J543" s="62">
        <v>2.0</v>
      </c>
      <c r="K543" s="62">
        <v>0.0</v>
      </c>
      <c r="L543" s="62">
        <v>0.0</v>
      </c>
      <c r="M543" s="62">
        <v>0.0</v>
      </c>
      <c r="N543" s="62">
        <v>6.0</v>
      </c>
      <c r="O543" s="62">
        <v>1.0</v>
      </c>
      <c r="P543" s="62">
        <v>6.0</v>
      </c>
      <c r="Q543" s="62">
        <v>0.0</v>
      </c>
      <c r="R543" s="62">
        <v>11592.0</v>
      </c>
      <c r="S543" s="62">
        <v>4286.0</v>
      </c>
      <c r="T543" s="62">
        <v>0.986944444444444</v>
      </c>
      <c r="U543" s="62">
        <v>0.247777777777777</v>
      </c>
      <c r="V543" s="62">
        <v>0.806666666666666</v>
      </c>
      <c r="W543" s="62">
        <v>1.54583333333333</v>
      </c>
      <c r="X543" s="62">
        <v>0.739166666666666</v>
      </c>
      <c r="Y543" s="62">
        <v>0.522777777777777</v>
      </c>
      <c r="Z543" s="62">
        <v>0.0</v>
      </c>
      <c r="AA543" s="62">
        <v>0.0</v>
      </c>
      <c r="AB543" s="62">
        <v>0.0</v>
      </c>
      <c r="AC543" s="62">
        <v>1.64805555555555</v>
      </c>
      <c r="AD543" s="62">
        <v>0.295833333333333</v>
      </c>
      <c r="AE543" s="62">
        <v>1.64805555555555</v>
      </c>
      <c r="AF543" s="62">
        <v>4.0</v>
      </c>
    </row>
    <row r="544">
      <c r="A544" s="68">
        <v>46127.0</v>
      </c>
      <c r="B544" s="62" t="s">
        <v>56</v>
      </c>
      <c r="C544" s="62" t="s">
        <v>176</v>
      </c>
      <c r="D544" s="62">
        <v>6.0</v>
      </c>
      <c r="E544" s="62">
        <v>0.0</v>
      </c>
      <c r="F544" s="62">
        <v>0.0</v>
      </c>
      <c r="G544" s="62">
        <v>0.0</v>
      </c>
      <c r="H544" s="62">
        <v>0.0</v>
      </c>
      <c r="I544" s="62">
        <v>0.0</v>
      </c>
      <c r="J544" s="62">
        <v>0.0</v>
      </c>
      <c r="K544" s="62">
        <v>0.0</v>
      </c>
      <c r="L544" s="62">
        <v>0.0</v>
      </c>
      <c r="M544" s="62">
        <v>0.0</v>
      </c>
      <c r="N544" s="62">
        <v>0.0</v>
      </c>
      <c r="O544" s="62">
        <v>0.0</v>
      </c>
      <c r="P544" s="62">
        <v>0.0</v>
      </c>
      <c r="Q544" s="62">
        <v>0.0</v>
      </c>
      <c r="R544" s="62">
        <v>13844.0</v>
      </c>
      <c r="S544" s="62">
        <v>0.0</v>
      </c>
      <c r="T544" s="62">
        <v>0.961944444444444</v>
      </c>
      <c r="U544" s="62">
        <v>0.0</v>
      </c>
      <c r="V544" s="62">
        <v>0.0</v>
      </c>
      <c r="W544" s="62">
        <v>0.0</v>
      </c>
      <c r="X544" s="62">
        <v>0.0</v>
      </c>
      <c r="Y544" s="62">
        <v>0.0</v>
      </c>
      <c r="Z544" s="62">
        <v>0.0</v>
      </c>
      <c r="AA544" s="62">
        <v>0.0</v>
      </c>
      <c r="AB544" s="62">
        <v>0.0</v>
      </c>
      <c r="AC544" s="62">
        <v>0.0</v>
      </c>
      <c r="AD544" s="62">
        <v>0.0</v>
      </c>
      <c r="AE544" s="62">
        <v>0.0</v>
      </c>
      <c r="AF544" s="62">
        <v>4.0</v>
      </c>
    </row>
    <row r="545">
      <c r="A545" s="68">
        <v>46127.0</v>
      </c>
      <c r="B545" s="62" t="s">
        <v>91</v>
      </c>
      <c r="C545" s="62" t="s">
        <v>184</v>
      </c>
      <c r="D545" s="62">
        <v>0.0</v>
      </c>
      <c r="E545" s="62">
        <v>2.0</v>
      </c>
      <c r="F545" s="62">
        <v>0.0</v>
      </c>
      <c r="G545" s="62">
        <v>0.0</v>
      </c>
      <c r="H545" s="62">
        <v>0.0</v>
      </c>
      <c r="I545" s="62">
        <v>0.0</v>
      </c>
      <c r="J545" s="62">
        <v>3.0</v>
      </c>
      <c r="K545" s="62">
        <v>3.0</v>
      </c>
      <c r="L545" s="62">
        <v>4.0</v>
      </c>
      <c r="M545" s="62">
        <v>6.0</v>
      </c>
      <c r="N545" s="62">
        <v>9.0</v>
      </c>
      <c r="O545" s="62">
        <v>1.0</v>
      </c>
      <c r="P545" s="62">
        <v>9.0</v>
      </c>
      <c r="Q545" s="62">
        <v>0.0</v>
      </c>
      <c r="R545" s="62">
        <v>0.0</v>
      </c>
      <c r="S545" s="62">
        <v>4442.0</v>
      </c>
      <c r="T545" s="62">
        <v>0.0</v>
      </c>
      <c r="U545" s="62">
        <v>0.0</v>
      </c>
      <c r="V545" s="62">
        <v>0.0</v>
      </c>
      <c r="W545" s="62">
        <v>0.0</v>
      </c>
      <c r="X545" s="62">
        <v>0.0</v>
      </c>
      <c r="Y545" s="62">
        <v>0.635</v>
      </c>
      <c r="Z545" s="62">
        <v>0.610833333333333</v>
      </c>
      <c r="AA545" s="62">
        <v>0.773611111111111</v>
      </c>
      <c r="AB545" s="62">
        <v>1.14666666666666</v>
      </c>
      <c r="AC545" s="62">
        <v>1.76805555555555</v>
      </c>
      <c r="AD545" s="62">
        <v>0.153333333333333</v>
      </c>
      <c r="AE545" s="62">
        <v>1.76805555555555</v>
      </c>
      <c r="AF545" s="62">
        <v>0.0</v>
      </c>
    </row>
    <row r="546">
      <c r="A546" s="68">
        <v>46127.0</v>
      </c>
      <c r="B546" s="62" t="s">
        <v>26</v>
      </c>
      <c r="C546" s="62" t="s">
        <v>178</v>
      </c>
      <c r="D546" s="62">
        <v>0.0</v>
      </c>
      <c r="E546" s="62">
        <v>12.0</v>
      </c>
      <c r="F546" s="62">
        <v>3.0</v>
      </c>
      <c r="G546" s="62">
        <v>0.0</v>
      </c>
      <c r="H546" s="62">
        <v>6.0</v>
      </c>
      <c r="I546" s="62">
        <v>6.0</v>
      </c>
      <c r="J546" s="62">
        <v>8.0</v>
      </c>
      <c r="K546" s="62">
        <v>2.0</v>
      </c>
      <c r="L546" s="62">
        <v>0.0</v>
      </c>
      <c r="M546" s="62">
        <v>9.0</v>
      </c>
      <c r="N546" s="62">
        <v>8.0</v>
      </c>
      <c r="O546" s="62">
        <v>1.0</v>
      </c>
      <c r="P546" s="62">
        <v>8.0</v>
      </c>
      <c r="Q546" s="62">
        <v>0.0</v>
      </c>
      <c r="R546" s="62">
        <v>0.0</v>
      </c>
      <c r="S546" s="62">
        <v>24792.0</v>
      </c>
      <c r="T546" s="62">
        <v>1.09416666666666</v>
      </c>
      <c r="U546" s="62">
        <v>0.615</v>
      </c>
      <c r="V546" s="62">
        <v>0.0</v>
      </c>
      <c r="W546" s="62">
        <v>1.19333333333333</v>
      </c>
      <c r="X546" s="62">
        <v>1.19333333333333</v>
      </c>
      <c r="Y546" s="62">
        <v>1.52194444444444</v>
      </c>
      <c r="Z546" s="62">
        <v>0.358333333333333</v>
      </c>
      <c r="AA546" s="62">
        <v>0.0</v>
      </c>
      <c r="AB546" s="62">
        <v>1.74944444444444</v>
      </c>
      <c r="AC546" s="62">
        <v>1.63416666666666</v>
      </c>
      <c r="AD546" s="62">
        <v>0.187222222222222</v>
      </c>
      <c r="AE546" s="62">
        <v>1.63416666666666</v>
      </c>
      <c r="AF546" s="62">
        <v>6.0</v>
      </c>
    </row>
    <row r="547">
      <c r="A547" s="68">
        <v>46127.0</v>
      </c>
      <c r="B547" s="62" t="s">
        <v>62</v>
      </c>
      <c r="C547" s="62" t="s">
        <v>63</v>
      </c>
      <c r="D547" s="62">
        <v>1.0</v>
      </c>
      <c r="E547" s="62">
        <v>5.0</v>
      </c>
      <c r="F547" s="62">
        <v>0.0</v>
      </c>
      <c r="G547" s="62">
        <v>0.0</v>
      </c>
      <c r="H547" s="62">
        <v>0.0</v>
      </c>
      <c r="I547" s="62">
        <v>0.0</v>
      </c>
      <c r="J547" s="62">
        <v>3.0</v>
      </c>
      <c r="K547" s="62">
        <v>1.0</v>
      </c>
      <c r="L547" s="62">
        <v>0.0</v>
      </c>
      <c r="M547" s="62">
        <v>3.0</v>
      </c>
      <c r="N547" s="62">
        <v>0.0</v>
      </c>
      <c r="O547" s="62">
        <v>1.0</v>
      </c>
      <c r="P547" s="62">
        <v>0.0</v>
      </c>
      <c r="Q547" s="62">
        <v>0.0</v>
      </c>
      <c r="R547" s="62">
        <v>2261.0</v>
      </c>
      <c r="S547" s="62">
        <v>12542.0</v>
      </c>
      <c r="T547" s="62">
        <v>0.615277777777777</v>
      </c>
      <c r="U547" s="62">
        <v>0.0</v>
      </c>
      <c r="V547" s="62">
        <v>0.0</v>
      </c>
      <c r="W547" s="62">
        <v>0.0</v>
      </c>
      <c r="X547" s="62">
        <v>0.0</v>
      </c>
      <c r="Y547" s="62">
        <v>0.578333333333333</v>
      </c>
      <c r="Z547" s="62">
        <v>0.1725</v>
      </c>
      <c r="AA547" s="62">
        <v>0.0</v>
      </c>
      <c r="AB547" s="62">
        <v>0.614722222222222</v>
      </c>
      <c r="AC547" s="62">
        <v>0.0</v>
      </c>
      <c r="AD547" s="62">
        <v>0.199444444444444</v>
      </c>
      <c r="AE547" s="62">
        <v>0.0</v>
      </c>
      <c r="AF547" s="62">
        <v>3.0</v>
      </c>
    </row>
    <row r="548">
      <c r="A548" s="68">
        <v>46126.0</v>
      </c>
      <c r="B548" s="62" t="s">
        <v>98</v>
      </c>
      <c r="C548" s="62" t="s">
        <v>183</v>
      </c>
      <c r="D548" s="62">
        <v>3.0</v>
      </c>
      <c r="E548" s="62">
        <v>0.0</v>
      </c>
      <c r="F548" s="62">
        <v>1.0</v>
      </c>
      <c r="G548" s="62">
        <v>0.0</v>
      </c>
      <c r="H548" s="62">
        <v>2.0</v>
      </c>
      <c r="I548" s="62">
        <v>2.0</v>
      </c>
      <c r="J548" s="62">
        <v>4.0</v>
      </c>
      <c r="K548" s="62">
        <v>1.0</v>
      </c>
      <c r="L548" s="62">
        <v>0.0</v>
      </c>
      <c r="M548" s="62">
        <v>4.0</v>
      </c>
      <c r="N548" s="62">
        <v>0.0</v>
      </c>
      <c r="O548" s="62">
        <v>1.0</v>
      </c>
      <c r="P548" s="62">
        <v>0.0</v>
      </c>
      <c r="Q548" s="62">
        <v>0.0</v>
      </c>
      <c r="R548" s="62">
        <v>6805.0</v>
      </c>
      <c r="S548" s="62">
        <v>0.0</v>
      </c>
      <c r="T548" s="62">
        <v>0.851111111111111</v>
      </c>
      <c r="U548" s="62">
        <v>0.213888888888888</v>
      </c>
      <c r="V548" s="62">
        <v>0.0</v>
      </c>
      <c r="W548" s="62">
        <v>0.433055555555555</v>
      </c>
      <c r="X548" s="62">
        <v>0.433055555555555</v>
      </c>
      <c r="Y548" s="62">
        <v>0.853333333333333</v>
      </c>
      <c r="Z548" s="62">
        <v>0.211944444444444</v>
      </c>
      <c r="AA548" s="62">
        <v>0.0</v>
      </c>
      <c r="AB548" s="62">
        <v>0.853333333333333</v>
      </c>
      <c r="AC548" s="62">
        <v>0.0</v>
      </c>
      <c r="AD548" s="62">
        <v>0.205833333333333</v>
      </c>
      <c r="AE548" s="62">
        <v>0.0</v>
      </c>
      <c r="AF548" s="62">
        <v>4.0</v>
      </c>
    </row>
    <row r="549">
      <c r="A549" s="68">
        <v>46126.0</v>
      </c>
      <c r="B549" s="62" t="s">
        <v>71</v>
      </c>
      <c r="C549" s="62" t="s">
        <v>163</v>
      </c>
      <c r="D549" s="62">
        <v>0.0</v>
      </c>
      <c r="E549" s="62">
        <v>0.0</v>
      </c>
      <c r="F549" s="62">
        <v>2.0</v>
      </c>
      <c r="G549" s="62">
        <v>2.0</v>
      </c>
      <c r="H549" s="62">
        <v>2.0</v>
      </c>
      <c r="I549" s="62">
        <v>0.0</v>
      </c>
      <c r="J549" s="62">
        <v>3.0</v>
      </c>
      <c r="K549" s="62">
        <v>0.0</v>
      </c>
      <c r="L549" s="62">
        <v>1.0</v>
      </c>
      <c r="M549" s="62">
        <v>3.0</v>
      </c>
      <c r="N549" s="62">
        <v>2.0</v>
      </c>
      <c r="O549" s="62">
        <v>1.0</v>
      </c>
      <c r="P549" s="62">
        <v>2.0</v>
      </c>
      <c r="Q549" s="62">
        <v>0.0</v>
      </c>
      <c r="R549" s="62">
        <v>0.0</v>
      </c>
      <c r="S549" s="62">
        <v>0.0</v>
      </c>
      <c r="T549" s="62">
        <v>0.449999999999999</v>
      </c>
      <c r="U549" s="62">
        <v>0.449999999999999</v>
      </c>
      <c r="V549" s="62">
        <v>0.556388888888888</v>
      </c>
      <c r="W549" s="62">
        <v>0.556388888888888</v>
      </c>
      <c r="X549" s="62">
        <v>0.0</v>
      </c>
      <c r="Y549" s="62">
        <v>0.814166666666666</v>
      </c>
      <c r="Z549" s="62">
        <v>0.0</v>
      </c>
      <c r="AA549" s="62">
        <v>0.252777777777777</v>
      </c>
      <c r="AB549" s="62">
        <v>0.798333333333333</v>
      </c>
      <c r="AC549" s="62">
        <v>0.540555555555555</v>
      </c>
      <c r="AD549" s="62">
        <v>0.250833333333333</v>
      </c>
      <c r="AE549" s="62">
        <v>0.540555555555555</v>
      </c>
      <c r="AF549" s="62">
        <v>2.0</v>
      </c>
    </row>
    <row r="550">
      <c r="A550" s="68">
        <v>46126.0</v>
      </c>
      <c r="B550" s="62" t="s">
        <v>76</v>
      </c>
      <c r="C550" s="62" t="s">
        <v>165</v>
      </c>
      <c r="D550" s="62">
        <v>0.0</v>
      </c>
      <c r="E550" s="62">
        <v>1.0</v>
      </c>
      <c r="F550" s="62">
        <v>4.0</v>
      </c>
      <c r="G550" s="62">
        <v>5.0</v>
      </c>
      <c r="H550" s="62">
        <v>6.0</v>
      </c>
      <c r="I550" s="62">
        <v>1.0</v>
      </c>
      <c r="J550" s="62">
        <v>6.0</v>
      </c>
      <c r="K550" s="62">
        <v>4.0</v>
      </c>
      <c r="L550" s="62">
        <v>2.0</v>
      </c>
      <c r="M550" s="62">
        <v>2.0</v>
      </c>
      <c r="N550" s="62">
        <v>1.0</v>
      </c>
      <c r="O550" s="62">
        <v>1.0</v>
      </c>
      <c r="P550" s="62">
        <v>1.0</v>
      </c>
      <c r="Q550" s="62">
        <v>0.0</v>
      </c>
      <c r="R550" s="62">
        <v>0.0</v>
      </c>
      <c r="S550" s="62">
        <v>3030.0</v>
      </c>
      <c r="T550" s="62">
        <v>1.24083333333333</v>
      </c>
      <c r="U550" s="62">
        <v>1.24083333333333</v>
      </c>
      <c r="V550" s="62">
        <v>1.75222222222222</v>
      </c>
      <c r="W550" s="62">
        <v>2.06083333333333</v>
      </c>
      <c r="X550" s="62">
        <v>0.308611111111111</v>
      </c>
      <c r="Y550" s="62">
        <v>1.98611111111111</v>
      </c>
      <c r="Z550" s="62">
        <v>1.46222222222222</v>
      </c>
      <c r="AA550" s="62">
        <v>0.525555555555555</v>
      </c>
      <c r="AB550" s="62">
        <v>0.525555555555555</v>
      </c>
      <c r="AC550" s="62">
        <v>0.329444444444444</v>
      </c>
      <c r="AD550" s="62">
        <v>0.244722222222222</v>
      </c>
      <c r="AE550" s="62">
        <v>0.329444444444444</v>
      </c>
      <c r="AF550" s="62">
        <v>4.0</v>
      </c>
    </row>
    <row r="551">
      <c r="A551" s="68">
        <v>46126.0</v>
      </c>
      <c r="B551" s="62" t="s">
        <v>104</v>
      </c>
      <c r="C551" s="62" t="s">
        <v>166</v>
      </c>
      <c r="D551" s="62">
        <v>0.0</v>
      </c>
      <c r="E551" s="62">
        <v>0.0</v>
      </c>
      <c r="F551" s="62">
        <v>0.0</v>
      </c>
      <c r="G551" s="62">
        <v>3.0</v>
      </c>
      <c r="H551" s="62">
        <v>0.0</v>
      </c>
      <c r="I551" s="62">
        <v>0.0</v>
      </c>
      <c r="J551" s="62">
        <v>1.0</v>
      </c>
      <c r="K551" s="62">
        <v>1.0</v>
      </c>
      <c r="L551" s="62">
        <v>0.0</v>
      </c>
      <c r="M551" s="62">
        <v>4.0</v>
      </c>
      <c r="N551" s="62">
        <v>1.0</v>
      </c>
      <c r="O551" s="62">
        <v>1.0</v>
      </c>
      <c r="P551" s="62">
        <v>1.0</v>
      </c>
      <c r="Q551" s="62">
        <v>0.0</v>
      </c>
      <c r="R551" s="62">
        <v>0.0</v>
      </c>
      <c r="S551" s="62">
        <v>0.0</v>
      </c>
      <c r="T551" s="62">
        <v>0.0</v>
      </c>
      <c r="U551" s="62">
        <v>0.0</v>
      </c>
      <c r="V551" s="62">
        <v>0.649444444444444</v>
      </c>
      <c r="W551" s="62">
        <v>0.0</v>
      </c>
      <c r="X551" s="62">
        <v>0.0</v>
      </c>
      <c r="Y551" s="62">
        <v>0.210555555555555</v>
      </c>
      <c r="Z551" s="62">
        <v>0.191666666666666</v>
      </c>
      <c r="AA551" s="62">
        <v>0.0</v>
      </c>
      <c r="AB551" s="62">
        <v>0.841944444444444</v>
      </c>
      <c r="AC551" s="62">
        <v>0.186666666666666</v>
      </c>
      <c r="AD551" s="62">
        <v>0.210833333333333</v>
      </c>
      <c r="AE551" s="62">
        <v>0.186666666666666</v>
      </c>
      <c r="AF551" s="62">
        <v>0.0</v>
      </c>
    </row>
    <row r="552">
      <c r="A552" s="68">
        <v>46126.0</v>
      </c>
      <c r="B552" s="62" t="s">
        <v>100</v>
      </c>
      <c r="C552" s="62" t="s">
        <v>167</v>
      </c>
      <c r="D552" s="62">
        <v>0.0</v>
      </c>
      <c r="E552" s="62">
        <v>3.0</v>
      </c>
      <c r="F552" s="62">
        <v>1.0</v>
      </c>
      <c r="G552" s="62">
        <v>0.0</v>
      </c>
      <c r="H552" s="62">
        <v>0.0</v>
      </c>
      <c r="I552" s="62">
        <v>0.0</v>
      </c>
      <c r="J552" s="62">
        <v>0.0</v>
      </c>
      <c r="K552" s="62">
        <v>0.0</v>
      </c>
      <c r="L552" s="62">
        <v>0.0</v>
      </c>
      <c r="M552" s="62">
        <v>0.0</v>
      </c>
      <c r="N552" s="62">
        <v>0.0</v>
      </c>
      <c r="O552" s="62">
        <v>0.0</v>
      </c>
      <c r="P552" s="62">
        <v>0.0</v>
      </c>
      <c r="Q552" s="62">
        <v>0.0</v>
      </c>
      <c r="R552" s="62">
        <v>0.0</v>
      </c>
      <c r="S552" s="62">
        <v>6652.0</v>
      </c>
      <c r="T552" s="62">
        <v>0.235</v>
      </c>
      <c r="U552" s="62">
        <v>0.235</v>
      </c>
      <c r="V552" s="62">
        <v>0.0</v>
      </c>
      <c r="W552" s="62">
        <v>0.0</v>
      </c>
      <c r="X552" s="62">
        <v>0.0</v>
      </c>
      <c r="Y552" s="62">
        <v>0.0</v>
      </c>
      <c r="Z552" s="62">
        <v>0.0</v>
      </c>
      <c r="AA552" s="62">
        <v>0.0</v>
      </c>
      <c r="AB552" s="62">
        <v>0.0</v>
      </c>
      <c r="AC552" s="62">
        <v>0.0</v>
      </c>
      <c r="AD552" s="62">
        <v>0.0</v>
      </c>
      <c r="AE552" s="62">
        <v>0.0</v>
      </c>
      <c r="AF552" s="62">
        <v>1.0</v>
      </c>
    </row>
    <row r="553">
      <c r="A553" s="68">
        <v>46126.0</v>
      </c>
      <c r="B553" s="62" t="s">
        <v>32</v>
      </c>
      <c r="C553" s="62" t="s">
        <v>168</v>
      </c>
      <c r="D553" s="62">
        <v>0.0</v>
      </c>
      <c r="E553" s="62">
        <v>5.0</v>
      </c>
      <c r="F553" s="62">
        <v>1.0</v>
      </c>
      <c r="G553" s="62">
        <v>0.0</v>
      </c>
      <c r="H553" s="62">
        <v>5.0</v>
      </c>
      <c r="I553" s="62">
        <v>3.0</v>
      </c>
      <c r="J553" s="62">
        <v>4.0</v>
      </c>
      <c r="K553" s="62">
        <v>2.0</v>
      </c>
      <c r="L553" s="62">
        <v>0.0</v>
      </c>
      <c r="M553" s="62">
        <v>2.0</v>
      </c>
      <c r="N553" s="62">
        <v>0.0</v>
      </c>
      <c r="O553" s="62">
        <v>1.0</v>
      </c>
      <c r="P553" s="62">
        <v>0.0</v>
      </c>
      <c r="Q553" s="62">
        <v>0.0</v>
      </c>
      <c r="R553" s="62">
        <v>0.0</v>
      </c>
      <c r="S553" s="62">
        <v>11874.0</v>
      </c>
      <c r="T553" s="62">
        <v>0.923888888888888</v>
      </c>
      <c r="U553" s="62">
        <v>0.225555555555555</v>
      </c>
      <c r="V553" s="62">
        <v>0.0</v>
      </c>
      <c r="W553" s="62">
        <v>1.17111111111111</v>
      </c>
      <c r="X553" s="62">
        <v>0.677222222222222</v>
      </c>
      <c r="Y553" s="62">
        <v>0.946111111111111</v>
      </c>
      <c r="Z553" s="62">
        <v>0.493888888888888</v>
      </c>
      <c r="AA553" s="62">
        <v>0.0</v>
      </c>
      <c r="AB553" s="62">
        <v>0.452222222222222</v>
      </c>
      <c r="AC553" s="62">
        <v>0.0</v>
      </c>
      <c r="AD553" s="62">
        <v>0.191111111111111</v>
      </c>
      <c r="AE553" s="62">
        <v>0.0</v>
      </c>
      <c r="AF553" s="62">
        <v>4.0</v>
      </c>
    </row>
    <row r="554">
      <c r="A554" s="68">
        <v>46126.0</v>
      </c>
      <c r="B554" s="62" t="s">
        <v>93</v>
      </c>
      <c r="C554" s="62" t="s">
        <v>182</v>
      </c>
      <c r="D554" s="62">
        <v>0.0</v>
      </c>
      <c r="E554" s="62">
        <v>1.0</v>
      </c>
      <c r="F554" s="62">
        <v>5.0</v>
      </c>
      <c r="G554" s="62">
        <v>1.0</v>
      </c>
      <c r="H554" s="62">
        <v>1.0</v>
      </c>
      <c r="I554" s="62">
        <v>0.0</v>
      </c>
      <c r="J554" s="62">
        <v>3.0</v>
      </c>
      <c r="K554" s="62">
        <v>3.0</v>
      </c>
      <c r="L554" s="62">
        <v>2.0</v>
      </c>
      <c r="M554" s="62">
        <v>2.0</v>
      </c>
      <c r="N554" s="62">
        <v>0.0</v>
      </c>
      <c r="O554" s="62">
        <v>1.0</v>
      </c>
      <c r="P554" s="62">
        <v>0.0</v>
      </c>
      <c r="Q554" s="62">
        <v>0.0</v>
      </c>
      <c r="R554" s="62">
        <v>0.0</v>
      </c>
      <c r="S554" s="62">
        <v>2014.0</v>
      </c>
      <c r="T554" s="62">
        <v>2.07777777777777</v>
      </c>
      <c r="U554" s="62">
        <v>1.29</v>
      </c>
      <c r="V554" s="62">
        <v>0.2375</v>
      </c>
      <c r="W554" s="62">
        <v>0.2375</v>
      </c>
      <c r="X554" s="62">
        <v>0.0</v>
      </c>
      <c r="Y554" s="62">
        <v>0.740833333333333</v>
      </c>
      <c r="Z554" s="62">
        <v>0.740833333333333</v>
      </c>
      <c r="AA554" s="62">
        <v>0.493055555555555</v>
      </c>
      <c r="AB554" s="62">
        <v>0.493055555555555</v>
      </c>
      <c r="AC554" s="62">
        <v>0.0</v>
      </c>
      <c r="AD554" s="62">
        <v>0.255</v>
      </c>
      <c r="AE554" s="62">
        <v>0.0</v>
      </c>
      <c r="AF554" s="62">
        <v>8.0</v>
      </c>
    </row>
    <row r="555">
      <c r="A555" s="68">
        <v>46126.0</v>
      </c>
      <c r="B555" s="62" t="s">
        <v>65</v>
      </c>
      <c r="C555" s="62" t="s">
        <v>173</v>
      </c>
      <c r="D555" s="62">
        <v>1.0</v>
      </c>
      <c r="E555" s="62">
        <v>2.0</v>
      </c>
      <c r="F555" s="62">
        <v>0.0</v>
      </c>
      <c r="G555" s="62">
        <v>0.0</v>
      </c>
      <c r="H555" s="62">
        <v>2.0</v>
      </c>
      <c r="I555" s="62">
        <v>2.0</v>
      </c>
      <c r="J555" s="62">
        <v>3.0</v>
      </c>
      <c r="K555" s="62">
        <v>2.0</v>
      </c>
      <c r="L555" s="62">
        <v>0.0</v>
      </c>
      <c r="M555" s="62">
        <v>5.0</v>
      </c>
      <c r="N555" s="62">
        <v>4.0</v>
      </c>
      <c r="O555" s="62">
        <v>1.0</v>
      </c>
      <c r="P555" s="62">
        <v>4.0</v>
      </c>
      <c r="Q555" s="62">
        <v>0.0</v>
      </c>
      <c r="R555" s="62">
        <v>2605.0</v>
      </c>
      <c r="S555" s="62">
        <v>4314.0</v>
      </c>
      <c r="T555" s="62">
        <v>0.456666666666666</v>
      </c>
      <c r="U555" s="62">
        <v>0.0</v>
      </c>
      <c r="V555" s="62">
        <v>0.0</v>
      </c>
      <c r="W555" s="62">
        <v>0.456666666666666</v>
      </c>
      <c r="X555" s="62">
        <v>0.456666666666666</v>
      </c>
      <c r="Y555" s="62">
        <v>0.673611111111111</v>
      </c>
      <c r="Z555" s="62">
        <v>0.517222222222222</v>
      </c>
      <c r="AA555" s="62">
        <v>0.0</v>
      </c>
      <c r="AB555" s="62">
        <v>1.11138888888888</v>
      </c>
      <c r="AC555" s="62">
        <v>0.897222222222222</v>
      </c>
      <c r="AD555" s="62">
        <v>0.24</v>
      </c>
      <c r="AE555" s="62">
        <v>0.897222222222222</v>
      </c>
      <c r="AF555" s="62">
        <v>2.0</v>
      </c>
    </row>
    <row r="556">
      <c r="A556" s="68">
        <v>46126.0</v>
      </c>
      <c r="B556" s="62" t="s">
        <v>37</v>
      </c>
      <c r="C556" s="62" t="s">
        <v>174</v>
      </c>
      <c r="D556" s="62">
        <v>3.0</v>
      </c>
      <c r="E556" s="62">
        <v>3.0</v>
      </c>
      <c r="F556" s="62">
        <v>5.0</v>
      </c>
      <c r="G556" s="62">
        <v>3.0</v>
      </c>
      <c r="H556" s="62">
        <v>4.0</v>
      </c>
      <c r="I556" s="62">
        <v>1.0</v>
      </c>
      <c r="J556" s="62">
        <v>3.0</v>
      </c>
      <c r="K556" s="62">
        <v>0.0</v>
      </c>
      <c r="L556" s="62">
        <v>0.0</v>
      </c>
      <c r="M556" s="62">
        <v>6.0</v>
      </c>
      <c r="N556" s="62">
        <v>0.0</v>
      </c>
      <c r="O556" s="62">
        <v>1.0</v>
      </c>
      <c r="P556" s="62">
        <v>0.0</v>
      </c>
      <c r="Q556" s="62">
        <v>0.0</v>
      </c>
      <c r="R556" s="62">
        <v>6890.0</v>
      </c>
      <c r="S556" s="62">
        <v>7101.0</v>
      </c>
      <c r="T556" s="62">
        <v>0.0</v>
      </c>
      <c r="U556" s="62">
        <v>1.24027777777777</v>
      </c>
      <c r="V556" s="62">
        <v>0.806666666666666</v>
      </c>
      <c r="W556" s="62">
        <v>1.03833333333333</v>
      </c>
      <c r="X556" s="62">
        <v>0.231666666666666</v>
      </c>
      <c r="Y556" s="62">
        <v>0.806666666666666</v>
      </c>
      <c r="Z556" s="62">
        <v>0.0</v>
      </c>
      <c r="AA556" s="62">
        <v>0.0</v>
      </c>
      <c r="AB556" s="62">
        <v>1.64805555555555</v>
      </c>
      <c r="AC556" s="62">
        <v>0.0</v>
      </c>
      <c r="AD556" s="62">
        <v>0.310277777777777</v>
      </c>
      <c r="AE556" s="62">
        <v>0.0</v>
      </c>
      <c r="AF556" s="62">
        <v>0.0</v>
      </c>
    </row>
    <row r="557">
      <c r="A557" s="68">
        <v>46126.0</v>
      </c>
      <c r="B557" s="62" t="s">
        <v>56</v>
      </c>
      <c r="C557" s="62" t="s">
        <v>176</v>
      </c>
      <c r="D557" s="62">
        <v>0.0</v>
      </c>
      <c r="E557" s="62">
        <v>6.0</v>
      </c>
      <c r="F557" s="62">
        <v>0.0</v>
      </c>
      <c r="G557" s="62">
        <v>0.0</v>
      </c>
      <c r="H557" s="62">
        <v>0.0</v>
      </c>
      <c r="I557" s="62">
        <v>0.0</v>
      </c>
      <c r="J557" s="62">
        <v>0.0</v>
      </c>
      <c r="K557" s="62">
        <v>0.0</v>
      </c>
      <c r="L557" s="62">
        <v>0.0</v>
      </c>
      <c r="M557" s="62">
        <v>0.0</v>
      </c>
      <c r="N557" s="62">
        <v>0.0</v>
      </c>
      <c r="O557" s="62">
        <v>0.0</v>
      </c>
      <c r="P557" s="62">
        <v>0.0</v>
      </c>
      <c r="Q557" s="62">
        <v>0.0</v>
      </c>
      <c r="R557" s="62">
        <v>0.0</v>
      </c>
      <c r="S557" s="62">
        <v>12307.0</v>
      </c>
      <c r="T557" s="62">
        <v>0.943888888888888</v>
      </c>
      <c r="U557" s="62">
        <v>0.0</v>
      </c>
      <c r="V557" s="62">
        <v>0.0</v>
      </c>
      <c r="W557" s="62">
        <v>0.0</v>
      </c>
      <c r="X557" s="62">
        <v>0.0</v>
      </c>
      <c r="Y557" s="62">
        <v>0.0</v>
      </c>
      <c r="Z557" s="62">
        <v>0.0</v>
      </c>
      <c r="AA557" s="62">
        <v>0.0</v>
      </c>
      <c r="AB557" s="62">
        <v>0.0</v>
      </c>
      <c r="AC557" s="62">
        <v>0.0</v>
      </c>
      <c r="AD557" s="62">
        <v>0.0</v>
      </c>
      <c r="AE557" s="62">
        <v>0.0</v>
      </c>
      <c r="AF557" s="62">
        <v>4.0</v>
      </c>
    </row>
    <row r="558">
      <c r="A558" s="68">
        <v>46126.0</v>
      </c>
      <c r="B558" s="62" t="s">
        <v>91</v>
      </c>
      <c r="C558" s="62" t="s">
        <v>184</v>
      </c>
      <c r="D558" s="62">
        <v>0.0</v>
      </c>
      <c r="E558" s="62">
        <v>0.0</v>
      </c>
      <c r="F558" s="62">
        <v>0.0</v>
      </c>
      <c r="G558" s="62">
        <v>0.0</v>
      </c>
      <c r="H558" s="62">
        <v>0.0</v>
      </c>
      <c r="I558" s="62">
        <v>0.0</v>
      </c>
      <c r="J558" s="62">
        <v>3.0</v>
      </c>
      <c r="K558" s="62">
        <v>2.0</v>
      </c>
      <c r="L558" s="62">
        <v>2.0</v>
      </c>
      <c r="M558" s="62">
        <v>2.0</v>
      </c>
      <c r="N558" s="62">
        <v>0.0</v>
      </c>
      <c r="O558" s="62">
        <v>1.0</v>
      </c>
      <c r="P558" s="62">
        <v>0.0</v>
      </c>
      <c r="Q558" s="62">
        <v>0.0</v>
      </c>
      <c r="R558" s="62">
        <v>0.0</v>
      </c>
      <c r="S558" s="62">
        <v>0.0</v>
      </c>
      <c r="T558" s="62">
        <v>0.0</v>
      </c>
      <c r="U558" s="62">
        <v>0.0</v>
      </c>
      <c r="V558" s="62">
        <v>0.0</v>
      </c>
      <c r="W558" s="62">
        <v>0.0</v>
      </c>
      <c r="X558" s="62">
        <v>0.0</v>
      </c>
      <c r="Y558" s="62">
        <v>0.610833333333333</v>
      </c>
      <c r="Z558" s="62">
        <v>0.370277777777777</v>
      </c>
      <c r="AA558" s="62">
        <v>0.405</v>
      </c>
      <c r="AB558" s="62">
        <v>0.419444444444444</v>
      </c>
      <c r="AC558" s="62">
        <v>0.0</v>
      </c>
      <c r="AD558" s="62">
        <v>0.145</v>
      </c>
      <c r="AE558" s="62">
        <v>0.0</v>
      </c>
      <c r="AF558" s="62">
        <v>0.0</v>
      </c>
    </row>
    <row r="559">
      <c r="A559" s="68">
        <v>46126.0</v>
      </c>
      <c r="B559" s="62" t="s">
        <v>26</v>
      </c>
      <c r="C559" s="62" t="s">
        <v>178</v>
      </c>
      <c r="D559" s="62">
        <v>0.0</v>
      </c>
      <c r="E559" s="62">
        <v>2.0</v>
      </c>
      <c r="F559" s="62">
        <v>1.0</v>
      </c>
      <c r="G559" s="62">
        <v>3.0</v>
      </c>
      <c r="H559" s="62">
        <v>10.0</v>
      </c>
      <c r="I559" s="62">
        <v>7.0</v>
      </c>
      <c r="J559" s="62">
        <v>9.0</v>
      </c>
      <c r="K559" s="62">
        <v>2.0</v>
      </c>
      <c r="L559" s="62">
        <v>1.0</v>
      </c>
      <c r="M559" s="62">
        <v>6.0</v>
      </c>
      <c r="N559" s="62">
        <v>2.0</v>
      </c>
      <c r="O559" s="62">
        <v>1.0</v>
      </c>
      <c r="P559" s="62">
        <v>2.0</v>
      </c>
      <c r="Q559" s="62">
        <v>0.0</v>
      </c>
      <c r="R559" s="62">
        <v>0.0</v>
      </c>
      <c r="S559" s="62">
        <v>4204.0</v>
      </c>
      <c r="T559" s="62">
        <v>2.19416666666666</v>
      </c>
      <c r="U559" s="62">
        <v>0.195</v>
      </c>
      <c r="V559" s="62">
        <v>0.5675</v>
      </c>
      <c r="W559" s="62">
        <v>1.92083333333333</v>
      </c>
      <c r="X559" s="62">
        <v>1.35333333333333</v>
      </c>
      <c r="Y559" s="62">
        <v>1.7475</v>
      </c>
      <c r="Z559" s="62">
        <v>0.359444444444444</v>
      </c>
      <c r="AA559" s="62">
        <v>0.198888888888888</v>
      </c>
      <c r="AB559" s="62">
        <v>1.17916666666666</v>
      </c>
      <c r="AC559" s="62">
        <v>0.420555555555555</v>
      </c>
      <c r="AD559" s="62">
        <v>0.202222222222222</v>
      </c>
      <c r="AE559" s="62">
        <v>0.420555555555555</v>
      </c>
      <c r="AF559" s="62">
        <v>11.0</v>
      </c>
    </row>
    <row r="560">
      <c r="A560" s="68">
        <v>46126.0</v>
      </c>
      <c r="B560" s="62" t="s">
        <v>62</v>
      </c>
      <c r="C560" s="62" t="s">
        <v>63</v>
      </c>
      <c r="D560" s="62">
        <v>4.0</v>
      </c>
      <c r="E560" s="62">
        <v>10.0</v>
      </c>
      <c r="F560" s="62">
        <v>0.0</v>
      </c>
      <c r="G560" s="62">
        <v>0.0</v>
      </c>
      <c r="H560" s="62">
        <v>3.0</v>
      </c>
      <c r="I560" s="62">
        <v>3.0</v>
      </c>
      <c r="J560" s="62">
        <v>2.0</v>
      </c>
      <c r="K560" s="62">
        <v>1.0</v>
      </c>
      <c r="L560" s="62">
        <v>0.0</v>
      </c>
      <c r="M560" s="62">
        <v>3.0</v>
      </c>
      <c r="N560" s="62">
        <v>2.0</v>
      </c>
      <c r="O560" s="62">
        <v>1.0</v>
      </c>
      <c r="P560" s="62">
        <v>2.0</v>
      </c>
      <c r="Q560" s="62">
        <v>0.0</v>
      </c>
      <c r="R560" s="62">
        <v>9639.0</v>
      </c>
      <c r="S560" s="62">
        <v>24127.0</v>
      </c>
      <c r="T560" s="62">
        <v>0.0</v>
      </c>
      <c r="U560" s="62">
        <v>0.0</v>
      </c>
      <c r="V560" s="62">
        <v>0.0</v>
      </c>
      <c r="W560" s="62">
        <v>0.574722222222222</v>
      </c>
      <c r="X560" s="62">
        <v>0.574722222222222</v>
      </c>
      <c r="Y560" s="62">
        <v>0.404444444444444</v>
      </c>
      <c r="Z560" s="62">
        <v>0.211111111111111</v>
      </c>
      <c r="AA560" s="62">
        <v>0.0</v>
      </c>
      <c r="AB560" s="62">
        <v>0.630833333333333</v>
      </c>
      <c r="AC560" s="62">
        <v>0.4375</v>
      </c>
      <c r="AD560" s="62">
        <v>0.219722222222222</v>
      </c>
      <c r="AE560" s="62">
        <v>0.4375</v>
      </c>
      <c r="AF560" s="62">
        <v>0.0</v>
      </c>
    </row>
    <row r="561">
      <c r="A561" s="68">
        <v>46125.0</v>
      </c>
      <c r="B561" s="62" t="s">
        <v>98</v>
      </c>
      <c r="C561" s="62" t="s">
        <v>183</v>
      </c>
      <c r="D561" s="62">
        <v>3.0</v>
      </c>
      <c r="E561" s="62">
        <v>4.0</v>
      </c>
      <c r="F561" s="62">
        <v>0.0</v>
      </c>
      <c r="G561" s="62">
        <v>0.0</v>
      </c>
      <c r="H561" s="62">
        <v>4.0</v>
      </c>
      <c r="I561" s="62">
        <v>4.0</v>
      </c>
      <c r="J561" s="62">
        <v>0.0</v>
      </c>
      <c r="K561" s="62">
        <v>0.0</v>
      </c>
      <c r="L561" s="62">
        <v>0.0</v>
      </c>
      <c r="M561" s="62">
        <v>0.0</v>
      </c>
      <c r="N561" s="62">
        <v>0.0</v>
      </c>
      <c r="O561" s="62">
        <v>1.0</v>
      </c>
      <c r="P561" s="62">
        <v>0.0</v>
      </c>
      <c r="Q561" s="62">
        <v>0.0</v>
      </c>
      <c r="R561" s="62">
        <v>6547.0</v>
      </c>
      <c r="S561" s="62">
        <v>8779.0</v>
      </c>
      <c r="T561" s="62">
        <v>0.851111111111111</v>
      </c>
      <c r="U561" s="62">
        <v>0.0</v>
      </c>
      <c r="V561" s="62">
        <v>0.0</v>
      </c>
      <c r="W561" s="62">
        <v>0.851111111111111</v>
      </c>
      <c r="X561" s="62">
        <v>0.851111111111111</v>
      </c>
      <c r="Y561" s="62">
        <v>0.0</v>
      </c>
      <c r="Z561" s="62">
        <v>0.0</v>
      </c>
      <c r="AA561" s="62">
        <v>0.0</v>
      </c>
      <c r="AB561" s="62">
        <v>0.0</v>
      </c>
      <c r="AC561" s="62">
        <v>0.0</v>
      </c>
      <c r="AD561" s="62">
        <v>0.212777777777777</v>
      </c>
      <c r="AE561" s="62">
        <v>0.0</v>
      </c>
      <c r="AF561" s="62">
        <v>4.0</v>
      </c>
    </row>
    <row r="562">
      <c r="A562" s="68">
        <v>46125.0</v>
      </c>
      <c r="B562" s="62" t="s">
        <v>71</v>
      </c>
      <c r="C562" s="62" t="s">
        <v>163</v>
      </c>
      <c r="D562" s="62">
        <v>0.0</v>
      </c>
      <c r="E562" s="62">
        <v>0.0</v>
      </c>
      <c r="F562" s="62">
        <v>2.0</v>
      </c>
      <c r="G562" s="62">
        <v>3.0</v>
      </c>
      <c r="H562" s="62">
        <v>3.0</v>
      </c>
      <c r="I562" s="62">
        <v>0.0</v>
      </c>
      <c r="J562" s="62">
        <v>2.0</v>
      </c>
      <c r="K562" s="62">
        <v>2.0</v>
      </c>
      <c r="L562" s="62">
        <v>0.0</v>
      </c>
      <c r="M562" s="62">
        <v>0.0</v>
      </c>
      <c r="N562" s="62">
        <v>0.0</v>
      </c>
      <c r="O562" s="62">
        <v>1.0</v>
      </c>
      <c r="P562" s="62">
        <v>0.0</v>
      </c>
      <c r="Q562" s="62">
        <v>0.0</v>
      </c>
      <c r="R562" s="62">
        <v>0.0</v>
      </c>
      <c r="S562" s="62">
        <v>0.0</v>
      </c>
      <c r="T562" s="62">
        <v>0.555277777777777</v>
      </c>
      <c r="U562" s="62">
        <v>0.555277777777777</v>
      </c>
      <c r="V562" s="62">
        <v>0.798333333333333</v>
      </c>
      <c r="W562" s="62">
        <v>0.798333333333333</v>
      </c>
      <c r="X562" s="62">
        <v>0.0</v>
      </c>
      <c r="Y562" s="62">
        <v>0.540555555555555</v>
      </c>
      <c r="Z562" s="62">
        <v>0.540555555555555</v>
      </c>
      <c r="AA562" s="62">
        <v>0.0</v>
      </c>
      <c r="AB562" s="62">
        <v>0.0</v>
      </c>
      <c r="AC562" s="62">
        <v>0.0</v>
      </c>
      <c r="AD562" s="62">
        <v>0.273888888888888</v>
      </c>
      <c r="AE562" s="62">
        <v>0.0</v>
      </c>
      <c r="AF562" s="62">
        <v>2.0</v>
      </c>
    </row>
    <row r="563">
      <c r="A563" s="68">
        <v>46125.0</v>
      </c>
      <c r="B563" s="62" t="s">
        <v>76</v>
      </c>
      <c r="C563" s="62" t="s">
        <v>165</v>
      </c>
      <c r="D563" s="62">
        <v>0.0</v>
      </c>
      <c r="E563" s="62">
        <v>0.0</v>
      </c>
      <c r="F563" s="62">
        <v>3.0</v>
      </c>
      <c r="G563" s="62">
        <v>0.0</v>
      </c>
      <c r="H563" s="62">
        <v>1.0</v>
      </c>
      <c r="I563" s="62">
        <v>1.0</v>
      </c>
      <c r="J563" s="62">
        <v>2.0</v>
      </c>
      <c r="K563" s="62">
        <v>5.0</v>
      </c>
      <c r="L563" s="62">
        <v>1.0</v>
      </c>
      <c r="M563" s="62">
        <v>3.0</v>
      </c>
      <c r="N563" s="62">
        <v>0.0</v>
      </c>
      <c r="O563" s="62">
        <v>1.0</v>
      </c>
      <c r="P563" s="62">
        <v>0.0</v>
      </c>
      <c r="Q563" s="62">
        <v>0.0</v>
      </c>
      <c r="R563" s="62">
        <v>0.0</v>
      </c>
      <c r="S563" s="62">
        <v>0.0</v>
      </c>
      <c r="T563" s="62">
        <v>1.15055555555555</v>
      </c>
      <c r="U563" s="62">
        <v>0.917222222222222</v>
      </c>
      <c r="V563" s="62">
        <v>0.0</v>
      </c>
      <c r="W563" s="62">
        <v>0.233333333333333</v>
      </c>
      <c r="X563" s="62">
        <v>0.233333333333333</v>
      </c>
      <c r="Y563" s="62">
        <v>0.525555555555555</v>
      </c>
      <c r="Z563" s="62">
        <v>1.42194444444444</v>
      </c>
      <c r="AA563" s="62">
        <v>0.329444444444444</v>
      </c>
      <c r="AB563" s="62">
        <v>0.896388888888888</v>
      </c>
      <c r="AC563" s="62">
        <v>0.0</v>
      </c>
      <c r="AD563" s="62">
        <v>0.226666666666666</v>
      </c>
      <c r="AE563" s="62">
        <v>0.0</v>
      </c>
      <c r="AF563" s="62">
        <v>4.0</v>
      </c>
    </row>
    <row r="564">
      <c r="A564" s="68">
        <v>46125.0</v>
      </c>
      <c r="B564" s="62" t="s">
        <v>104</v>
      </c>
      <c r="C564" s="62" t="s">
        <v>166</v>
      </c>
      <c r="D564" s="62">
        <v>0.0</v>
      </c>
      <c r="E564" s="62">
        <v>0.0</v>
      </c>
      <c r="F564" s="62">
        <v>0.0</v>
      </c>
      <c r="G564" s="62">
        <v>3.0</v>
      </c>
      <c r="H564" s="62">
        <v>0.0</v>
      </c>
      <c r="I564" s="62">
        <v>0.0</v>
      </c>
      <c r="J564" s="62">
        <v>5.0</v>
      </c>
      <c r="K564" s="62">
        <v>0.0</v>
      </c>
      <c r="L564" s="62">
        <v>0.0</v>
      </c>
      <c r="M564" s="62">
        <v>0.0</v>
      </c>
      <c r="N564" s="62">
        <v>0.0</v>
      </c>
      <c r="O564" s="62">
        <v>1.0</v>
      </c>
      <c r="P564" s="62">
        <v>0.0</v>
      </c>
      <c r="Q564" s="62">
        <v>0.0</v>
      </c>
      <c r="R564" s="62">
        <v>0.0</v>
      </c>
      <c r="S564" s="62">
        <v>0.0</v>
      </c>
      <c r="T564" s="62">
        <v>0.0</v>
      </c>
      <c r="U564" s="62">
        <v>0.0</v>
      </c>
      <c r="V564" s="62">
        <v>0.608611111111111</v>
      </c>
      <c r="W564" s="62">
        <v>0.0</v>
      </c>
      <c r="X564" s="62">
        <v>0.0</v>
      </c>
      <c r="Y564" s="62">
        <v>1.03361111111111</v>
      </c>
      <c r="Z564" s="62">
        <v>0.0</v>
      </c>
      <c r="AA564" s="62">
        <v>0.0</v>
      </c>
      <c r="AB564" s="62">
        <v>0.0</v>
      </c>
      <c r="AC564" s="62">
        <v>0.0</v>
      </c>
      <c r="AD564" s="62">
        <v>0.227777777777777</v>
      </c>
      <c r="AE564" s="62">
        <v>0.0</v>
      </c>
      <c r="AF564" s="62">
        <v>0.0</v>
      </c>
    </row>
    <row r="565">
      <c r="A565" s="68">
        <v>46125.0</v>
      </c>
      <c r="B565" s="62" t="s">
        <v>100</v>
      </c>
      <c r="C565" s="62" t="s">
        <v>167</v>
      </c>
      <c r="D565" s="62">
        <v>6.0</v>
      </c>
      <c r="E565" s="62">
        <v>0.0</v>
      </c>
      <c r="F565" s="62">
        <v>0.0</v>
      </c>
      <c r="G565" s="62">
        <v>0.0</v>
      </c>
      <c r="H565" s="62">
        <v>0.0</v>
      </c>
      <c r="I565" s="62">
        <v>0.0</v>
      </c>
      <c r="J565" s="62">
        <v>0.0</v>
      </c>
      <c r="K565" s="62">
        <v>0.0</v>
      </c>
      <c r="L565" s="62">
        <v>0.0</v>
      </c>
      <c r="M565" s="62">
        <v>0.0</v>
      </c>
      <c r="N565" s="62">
        <v>0.0</v>
      </c>
      <c r="O565" s="62">
        <v>0.0</v>
      </c>
      <c r="P565" s="62">
        <v>0.0</v>
      </c>
      <c r="Q565" s="62">
        <v>0.0</v>
      </c>
      <c r="R565" s="62">
        <v>13852.0</v>
      </c>
      <c r="S565" s="62">
        <v>0.0</v>
      </c>
      <c r="T565" s="62">
        <v>0.0</v>
      </c>
      <c r="U565" s="62">
        <v>0.0</v>
      </c>
      <c r="V565" s="62">
        <v>0.0</v>
      </c>
      <c r="W565" s="62">
        <v>0.0</v>
      </c>
      <c r="X565" s="62">
        <v>0.0</v>
      </c>
      <c r="Y565" s="62">
        <v>0.0</v>
      </c>
      <c r="Z565" s="62">
        <v>0.0</v>
      </c>
      <c r="AA565" s="62">
        <v>0.0</v>
      </c>
      <c r="AB565" s="62">
        <v>0.0</v>
      </c>
      <c r="AC565" s="62">
        <v>0.0</v>
      </c>
      <c r="AD565" s="62">
        <v>0.0</v>
      </c>
      <c r="AE565" s="62">
        <v>0.0</v>
      </c>
      <c r="AF565" s="62">
        <v>0.0</v>
      </c>
    </row>
    <row r="566">
      <c r="A566" s="68">
        <v>46125.0</v>
      </c>
      <c r="B566" s="62" t="s">
        <v>32</v>
      </c>
      <c r="C566" s="62" t="s">
        <v>168</v>
      </c>
      <c r="D566" s="62">
        <v>0.0</v>
      </c>
      <c r="E566" s="62">
        <v>0.0</v>
      </c>
      <c r="F566" s="62">
        <v>1.0</v>
      </c>
      <c r="G566" s="62">
        <v>0.0</v>
      </c>
      <c r="H566" s="62">
        <v>3.0</v>
      </c>
      <c r="I566" s="62">
        <v>3.0</v>
      </c>
      <c r="J566" s="62">
        <v>0.0</v>
      </c>
      <c r="K566" s="62">
        <v>0.0</v>
      </c>
      <c r="L566" s="62">
        <v>0.0</v>
      </c>
      <c r="M566" s="62">
        <v>0.0</v>
      </c>
      <c r="N566" s="62">
        <v>0.0</v>
      </c>
      <c r="O566" s="62">
        <v>1.0</v>
      </c>
      <c r="P566" s="62">
        <v>0.0</v>
      </c>
      <c r="Q566" s="62">
        <v>0.0</v>
      </c>
      <c r="R566" s="62">
        <v>0.0</v>
      </c>
      <c r="S566" s="62">
        <v>0.0</v>
      </c>
      <c r="T566" s="62">
        <v>1.82527777777777</v>
      </c>
      <c r="U566" s="62">
        <v>0.245555555555555</v>
      </c>
      <c r="V566" s="62">
        <v>0.0</v>
      </c>
      <c r="W566" s="62">
        <v>0.673333333333333</v>
      </c>
      <c r="X566" s="62">
        <v>0.673333333333333</v>
      </c>
      <c r="Y566" s="62">
        <v>0.0</v>
      </c>
      <c r="Z566" s="62">
        <v>0.0</v>
      </c>
      <c r="AA566" s="62">
        <v>0.0</v>
      </c>
      <c r="AB566" s="62">
        <v>0.0</v>
      </c>
      <c r="AC566" s="62">
        <v>0.0</v>
      </c>
      <c r="AD566" s="62">
        <v>0.197777777777777</v>
      </c>
      <c r="AE566" s="62">
        <v>0.0</v>
      </c>
      <c r="AF566" s="62">
        <v>8.0</v>
      </c>
    </row>
    <row r="567">
      <c r="A567" s="68">
        <v>46125.0</v>
      </c>
      <c r="B567" s="62" t="s">
        <v>102</v>
      </c>
      <c r="C567" s="62" t="s">
        <v>170</v>
      </c>
      <c r="D567" s="62">
        <v>4.0</v>
      </c>
      <c r="E567" s="62">
        <v>0.0</v>
      </c>
      <c r="F567" s="62">
        <v>0.0</v>
      </c>
      <c r="G567" s="62">
        <v>0.0</v>
      </c>
      <c r="H567" s="62">
        <v>0.0</v>
      </c>
      <c r="I567" s="62">
        <v>0.0</v>
      </c>
      <c r="J567" s="62">
        <v>0.0</v>
      </c>
      <c r="K567" s="62">
        <v>0.0</v>
      </c>
      <c r="L567" s="62">
        <v>0.0</v>
      </c>
      <c r="M567" s="62">
        <v>0.0</v>
      </c>
      <c r="N567" s="62">
        <v>0.0</v>
      </c>
      <c r="O567" s="62">
        <v>0.0</v>
      </c>
      <c r="P567" s="62">
        <v>0.0</v>
      </c>
      <c r="Q567" s="62">
        <v>0.0</v>
      </c>
      <c r="R567" s="62">
        <v>9975.0</v>
      </c>
      <c r="S567" s="62">
        <v>0.0</v>
      </c>
      <c r="T567" s="62">
        <v>0.0</v>
      </c>
      <c r="U567" s="62">
        <v>0.0</v>
      </c>
      <c r="V567" s="62">
        <v>0.0</v>
      </c>
      <c r="W567" s="62">
        <v>0.0</v>
      </c>
      <c r="X567" s="62">
        <v>0.0</v>
      </c>
      <c r="Y567" s="62">
        <v>0.0</v>
      </c>
      <c r="Z567" s="62">
        <v>0.0</v>
      </c>
      <c r="AA567" s="62">
        <v>0.0</v>
      </c>
      <c r="AB567" s="62">
        <v>0.0</v>
      </c>
      <c r="AC567" s="62">
        <v>0.0</v>
      </c>
      <c r="AD567" s="62">
        <v>0.0</v>
      </c>
      <c r="AE567" s="62">
        <v>0.0</v>
      </c>
      <c r="AF567" s="62">
        <v>0.0</v>
      </c>
    </row>
    <row r="568">
      <c r="A568" s="68">
        <v>46125.0</v>
      </c>
      <c r="B568" s="62" t="s">
        <v>93</v>
      </c>
      <c r="C568" s="62" t="s">
        <v>182</v>
      </c>
      <c r="D568" s="62">
        <v>0.0</v>
      </c>
      <c r="E568" s="62">
        <v>4.0</v>
      </c>
      <c r="F568" s="62">
        <v>0.0</v>
      </c>
      <c r="G568" s="62">
        <v>2.0</v>
      </c>
      <c r="H568" s="62">
        <v>2.0</v>
      </c>
      <c r="I568" s="62">
        <v>0.0</v>
      </c>
      <c r="J568" s="62">
        <v>0.0</v>
      </c>
      <c r="K568" s="62">
        <v>0.0</v>
      </c>
      <c r="L568" s="62">
        <v>0.0</v>
      </c>
      <c r="M568" s="62">
        <v>0.0</v>
      </c>
      <c r="N568" s="62">
        <v>0.0</v>
      </c>
      <c r="O568" s="62">
        <v>1.0</v>
      </c>
      <c r="P568" s="62">
        <v>0.0</v>
      </c>
      <c r="Q568" s="62">
        <v>0.0</v>
      </c>
      <c r="R568" s="62">
        <v>0.0</v>
      </c>
      <c r="S568" s="62">
        <v>8425.0</v>
      </c>
      <c r="T568" s="62">
        <v>0.0</v>
      </c>
      <c r="U568" s="62">
        <v>0.0</v>
      </c>
      <c r="V568" s="62">
        <v>0.503333333333333</v>
      </c>
      <c r="W568" s="62">
        <v>0.503333333333333</v>
      </c>
      <c r="X568" s="62">
        <v>0.0</v>
      </c>
      <c r="Y568" s="62">
        <v>0.0</v>
      </c>
      <c r="Z568" s="62">
        <v>0.0</v>
      </c>
      <c r="AA568" s="62">
        <v>0.0</v>
      </c>
      <c r="AB568" s="62">
        <v>0.0</v>
      </c>
      <c r="AC568" s="62">
        <v>0.0</v>
      </c>
      <c r="AD568" s="62">
        <v>0.278055555555555</v>
      </c>
      <c r="AE568" s="62">
        <v>0.0</v>
      </c>
      <c r="AF568" s="62">
        <v>0.0</v>
      </c>
    </row>
    <row r="569">
      <c r="A569" s="68">
        <v>46125.0</v>
      </c>
      <c r="B569" s="62" t="s">
        <v>65</v>
      </c>
      <c r="C569" s="62" t="s">
        <v>173</v>
      </c>
      <c r="D569" s="62">
        <v>2.0</v>
      </c>
      <c r="E569" s="62">
        <v>2.0</v>
      </c>
      <c r="F569" s="62">
        <v>0.0</v>
      </c>
      <c r="G569" s="62">
        <v>0.0</v>
      </c>
      <c r="H569" s="62">
        <v>3.0</v>
      </c>
      <c r="I569" s="62">
        <v>3.0</v>
      </c>
      <c r="J569" s="62">
        <v>2.0</v>
      </c>
      <c r="K569" s="62">
        <v>3.0</v>
      </c>
      <c r="L569" s="62">
        <v>4.0</v>
      </c>
      <c r="M569" s="62">
        <v>0.0</v>
      </c>
      <c r="N569" s="62">
        <v>0.0</v>
      </c>
      <c r="O569" s="62">
        <v>1.0</v>
      </c>
      <c r="P569" s="62">
        <v>0.0</v>
      </c>
      <c r="Q569" s="62">
        <v>0.0</v>
      </c>
      <c r="R569" s="62">
        <v>3982.0</v>
      </c>
      <c r="S569" s="62">
        <v>3896.0</v>
      </c>
      <c r="T569" s="62">
        <v>0.0</v>
      </c>
      <c r="U569" s="62">
        <v>0.0</v>
      </c>
      <c r="V569" s="62">
        <v>0.0</v>
      </c>
      <c r="W569" s="62">
        <v>0.725555555555555</v>
      </c>
      <c r="X569" s="62">
        <v>0.725555555555555</v>
      </c>
      <c r="Y569" s="62">
        <v>0.517222222222222</v>
      </c>
      <c r="Z569" s="62">
        <v>0.674444444444444</v>
      </c>
      <c r="AA569" s="62">
        <v>0.897222222222222</v>
      </c>
      <c r="AB569" s="62">
        <v>0.0</v>
      </c>
      <c r="AC569" s="62">
        <v>0.0</v>
      </c>
      <c r="AD569" s="62">
        <v>0.269722222222222</v>
      </c>
      <c r="AE569" s="62">
        <v>0.0</v>
      </c>
      <c r="AF569" s="62">
        <v>0.0</v>
      </c>
    </row>
    <row r="570">
      <c r="A570" s="68">
        <v>46125.0</v>
      </c>
      <c r="B570" s="62" t="s">
        <v>37</v>
      </c>
      <c r="C570" s="62" t="s">
        <v>174</v>
      </c>
      <c r="D570" s="62">
        <v>2.0</v>
      </c>
      <c r="E570" s="62">
        <v>2.0</v>
      </c>
      <c r="F570" s="62">
        <v>5.0</v>
      </c>
      <c r="G570" s="62">
        <v>2.0</v>
      </c>
      <c r="H570" s="62">
        <v>3.0</v>
      </c>
      <c r="I570" s="62">
        <v>1.0</v>
      </c>
      <c r="J570" s="62">
        <v>3.0</v>
      </c>
      <c r="K570" s="62">
        <v>0.0</v>
      </c>
      <c r="L570" s="62">
        <v>0.0</v>
      </c>
      <c r="M570" s="62">
        <v>0.0</v>
      </c>
      <c r="N570" s="62">
        <v>0.0</v>
      </c>
      <c r="O570" s="62">
        <v>1.0</v>
      </c>
      <c r="P570" s="62">
        <v>0.0</v>
      </c>
      <c r="Q570" s="62">
        <v>0.0</v>
      </c>
      <c r="R570" s="62">
        <v>4633.0</v>
      </c>
      <c r="S570" s="62">
        <v>4738.0</v>
      </c>
      <c r="T570" s="62">
        <v>1.24027777777777</v>
      </c>
      <c r="U570" s="62">
        <v>1.34472222222222</v>
      </c>
      <c r="V570" s="62">
        <v>0.571388888888889</v>
      </c>
      <c r="W570" s="62">
        <v>0.829722222222222</v>
      </c>
      <c r="X570" s="62">
        <v>0.258333333333333</v>
      </c>
      <c r="Y570" s="62">
        <v>0.841388888888889</v>
      </c>
      <c r="Z570" s="62">
        <v>0.0</v>
      </c>
      <c r="AA570" s="62">
        <v>0.0</v>
      </c>
      <c r="AB570" s="62">
        <v>0.0</v>
      </c>
      <c r="AC570" s="62">
        <v>0.0</v>
      </c>
      <c r="AD570" s="62">
        <v>0.261944444444444</v>
      </c>
      <c r="AE570" s="62">
        <v>0.0</v>
      </c>
      <c r="AF570" s="62">
        <v>5.0</v>
      </c>
    </row>
    <row r="571">
      <c r="A571" s="68">
        <v>46125.0</v>
      </c>
      <c r="B571" s="62" t="s">
        <v>91</v>
      </c>
      <c r="C571" s="62" t="s">
        <v>184</v>
      </c>
      <c r="D571" s="62">
        <v>4.0</v>
      </c>
      <c r="E571" s="62">
        <v>3.0</v>
      </c>
      <c r="F571" s="62">
        <v>0.0</v>
      </c>
      <c r="G571" s="62">
        <v>2.0</v>
      </c>
      <c r="H571" s="62">
        <v>7.0</v>
      </c>
      <c r="I571" s="62">
        <v>7.0</v>
      </c>
      <c r="J571" s="62">
        <v>5.0</v>
      </c>
      <c r="K571" s="62">
        <v>4.0</v>
      </c>
      <c r="L571" s="62">
        <v>0.0</v>
      </c>
      <c r="M571" s="62">
        <v>2.0</v>
      </c>
      <c r="N571" s="62">
        <v>0.0</v>
      </c>
      <c r="O571" s="62">
        <v>1.0</v>
      </c>
      <c r="P571" s="62">
        <v>0.0</v>
      </c>
      <c r="Q571" s="62">
        <v>0.0</v>
      </c>
      <c r="R571" s="62">
        <v>9805.0</v>
      </c>
      <c r="S571" s="62">
        <v>6969.0</v>
      </c>
      <c r="T571" s="62">
        <v>0.0</v>
      </c>
      <c r="U571" s="62">
        <v>0.0</v>
      </c>
      <c r="V571" s="62">
        <v>0.419444444444444</v>
      </c>
      <c r="W571" s="62">
        <v>1.47138888888888</v>
      </c>
      <c r="X571" s="62">
        <v>1.47138888888888</v>
      </c>
      <c r="Y571" s="62">
        <v>0.976388888888889</v>
      </c>
      <c r="Z571" s="62">
        <v>0.8</v>
      </c>
      <c r="AA571" s="62">
        <v>0.0</v>
      </c>
      <c r="AB571" s="62">
        <v>0.377777777777777</v>
      </c>
      <c r="AC571" s="62">
        <v>0.0</v>
      </c>
      <c r="AD571" s="62">
        <v>0.165555555555555</v>
      </c>
      <c r="AE571" s="62">
        <v>0.0</v>
      </c>
      <c r="AF571" s="62">
        <v>0.0</v>
      </c>
    </row>
    <row r="572">
      <c r="A572" s="68">
        <v>46125.0</v>
      </c>
      <c r="B572" s="62" t="s">
        <v>26</v>
      </c>
      <c r="C572" s="62" t="s">
        <v>178</v>
      </c>
      <c r="D572" s="62">
        <v>2.0</v>
      </c>
      <c r="E572" s="62">
        <v>5.0</v>
      </c>
      <c r="F572" s="62">
        <v>2.0</v>
      </c>
      <c r="G572" s="62">
        <v>0.0</v>
      </c>
      <c r="H572" s="62">
        <v>5.0</v>
      </c>
      <c r="I572" s="62">
        <v>5.0</v>
      </c>
      <c r="J572" s="62">
        <v>6.0</v>
      </c>
      <c r="K572" s="62">
        <v>1.0</v>
      </c>
      <c r="L572" s="62">
        <v>0.0</v>
      </c>
      <c r="M572" s="62">
        <v>6.0</v>
      </c>
      <c r="N572" s="62">
        <v>0.0</v>
      </c>
      <c r="O572" s="62">
        <v>1.0</v>
      </c>
      <c r="P572" s="62">
        <v>0.0</v>
      </c>
      <c r="Q572" s="62">
        <v>0.0</v>
      </c>
      <c r="R572" s="62">
        <v>4235.0</v>
      </c>
      <c r="S572" s="62">
        <v>11203.0</v>
      </c>
      <c r="T572" s="62">
        <v>2.10444444444444</v>
      </c>
      <c r="U572" s="62">
        <v>0.370555555555555</v>
      </c>
      <c r="V572" s="62">
        <v>0.0</v>
      </c>
      <c r="W572" s="62">
        <v>0.949444444444444</v>
      </c>
      <c r="X572" s="62">
        <v>0.949444444444444</v>
      </c>
      <c r="Y572" s="62">
        <v>1.25388888888888</v>
      </c>
      <c r="Z572" s="62">
        <v>0.197777777777777</v>
      </c>
      <c r="AA572" s="62">
        <v>0.0</v>
      </c>
      <c r="AB572" s="62">
        <v>1.27138888888888</v>
      </c>
      <c r="AC572" s="62">
        <v>0.0</v>
      </c>
      <c r="AD572" s="62">
        <v>0.191944444444444</v>
      </c>
      <c r="AE572" s="62">
        <v>0.0</v>
      </c>
      <c r="AF572" s="62">
        <v>11.0</v>
      </c>
    </row>
    <row r="573">
      <c r="A573" s="68">
        <v>46125.0</v>
      </c>
      <c r="B573" s="62" t="s">
        <v>62</v>
      </c>
      <c r="C573" s="62" t="s">
        <v>63</v>
      </c>
      <c r="D573" s="62">
        <v>0.0</v>
      </c>
      <c r="E573" s="62">
        <v>3.0</v>
      </c>
      <c r="F573" s="62">
        <v>0.0</v>
      </c>
      <c r="G573" s="62">
        <v>0.0</v>
      </c>
      <c r="H573" s="62">
        <v>4.0</v>
      </c>
      <c r="I573" s="62">
        <v>4.0</v>
      </c>
      <c r="J573" s="62">
        <v>2.0</v>
      </c>
      <c r="K573" s="62">
        <v>0.0</v>
      </c>
      <c r="L573" s="62">
        <v>0.0</v>
      </c>
      <c r="M573" s="62">
        <v>0.0</v>
      </c>
      <c r="N573" s="62">
        <v>0.0</v>
      </c>
      <c r="O573" s="62">
        <v>1.0</v>
      </c>
      <c r="P573" s="62">
        <v>0.0</v>
      </c>
      <c r="Q573" s="62">
        <v>0.0</v>
      </c>
      <c r="R573" s="62">
        <v>0.0</v>
      </c>
      <c r="S573" s="62">
        <v>6007.0</v>
      </c>
      <c r="T573" s="62">
        <v>0.574722222222222</v>
      </c>
      <c r="U573" s="62">
        <v>0.0</v>
      </c>
      <c r="V573" s="62">
        <v>0.0</v>
      </c>
      <c r="W573" s="62">
        <v>0.834722222222222</v>
      </c>
      <c r="X573" s="62">
        <v>0.834722222222222</v>
      </c>
      <c r="Y573" s="62">
        <v>0.4375</v>
      </c>
      <c r="Z573" s="62">
        <v>0.0</v>
      </c>
      <c r="AA573" s="62">
        <v>0.0</v>
      </c>
      <c r="AB573" s="62">
        <v>0.0</v>
      </c>
      <c r="AC573" s="62">
        <v>0.0</v>
      </c>
      <c r="AD573" s="62">
        <v>0.200277777777777</v>
      </c>
      <c r="AE573" s="62">
        <v>0.0</v>
      </c>
      <c r="AF573" s="62">
        <v>3.0</v>
      </c>
    </row>
    <row r="574">
      <c r="A574" s="68">
        <v>46124.0</v>
      </c>
      <c r="B574" s="62" t="s">
        <v>76</v>
      </c>
      <c r="C574" s="62" t="s">
        <v>165</v>
      </c>
      <c r="D574" s="62">
        <v>3.0</v>
      </c>
      <c r="E574" s="62">
        <v>0.0</v>
      </c>
      <c r="F574" s="62">
        <v>0.0</v>
      </c>
      <c r="G574" s="62">
        <v>0.0</v>
      </c>
      <c r="H574" s="62">
        <v>0.0</v>
      </c>
      <c r="I574" s="62">
        <v>0.0</v>
      </c>
      <c r="J574" s="62">
        <v>0.0</v>
      </c>
      <c r="K574" s="62">
        <v>0.0</v>
      </c>
      <c r="L574" s="62">
        <v>0.0</v>
      </c>
      <c r="M574" s="62">
        <v>0.0</v>
      </c>
      <c r="N574" s="62">
        <v>0.0</v>
      </c>
      <c r="O574" s="62">
        <v>1.0</v>
      </c>
      <c r="P574" s="62">
        <v>0.0</v>
      </c>
      <c r="Q574" s="62">
        <v>0.0</v>
      </c>
      <c r="R574" s="62">
        <v>8529.0</v>
      </c>
      <c r="S574" s="62">
        <v>0.0</v>
      </c>
      <c r="T574" s="62">
        <v>0.0</v>
      </c>
      <c r="U574" s="62">
        <v>0.0</v>
      </c>
      <c r="V574" s="62">
        <v>0.0</v>
      </c>
      <c r="W574" s="62">
        <v>0.0</v>
      </c>
      <c r="X574" s="62">
        <v>0.0</v>
      </c>
      <c r="Y574" s="62">
        <v>0.0</v>
      </c>
      <c r="Z574" s="62">
        <v>0.0</v>
      </c>
      <c r="AA574" s="62">
        <v>0.0</v>
      </c>
      <c r="AB574" s="62">
        <v>0.0</v>
      </c>
      <c r="AC574" s="62">
        <v>0.0</v>
      </c>
      <c r="AD574" s="62">
        <v>0.255</v>
      </c>
      <c r="AE574" s="62">
        <v>0.0</v>
      </c>
      <c r="AF574" s="62">
        <v>0.0</v>
      </c>
    </row>
    <row r="575">
      <c r="A575" s="68">
        <v>46124.0</v>
      </c>
      <c r="B575" s="62" t="s">
        <v>104</v>
      </c>
      <c r="C575" s="62" t="s">
        <v>166</v>
      </c>
      <c r="D575" s="62">
        <v>0.0</v>
      </c>
      <c r="E575" s="62">
        <v>0.0</v>
      </c>
      <c r="F575" s="62">
        <v>0.0</v>
      </c>
      <c r="G575" s="62">
        <v>2.0</v>
      </c>
      <c r="H575" s="62">
        <v>0.0</v>
      </c>
      <c r="I575" s="62">
        <v>0.0</v>
      </c>
      <c r="J575" s="62">
        <v>0.0</v>
      </c>
      <c r="K575" s="62">
        <v>0.0</v>
      </c>
      <c r="L575" s="62">
        <v>0.0</v>
      </c>
      <c r="M575" s="62">
        <v>0.0</v>
      </c>
      <c r="N575" s="62">
        <v>0.0</v>
      </c>
      <c r="O575" s="62">
        <v>1.0</v>
      </c>
      <c r="P575" s="62">
        <v>0.0</v>
      </c>
      <c r="Q575" s="62">
        <v>0.0</v>
      </c>
      <c r="R575" s="62">
        <v>0.0</v>
      </c>
      <c r="S575" s="62">
        <v>0.0</v>
      </c>
      <c r="T575" s="62">
        <v>0.0</v>
      </c>
      <c r="U575" s="62">
        <v>0.0</v>
      </c>
      <c r="V575" s="62">
        <v>0.443888888888888</v>
      </c>
      <c r="W575" s="62">
        <v>0.0</v>
      </c>
      <c r="X575" s="62">
        <v>0.0</v>
      </c>
      <c r="Y575" s="62">
        <v>0.0</v>
      </c>
      <c r="Z575" s="62">
        <v>0.0</v>
      </c>
      <c r="AA575" s="62">
        <v>0.0</v>
      </c>
      <c r="AB575" s="62">
        <v>0.0</v>
      </c>
      <c r="AC575" s="62">
        <v>0.0</v>
      </c>
      <c r="AD575" s="62">
        <v>0.228055555555555</v>
      </c>
      <c r="AE575" s="62">
        <v>0.0</v>
      </c>
      <c r="AF575" s="62">
        <v>0.0</v>
      </c>
    </row>
    <row r="576">
      <c r="A576" s="68">
        <v>46124.0</v>
      </c>
      <c r="B576" s="62" t="s">
        <v>32</v>
      </c>
      <c r="C576" s="62" t="s">
        <v>168</v>
      </c>
      <c r="D576" s="62">
        <v>0.0</v>
      </c>
      <c r="E576" s="62">
        <v>5.0</v>
      </c>
      <c r="F576" s="62">
        <v>0.0</v>
      </c>
      <c r="G576" s="62">
        <v>0.0</v>
      </c>
      <c r="H576" s="62">
        <v>0.0</v>
      </c>
      <c r="I576" s="62">
        <v>0.0</v>
      </c>
      <c r="J576" s="62">
        <v>0.0</v>
      </c>
      <c r="K576" s="62">
        <v>0.0</v>
      </c>
      <c r="L576" s="62">
        <v>0.0</v>
      </c>
      <c r="M576" s="62">
        <v>0.0</v>
      </c>
      <c r="N576" s="62">
        <v>0.0</v>
      </c>
      <c r="O576" s="62">
        <v>1.0</v>
      </c>
      <c r="P576" s="62">
        <v>0.0</v>
      </c>
      <c r="Q576" s="62">
        <v>0.0</v>
      </c>
      <c r="R576" s="62">
        <v>0.0</v>
      </c>
      <c r="S576" s="62">
        <v>11911.0</v>
      </c>
      <c r="T576" s="62">
        <v>0.0</v>
      </c>
      <c r="U576" s="62">
        <v>0.0</v>
      </c>
      <c r="V576" s="62">
        <v>0.0</v>
      </c>
      <c r="W576" s="62">
        <v>0.0</v>
      </c>
      <c r="X576" s="62">
        <v>0.0</v>
      </c>
      <c r="Y576" s="62">
        <v>0.0</v>
      </c>
      <c r="Z576" s="62">
        <v>0.0</v>
      </c>
      <c r="AA576" s="62">
        <v>0.0</v>
      </c>
      <c r="AB576" s="62">
        <v>0.0</v>
      </c>
      <c r="AC576" s="62">
        <v>0.0</v>
      </c>
      <c r="AD576" s="62">
        <v>0.206111111111111</v>
      </c>
      <c r="AE576" s="62">
        <v>0.0</v>
      </c>
      <c r="AF576" s="62">
        <v>0.0</v>
      </c>
    </row>
    <row r="577">
      <c r="A577" s="68">
        <v>46124.0</v>
      </c>
      <c r="B577" s="62" t="s">
        <v>93</v>
      </c>
      <c r="C577" s="62" t="s">
        <v>182</v>
      </c>
      <c r="D577" s="62">
        <v>0.0</v>
      </c>
      <c r="E577" s="62">
        <v>2.0</v>
      </c>
      <c r="F577" s="62">
        <v>0.0</v>
      </c>
      <c r="G577" s="62">
        <v>0.0</v>
      </c>
      <c r="H577" s="62">
        <v>0.0</v>
      </c>
      <c r="I577" s="62">
        <v>0.0</v>
      </c>
      <c r="J577" s="62">
        <v>0.0</v>
      </c>
      <c r="K577" s="62">
        <v>0.0</v>
      </c>
      <c r="L577" s="62">
        <v>0.0</v>
      </c>
      <c r="M577" s="62">
        <v>0.0</v>
      </c>
      <c r="N577" s="62">
        <v>0.0</v>
      </c>
      <c r="O577" s="62">
        <v>1.0</v>
      </c>
      <c r="P577" s="62">
        <v>0.0</v>
      </c>
      <c r="Q577" s="62">
        <v>0.0</v>
      </c>
      <c r="R577" s="62">
        <v>0.0</v>
      </c>
      <c r="S577" s="62">
        <v>4290.0</v>
      </c>
      <c r="T577" s="62">
        <v>0.0</v>
      </c>
      <c r="U577" s="62">
        <v>0.0</v>
      </c>
      <c r="V577" s="62">
        <v>0.0</v>
      </c>
      <c r="W577" s="62">
        <v>0.0</v>
      </c>
      <c r="X577" s="62">
        <v>0.0</v>
      </c>
      <c r="Y577" s="62">
        <v>0.0</v>
      </c>
      <c r="Z577" s="62">
        <v>0.0</v>
      </c>
      <c r="AA577" s="62">
        <v>0.0</v>
      </c>
      <c r="AB577" s="62">
        <v>0.0</v>
      </c>
      <c r="AC577" s="62">
        <v>0.0</v>
      </c>
      <c r="AD577" s="62">
        <v>0.291666666666666</v>
      </c>
      <c r="AE577" s="62">
        <v>0.0</v>
      </c>
      <c r="AF577" s="62">
        <v>0.0</v>
      </c>
    </row>
    <row r="578">
      <c r="A578" s="68">
        <v>46124.0</v>
      </c>
      <c r="B578" s="62" t="s">
        <v>65</v>
      </c>
      <c r="C578" s="62" t="s">
        <v>173</v>
      </c>
      <c r="D578" s="62">
        <v>0.0</v>
      </c>
      <c r="E578" s="62">
        <v>0.0</v>
      </c>
      <c r="F578" s="62">
        <v>0.0</v>
      </c>
      <c r="G578" s="62">
        <v>0.0</v>
      </c>
      <c r="H578" s="62">
        <v>0.0</v>
      </c>
      <c r="I578" s="62">
        <v>0.0</v>
      </c>
      <c r="J578" s="62">
        <v>0.0</v>
      </c>
      <c r="K578" s="62">
        <v>0.0</v>
      </c>
      <c r="L578" s="62">
        <v>0.0</v>
      </c>
      <c r="M578" s="62">
        <v>0.0</v>
      </c>
      <c r="N578" s="62">
        <v>1.0</v>
      </c>
      <c r="O578" s="62">
        <v>1.0</v>
      </c>
      <c r="P578" s="62">
        <v>1.0</v>
      </c>
      <c r="Q578" s="62">
        <v>0.0</v>
      </c>
      <c r="R578" s="62">
        <v>0.0</v>
      </c>
      <c r="S578" s="62">
        <v>0.0</v>
      </c>
      <c r="T578" s="62">
        <v>0.725555555555555</v>
      </c>
      <c r="U578" s="62">
        <v>0.0</v>
      </c>
      <c r="V578" s="62">
        <v>0.0</v>
      </c>
      <c r="W578" s="62">
        <v>0.0</v>
      </c>
      <c r="X578" s="62">
        <v>0.0</v>
      </c>
      <c r="Y578" s="62">
        <v>0.0</v>
      </c>
      <c r="Z578" s="62">
        <v>0.0</v>
      </c>
      <c r="AA578" s="62">
        <v>0.0</v>
      </c>
      <c r="AB578" s="62">
        <v>0.0</v>
      </c>
      <c r="AC578" s="62">
        <v>0.2175</v>
      </c>
      <c r="AD578" s="62">
        <v>0.314444444444444</v>
      </c>
      <c r="AE578" s="62">
        <v>0.2175</v>
      </c>
      <c r="AF578" s="62">
        <v>3.0</v>
      </c>
    </row>
    <row r="579">
      <c r="A579" s="68">
        <v>46124.0</v>
      </c>
      <c r="B579" s="62" t="s">
        <v>37</v>
      </c>
      <c r="C579" s="62" t="s">
        <v>174</v>
      </c>
      <c r="D579" s="62">
        <v>0.0</v>
      </c>
      <c r="E579" s="62">
        <v>0.0</v>
      </c>
      <c r="F579" s="62">
        <v>0.0</v>
      </c>
      <c r="G579" s="62">
        <v>0.0</v>
      </c>
      <c r="H579" s="62">
        <v>0.0</v>
      </c>
      <c r="I579" s="62">
        <v>0.0</v>
      </c>
      <c r="J579" s="62">
        <v>0.0</v>
      </c>
      <c r="K579" s="62">
        <v>0.0</v>
      </c>
      <c r="L579" s="62">
        <v>0.0</v>
      </c>
      <c r="M579" s="62">
        <v>0.0</v>
      </c>
      <c r="N579" s="62">
        <v>3.0</v>
      </c>
      <c r="O579" s="62">
        <v>1.0</v>
      </c>
      <c r="P579" s="62">
        <v>3.0</v>
      </c>
      <c r="Q579" s="62">
        <v>0.0</v>
      </c>
      <c r="R579" s="62">
        <v>0.0</v>
      </c>
      <c r="S579" s="62">
        <v>0.0</v>
      </c>
      <c r="T579" s="62">
        <v>0.0</v>
      </c>
      <c r="U579" s="62">
        <v>0.0</v>
      </c>
      <c r="V579" s="62">
        <v>0.0</v>
      </c>
      <c r="W579" s="62">
        <v>0.0</v>
      </c>
      <c r="X579" s="62">
        <v>0.0</v>
      </c>
      <c r="Y579" s="62">
        <v>0.0</v>
      </c>
      <c r="Z579" s="62">
        <v>0.0</v>
      </c>
      <c r="AA579" s="62">
        <v>0.0</v>
      </c>
      <c r="AB579" s="62">
        <v>0.0</v>
      </c>
      <c r="AC579" s="62">
        <v>0.858611111111111</v>
      </c>
      <c r="AD579" s="62">
        <v>0.233055555555555</v>
      </c>
      <c r="AE579" s="62">
        <v>0.858611111111111</v>
      </c>
      <c r="AF579" s="62">
        <v>0.0</v>
      </c>
    </row>
    <row r="580">
      <c r="A580" s="68">
        <v>46124.0</v>
      </c>
      <c r="B580" s="62" t="s">
        <v>56</v>
      </c>
      <c r="C580" s="62" t="s">
        <v>176</v>
      </c>
      <c r="D580" s="62">
        <v>1.0</v>
      </c>
      <c r="E580" s="62">
        <v>0.0</v>
      </c>
      <c r="F580" s="62">
        <v>0.0</v>
      </c>
      <c r="G580" s="62">
        <v>0.0</v>
      </c>
      <c r="H580" s="62">
        <v>0.0</v>
      </c>
      <c r="I580" s="62">
        <v>0.0</v>
      </c>
      <c r="J580" s="62">
        <v>0.0</v>
      </c>
      <c r="K580" s="62">
        <v>0.0</v>
      </c>
      <c r="L580" s="62">
        <v>0.0</v>
      </c>
      <c r="M580" s="62">
        <v>0.0</v>
      </c>
      <c r="N580" s="62">
        <v>0.0</v>
      </c>
      <c r="O580" s="62">
        <v>0.0</v>
      </c>
      <c r="P580" s="62">
        <v>0.0</v>
      </c>
      <c r="Q580" s="62">
        <v>0.0</v>
      </c>
      <c r="R580" s="62">
        <v>2400.0</v>
      </c>
      <c r="S580" s="62">
        <v>0.0</v>
      </c>
      <c r="T580" s="62">
        <v>0.0</v>
      </c>
      <c r="U580" s="62">
        <v>0.0</v>
      </c>
      <c r="V580" s="62">
        <v>0.0</v>
      </c>
      <c r="W580" s="62">
        <v>0.0</v>
      </c>
      <c r="X580" s="62">
        <v>0.0</v>
      </c>
      <c r="Y580" s="62">
        <v>0.0</v>
      </c>
      <c r="Z580" s="62">
        <v>0.0</v>
      </c>
      <c r="AA580" s="62">
        <v>0.0</v>
      </c>
      <c r="AB580" s="62">
        <v>0.0</v>
      </c>
      <c r="AC580" s="62">
        <v>0.0</v>
      </c>
      <c r="AD580" s="62">
        <v>0.0</v>
      </c>
      <c r="AE580" s="62">
        <v>0.0</v>
      </c>
      <c r="AF580" s="62">
        <v>0.0</v>
      </c>
    </row>
    <row r="581">
      <c r="A581" s="68">
        <v>46124.0</v>
      </c>
      <c r="B581" s="62" t="s">
        <v>91</v>
      </c>
      <c r="C581" s="62" t="s">
        <v>184</v>
      </c>
      <c r="D581" s="62">
        <v>0.0</v>
      </c>
      <c r="E581" s="62">
        <v>0.0</v>
      </c>
      <c r="F581" s="62">
        <v>0.0</v>
      </c>
      <c r="G581" s="62">
        <v>0.0</v>
      </c>
      <c r="H581" s="62">
        <v>0.0</v>
      </c>
      <c r="I581" s="62">
        <v>0.0</v>
      </c>
      <c r="J581" s="62">
        <v>3.0</v>
      </c>
      <c r="K581" s="62">
        <v>0.0</v>
      </c>
      <c r="L581" s="62">
        <v>0.0</v>
      </c>
      <c r="M581" s="62">
        <v>0.0</v>
      </c>
      <c r="N581" s="62">
        <v>0.0</v>
      </c>
      <c r="O581" s="62">
        <v>1.0</v>
      </c>
      <c r="P581" s="62">
        <v>0.0</v>
      </c>
      <c r="Q581" s="62">
        <v>0.0</v>
      </c>
      <c r="R581" s="62">
        <v>0.0</v>
      </c>
      <c r="S581" s="62">
        <v>0.0</v>
      </c>
      <c r="T581" s="62">
        <v>0.0</v>
      </c>
      <c r="U581" s="62">
        <v>0.0</v>
      </c>
      <c r="V581" s="62">
        <v>0.0</v>
      </c>
      <c r="W581" s="62">
        <v>0.0</v>
      </c>
      <c r="X581" s="62">
        <v>0.0</v>
      </c>
      <c r="Y581" s="62">
        <v>0.571666666666666</v>
      </c>
      <c r="Z581" s="62">
        <v>0.0</v>
      </c>
      <c r="AA581" s="62">
        <v>0.0</v>
      </c>
      <c r="AB581" s="62">
        <v>0.0</v>
      </c>
      <c r="AC581" s="62">
        <v>0.0</v>
      </c>
      <c r="AD581" s="62">
        <v>0.152222222222222</v>
      </c>
      <c r="AE581" s="62">
        <v>0.0</v>
      </c>
      <c r="AF581" s="62">
        <v>0.0</v>
      </c>
    </row>
    <row r="582">
      <c r="A582" s="68">
        <v>46123.0</v>
      </c>
      <c r="B582" s="62" t="s">
        <v>106</v>
      </c>
      <c r="C582" s="62" t="s">
        <v>107</v>
      </c>
      <c r="D582" s="62">
        <v>0.0</v>
      </c>
      <c r="E582" s="62">
        <v>0.0</v>
      </c>
      <c r="F582" s="62">
        <v>0.0</v>
      </c>
      <c r="G582" s="62">
        <v>0.0</v>
      </c>
      <c r="H582" s="62">
        <v>0.0</v>
      </c>
      <c r="I582" s="62">
        <v>0.0</v>
      </c>
      <c r="J582" s="62">
        <v>0.0</v>
      </c>
      <c r="K582" s="62">
        <v>0.0</v>
      </c>
      <c r="L582" s="62">
        <v>0.0</v>
      </c>
      <c r="M582" s="62">
        <v>0.0</v>
      </c>
      <c r="N582" s="62">
        <v>0.0</v>
      </c>
      <c r="O582" s="62">
        <v>0.0</v>
      </c>
      <c r="P582" s="62">
        <v>0.0</v>
      </c>
      <c r="Q582" s="62">
        <v>0.0</v>
      </c>
      <c r="R582" s="62">
        <v>0.0</v>
      </c>
      <c r="S582" s="62">
        <v>0.0</v>
      </c>
      <c r="T582" s="62">
        <v>0.511944444444444</v>
      </c>
      <c r="U582" s="62">
        <v>0.0</v>
      </c>
      <c r="V582" s="62">
        <v>0.0</v>
      </c>
      <c r="W582" s="62">
        <v>0.0</v>
      </c>
      <c r="X582" s="62">
        <v>0.0</v>
      </c>
      <c r="Y582" s="62">
        <v>0.0</v>
      </c>
      <c r="Z582" s="62">
        <v>0.0</v>
      </c>
      <c r="AA582" s="62">
        <v>0.0</v>
      </c>
      <c r="AB582" s="62">
        <v>0.0</v>
      </c>
      <c r="AC582" s="62">
        <v>0.0</v>
      </c>
      <c r="AD582" s="62">
        <v>0.0</v>
      </c>
      <c r="AE582" s="62">
        <v>0.0</v>
      </c>
      <c r="AF582" s="62">
        <v>4.0</v>
      </c>
    </row>
    <row r="583">
      <c r="A583" s="68">
        <v>46123.0</v>
      </c>
      <c r="B583" s="62" t="s">
        <v>76</v>
      </c>
      <c r="C583" s="62" t="s">
        <v>165</v>
      </c>
      <c r="D583" s="62">
        <v>0.0</v>
      </c>
      <c r="E583" s="62">
        <v>1.0</v>
      </c>
      <c r="F583" s="62">
        <v>0.0</v>
      </c>
      <c r="G583" s="62">
        <v>1.0</v>
      </c>
      <c r="H583" s="62">
        <v>1.0</v>
      </c>
      <c r="I583" s="62">
        <v>0.0</v>
      </c>
      <c r="J583" s="62">
        <v>2.0</v>
      </c>
      <c r="K583" s="62">
        <v>0.0</v>
      </c>
      <c r="L583" s="62">
        <v>0.0</v>
      </c>
      <c r="M583" s="62">
        <v>0.0</v>
      </c>
      <c r="N583" s="62">
        <v>0.0</v>
      </c>
      <c r="O583" s="62">
        <v>1.0</v>
      </c>
      <c r="P583" s="62">
        <v>0.0</v>
      </c>
      <c r="Q583" s="62">
        <v>0.0</v>
      </c>
      <c r="R583" s="62">
        <v>0.0</v>
      </c>
      <c r="S583" s="62">
        <v>3273.0</v>
      </c>
      <c r="T583" s="62">
        <v>0.0</v>
      </c>
      <c r="U583" s="62">
        <v>0.0</v>
      </c>
      <c r="V583" s="62">
        <v>0.2775</v>
      </c>
      <c r="W583" s="62">
        <v>0.2775</v>
      </c>
      <c r="X583" s="62">
        <v>0.0</v>
      </c>
      <c r="Y583" s="62">
        <v>0.566944444444444</v>
      </c>
      <c r="Z583" s="62">
        <v>0.0</v>
      </c>
      <c r="AA583" s="62">
        <v>0.0</v>
      </c>
      <c r="AB583" s="62">
        <v>0.0</v>
      </c>
      <c r="AC583" s="62">
        <v>0.0</v>
      </c>
      <c r="AD583" s="62">
        <v>0.247222222222222</v>
      </c>
      <c r="AE583" s="62">
        <v>0.0</v>
      </c>
      <c r="AF583" s="62">
        <v>0.0</v>
      </c>
    </row>
    <row r="584">
      <c r="A584" s="68">
        <v>46123.0</v>
      </c>
      <c r="B584" s="62" t="s">
        <v>104</v>
      </c>
      <c r="C584" s="62" t="s">
        <v>166</v>
      </c>
      <c r="D584" s="62">
        <v>0.0</v>
      </c>
      <c r="E584" s="62">
        <v>0.0</v>
      </c>
      <c r="F584" s="62">
        <v>0.0</v>
      </c>
      <c r="G584" s="62">
        <v>1.0</v>
      </c>
      <c r="H584" s="62">
        <v>0.0</v>
      </c>
      <c r="I584" s="62">
        <v>0.0</v>
      </c>
      <c r="J584" s="62">
        <v>0.0</v>
      </c>
      <c r="K584" s="62">
        <v>0.0</v>
      </c>
      <c r="L584" s="62">
        <v>0.0</v>
      </c>
      <c r="M584" s="62">
        <v>2.0</v>
      </c>
      <c r="N584" s="62">
        <v>1.0</v>
      </c>
      <c r="O584" s="62">
        <v>1.0</v>
      </c>
      <c r="P584" s="62">
        <v>1.0</v>
      </c>
      <c r="Q584" s="62">
        <v>0.0</v>
      </c>
      <c r="R584" s="62">
        <v>0.0</v>
      </c>
      <c r="S584" s="62">
        <v>0.0</v>
      </c>
      <c r="T584" s="62">
        <v>0.0</v>
      </c>
      <c r="U584" s="62">
        <v>0.0</v>
      </c>
      <c r="V584" s="62">
        <v>0.191666666666666</v>
      </c>
      <c r="W584" s="62">
        <v>0.0</v>
      </c>
      <c r="X584" s="62">
        <v>0.0</v>
      </c>
      <c r="Y584" s="62">
        <v>0.0</v>
      </c>
      <c r="Z584" s="62">
        <v>0.0</v>
      </c>
      <c r="AA584" s="62">
        <v>0.0</v>
      </c>
      <c r="AB584" s="62">
        <v>0.381111111111111</v>
      </c>
      <c r="AC584" s="62">
        <v>0.194444444444444</v>
      </c>
      <c r="AD584" s="62">
        <v>0.218888888888888</v>
      </c>
      <c r="AE584" s="62">
        <v>0.194444444444444</v>
      </c>
      <c r="AF584" s="62">
        <v>0.0</v>
      </c>
    </row>
    <row r="585">
      <c r="A585" s="68">
        <v>46123.0</v>
      </c>
      <c r="B585" s="62" t="s">
        <v>65</v>
      </c>
      <c r="C585" s="62" t="s">
        <v>173</v>
      </c>
      <c r="D585" s="62">
        <v>0.0</v>
      </c>
      <c r="E585" s="62">
        <v>0.0</v>
      </c>
      <c r="F585" s="62">
        <v>0.0</v>
      </c>
      <c r="G585" s="62">
        <v>0.0</v>
      </c>
      <c r="H585" s="62">
        <v>0.0</v>
      </c>
      <c r="I585" s="62">
        <v>0.0</v>
      </c>
      <c r="J585" s="62">
        <v>3.0</v>
      </c>
      <c r="K585" s="62">
        <v>1.0</v>
      </c>
      <c r="L585" s="62">
        <v>0.0</v>
      </c>
      <c r="M585" s="62">
        <v>1.0</v>
      </c>
      <c r="N585" s="62">
        <v>0.0</v>
      </c>
      <c r="O585" s="62">
        <v>1.0</v>
      </c>
      <c r="P585" s="62">
        <v>0.0</v>
      </c>
      <c r="Q585" s="62">
        <v>0.0</v>
      </c>
      <c r="R585" s="62">
        <v>0.0</v>
      </c>
      <c r="S585" s="62">
        <v>0.0</v>
      </c>
      <c r="T585" s="62">
        <v>0.0</v>
      </c>
      <c r="U585" s="62">
        <v>0.0</v>
      </c>
      <c r="V585" s="62">
        <v>0.0</v>
      </c>
      <c r="W585" s="62">
        <v>0.0</v>
      </c>
      <c r="X585" s="62">
        <v>0.0</v>
      </c>
      <c r="Y585" s="62">
        <v>0.674444444444444</v>
      </c>
      <c r="Z585" s="62">
        <v>0.223055555555555</v>
      </c>
      <c r="AA585" s="62">
        <v>0.0</v>
      </c>
      <c r="AB585" s="62">
        <v>0.2175</v>
      </c>
      <c r="AC585" s="62">
        <v>0.0</v>
      </c>
      <c r="AD585" s="62">
        <v>0.272777777777777</v>
      </c>
      <c r="AE585" s="62">
        <v>0.0</v>
      </c>
      <c r="AF585" s="62">
        <v>0.0</v>
      </c>
    </row>
    <row r="586">
      <c r="A586" s="68">
        <v>46123.0</v>
      </c>
      <c r="B586" s="62" t="s">
        <v>37</v>
      </c>
      <c r="C586" s="62" t="s">
        <v>174</v>
      </c>
      <c r="D586" s="62">
        <v>0.0</v>
      </c>
      <c r="E586" s="62">
        <v>0.0</v>
      </c>
      <c r="F586" s="62">
        <v>0.0</v>
      </c>
      <c r="G586" s="62">
        <v>0.0</v>
      </c>
      <c r="H586" s="62">
        <v>0.0</v>
      </c>
      <c r="I586" s="62">
        <v>0.0</v>
      </c>
      <c r="J586" s="62">
        <v>0.0</v>
      </c>
      <c r="K586" s="62">
        <v>0.0</v>
      </c>
      <c r="L586" s="62">
        <v>0.0</v>
      </c>
      <c r="M586" s="62">
        <v>0.0</v>
      </c>
      <c r="N586" s="62">
        <v>0.0</v>
      </c>
      <c r="O586" s="62">
        <v>1.0</v>
      </c>
      <c r="P586" s="62">
        <v>0.0</v>
      </c>
      <c r="Q586" s="62">
        <v>0.0</v>
      </c>
      <c r="R586" s="62">
        <v>0.0</v>
      </c>
      <c r="S586" s="62">
        <v>0.0</v>
      </c>
      <c r="T586" s="62">
        <v>0.813888888888889</v>
      </c>
      <c r="U586" s="62">
        <v>0.0</v>
      </c>
      <c r="V586" s="62">
        <v>0.0</v>
      </c>
      <c r="W586" s="62">
        <v>0.0</v>
      </c>
      <c r="X586" s="62">
        <v>0.0</v>
      </c>
      <c r="Y586" s="62">
        <v>0.0</v>
      </c>
      <c r="Z586" s="62">
        <v>0.0</v>
      </c>
      <c r="AA586" s="62">
        <v>0.0</v>
      </c>
      <c r="AB586" s="62">
        <v>0.0</v>
      </c>
      <c r="AC586" s="62">
        <v>0.0</v>
      </c>
      <c r="AD586" s="62">
        <v>0.290277777777777</v>
      </c>
      <c r="AE586" s="62">
        <v>0.0</v>
      </c>
      <c r="AF586" s="62">
        <v>3.0</v>
      </c>
    </row>
    <row r="587">
      <c r="A587" s="68">
        <v>46123.0</v>
      </c>
      <c r="B587" s="62" t="s">
        <v>91</v>
      </c>
      <c r="C587" s="62" t="s">
        <v>184</v>
      </c>
      <c r="D587" s="62">
        <v>0.0</v>
      </c>
      <c r="E587" s="62">
        <v>0.0</v>
      </c>
      <c r="F587" s="62">
        <v>0.0</v>
      </c>
      <c r="G587" s="62">
        <v>0.0</v>
      </c>
      <c r="H587" s="62">
        <v>0.0</v>
      </c>
      <c r="I587" s="62">
        <v>0.0</v>
      </c>
      <c r="J587" s="62">
        <v>0.0</v>
      </c>
      <c r="K587" s="62">
        <v>0.0</v>
      </c>
      <c r="L587" s="62">
        <v>0.0</v>
      </c>
      <c r="M587" s="62">
        <v>1.0</v>
      </c>
      <c r="N587" s="62">
        <v>0.0</v>
      </c>
      <c r="O587" s="62">
        <v>1.0</v>
      </c>
      <c r="P587" s="62">
        <v>0.0</v>
      </c>
      <c r="Q587" s="62">
        <v>0.0</v>
      </c>
      <c r="R587" s="62">
        <v>0.0</v>
      </c>
      <c r="S587" s="62">
        <v>0.0</v>
      </c>
      <c r="T587" s="62">
        <v>1.47138888888888</v>
      </c>
      <c r="U587" s="62">
        <v>0.0</v>
      </c>
      <c r="V587" s="62">
        <v>0.0</v>
      </c>
      <c r="W587" s="62">
        <v>0.0</v>
      </c>
      <c r="X587" s="62">
        <v>0.0</v>
      </c>
      <c r="Y587" s="62">
        <v>0.0</v>
      </c>
      <c r="Z587" s="62">
        <v>0.0</v>
      </c>
      <c r="AA587" s="62">
        <v>0.0</v>
      </c>
      <c r="AB587" s="62">
        <v>0.22</v>
      </c>
      <c r="AC587" s="62">
        <v>0.0</v>
      </c>
      <c r="AD587" s="62">
        <v>0.146111111111111</v>
      </c>
      <c r="AE587" s="62">
        <v>0.0</v>
      </c>
      <c r="AF587" s="62">
        <v>7.0</v>
      </c>
    </row>
    <row r="588">
      <c r="A588" s="68">
        <v>46123.0</v>
      </c>
      <c r="B588" s="62" t="s">
        <v>62</v>
      </c>
      <c r="C588" s="62" t="s">
        <v>63</v>
      </c>
      <c r="D588" s="62">
        <v>0.0</v>
      </c>
      <c r="E588" s="62">
        <v>0.0</v>
      </c>
      <c r="F588" s="62">
        <v>0.0</v>
      </c>
      <c r="G588" s="62">
        <v>0.0</v>
      </c>
      <c r="H588" s="62">
        <v>0.0</v>
      </c>
      <c r="I588" s="62">
        <v>0.0</v>
      </c>
      <c r="J588" s="62">
        <v>0.0</v>
      </c>
      <c r="K588" s="62">
        <v>0.0</v>
      </c>
      <c r="L588" s="62">
        <v>0.0</v>
      </c>
      <c r="M588" s="62">
        <v>0.0</v>
      </c>
      <c r="N588" s="62">
        <v>4.0</v>
      </c>
      <c r="O588" s="62">
        <v>1.0</v>
      </c>
      <c r="P588" s="62">
        <v>4.0</v>
      </c>
      <c r="Q588" s="62">
        <v>0.0</v>
      </c>
      <c r="R588" s="62">
        <v>0.0</v>
      </c>
      <c r="S588" s="62">
        <v>0.0</v>
      </c>
      <c r="T588" s="62">
        <v>0.0</v>
      </c>
      <c r="U588" s="62">
        <v>0.0</v>
      </c>
      <c r="V588" s="62">
        <v>0.0</v>
      </c>
      <c r="W588" s="62">
        <v>0.0</v>
      </c>
      <c r="X588" s="62">
        <v>0.0</v>
      </c>
      <c r="Y588" s="62">
        <v>0.0</v>
      </c>
      <c r="Z588" s="62">
        <v>0.0</v>
      </c>
      <c r="AA588" s="62">
        <v>0.0</v>
      </c>
      <c r="AB588" s="62">
        <v>0.0</v>
      </c>
      <c r="AC588" s="62">
        <v>0.859722222222222</v>
      </c>
      <c r="AD588" s="62">
        <v>0.200833333333333</v>
      </c>
      <c r="AE588" s="62">
        <v>0.859722222222222</v>
      </c>
      <c r="AF588" s="62">
        <v>0.0</v>
      </c>
    </row>
    <row r="589">
      <c r="A589" s="68">
        <v>46122.0</v>
      </c>
      <c r="B589" s="62" t="s">
        <v>106</v>
      </c>
      <c r="C589" s="62" t="s">
        <v>107</v>
      </c>
      <c r="D589" s="62">
        <v>8.0</v>
      </c>
      <c r="E589" s="62">
        <v>8.0</v>
      </c>
      <c r="F589" s="62">
        <v>0.0</v>
      </c>
      <c r="G589" s="62">
        <v>0.0</v>
      </c>
      <c r="H589" s="62">
        <v>0.0</v>
      </c>
      <c r="I589" s="62">
        <v>0.0</v>
      </c>
      <c r="J589" s="62">
        <v>0.0</v>
      </c>
      <c r="K589" s="62">
        <v>0.0</v>
      </c>
      <c r="L589" s="62">
        <v>0.0</v>
      </c>
      <c r="M589" s="62">
        <v>0.0</v>
      </c>
      <c r="N589" s="62">
        <v>0.0</v>
      </c>
      <c r="O589" s="62">
        <v>0.0</v>
      </c>
      <c r="P589" s="62">
        <v>0.0</v>
      </c>
      <c r="Q589" s="62">
        <v>0.0</v>
      </c>
      <c r="R589" s="62">
        <v>10921.0</v>
      </c>
      <c r="S589" s="62">
        <v>10921.0</v>
      </c>
      <c r="T589" s="62">
        <v>0.642777777777777</v>
      </c>
      <c r="U589" s="62">
        <v>0.0</v>
      </c>
      <c r="V589" s="62">
        <v>0.0</v>
      </c>
      <c r="W589" s="62">
        <v>0.0</v>
      </c>
      <c r="X589" s="62">
        <v>0.0</v>
      </c>
      <c r="Y589" s="62">
        <v>0.0</v>
      </c>
      <c r="Z589" s="62">
        <v>0.0</v>
      </c>
      <c r="AA589" s="62">
        <v>0.0</v>
      </c>
      <c r="AB589" s="62">
        <v>0.0</v>
      </c>
      <c r="AC589" s="62">
        <v>0.0</v>
      </c>
      <c r="AD589" s="62">
        <v>0.0</v>
      </c>
      <c r="AE589" s="62">
        <v>0.0</v>
      </c>
      <c r="AF589" s="62">
        <v>4.0</v>
      </c>
    </row>
    <row r="590">
      <c r="A590" s="68">
        <v>46122.0</v>
      </c>
      <c r="B590" s="62" t="s">
        <v>98</v>
      </c>
      <c r="C590" s="62" t="s">
        <v>183</v>
      </c>
      <c r="D590" s="62">
        <v>4.0</v>
      </c>
      <c r="E590" s="62">
        <v>2.0</v>
      </c>
      <c r="F590" s="62">
        <v>1.0</v>
      </c>
      <c r="G590" s="62">
        <v>3.0</v>
      </c>
      <c r="H590" s="62">
        <v>5.0</v>
      </c>
      <c r="I590" s="62">
        <v>2.0</v>
      </c>
      <c r="J590" s="62">
        <v>5.0</v>
      </c>
      <c r="K590" s="62">
        <v>0.0</v>
      </c>
      <c r="L590" s="62">
        <v>0.0</v>
      </c>
      <c r="M590" s="62">
        <v>1.0</v>
      </c>
      <c r="N590" s="62">
        <v>21.0</v>
      </c>
      <c r="O590" s="62">
        <v>1.0</v>
      </c>
      <c r="P590" s="62">
        <v>21.0</v>
      </c>
      <c r="Q590" s="62">
        <v>0.0</v>
      </c>
      <c r="R590" s="62">
        <v>8779.0</v>
      </c>
      <c r="S590" s="62">
        <v>4819.0</v>
      </c>
      <c r="T590" s="62">
        <v>0.0</v>
      </c>
      <c r="U590" s="62">
        <v>0.224166666666666</v>
      </c>
      <c r="V590" s="62">
        <v>0.675555555555555</v>
      </c>
      <c r="W590" s="62">
        <v>1.115</v>
      </c>
      <c r="X590" s="62">
        <v>0.439444444444444</v>
      </c>
      <c r="Y590" s="62">
        <v>1.11777777777777</v>
      </c>
      <c r="Z590" s="62">
        <v>0.0</v>
      </c>
      <c r="AA590" s="62">
        <v>0.0</v>
      </c>
      <c r="AB590" s="62">
        <v>0.230555555555555</v>
      </c>
      <c r="AC590" s="62">
        <v>4.63111111111111</v>
      </c>
      <c r="AD590" s="62">
        <v>0.217222222222222</v>
      </c>
      <c r="AE590" s="62">
        <v>4.63111111111111</v>
      </c>
      <c r="AF590" s="62">
        <v>0.0</v>
      </c>
    </row>
    <row r="591">
      <c r="A591" s="68">
        <v>46122.0</v>
      </c>
      <c r="B591" s="62" t="s">
        <v>71</v>
      </c>
      <c r="C591" s="62" t="s">
        <v>163</v>
      </c>
      <c r="D591" s="62">
        <v>0.0</v>
      </c>
      <c r="E591" s="62">
        <v>4.0</v>
      </c>
      <c r="F591" s="62">
        <v>1.0</v>
      </c>
      <c r="G591" s="62">
        <v>1.0</v>
      </c>
      <c r="H591" s="62">
        <v>1.0</v>
      </c>
      <c r="I591" s="62">
        <v>0.0</v>
      </c>
      <c r="J591" s="62">
        <v>1.0</v>
      </c>
      <c r="K591" s="62">
        <v>1.0</v>
      </c>
      <c r="L591" s="62">
        <v>0.0</v>
      </c>
      <c r="M591" s="62">
        <v>2.0</v>
      </c>
      <c r="N591" s="62">
        <v>6.0</v>
      </c>
      <c r="O591" s="62">
        <v>1.0</v>
      </c>
      <c r="P591" s="62">
        <v>6.0</v>
      </c>
      <c r="Q591" s="62">
        <v>0.0</v>
      </c>
      <c r="R591" s="62">
        <v>0.0</v>
      </c>
      <c r="S591" s="62">
        <v>10177.0</v>
      </c>
      <c r="T591" s="62">
        <v>0.259166666666666</v>
      </c>
      <c r="U591" s="62">
        <v>0.259166666666666</v>
      </c>
      <c r="V591" s="62">
        <v>0.276111111111111</v>
      </c>
      <c r="W591" s="62">
        <v>0.276111111111111</v>
      </c>
      <c r="X591" s="62">
        <v>0.0</v>
      </c>
      <c r="Y591" s="62">
        <v>0.276111111111111</v>
      </c>
      <c r="Z591" s="62">
        <v>0.273055555555555</v>
      </c>
      <c r="AA591" s="62">
        <v>0.0</v>
      </c>
      <c r="AB591" s="62">
        <v>0.549166666666666</v>
      </c>
      <c r="AC591" s="62">
        <v>1.52861111111111</v>
      </c>
      <c r="AD591" s="62">
        <v>0.264722222222222</v>
      </c>
      <c r="AE591" s="62">
        <v>1.52861111111111</v>
      </c>
      <c r="AF591" s="62">
        <v>1.0</v>
      </c>
    </row>
    <row r="592">
      <c r="A592" s="68">
        <v>46122.0</v>
      </c>
      <c r="B592" s="62" t="s">
        <v>76</v>
      </c>
      <c r="C592" s="62" t="s">
        <v>165</v>
      </c>
      <c r="D592" s="62">
        <v>17.0</v>
      </c>
      <c r="E592" s="62">
        <v>7.0</v>
      </c>
      <c r="F592" s="62">
        <v>1.0</v>
      </c>
      <c r="G592" s="62">
        <v>2.0</v>
      </c>
      <c r="H592" s="62">
        <v>4.0</v>
      </c>
      <c r="I592" s="62">
        <v>2.0</v>
      </c>
      <c r="J592" s="62">
        <v>4.0</v>
      </c>
      <c r="K592" s="62">
        <v>3.0</v>
      </c>
      <c r="L592" s="62">
        <v>0.0</v>
      </c>
      <c r="M592" s="62">
        <v>9.0</v>
      </c>
      <c r="N592" s="62">
        <v>12.0</v>
      </c>
      <c r="O592" s="62">
        <v>1.0</v>
      </c>
      <c r="P592" s="62">
        <v>12.0</v>
      </c>
      <c r="Q592" s="62">
        <v>0.0</v>
      </c>
      <c r="R592" s="62">
        <v>51239.0</v>
      </c>
      <c r="S592" s="62">
        <v>23442.0</v>
      </c>
      <c r="T592" s="62">
        <v>0.0</v>
      </c>
      <c r="U592" s="62">
        <v>0.409166666666666</v>
      </c>
      <c r="V592" s="62">
        <v>0.552777777777777</v>
      </c>
      <c r="W592" s="62">
        <v>1.06472222222222</v>
      </c>
      <c r="X592" s="62">
        <v>0.511944444444444</v>
      </c>
      <c r="Y592" s="62">
        <v>1.15388888888888</v>
      </c>
      <c r="Z592" s="62">
        <v>0.859722222222222</v>
      </c>
      <c r="AA592" s="62">
        <v>0.0</v>
      </c>
      <c r="AB592" s="62">
        <v>2.5</v>
      </c>
      <c r="AC592" s="62">
        <v>3.46222222222222</v>
      </c>
      <c r="AD592" s="62">
        <v>0.221666666666666</v>
      </c>
      <c r="AE592" s="62">
        <v>3.46222222222222</v>
      </c>
      <c r="AF592" s="62">
        <v>0.0</v>
      </c>
    </row>
    <row r="593">
      <c r="A593" s="68">
        <v>46122.0</v>
      </c>
      <c r="B593" s="62" t="s">
        <v>104</v>
      </c>
      <c r="C593" s="62" t="s">
        <v>166</v>
      </c>
      <c r="D593" s="62">
        <v>0.0</v>
      </c>
      <c r="E593" s="62">
        <v>0.0</v>
      </c>
      <c r="F593" s="62">
        <v>0.0</v>
      </c>
      <c r="G593" s="62">
        <v>1.0</v>
      </c>
      <c r="H593" s="62">
        <v>0.0</v>
      </c>
      <c r="I593" s="62">
        <v>0.0</v>
      </c>
      <c r="J593" s="62">
        <v>2.0</v>
      </c>
      <c r="K593" s="62">
        <v>3.0</v>
      </c>
      <c r="L593" s="62">
        <v>2.0</v>
      </c>
      <c r="M593" s="62">
        <v>2.0</v>
      </c>
      <c r="N593" s="62">
        <v>6.0</v>
      </c>
      <c r="O593" s="62">
        <v>1.0</v>
      </c>
      <c r="P593" s="62">
        <v>6.0</v>
      </c>
      <c r="Q593" s="62">
        <v>0.0</v>
      </c>
      <c r="R593" s="62">
        <v>0.0</v>
      </c>
      <c r="S593" s="62">
        <v>0.0</v>
      </c>
      <c r="T593" s="62">
        <v>0.0</v>
      </c>
      <c r="U593" s="62">
        <v>0.0</v>
      </c>
      <c r="V593" s="62">
        <v>0.186666666666666</v>
      </c>
      <c r="W593" s="62">
        <v>0.0</v>
      </c>
      <c r="X593" s="62">
        <v>0.0</v>
      </c>
      <c r="Y593" s="62">
        <v>0.381111111111111</v>
      </c>
      <c r="Z593" s="62">
        <v>0.554166666666666</v>
      </c>
      <c r="AA593" s="62">
        <v>0.360277777777777</v>
      </c>
      <c r="AB593" s="62">
        <v>0.360277777777777</v>
      </c>
      <c r="AC593" s="62">
        <v>1.11249999999999</v>
      </c>
      <c r="AD593" s="62">
        <v>0.215277777777777</v>
      </c>
      <c r="AE593" s="62">
        <v>1.1125</v>
      </c>
      <c r="AF593" s="62">
        <v>0.0</v>
      </c>
    </row>
    <row r="594">
      <c r="A594" s="68">
        <v>46122.0</v>
      </c>
      <c r="B594" s="62" t="s">
        <v>32</v>
      </c>
      <c r="C594" s="62" t="s">
        <v>168</v>
      </c>
      <c r="D594" s="62">
        <v>11.0</v>
      </c>
      <c r="E594" s="62">
        <v>6.0</v>
      </c>
      <c r="F594" s="62">
        <v>2.0</v>
      </c>
      <c r="G594" s="62">
        <v>0.0</v>
      </c>
      <c r="H594" s="62">
        <v>5.0</v>
      </c>
      <c r="I594" s="62">
        <v>3.0</v>
      </c>
      <c r="J594" s="62">
        <v>6.0</v>
      </c>
      <c r="K594" s="62">
        <v>0.0</v>
      </c>
      <c r="L594" s="62">
        <v>0.0</v>
      </c>
      <c r="M594" s="62">
        <v>8.0</v>
      </c>
      <c r="N594" s="62">
        <v>8.0</v>
      </c>
      <c r="O594" s="62">
        <v>1.0</v>
      </c>
      <c r="P594" s="62">
        <v>8.0</v>
      </c>
      <c r="Q594" s="62">
        <v>0.0</v>
      </c>
      <c r="R594" s="62">
        <v>26363.0</v>
      </c>
      <c r="S594" s="62">
        <v>14344.0</v>
      </c>
      <c r="T594" s="62">
        <v>0.2475</v>
      </c>
      <c r="U594" s="62">
        <v>0.473611111111111</v>
      </c>
      <c r="V594" s="62">
        <v>0.0</v>
      </c>
      <c r="W594" s="62">
        <v>1.11555555555555</v>
      </c>
      <c r="X594" s="62">
        <v>0.660277777777777</v>
      </c>
      <c r="Y594" s="62">
        <v>1.33666666666666</v>
      </c>
      <c r="Z594" s="62">
        <v>0.0</v>
      </c>
      <c r="AA594" s="62">
        <v>0.0</v>
      </c>
      <c r="AB594" s="62">
        <v>1.80055555555555</v>
      </c>
      <c r="AC594" s="62">
        <v>1.80055555555555</v>
      </c>
      <c r="AD594" s="62">
        <v>0.203888888888888</v>
      </c>
      <c r="AE594" s="62">
        <v>1.80055555555555</v>
      </c>
      <c r="AF594" s="62">
        <v>1.0</v>
      </c>
    </row>
    <row r="595">
      <c r="A595" s="68">
        <v>46122.0</v>
      </c>
      <c r="B595" s="62" t="s">
        <v>93</v>
      </c>
      <c r="C595" s="62" t="s">
        <v>182</v>
      </c>
      <c r="D595" s="62">
        <v>0.0</v>
      </c>
      <c r="E595" s="62">
        <v>5.0</v>
      </c>
      <c r="F595" s="62">
        <v>8.0</v>
      </c>
      <c r="G595" s="62">
        <v>5.0</v>
      </c>
      <c r="H595" s="62">
        <v>5.0</v>
      </c>
      <c r="I595" s="62">
        <v>0.0</v>
      </c>
      <c r="J595" s="62">
        <v>10.0</v>
      </c>
      <c r="K595" s="62">
        <v>0.0</v>
      </c>
      <c r="L595" s="62">
        <v>0.0</v>
      </c>
      <c r="M595" s="62">
        <v>2.0</v>
      </c>
      <c r="N595" s="62">
        <v>20.0</v>
      </c>
      <c r="O595" s="62">
        <v>1.0</v>
      </c>
      <c r="P595" s="62">
        <v>20.0</v>
      </c>
      <c r="Q595" s="62">
        <v>0.0</v>
      </c>
      <c r="R595" s="62">
        <v>0.0</v>
      </c>
      <c r="S595" s="62">
        <v>10261.0</v>
      </c>
      <c r="T595" s="62">
        <v>0.813333333333333</v>
      </c>
      <c r="U595" s="62">
        <v>2.13944444444444</v>
      </c>
      <c r="V595" s="62">
        <v>1.22583333333333</v>
      </c>
      <c r="W595" s="62">
        <v>1.22583333333333</v>
      </c>
      <c r="X595" s="62">
        <v>0.0</v>
      </c>
      <c r="Y595" s="62">
        <v>2.42305555555555</v>
      </c>
      <c r="Z595" s="62">
        <v>0.0</v>
      </c>
      <c r="AA595" s="62">
        <v>0.0</v>
      </c>
      <c r="AB595" s="62">
        <v>0.454444444444444</v>
      </c>
      <c r="AC595" s="62">
        <v>5.00805555555555</v>
      </c>
      <c r="AD595" s="62">
        <v>0.304444444444444</v>
      </c>
      <c r="AE595" s="62">
        <v>5.00805555555555</v>
      </c>
      <c r="AF595" s="62">
        <v>3.0</v>
      </c>
    </row>
    <row r="596">
      <c r="A596" s="68">
        <v>46122.0</v>
      </c>
      <c r="B596" s="62" t="s">
        <v>65</v>
      </c>
      <c r="C596" s="62" t="s">
        <v>173</v>
      </c>
      <c r="D596" s="62">
        <v>2.0</v>
      </c>
      <c r="E596" s="62">
        <v>4.0</v>
      </c>
      <c r="F596" s="62">
        <v>0.0</v>
      </c>
      <c r="G596" s="62">
        <v>0.0</v>
      </c>
      <c r="H596" s="62">
        <v>0.0</v>
      </c>
      <c r="I596" s="62">
        <v>0.0</v>
      </c>
      <c r="J596" s="62">
        <v>2.0</v>
      </c>
      <c r="K596" s="62">
        <v>0.0</v>
      </c>
      <c r="L596" s="62">
        <v>0.0</v>
      </c>
      <c r="M596" s="62">
        <v>0.0</v>
      </c>
      <c r="N596" s="62">
        <v>0.0</v>
      </c>
      <c r="O596" s="62">
        <v>1.0</v>
      </c>
      <c r="P596" s="62">
        <v>0.0</v>
      </c>
      <c r="Q596" s="62">
        <v>0.0</v>
      </c>
      <c r="R596" s="62">
        <v>4120.0</v>
      </c>
      <c r="S596" s="62">
        <v>8414.0</v>
      </c>
      <c r="T596" s="62">
        <v>0.0</v>
      </c>
      <c r="U596" s="62">
        <v>0.0</v>
      </c>
      <c r="V596" s="62">
        <v>0.0</v>
      </c>
      <c r="W596" s="62">
        <v>0.0</v>
      </c>
      <c r="X596" s="62">
        <v>0.0</v>
      </c>
      <c r="Y596" s="62">
        <v>0.440555555555555</v>
      </c>
      <c r="Z596" s="62">
        <v>0.0</v>
      </c>
      <c r="AA596" s="62">
        <v>0.0</v>
      </c>
      <c r="AB596" s="62">
        <v>0.0</v>
      </c>
      <c r="AC596" s="62">
        <v>0.0</v>
      </c>
      <c r="AD596" s="62">
        <v>0.206666666666666</v>
      </c>
      <c r="AE596" s="62">
        <v>0.0</v>
      </c>
      <c r="AF596" s="62">
        <v>0.0</v>
      </c>
    </row>
    <row r="597">
      <c r="A597" s="68">
        <v>46122.0</v>
      </c>
      <c r="B597" s="62" t="s">
        <v>37</v>
      </c>
      <c r="C597" s="62" t="s">
        <v>174</v>
      </c>
      <c r="D597" s="62">
        <v>4.0</v>
      </c>
      <c r="E597" s="62">
        <v>6.0</v>
      </c>
      <c r="F597" s="62">
        <v>3.0</v>
      </c>
      <c r="G597" s="62">
        <v>4.0</v>
      </c>
      <c r="H597" s="62">
        <v>4.0</v>
      </c>
      <c r="I597" s="62">
        <v>0.0</v>
      </c>
      <c r="J597" s="62">
        <v>3.0</v>
      </c>
      <c r="K597" s="62">
        <v>3.0</v>
      </c>
      <c r="L597" s="62">
        <v>0.0</v>
      </c>
      <c r="M597" s="62">
        <v>7.0</v>
      </c>
      <c r="N597" s="62">
        <v>10.0</v>
      </c>
      <c r="O597" s="62">
        <v>1.0</v>
      </c>
      <c r="P597" s="62">
        <v>10.0</v>
      </c>
      <c r="Q597" s="62">
        <v>0.0</v>
      </c>
      <c r="R597" s="62">
        <v>8806.0</v>
      </c>
      <c r="S597" s="62">
        <v>14069.0</v>
      </c>
      <c r="T597" s="62">
        <v>0.789166666666666</v>
      </c>
      <c r="U597" s="62">
        <v>0.8125</v>
      </c>
      <c r="V597" s="62">
        <v>1.12861111111111</v>
      </c>
      <c r="W597" s="62">
        <v>1.12861111111111</v>
      </c>
      <c r="X597" s="62">
        <v>0.0</v>
      </c>
      <c r="Y597" s="62">
        <v>0.858611111111111</v>
      </c>
      <c r="Z597" s="62">
        <v>0.859722222222222</v>
      </c>
      <c r="AA597" s="62">
        <v>0.0</v>
      </c>
      <c r="AB597" s="62">
        <v>1.99666666666666</v>
      </c>
      <c r="AC597" s="62">
        <v>2.80777777777777</v>
      </c>
      <c r="AD597" s="62">
        <v>0.288333333333333</v>
      </c>
      <c r="AE597" s="62">
        <v>2.80777777777777</v>
      </c>
      <c r="AF597" s="62">
        <v>3.0</v>
      </c>
    </row>
    <row r="598">
      <c r="A598" s="68">
        <v>46122.0</v>
      </c>
      <c r="B598" s="62" t="s">
        <v>56</v>
      </c>
      <c r="C598" s="62" t="s">
        <v>176</v>
      </c>
      <c r="D598" s="62">
        <v>7.0</v>
      </c>
      <c r="E598" s="62">
        <v>3.0</v>
      </c>
      <c r="F598" s="62">
        <v>0.0</v>
      </c>
      <c r="G598" s="62">
        <v>0.0</v>
      </c>
      <c r="H598" s="62">
        <v>0.0</v>
      </c>
      <c r="I598" s="62">
        <v>0.0</v>
      </c>
      <c r="J598" s="62">
        <v>0.0</v>
      </c>
      <c r="K598" s="62">
        <v>0.0</v>
      </c>
      <c r="L598" s="62">
        <v>0.0</v>
      </c>
      <c r="M598" s="62">
        <v>0.0</v>
      </c>
      <c r="N598" s="62">
        <v>0.0</v>
      </c>
      <c r="O598" s="62">
        <v>0.0</v>
      </c>
      <c r="P598" s="62">
        <v>0.0</v>
      </c>
      <c r="Q598" s="62">
        <v>0.0</v>
      </c>
      <c r="R598" s="62">
        <v>15216.0</v>
      </c>
      <c r="S598" s="62">
        <v>6699.0</v>
      </c>
      <c r="T598" s="62">
        <v>0.0</v>
      </c>
      <c r="U598" s="62">
        <v>0.0</v>
      </c>
      <c r="V598" s="62">
        <v>0.0</v>
      </c>
      <c r="W598" s="62">
        <v>0.0</v>
      </c>
      <c r="X598" s="62">
        <v>0.0</v>
      </c>
      <c r="Y598" s="62">
        <v>0.0</v>
      </c>
      <c r="Z598" s="62">
        <v>0.0</v>
      </c>
      <c r="AA598" s="62">
        <v>0.0</v>
      </c>
      <c r="AB598" s="62">
        <v>0.0</v>
      </c>
      <c r="AC598" s="62">
        <v>0.0</v>
      </c>
      <c r="AD598" s="62">
        <v>0.0</v>
      </c>
      <c r="AE598" s="62">
        <v>0.0</v>
      </c>
      <c r="AF598" s="62">
        <v>0.0</v>
      </c>
    </row>
    <row r="599">
      <c r="A599" s="68">
        <v>46122.0</v>
      </c>
      <c r="B599" s="62" t="s">
        <v>91</v>
      </c>
      <c r="C599" s="62" t="s">
        <v>184</v>
      </c>
      <c r="D599" s="62">
        <v>0.0</v>
      </c>
      <c r="E599" s="62">
        <v>2.0</v>
      </c>
      <c r="F599" s="62">
        <v>0.0</v>
      </c>
      <c r="G599" s="62">
        <v>1.0</v>
      </c>
      <c r="H599" s="62">
        <v>5.0</v>
      </c>
      <c r="I599" s="62">
        <v>5.0</v>
      </c>
      <c r="J599" s="62">
        <v>1.0</v>
      </c>
      <c r="K599" s="62">
        <v>1.0</v>
      </c>
      <c r="L599" s="62">
        <v>1.0</v>
      </c>
      <c r="M599" s="62">
        <v>2.0</v>
      </c>
      <c r="N599" s="62">
        <v>3.0</v>
      </c>
      <c r="O599" s="62">
        <v>1.0</v>
      </c>
      <c r="P599" s="62">
        <v>3.0</v>
      </c>
      <c r="Q599" s="62">
        <v>0.0</v>
      </c>
      <c r="R599" s="62">
        <v>0.0</v>
      </c>
      <c r="S599" s="62">
        <v>4829.0</v>
      </c>
      <c r="T599" s="62">
        <v>0.0</v>
      </c>
      <c r="U599" s="62">
        <v>0.0</v>
      </c>
      <c r="V599" s="62">
        <v>0.22</v>
      </c>
      <c r="W599" s="62">
        <v>0.948333333333333</v>
      </c>
      <c r="X599" s="62">
        <v>0.948333333333333</v>
      </c>
      <c r="Y599" s="62">
        <v>0.22</v>
      </c>
      <c r="Z599" s="62">
        <v>0.205555555555555</v>
      </c>
      <c r="AA599" s="62">
        <v>0.205555555555555</v>
      </c>
      <c r="AB599" s="62">
        <v>0.431388888888888</v>
      </c>
      <c r="AC599" s="62">
        <v>0.630277777777777</v>
      </c>
      <c r="AD599" s="62">
        <v>0.150833333333333</v>
      </c>
      <c r="AE599" s="62">
        <v>0.630277777777777</v>
      </c>
      <c r="AF599" s="62">
        <v>0.0</v>
      </c>
    </row>
    <row r="600">
      <c r="A600" s="68">
        <v>46122.0</v>
      </c>
      <c r="B600" s="62" t="s">
        <v>84</v>
      </c>
      <c r="C600" s="62" t="s">
        <v>186</v>
      </c>
      <c r="D600" s="62">
        <v>0.0</v>
      </c>
      <c r="E600" s="62">
        <v>0.0</v>
      </c>
      <c r="F600" s="62">
        <v>0.0</v>
      </c>
      <c r="G600" s="62">
        <v>1.0</v>
      </c>
      <c r="H600" s="62">
        <v>1.0</v>
      </c>
      <c r="I600" s="62">
        <v>0.0</v>
      </c>
      <c r="J600" s="62">
        <v>1.0</v>
      </c>
      <c r="K600" s="62">
        <v>1.0</v>
      </c>
      <c r="L600" s="62">
        <v>1.0</v>
      </c>
      <c r="M600" s="62">
        <v>2.0</v>
      </c>
      <c r="N600" s="62">
        <v>2.0</v>
      </c>
      <c r="O600" s="62">
        <v>1.0</v>
      </c>
      <c r="P600" s="62">
        <v>2.0</v>
      </c>
      <c r="Q600" s="62">
        <v>0.0</v>
      </c>
      <c r="R600" s="62">
        <v>0.0</v>
      </c>
      <c r="S600" s="62">
        <v>0.0</v>
      </c>
      <c r="T600" s="62">
        <v>0.0</v>
      </c>
      <c r="U600" s="62">
        <v>0.0</v>
      </c>
      <c r="V600" s="62">
        <v>0.208333333333333</v>
      </c>
      <c r="W600" s="62">
        <v>0.208333333333333</v>
      </c>
      <c r="X600" s="62">
        <v>0.0</v>
      </c>
      <c r="Y600" s="62">
        <v>0.208333333333333</v>
      </c>
      <c r="Z600" s="62">
        <v>0.225277777777777</v>
      </c>
      <c r="AA600" s="62">
        <v>0.225</v>
      </c>
      <c r="AB600" s="62">
        <v>0.433333333333333</v>
      </c>
      <c r="AC600" s="62">
        <v>0.433333333333333</v>
      </c>
      <c r="AD600" s="62">
        <v>0.25</v>
      </c>
      <c r="AE600" s="62">
        <v>0.433333333333333</v>
      </c>
      <c r="AF600" s="62">
        <v>0.0</v>
      </c>
    </row>
    <row r="601">
      <c r="A601" s="68">
        <v>46122.0</v>
      </c>
      <c r="B601" s="62" t="s">
        <v>26</v>
      </c>
      <c r="C601" s="62" t="s">
        <v>178</v>
      </c>
      <c r="D601" s="62">
        <v>11.0</v>
      </c>
      <c r="E601" s="62">
        <v>0.0</v>
      </c>
      <c r="F601" s="62">
        <v>0.0</v>
      </c>
      <c r="G601" s="62">
        <v>2.0</v>
      </c>
      <c r="H601" s="62">
        <v>6.0</v>
      </c>
      <c r="I601" s="62">
        <v>4.0</v>
      </c>
      <c r="J601" s="62">
        <v>7.0</v>
      </c>
      <c r="K601" s="62">
        <v>0.0</v>
      </c>
      <c r="L601" s="62">
        <v>0.0</v>
      </c>
      <c r="M601" s="62">
        <v>6.0</v>
      </c>
      <c r="N601" s="62">
        <v>22.0</v>
      </c>
      <c r="O601" s="62">
        <v>1.0</v>
      </c>
      <c r="P601" s="62">
        <v>22.0</v>
      </c>
      <c r="Q601" s="62">
        <v>0.0</v>
      </c>
      <c r="R601" s="62">
        <v>23593.0</v>
      </c>
      <c r="S601" s="62">
        <v>0.0</v>
      </c>
      <c r="T601" s="62">
        <v>0.378055555555555</v>
      </c>
      <c r="U601" s="62">
        <v>0.0</v>
      </c>
      <c r="V601" s="62">
        <v>0.399722222222222</v>
      </c>
      <c r="W601" s="62">
        <v>1.20361111111111</v>
      </c>
      <c r="X601" s="62">
        <v>0.803888888888888</v>
      </c>
      <c r="Y601" s="62">
        <v>1.33583333333333</v>
      </c>
      <c r="Z601" s="62">
        <v>0.0</v>
      </c>
      <c r="AA601" s="62">
        <v>0.0</v>
      </c>
      <c r="AB601" s="62">
        <v>1.15388888888888</v>
      </c>
      <c r="AC601" s="62">
        <v>4.26833333333333</v>
      </c>
      <c r="AD601" s="62">
        <v>0.193055555555555</v>
      </c>
      <c r="AE601" s="62">
        <v>4.26833333333333</v>
      </c>
      <c r="AF601" s="62">
        <v>2.0</v>
      </c>
    </row>
    <row r="602">
      <c r="A602" s="68">
        <v>46122.0</v>
      </c>
      <c r="B602" s="62" t="s">
        <v>62</v>
      </c>
      <c r="C602" s="62" t="s">
        <v>63</v>
      </c>
      <c r="D602" s="62">
        <v>6.0</v>
      </c>
      <c r="E602" s="62">
        <v>0.0</v>
      </c>
      <c r="F602" s="62">
        <v>0.0</v>
      </c>
      <c r="G602" s="62">
        <v>0.0</v>
      </c>
      <c r="H602" s="62">
        <v>4.0</v>
      </c>
      <c r="I602" s="62">
        <v>4.0</v>
      </c>
      <c r="J602" s="62">
        <v>4.0</v>
      </c>
      <c r="K602" s="62">
        <v>0.0</v>
      </c>
      <c r="L602" s="62">
        <v>0.0</v>
      </c>
      <c r="M602" s="62">
        <v>5.0</v>
      </c>
      <c r="N602" s="62">
        <v>6.0</v>
      </c>
      <c r="O602" s="62">
        <v>1.0</v>
      </c>
      <c r="P602" s="62">
        <v>6.0</v>
      </c>
      <c r="Q602" s="62">
        <v>0.0</v>
      </c>
      <c r="R602" s="62">
        <v>14066.0</v>
      </c>
      <c r="S602" s="62">
        <v>0.0</v>
      </c>
      <c r="T602" s="62">
        <v>0.834722222222222</v>
      </c>
      <c r="U602" s="62">
        <v>0.0</v>
      </c>
      <c r="V602" s="62">
        <v>0.0</v>
      </c>
      <c r="W602" s="62">
        <v>0.856388888888888</v>
      </c>
      <c r="X602" s="62">
        <v>0.856388888888888</v>
      </c>
      <c r="Y602" s="62">
        <v>0.859722222222222</v>
      </c>
      <c r="Z602" s="62">
        <v>0.0</v>
      </c>
      <c r="AA602" s="62">
        <v>0.0</v>
      </c>
      <c r="AB602" s="62">
        <v>1.09861111111111</v>
      </c>
      <c r="AC602" s="62">
        <v>1.31472222222222</v>
      </c>
      <c r="AD602" s="62">
        <v>0.209166666666666</v>
      </c>
      <c r="AE602" s="62">
        <v>1.31472222222222</v>
      </c>
      <c r="AF602" s="62">
        <v>4.0</v>
      </c>
    </row>
    <row r="603">
      <c r="A603" s="68">
        <v>46121.0</v>
      </c>
      <c r="B603" s="62" t="s">
        <v>98</v>
      </c>
      <c r="C603" s="62" t="s">
        <v>183</v>
      </c>
      <c r="D603" s="62">
        <v>1.0</v>
      </c>
      <c r="E603" s="62">
        <v>3.0</v>
      </c>
      <c r="F603" s="62">
        <v>2.0</v>
      </c>
      <c r="G603" s="62">
        <v>3.0</v>
      </c>
      <c r="H603" s="62">
        <v>3.0</v>
      </c>
      <c r="I603" s="62">
        <v>0.0</v>
      </c>
      <c r="J603" s="62">
        <v>3.0</v>
      </c>
      <c r="K603" s="62">
        <v>0.0</v>
      </c>
      <c r="L603" s="62">
        <v>0.0</v>
      </c>
      <c r="M603" s="62">
        <v>3.0</v>
      </c>
      <c r="N603" s="62">
        <v>1.0</v>
      </c>
      <c r="O603" s="62">
        <v>1.0</v>
      </c>
      <c r="P603" s="62">
        <v>1.0</v>
      </c>
      <c r="Q603" s="62">
        <v>0.0</v>
      </c>
      <c r="R603" s="62">
        <v>2359.0</v>
      </c>
      <c r="S603" s="62">
        <v>6652.0</v>
      </c>
      <c r="T603" s="62">
        <v>1.11305555555555</v>
      </c>
      <c r="U603" s="62">
        <v>0.449444444444444</v>
      </c>
      <c r="V603" s="62">
        <v>0.659444444444444</v>
      </c>
      <c r="W603" s="62">
        <v>0.659444444444444</v>
      </c>
      <c r="X603" s="62">
        <v>0.0</v>
      </c>
      <c r="Y603" s="62">
        <v>0.659444444444444</v>
      </c>
      <c r="Z603" s="62">
        <v>0.0</v>
      </c>
      <c r="AA603" s="62">
        <v>0.0</v>
      </c>
      <c r="AB603" s="62">
        <v>0.689166666666666</v>
      </c>
      <c r="AC603" s="62">
        <v>0.245277777777777</v>
      </c>
      <c r="AD603" s="62">
        <v>0.245277777777777</v>
      </c>
      <c r="AE603" s="62">
        <v>0.245277777777777</v>
      </c>
      <c r="AF603" s="62">
        <v>5.0</v>
      </c>
    </row>
    <row r="604">
      <c r="A604" s="68">
        <v>46121.0</v>
      </c>
      <c r="B604" s="62" t="s">
        <v>71</v>
      </c>
      <c r="C604" s="62" t="s">
        <v>163</v>
      </c>
      <c r="D604" s="62">
        <v>4.0</v>
      </c>
      <c r="E604" s="62">
        <v>1.0</v>
      </c>
      <c r="F604" s="62">
        <v>2.0</v>
      </c>
      <c r="G604" s="62">
        <v>1.0</v>
      </c>
      <c r="H604" s="62">
        <v>1.0</v>
      </c>
      <c r="I604" s="62">
        <v>0.0</v>
      </c>
      <c r="J604" s="62">
        <v>1.0</v>
      </c>
      <c r="K604" s="62">
        <v>2.0</v>
      </c>
      <c r="L604" s="62">
        <v>2.0</v>
      </c>
      <c r="M604" s="62">
        <v>4.0</v>
      </c>
      <c r="N604" s="62">
        <v>0.0</v>
      </c>
      <c r="O604" s="62">
        <v>1.0</v>
      </c>
      <c r="P604" s="62">
        <v>0.0</v>
      </c>
      <c r="Q604" s="62">
        <v>0.0</v>
      </c>
      <c r="R604" s="62">
        <v>10177.0</v>
      </c>
      <c r="S604" s="62">
        <v>2678.0</v>
      </c>
      <c r="T604" s="62">
        <v>0.540833333333333</v>
      </c>
      <c r="U604" s="62">
        <v>0.540833333333333</v>
      </c>
      <c r="V604" s="62">
        <v>0.273055555555555</v>
      </c>
      <c r="W604" s="62">
        <v>0.273055555555555</v>
      </c>
      <c r="X604" s="62">
        <v>0.0</v>
      </c>
      <c r="Y604" s="62">
        <v>0.273055555555555</v>
      </c>
      <c r="Z604" s="62">
        <v>0.500277777777777</v>
      </c>
      <c r="AA604" s="62">
        <v>0.479166666666666</v>
      </c>
      <c r="AB604" s="62">
        <v>0.979444444444444</v>
      </c>
      <c r="AC604" s="62">
        <v>0.0</v>
      </c>
      <c r="AD604" s="62">
        <v>0.273888888888888</v>
      </c>
      <c r="AE604" s="62">
        <v>0.0</v>
      </c>
      <c r="AF604" s="62">
        <v>2.0</v>
      </c>
    </row>
    <row r="605">
      <c r="A605" s="68">
        <v>46121.0</v>
      </c>
      <c r="B605" s="62" t="s">
        <v>76</v>
      </c>
      <c r="C605" s="62" t="s">
        <v>165</v>
      </c>
      <c r="D605" s="62">
        <v>0.0</v>
      </c>
      <c r="E605" s="62">
        <v>4.0</v>
      </c>
      <c r="F605" s="62">
        <v>2.0</v>
      </c>
      <c r="G605" s="62">
        <v>4.0</v>
      </c>
      <c r="H605" s="62">
        <v>6.0</v>
      </c>
      <c r="I605" s="62">
        <v>3.0</v>
      </c>
      <c r="J605" s="62">
        <v>8.0</v>
      </c>
      <c r="K605" s="62">
        <v>2.0</v>
      </c>
      <c r="L605" s="62">
        <v>0.0</v>
      </c>
      <c r="M605" s="62">
        <v>3.0</v>
      </c>
      <c r="N605" s="62">
        <v>0.0</v>
      </c>
      <c r="O605" s="62">
        <v>1.0</v>
      </c>
      <c r="P605" s="62">
        <v>0.0</v>
      </c>
      <c r="Q605" s="62">
        <v>0.0</v>
      </c>
      <c r="R605" s="62">
        <v>0.0</v>
      </c>
      <c r="S605" s="62">
        <v>10723.0</v>
      </c>
      <c r="T605" s="62">
        <v>2.52694444444444</v>
      </c>
      <c r="U605" s="62">
        <v>0.705277777777777</v>
      </c>
      <c r="V605" s="62">
        <v>1.13361111111111</v>
      </c>
      <c r="W605" s="62">
        <v>1.73611111111111</v>
      </c>
      <c r="X605" s="62">
        <v>0.900555555555555</v>
      </c>
      <c r="Y605" s="62">
        <v>2.36</v>
      </c>
      <c r="Z605" s="62">
        <v>0.562222222222222</v>
      </c>
      <c r="AA605" s="62">
        <v>0.0</v>
      </c>
      <c r="AB605" s="62">
        <v>0.962222222222222</v>
      </c>
      <c r="AC605" s="62">
        <v>0.0</v>
      </c>
      <c r="AD605" s="62">
        <v>0.245833333333333</v>
      </c>
      <c r="AE605" s="62">
        <v>0.0</v>
      </c>
      <c r="AF605" s="62">
        <v>8.0</v>
      </c>
    </row>
    <row r="606">
      <c r="A606" s="68">
        <v>46121.0</v>
      </c>
      <c r="B606" s="62" t="s">
        <v>104</v>
      </c>
      <c r="C606" s="62" t="s">
        <v>166</v>
      </c>
      <c r="D606" s="62">
        <v>0.0</v>
      </c>
      <c r="E606" s="62">
        <v>0.0</v>
      </c>
      <c r="F606" s="62">
        <v>0.0</v>
      </c>
      <c r="G606" s="62">
        <v>0.0</v>
      </c>
      <c r="H606" s="62">
        <v>13.0</v>
      </c>
      <c r="I606" s="62">
        <v>13.0</v>
      </c>
      <c r="J606" s="62">
        <v>4.0</v>
      </c>
      <c r="K606" s="62">
        <v>0.0</v>
      </c>
      <c r="L606" s="62">
        <v>0.0</v>
      </c>
      <c r="M606" s="62">
        <v>3.0</v>
      </c>
      <c r="N606" s="62">
        <v>8.0</v>
      </c>
      <c r="O606" s="62">
        <v>1.0</v>
      </c>
      <c r="P606" s="62">
        <v>8.0</v>
      </c>
      <c r="Q606" s="62">
        <v>0.0</v>
      </c>
      <c r="R606" s="62">
        <v>0.0</v>
      </c>
      <c r="S606" s="62">
        <v>0.0</v>
      </c>
      <c r="T606" s="62">
        <v>0.0</v>
      </c>
      <c r="U606" s="62">
        <v>0.0</v>
      </c>
      <c r="V606" s="62">
        <v>0.0</v>
      </c>
      <c r="W606" s="62">
        <v>2.61277777777777</v>
      </c>
      <c r="X606" s="62">
        <v>2.61277777777777</v>
      </c>
      <c r="Y606" s="62">
        <v>0.754722222222222</v>
      </c>
      <c r="Z606" s="62">
        <v>0.0</v>
      </c>
      <c r="AA606" s="62">
        <v>0.0</v>
      </c>
      <c r="AB606" s="62">
        <v>0.573055555555555</v>
      </c>
      <c r="AC606" s="62">
        <v>1.47055555555555</v>
      </c>
      <c r="AD606" s="62">
        <v>0.217777777777777</v>
      </c>
      <c r="AE606" s="62">
        <v>1.47055555555555</v>
      </c>
      <c r="AF606" s="62">
        <v>0.0</v>
      </c>
    </row>
    <row r="607">
      <c r="A607" s="68">
        <v>46121.0</v>
      </c>
      <c r="B607" s="62" t="s">
        <v>32</v>
      </c>
      <c r="C607" s="62" t="s">
        <v>168</v>
      </c>
      <c r="D607" s="62">
        <v>6.0</v>
      </c>
      <c r="E607" s="62">
        <v>6.0</v>
      </c>
      <c r="F607" s="62">
        <v>2.0</v>
      </c>
      <c r="G607" s="62">
        <v>0.0</v>
      </c>
      <c r="H607" s="62">
        <v>3.0</v>
      </c>
      <c r="I607" s="62">
        <v>2.0</v>
      </c>
      <c r="J607" s="62">
        <v>4.0</v>
      </c>
      <c r="K607" s="62">
        <v>3.0</v>
      </c>
      <c r="L607" s="62">
        <v>0.0</v>
      </c>
      <c r="M607" s="62">
        <v>8.0</v>
      </c>
      <c r="N607" s="62">
        <v>8.0</v>
      </c>
      <c r="O607" s="62">
        <v>1.0</v>
      </c>
      <c r="P607" s="62">
        <v>8.0</v>
      </c>
      <c r="Q607" s="62">
        <v>0.0</v>
      </c>
      <c r="R607" s="62">
        <v>11824.0</v>
      </c>
      <c r="S607" s="62">
        <v>11824.0</v>
      </c>
      <c r="T607" s="62">
        <v>1.33805555555555</v>
      </c>
      <c r="U607" s="62">
        <v>0.4675</v>
      </c>
      <c r="V607" s="62">
        <v>0.0</v>
      </c>
      <c r="W607" s="62">
        <v>0.6825</v>
      </c>
      <c r="X607" s="62">
        <v>0.446111111111111</v>
      </c>
      <c r="Y607" s="62">
        <v>0.931111111111111</v>
      </c>
      <c r="Z607" s="62">
        <v>0.689166666666666</v>
      </c>
      <c r="AA607" s="62">
        <v>0.0</v>
      </c>
      <c r="AB607" s="62">
        <v>1.80722222222222</v>
      </c>
      <c r="AC607" s="62">
        <v>1.80722222222222</v>
      </c>
      <c r="AD607" s="62">
        <v>0.202222222222222</v>
      </c>
      <c r="AE607" s="62">
        <v>1.80722222222222</v>
      </c>
      <c r="AF607" s="62">
        <v>6.0</v>
      </c>
    </row>
    <row r="608">
      <c r="A608" s="68">
        <v>46121.0</v>
      </c>
      <c r="B608" s="62" t="s">
        <v>93</v>
      </c>
      <c r="C608" s="62" t="s">
        <v>182</v>
      </c>
      <c r="D608" s="62">
        <v>0.0</v>
      </c>
      <c r="E608" s="62">
        <v>0.0</v>
      </c>
      <c r="F608" s="62">
        <v>0.0</v>
      </c>
      <c r="G608" s="62">
        <v>1.0</v>
      </c>
      <c r="H608" s="62">
        <v>1.0</v>
      </c>
      <c r="I608" s="62">
        <v>0.0</v>
      </c>
      <c r="J608" s="62">
        <v>0.0</v>
      </c>
      <c r="K608" s="62">
        <v>2.0</v>
      </c>
      <c r="L608" s="62">
        <v>2.0</v>
      </c>
      <c r="M608" s="62">
        <v>1.0</v>
      </c>
      <c r="N608" s="62">
        <v>0.0</v>
      </c>
      <c r="O608" s="62">
        <v>0.0</v>
      </c>
      <c r="P608" s="62">
        <v>0.0</v>
      </c>
      <c r="Q608" s="62">
        <v>0.0</v>
      </c>
      <c r="R608" s="62">
        <v>0.0</v>
      </c>
      <c r="S608" s="62">
        <v>0.0</v>
      </c>
      <c r="T608" s="62">
        <v>1.32611111111111</v>
      </c>
      <c r="U608" s="62">
        <v>0.0</v>
      </c>
      <c r="V608" s="62">
        <v>0.214166666666666</v>
      </c>
      <c r="W608" s="62">
        <v>0.214166666666666</v>
      </c>
      <c r="X608" s="62">
        <v>0.0</v>
      </c>
      <c r="Y608" s="62">
        <v>0.0</v>
      </c>
      <c r="Z608" s="62">
        <v>0.446666666666666</v>
      </c>
      <c r="AA608" s="62">
        <v>0.452222222222222</v>
      </c>
      <c r="AB608" s="62">
        <v>0.248611111111111</v>
      </c>
      <c r="AC608" s="62">
        <v>0.0</v>
      </c>
      <c r="AD608" s="62">
        <v>0.0</v>
      </c>
      <c r="AE608" s="62">
        <v>0.0</v>
      </c>
      <c r="AF608" s="62">
        <v>5.0</v>
      </c>
    </row>
    <row r="609">
      <c r="A609" s="68">
        <v>46121.0</v>
      </c>
      <c r="B609" s="62" t="s">
        <v>65</v>
      </c>
      <c r="C609" s="62" t="s">
        <v>173</v>
      </c>
      <c r="D609" s="62">
        <v>4.0</v>
      </c>
      <c r="E609" s="62">
        <v>0.0</v>
      </c>
      <c r="F609" s="62">
        <v>1.0</v>
      </c>
      <c r="G609" s="62">
        <v>0.0</v>
      </c>
      <c r="H609" s="62">
        <v>5.0</v>
      </c>
      <c r="I609" s="62">
        <v>5.0</v>
      </c>
      <c r="J609" s="62">
        <v>0.0</v>
      </c>
      <c r="K609" s="62">
        <v>0.0</v>
      </c>
      <c r="L609" s="62">
        <v>0.0</v>
      </c>
      <c r="M609" s="62">
        <v>0.0</v>
      </c>
      <c r="N609" s="62">
        <v>0.0</v>
      </c>
      <c r="O609" s="62">
        <v>1.0</v>
      </c>
      <c r="P609" s="62">
        <v>0.0</v>
      </c>
      <c r="Q609" s="62">
        <v>0.0</v>
      </c>
      <c r="R609" s="62">
        <v>8048.0</v>
      </c>
      <c r="S609" s="62">
        <v>0.0</v>
      </c>
      <c r="T609" s="62">
        <v>0.669166666666666</v>
      </c>
      <c r="U609" s="62">
        <v>0.230833333333333</v>
      </c>
      <c r="V609" s="62">
        <v>0.0</v>
      </c>
      <c r="W609" s="62">
        <v>1.10833333333333</v>
      </c>
      <c r="X609" s="62">
        <v>1.10833333333333</v>
      </c>
      <c r="Y609" s="62">
        <v>0.0</v>
      </c>
      <c r="Z609" s="62">
        <v>0.0</v>
      </c>
      <c r="AA609" s="62">
        <v>0.0</v>
      </c>
      <c r="AB609" s="62">
        <v>0.0</v>
      </c>
      <c r="AC609" s="62">
        <v>0.0</v>
      </c>
      <c r="AD609" s="62">
        <v>0.222777777777777</v>
      </c>
      <c r="AE609" s="62">
        <v>0.0</v>
      </c>
      <c r="AF609" s="62">
        <v>3.0</v>
      </c>
    </row>
    <row r="610">
      <c r="A610" s="68">
        <v>46121.0</v>
      </c>
      <c r="B610" s="62" t="s">
        <v>37</v>
      </c>
      <c r="C610" s="62" t="s">
        <v>174</v>
      </c>
      <c r="D610" s="62">
        <v>0.0</v>
      </c>
      <c r="E610" s="62">
        <v>2.0</v>
      </c>
      <c r="F610" s="62">
        <v>3.0</v>
      </c>
      <c r="G610" s="62">
        <v>5.0</v>
      </c>
      <c r="H610" s="62">
        <v>5.0</v>
      </c>
      <c r="I610" s="62">
        <v>0.0</v>
      </c>
      <c r="J610" s="62">
        <v>5.0</v>
      </c>
      <c r="K610" s="62">
        <v>4.0</v>
      </c>
      <c r="L610" s="62">
        <v>0.0</v>
      </c>
      <c r="M610" s="62">
        <v>4.0</v>
      </c>
      <c r="N610" s="62">
        <v>0.0</v>
      </c>
      <c r="O610" s="62">
        <v>1.0</v>
      </c>
      <c r="P610" s="62">
        <v>0.0</v>
      </c>
      <c r="Q610" s="62">
        <v>0.0</v>
      </c>
      <c r="R610" s="62">
        <v>0.0</v>
      </c>
      <c r="S610" s="62">
        <v>4742.0</v>
      </c>
      <c r="T610" s="62">
        <v>0.780555555555555</v>
      </c>
      <c r="U610" s="62">
        <v>0.849444444444444</v>
      </c>
      <c r="V610" s="62">
        <v>1.4</v>
      </c>
      <c r="W610" s="62">
        <v>1.4</v>
      </c>
      <c r="X610" s="62">
        <v>0.0</v>
      </c>
      <c r="Y610" s="62">
        <v>1.4</v>
      </c>
      <c r="Z610" s="62">
        <v>1.13055555555555</v>
      </c>
      <c r="AA610" s="62">
        <v>0.0</v>
      </c>
      <c r="AB610" s="62">
        <v>1.11416666666666</v>
      </c>
      <c r="AC610" s="62">
        <v>0.0</v>
      </c>
      <c r="AD610" s="62">
        <v>0.276666666666666</v>
      </c>
      <c r="AE610" s="62">
        <v>0.0</v>
      </c>
      <c r="AF610" s="62">
        <v>3.0</v>
      </c>
    </row>
    <row r="611">
      <c r="A611" s="68">
        <v>46121.0</v>
      </c>
      <c r="B611" s="62" t="s">
        <v>56</v>
      </c>
      <c r="C611" s="62" t="s">
        <v>176</v>
      </c>
      <c r="D611" s="62">
        <v>0.0</v>
      </c>
      <c r="E611" s="62">
        <v>6.0</v>
      </c>
      <c r="F611" s="62">
        <v>0.0</v>
      </c>
      <c r="G611" s="62">
        <v>0.0</v>
      </c>
      <c r="H611" s="62">
        <v>0.0</v>
      </c>
      <c r="I611" s="62">
        <v>0.0</v>
      </c>
      <c r="J611" s="62">
        <v>0.0</v>
      </c>
      <c r="K611" s="62">
        <v>0.0</v>
      </c>
      <c r="L611" s="62">
        <v>0.0</v>
      </c>
      <c r="M611" s="62">
        <v>0.0</v>
      </c>
      <c r="N611" s="62">
        <v>0.0</v>
      </c>
      <c r="O611" s="62">
        <v>0.0</v>
      </c>
      <c r="P611" s="62">
        <v>0.0</v>
      </c>
      <c r="Q611" s="62">
        <v>0.0</v>
      </c>
      <c r="R611" s="62">
        <v>0.0</v>
      </c>
      <c r="S611" s="62">
        <v>13016.0</v>
      </c>
      <c r="T611" s="62">
        <v>0.0</v>
      </c>
      <c r="U611" s="62">
        <v>0.0</v>
      </c>
      <c r="V611" s="62">
        <v>0.0</v>
      </c>
      <c r="W611" s="62">
        <v>0.0</v>
      </c>
      <c r="X611" s="62">
        <v>0.0</v>
      </c>
      <c r="Y611" s="62">
        <v>0.0</v>
      </c>
      <c r="Z611" s="62">
        <v>0.0</v>
      </c>
      <c r="AA611" s="62">
        <v>0.0</v>
      </c>
      <c r="AB611" s="62">
        <v>0.0</v>
      </c>
      <c r="AC611" s="62">
        <v>0.0</v>
      </c>
      <c r="AD611" s="62">
        <v>0.0</v>
      </c>
      <c r="AE611" s="62">
        <v>0.0</v>
      </c>
      <c r="AF611" s="62">
        <v>0.0</v>
      </c>
    </row>
    <row r="612">
      <c r="A612" s="68">
        <v>46121.0</v>
      </c>
      <c r="B612" s="62" t="s">
        <v>91</v>
      </c>
      <c r="C612" s="62" t="s">
        <v>184</v>
      </c>
      <c r="D612" s="62">
        <v>0.0</v>
      </c>
      <c r="E612" s="62">
        <v>4.0</v>
      </c>
      <c r="F612" s="62">
        <v>0.0</v>
      </c>
      <c r="G612" s="62">
        <v>2.0</v>
      </c>
      <c r="H612" s="62">
        <v>6.0</v>
      </c>
      <c r="I612" s="62">
        <v>5.0</v>
      </c>
      <c r="J612" s="62">
        <v>3.0</v>
      </c>
      <c r="K612" s="62">
        <v>2.0</v>
      </c>
      <c r="L612" s="62">
        <v>1.0</v>
      </c>
      <c r="M612" s="62">
        <v>3.0</v>
      </c>
      <c r="N612" s="62">
        <v>2.0</v>
      </c>
      <c r="O612" s="62">
        <v>1.0</v>
      </c>
      <c r="P612" s="62">
        <v>2.0</v>
      </c>
      <c r="Q612" s="62">
        <v>0.0</v>
      </c>
      <c r="R612" s="62">
        <v>0.0</v>
      </c>
      <c r="S612" s="62">
        <v>9678.0</v>
      </c>
      <c r="T612" s="62">
        <v>0.948333333333333</v>
      </c>
      <c r="U612" s="62">
        <v>0.0</v>
      </c>
      <c r="V612" s="62">
        <v>0.424722222222222</v>
      </c>
      <c r="W612" s="62">
        <v>1.28805555555555</v>
      </c>
      <c r="X612" s="62">
        <v>1.08916666666666</v>
      </c>
      <c r="Y612" s="62">
        <v>0.630277777777777</v>
      </c>
      <c r="Z612" s="62">
        <v>0.387777777777777</v>
      </c>
      <c r="AA612" s="62">
        <v>0.188888888888888</v>
      </c>
      <c r="AB612" s="62">
        <v>0.55</v>
      </c>
      <c r="AC612" s="62">
        <v>0.351111111111111</v>
      </c>
      <c r="AD612" s="62">
        <v>0.139722222222222</v>
      </c>
      <c r="AE612" s="62">
        <v>0.351111111111111</v>
      </c>
      <c r="AF612" s="62">
        <v>5.0</v>
      </c>
    </row>
    <row r="613">
      <c r="A613" s="68">
        <v>46121.0</v>
      </c>
      <c r="B613" s="62" t="s">
        <v>84</v>
      </c>
      <c r="C613" s="62" t="s">
        <v>186</v>
      </c>
      <c r="D613" s="62">
        <v>0.0</v>
      </c>
      <c r="E613" s="62">
        <v>0.0</v>
      </c>
      <c r="F613" s="62">
        <v>0.0</v>
      </c>
      <c r="G613" s="62">
        <v>1.0</v>
      </c>
      <c r="H613" s="62">
        <v>1.0</v>
      </c>
      <c r="I613" s="62">
        <v>0.0</v>
      </c>
      <c r="J613" s="62">
        <v>1.0</v>
      </c>
      <c r="K613" s="62">
        <v>0.0</v>
      </c>
      <c r="L613" s="62">
        <v>0.0</v>
      </c>
      <c r="M613" s="62">
        <v>2.0</v>
      </c>
      <c r="N613" s="62">
        <v>2.0</v>
      </c>
      <c r="O613" s="62">
        <v>1.0</v>
      </c>
      <c r="P613" s="62">
        <v>2.0</v>
      </c>
      <c r="Q613" s="62">
        <v>0.0</v>
      </c>
      <c r="R613" s="62">
        <v>0.0</v>
      </c>
      <c r="S613" s="62">
        <v>0.0</v>
      </c>
      <c r="T613" s="62">
        <v>0.0</v>
      </c>
      <c r="U613" s="62">
        <v>0.0</v>
      </c>
      <c r="V613" s="62">
        <v>0.225277777777777</v>
      </c>
      <c r="W613" s="62">
        <v>0.225277777777777</v>
      </c>
      <c r="X613" s="62">
        <v>0.0</v>
      </c>
      <c r="Y613" s="62">
        <v>0.225277777777777</v>
      </c>
      <c r="Z613" s="62">
        <v>0.0</v>
      </c>
      <c r="AA613" s="62">
        <v>0.0</v>
      </c>
      <c r="AB613" s="62">
        <v>0.507777777777777</v>
      </c>
      <c r="AC613" s="62">
        <v>0.507777777777777</v>
      </c>
      <c r="AD613" s="62">
        <v>0.256944444444444</v>
      </c>
      <c r="AE613" s="62">
        <v>0.507777777777777</v>
      </c>
      <c r="AF613" s="62">
        <v>0.0</v>
      </c>
    </row>
    <row r="614">
      <c r="A614" s="68">
        <v>46121.0</v>
      </c>
      <c r="B614" s="62" t="s">
        <v>26</v>
      </c>
      <c r="C614" s="62" t="s">
        <v>178</v>
      </c>
      <c r="D614" s="62">
        <v>19.0</v>
      </c>
      <c r="E614" s="62">
        <v>2.0</v>
      </c>
      <c r="F614" s="62">
        <v>0.0</v>
      </c>
      <c r="G614" s="62">
        <v>1.0</v>
      </c>
      <c r="H614" s="62">
        <v>2.0</v>
      </c>
      <c r="I614" s="62">
        <v>2.0</v>
      </c>
      <c r="J614" s="62">
        <v>8.0</v>
      </c>
      <c r="K614" s="62">
        <v>0.0</v>
      </c>
      <c r="L614" s="62">
        <v>0.0</v>
      </c>
      <c r="M614" s="62">
        <v>5.0</v>
      </c>
      <c r="N614" s="62">
        <v>2.0</v>
      </c>
      <c r="O614" s="62">
        <v>1.0</v>
      </c>
      <c r="P614" s="62">
        <v>2.0</v>
      </c>
      <c r="Q614" s="62">
        <v>0.0</v>
      </c>
      <c r="R614" s="62">
        <v>41482.0</v>
      </c>
      <c r="S614" s="62">
        <v>4804.0</v>
      </c>
      <c r="T614" s="62">
        <v>1.21166666666666</v>
      </c>
      <c r="U614" s="62">
        <v>0.0</v>
      </c>
      <c r="V614" s="62">
        <v>0.168888888888888</v>
      </c>
      <c r="W614" s="62">
        <v>0.407777777777777</v>
      </c>
      <c r="X614" s="62">
        <v>0.407777777777777</v>
      </c>
      <c r="Y614" s="62">
        <v>1.58944444444444</v>
      </c>
      <c r="Z614" s="62">
        <v>0.0</v>
      </c>
      <c r="AA614" s="62">
        <v>0.0</v>
      </c>
      <c r="AB614" s="62">
        <v>0.998888888888888</v>
      </c>
      <c r="AC614" s="62">
        <v>0.4175</v>
      </c>
      <c r="AD614" s="62">
        <v>0.197222222222222</v>
      </c>
      <c r="AE614" s="62">
        <v>0.4175</v>
      </c>
      <c r="AF614" s="62">
        <v>6.0</v>
      </c>
    </row>
    <row r="615">
      <c r="A615" s="68">
        <v>46121.0</v>
      </c>
      <c r="B615" s="62" t="s">
        <v>62</v>
      </c>
      <c r="C615" s="62" t="s">
        <v>63</v>
      </c>
      <c r="D615" s="62">
        <v>3.0</v>
      </c>
      <c r="E615" s="62">
        <v>0.0</v>
      </c>
      <c r="F615" s="62">
        <v>0.0</v>
      </c>
      <c r="G615" s="62">
        <v>0.0</v>
      </c>
      <c r="H615" s="62">
        <v>0.0</v>
      </c>
      <c r="I615" s="62">
        <v>0.0</v>
      </c>
      <c r="J615" s="62">
        <v>3.0</v>
      </c>
      <c r="K615" s="62">
        <v>1.0</v>
      </c>
      <c r="L615" s="62">
        <v>0.0</v>
      </c>
      <c r="M615" s="62">
        <v>4.0</v>
      </c>
      <c r="N615" s="62">
        <v>0.0</v>
      </c>
      <c r="O615" s="62">
        <v>2.0</v>
      </c>
      <c r="P615" s="62">
        <v>0.0</v>
      </c>
      <c r="Q615" s="62">
        <v>0.0</v>
      </c>
      <c r="R615" s="62">
        <v>7160.0</v>
      </c>
      <c r="S615" s="62">
        <v>0.0</v>
      </c>
      <c r="T615" s="62">
        <v>0.856388888888888</v>
      </c>
      <c r="U615" s="62">
        <v>0.0</v>
      </c>
      <c r="V615" s="62">
        <v>0.0</v>
      </c>
      <c r="W615" s="62">
        <v>0.0</v>
      </c>
      <c r="X615" s="62">
        <v>0.0</v>
      </c>
      <c r="Y615" s="62">
        <v>0.649166666666666</v>
      </c>
      <c r="Z615" s="62">
        <v>0.215833333333333</v>
      </c>
      <c r="AA615" s="62">
        <v>0.0</v>
      </c>
      <c r="AB615" s="62">
        <v>0.864444444444444</v>
      </c>
      <c r="AC615" s="62">
        <v>0.0</v>
      </c>
      <c r="AD615" s="62">
        <v>0.423055555555555</v>
      </c>
      <c r="AE615" s="62">
        <v>0.0</v>
      </c>
      <c r="AF615" s="62">
        <v>4.0</v>
      </c>
    </row>
    <row r="616">
      <c r="A616" s="68">
        <v>46120.0</v>
      </c>
      <c r="B616" s="62" t="s">
        <v>98</v>
      </c>
      <c r="C616" s="62" t="s">
        <v>183</v>
      </c>
      <c r="D616" s="62">
        <v>1.0</v>
      </c>
      <c r="E616" s="62">
        <v>0.0</v>
      </c>
      <c r="F616" s="62">
        <v>1.0</v>
      </c>
      <c r="G616" s="62">
        <v>0.0</v>
      </c>
      <c r="H616" s="62">
        <v>2.0</v>
      </c>
      <c r="I616" s="62">
        <v>2.0</v>
      </c>
      <c r="J616" s="62">
        <v>2.0</v>
      </c>
      <c r="K616" s="62">
        <v>2.0</v>
      </c>
      <c r="L616" s="62">
        <v>2.0</v>
      </c>
      <c r="M616" s="62">
        <v>2.0</v>
      </c>
      <c r="N616" s="62">
        <v>1.0</v>
      </c>
      <c r="O616" s="62">
        <v>1.0</v>
      </c>
      <c r="P616" s="62">
        <v>1.0</v>
      </c>
      <c r="Q616" s="62">
        <v>0.0</v>
      </c>
      <c r="R616" s="62">
        <v>2460.0</v>
      </c>
      <c r="S616" s="62">
        <v>0.0</v>
      </c>
      <c r="T616" s="62">
        <v>0.692777777777777</v>
      </c>
      <c r="U616" s="62">
        <v>0.223333333333333</v>
      </c>
      <c r="V616" s="62">
        <v>0.0</v>
      </c>
      <c r="W616" s="62">
        <v>0.469444444444444</v>
      </c>
      <c r="X616" s="62">
        <v>0.469444444444444</v>
      </c>
      <c r="Y616" s="62">
        <v>0.473333333333333</v>
      </c>
      <c r="Z616" s="62">
        <v>0.443888888888888</v>
      </c>
      <c r="AA616" s="62">
        <v>0.443888888888888</v>
      </c>
      <c r="AB616" s="62">
        <v>0.429722222222222</v>
      </c>
      <c r="AC616" s="62">
        <v>0.226111111111111</v>
      </c>
      <c r="AD616" s="62">
        <v>0.226111111111111</v>
      </c>
      <c r="AE616" s="62">
        <v>0.226111111111111</v>
      </c>
      <c r="AF616" s="62">
        <v>3.0</v>
      </c>
    </row>
    <row r="617">
      <c r="A617" s="68">
        <v>46120.0</v>
      </c>
      <c r="B617" s="62" t="s">
        <v>71</v>
      </c>
      <c r="C617" s="62" t="s">
        <v>163</v>
      </c>
      <c r="D617" s="62">
        <v>1.0</v>
      </c>
      <c r="E617" s="62">
        <v>0.0</v>
      </c>
      <c r="F617" s="62">
        <v>2.0</v>
      </c>
      <c r="G617" s="62">
        <v>5.0</v>
      </c>
      <c r="H617" s="62">
        <v>5.0</v>
      </c>
      <c r="I617" s="62">
        <v>0.0</v>
      </c>
      <c r="J617" s="62">
        <v>5.0</v>
      </c>
      <c r="K617" s="62">
        <v>2.0</v>
      </c>
      <c r="L617" s="62">
        <v>0.0</v>
      </c>
      <c r="M617" s="62">
        <v>1.0</v>
      </c>
      <c r="N617" s="62">
        <v>1.0</v>
      </c>
      <c r="O617" s="62">
        <v>1.0</v>
      </c>
      <c r="P617" s="62">
        <v>1.0</v>
      </c>
      <c r="Q617" s="62">
        <v>0.0</v>
      </c>
      <c r="R617" s="62">
        <v>2678.0</v>
      </c>
      <c r="S617" s="62">
        <v>0.0</v>
      </c>
      <c r="T617" s="62">
        <v>0.548333333333333</v>
      </c>
      <c r="U617" s="62">
        <v>0.548333333333333</v>
      </c>
      <c r="V617" s="62">
        <v>1.22472222222222</v>
      </c>
      <c r="W617" s="62">
        <v>1.22472222222222</v>
      </c>
      <c r="X617" s="62">
        <v>0.0</v>
      </c>
      <c r="Y617" s="62">
        <v>1.22472222222222</v>
      </c>
      <c r="Z617" s="62">
        <v>0.479166666666666</v>
      </c>
      <c r="AA617" s="62">
        <v>0.0</v>
      </c>
      <c r="AB617" s="62">
        <v>0.245277777777777</v>
      </c>
      <c r="AC617" s="62">
        <v>0.245277777777777</v>
      </c>
      <c r="AD617" s="62">
        <v>0.269166666666666</v>
      </c>
      <c r="AE617" s="62">
        <v>0.245277777777777</v>
      </c>
      <c r="AF617" s="62">
        <v>2.0</v>
      </c>
    </row>
    <row r="618">
      <c r="A618" s="68">
        <v>46120.0</v>
      </c>
      <c r="B618" s="62" t="s">
        <v>76</v>
      </c>
      <c r="C618" s="62" t="s">
        <v>165</v>
      </c>
      <c r="D618" s="62">
        <v>0.0</v>
      </c>
      <c r="E618" s="62">
        <v>0.0</v>
      </c>
      <c r="F618" s="62">
        <v>4.0</v>
      </c>
      <c r="G618" s="62">
        <v>4.0</v>
      </c>
      <c r="H618" s="62">
        <v>4.0</v>
      </c>
      <c r="I618" s="62">
        <v>0.0</v>
      </c>
      <c r="J618" s="62">
        <v>0.0</v>
      </c>
      <c r="K618" s="62">
        <v>1.0</v>
      </c>
      <c r="L618" s="62">
        <v>1.0</v>
      </c>
      <c r="M618" s="62">
        <v>5.0</v>
      </c>
      <c r="N618" s="62">
        <v>7.0</v>
      </c>
      <c r="O618" s="62">
        <v>1.0</v>
      </c>
      <c r="P618" s="62">
        <v>7.0</v>
      </c>
      <c r="Q618" s="62">
        <v>0.0</v>
      </c>
      <c r="R618" s="62">
        <v>0.0</v>
      </c>
      <c r="S618" s="62">
        <v>0.0</v>
      </c>
      <c r="T618" s="62">
        <v>1.1025</v>
      </c>
      <c r="U618" s="62">
        <v>1.1025</v>
      </c>
      <c r="V618" s="62">
        <v>1.22638888888888</v>
      </c>
      <c r="W618" s="62">
        <v>1.22638888888888</v>
      </c>
      <c r="X618" s="62">
        <v>0.0</v>
      </c>
      <c r="Y618" s="62">
        <v>0.0</v>
      </c>
      <c r="Z618" s="62">
        <v>0.277777777777777</v>
      </c>
      <c r="AA618" s="62">
        <v>0.286944444444444</v>
      </c>
      <c r="AB618" s="62">
        <v>1.48083333333333</v>
      </c>
      <c r="AC618" s="62">
        <v>2.14222222222222</v>
      </c>
      <c r="AD618" s="62">
        <v>0.252777777777777</v>
      </c>
      <c r="AE618" s="62">
        <v>2.14222222222222</v>
      </c>
      <c r="AF618" s="62">
        <v>4.0</v>
      </c>
    </row>
    <row r="619">
      <c r="A619" s="68">
        <v>46120.0</v>
      </c>
      <c r="B619" s="62" t="s">
        <v>104</v>
      </c>
      <c r="C619" s="62" t="s">
        <v>166</v>
      </c>
      <c r="D619" s="62">
        <v>0.0</v>
      </c>
      <c r="E619" s="62">
        <v>1.0</v>
      </c>
      <c r="F619" s="62">
        <v>2.0</v>
      </c>
      <c r="G619" s="62">
        <v>2.0</v>
      </c>
      <c r="H619" s="62">
        <v>2.0</v>
      </c>
      <c r="I619" s="62">
        <v>0.0</v>
      </c>
      <c r="J619" s="62">
        <v>4.0</v>
      </c>
      <c r="K619" s="62">
        <v>0.0</v>
      </c>
      <c r="L619" s="62">
        <v>0.0</v>
      </c>
      <c r="M619" s="62">
        <v>3.0</v>
      </c>
      <c r="N619" s="62">
        <v>0.0</v>
      </c>
      <c r="O619" s="62">
        <v>1.0</v>
      </c>
      <c r="P619" s="62">
        <v>0.0</v>
      </c>
      <c r="Q619" s="62">
        <v>0.0</v>
      </c>
      <c r="R619" s="62">
        <v>0.0</v>
      </c>
      <c r="S619" s="62">
        <v>2473.0</v>
      </c>
      <c r="T619" s="62">
        <v>0.426944444444444</v>
      </c>
      <c r="U619" s="62">
        <v>0.426944444444444</v>
      </c>
      <c r="V619" s="62">
        <v>0.395</v>
      </c>
      <c r="W619" s="62">
        <v>0.395</v>
      </c>
      <c r="X619" s="62">
        <v>0.0</v>
      </c>
      <c r="Y619" s="62">
        <v>0.698333333333333</v>
      </c>
      <c r="Z619" s="62">
        <v>0.0</v>
      </c>
      <c r="AA619" s="62">
        <v>0.0</v>
      </c>
      <c r="AB619" s="62">
        <v>0.520277777777777</v>
      </c>
      <c r="AC619" s="62">
        <v>0.0</v>
      </c>
      <c r="AD619" s="62">
        <v>0.210555555555555</v>
      </c>
      <c r="AE619" s="62">
        <v>0.0</v>
      </c>
      <c r="AF619" s="62">
        <v>2.0</v>
      </c>
    </row>
    <row r="620">
      <c r="A620" s="68">
        <v>46120.0</v>
      </c>
      <c r="B620" s="62" t="s">
        <v>32</v>
      </c>
      <c r="C620" s="62" t="s">
        <v>168</v>
      </c>
      <c r="D620" s="62">
        <v>3.0</v>
      </c>
      <c r="E620" s="62">
        <v>3.0</v>
      </c>
      <c r="F620" s="62">
        <v>0.0</v>
      </c>
      <c r="G620" s="62">
        <v>0.0</v>
      </c>
      <c r="H620" s="62">
        <v>4.0</v>
      </c>
      <c r="I620" s="62">
        <v>3.0</v>
      </c>
      <c r="J620" s="62">
        <v>5.0</v>
      </c>
      <c r="K620" s="62">
        <v>0.0</v>
      </c>
      <c r="L620" s="62">
        <v>0.0</v>
      </c>
      <c r="M620" s="62">
        <v>1.0</v>
      </c>
      <c r="N620" s="62">
        <v>4.0</v>
      </c>
      <c r="O620" s="62">
        <v>1.0</v>
      </c>
      <c r="P620" s="62">
        <v>4.0</v>
      </c>
      <c r="Q620" s="62">
        <v>0.0</v>
      </c>
      <c r="R620" s="62">
        <v>7253.0</v>
      </c>
      <c r="S620" s="62">
        <v>7253.0</v>
      </c>
      <c r="T620" s="62">
        <v>1.15555555555555</v>
      </c>
      <c r="U620" s="62">
        <v>0.0</v>
      </c>
      <c r="V620" s="62">
        <v>0.0</v>
      </c>
      <c r="W620" s="62">
        <v>0.915277777777777</v>
      </c>
      <c r="X620" s="62">
        <v>0.693611111111111</v>
      </c>
      <c r="Y620" s="62">
        <v>1.11805555555555</v>
      </c>
      <c r="Z620" s="62">
        <v>0.0</v>
      </c>
      <c r="AA620" s="62">
        <v>0.0</v>
      </c>
      <c r="AB620" s="62">
        <v>0.2375</v>
      </c>
      <c r="AC620" s="62">
        <v>0.925833333333333</v>
      </c>
      <c r="AD620" s="62">
        <v>0.211666666666666</v>
      </c>
      <c r="AE620" s="62">
        <v>0.925833333333333</v>
      </c>
      <c r="AF620" s="62">
        <v>5.0</v>
      </c>
    </row>
    <row r="621">
      <c r="A621" s="68">
        <v>46120.0</v>
      </c>
      <c r="B621" s="62" t="s">
        <v>93</v>
      </c>
      <c r="C621" s="62" t="s">
        <v>182</v>
      </c>
      <c r="D621" s="62">
        <v>0.0</v>
      </c>
      <c r="E621" s="62">
        <v>0.0</v>
      </c>
      <c r="F621" s="62">
        <v>0.0</v>
      </c>
      <c r="G621" s="62">
        <v>4.0</v>
      </c>
      <c r="H621" s="62">
        <v>4.0</v>
      </c>
      <c r="I621" s="62">
        <v>0.0</v>
      </c>
      <c r="J621" s="62">
        <v>3.0</v>
      </c>
      <c r="K621" s="62">
        <v>0.0</v>
      </c>
      <c r="L621" s="62">
        <v>0.0</v>
      </c>
      <c r="M621" s="62">
        <v>1.0</v>
      </c>
      <c r="N621" s="62">
        <v>1.0</v>
      </c>
      <c r="O621" s="62">
        <v>1.0</v>
      </c>
      <c r="P621" s="62">
        <v>1.0</v>
      </c>
      <c r="Q621" s="62">
        <v>0.0</v>
      </c>
      <c r="R621" s="62">
        <v>0.0</v>
      </c>
      <c r="S621" s="62">
        <v>0.0</v>
      </c>
      <c r="T621" s="62">
        <v>0.0</v>
      </c>
      <c r="U621" s="62">
        <v>0.0</v>
      </c>
      <c r="V621" s="62">
        <v>0.983333333333333</v>
      </c>
      <c r="W621" s="62">
        <v>0.983333333333333</v>
      </c>
      <c r="X621" s="62">
        <v>0.0</v>
      </c>
      <c r="Y621" s="62">
        <v>0.703055555555555</v>
      </c>
      <c r="Z621" s="62">
        <v>0.0</v>
      </c>
      <c r="AA621" s="62">
        <v>0.0</v>
      </c>
      <c r="AB621" s="62">
        <v>0.23</v>
      </c>
      <c r="AC621" s="62">
        <v>0.32</v>
      </c>
      <c r="AD621" s="62">
        <v>0.32</v>
      </c>
      <c r="AE621" s="62">
        <v>0.32</v>
      </c>
      <c r="AF621" s="62">
        <v>0.0</v>
      </c>
    </row>
    <row r="622">
      <c r="A622" s="68">
        <v>46120.0</v>
      </c>
      <c r="B622" s="62" t="s">
        <v>65</v>
      </c>
      <c r="C622" s="62" t="s">
        <v>173</v>
      </c>
      <c r="D622" s="62">
        <v>3.0</v>
      </c>
      <c r="E622" s="62">
        <v>1.0</v>
      </c>
      <c r="F622" s="62">
        <v>0.0</v>
      </c>
      <c r="G622" s="62">
        <v>0.0</v>
      </c>
      <c r="H622" s="62">
        <v>0.0</v>
      </c>
      <c r="I622" s="62">
        <v>0.0</v>
      </c>
      <c r="J622" s="62">
        <v>0.0</v>
      </c>
      <c r="K622" s="62">
        <v>0.0</v>
      </c>
      <c r="L622" s="62">
        <v>0.0</v>
      </c>
      <c r="M622" s="62">
        <v>0.0</v>
      </c>
      <c r="N622" s="62">
        <v>0.0</v>
      </c>
      <c r="O622" s="62">
        <v>1.0</v>
      </c>
      <c r="P622" s="62">
        <v>0.0</v>
      </c>
      <c r="Q622" s="62">
        <v>0.0</v>
      </c>
      <c r="R622" s="62">
        <v>6446.0</v>
      </c>
      <c r="S622" s="62">
        <v>2230.0</v>
      </c>
      <c r="T622" s="62">
        <v>0.0</v>
      </c>
      <c r="U622" s="62">
        <v>0.0</v>
      </c>
      <c r="V622" s="62">
        <v>0.0</v>
      </c>
      <c r="W622" s="62">
        <v>0.0</v>
      </c>
      <c r="X622" s="62">
        <v>0.0</v>
      </c>
      <c r="Y622" s="62">
        <v>0.0</v>
      </c>
      <c r="Z622" s="62">
        <v>0.0</v>
      </c>
      <c r="AA622" s="62">
        <v>0.0</v>
      </c>
      <c r="AB622" s="62">
        <v>0.0</v>
      </c>
      <c r="AC622" s="62">
        <v>0.0</v>
      </c>
      <c r="AD622" s="62">
        <v>0.246666666666666</v>
      </c>
      <c r="AE622" s="62">
        <v>0.0</v>
      </c>
      <c r="AF622" s="62">
        <v>0.0</v>
      </c>
    </row>
    <row r="623">
      <c r="A623" s="68">
        <v>46120.0</v>
      </c>
      <c r="B623" s="62" t="s">
        <v>37</v>
      </c>
      <c r="C623" s="62" t="s">
        <v>174</v>
      </c>
      <c r="D623" s="62">
        <v>0.0</v>
      </c>
      <c r="E623" s="62">
        <v>0.0</v>
      </c>
      <c r="F623" s="62">
        <v>2.0</v>
      </c>
      <c r="G623" s="62">
        <v>2.0</v>
      </c>
      <c r="H623" s="62">
        <v>2.0</v>
      </c>
      <c r="I623" s="62">
        <v>0.0</v>
      </c>
      <c r="J623" s="62">
        <v>3.0</v>
      </c>
      <c r="K623" s="62">
        <v>2.0</v>
      </c>
      <c r="L623" s="62">
        <v>0.0</v>
      </c>
      <c r="M623" s="62">
        <v>2.0</v>
      </c>
      <c r="N623" s="62">
        <v>7.0</v>
      </c>
      <c r="O623" s="62">
        <v>1.0</v>
      </c>
      <c r="P623" s="62">
        <v>7.0</v>
      </c>
      <c r="Q623" s="62">
        <v>0.0</v>
      </c>
      <c r="R623" s="62">
        <v>0.0</v>
      </c>
      <c r="S623" s="62">
        <v>0.0</v>
      </c>
      <c r="T623" s="62">
        <v>0.849444444444444</v>
      </c>
      <c r="U623" s="62">
        <v>0.598055555555555</v>
      </c>
      <c r="V623" s="62">
        <v>0.58</v>
      </c>
      <c r="W623" s="62">
        <v>0.58</v>
      </c>
      <c r="X623" s="62">
        <v>0.0</v>
      </c>
      <c r="Y623" s="62">
        <v>0.852222222222222</v>
      </c>
      <c r="Z623" s="62">
        <v>0.555555555555555</v>
      </c>
      <c r="AA623" s="62">
        <v>0.0</v>
      </c>
      <c r="AB623" s="62">
        <v>0.555555555555555</v>
      </c>
      <c r="AC623" s="62">
        <v>2.03861111111111</v>
      </c>
      <c r="AD623" s="62">
        <v>0.284722222222222</v>
      </c>
      <c r="AE623" s="62">
        <v>2.03861111111111</v>
      </c>
      <c r="AF623" s="62">
        <v>3.0</v>
      </c>
    </row>
    <row r="624">
      <c r="A624" s="68">
        <v>46120.0</v>
      </c>
      <c r="B624" s="62" t="s">
        <v>56</v>
      </c>
      <c r="C624" s="62" t="s">
        <v>176</v>
      </c>
      <c r="D624" s="62">
        <v>6.0</v>
      </c>
      <c r="E624" s="62">
        <v>0.0</v>
      </c>
      <c r="F624" s="62">
        <v>0.0</v>
      </c>
      <c r="G624" s="62">
        <v>0.0</v>
      </c>
      <c r="H624" s="62">
        <v>0.0</v>
      </c>
      <c r="I624" s="62">
        <v>0.0</v>
      </c>
      <c r="J624" s="62">
        <v>0.0</v>
      </c>
      <c r="K624" s="62">
        <v>0.0</v>
      </c>
      <c r="L624" s="62">
        <v>0.0</v>
      </c>
      <c r="M624" s="62">
        <v>0.0</v>
      </c>
      <c r="N624" s="62">
        <v>0.0</v>
      </c>
      <c r="O624" s="62">
        <v>0.0</v>
      </c>
      <c r="P624" s="62">
        <v>0.0</v>
      </c>
      <c r="Q624" s="62">
        <v>0.0</v>
      </c>
      <c r="R624" s="62">
        <v>12677.0</v>
      </c>
      <c r="S624" s="62">
        <v>0.0</v>
      </c>
      <c r="T624" s="62">
        <v>0.0</v>
      </c>
      <c r="U624" s="62">
        <v>0.0</v>
      </c>
      <c r="V624" s="62">
        <v>0.0</v>
      </c>
      <c r="W624" s="62">
        <v>0.0</v>
      </c>
      <c r="X624" s="62">
        <v>0.0</v>
      </c>
      <c r="Y624" s="62">
        <v>0.0</v>
      </c>
      <c r="Z624" s="62">
        <v>0.0</v>
      </c>
      <c r="AA624" s="62">
        <v>0.0</v>
      </c>
      <c r="AB624" s="62">
        <v>0.0</v>
      </c>
      <c r="AC624" s="62">
        <v>0.0</v>
      </c>
      <c r="AD624" s="62">
        <v>0.0</v>
      </c>
      <c r="AE624" s="62">
        <v>0.0</v>
      </c>
      <c r="AF624" s="62">
        <v>0.0</v>
      </c>
    </row>
    <row r="625">
      <c r="A625" s="68">
        <v>46120.0</v>
      </c>
      <c r="B625" s="62" t="s">
        <v>91</v>
      </c>
      <c r="C625" s="62" t="s">
        <v>184</v>
      </c>
      <c r="D625" s="62">
        <v>0.0</v>
      </c>
      <c r="E625" s="62">
        <v>2.0</v>
      </c>
      <c r="F625" s="62">
        <v>0.0</v>
      </c>
      <c r="G625" s="62">
        <v>3.0</v>
      </c>
      <c r="H625" s="62">
        <v>3.0</v>
      </c>
      <c r="I625" s="62">
        <v>0.0</v>
      </c>
      <c r="J625" s="62">
        <v>3.0</v>
      </c>
      <c r="K625" s="62">
        <v>3.0</v>
      </c>
      <c r="L625" s="62">
        <v>2.0</v>
      </c>
      <c r="M625" s="62">
        <v>4.0</v>
      </c>
      <c r="N625" s="62">
        <v>12.0</v>
      </c>
      <c r="O625" s="62">
        <v>1.0</v>
      </c>
      <c r="P625" s="62">
        <v>12.0</v>
      </c>
      <c r="Q625" s="62">
        <v>0.0</v>
      </c>
      <c r="R625" s="62">
        <v>0.0</v>
      </c>
      <c r="S625" s="62">
        <v>4226.0</v>
      </c>
      <c r="T625" s="62">
        <v>0.0</v>
      </c>
      <c r="U625" s="62">
        <v>0.0</v>
      </c>
      <c r="V625" s="62">
        <v>0.508055555555555</v>
      </c>
      <c r="W625" s="62">
        <v>0.508055555555555</v>
      </c>
      <c r="X625" s="62">
        <v>0.0</v>
      </c>
      <c r="Y625" s="62">
        <v>0.508055555555555</v>
      </c>
      <c r="Z625" s="62">
        <v>0.465833333333333</v>
      </c>
      <c r="AA625" s="62">
        <v>0.308888888888888</v>
      </c>
      <c r="AB625" s="62">
        <v>0.621666666666666</v>
      </c>
      <c r="AC625" s="62">
        <v>1.79972222222222</v>
      </c>
      <c r="AD625" s="62">
        <v>0.184166666666666</v>
      </c>
      <c r="AE625" s="62">
        <v>1.79972222222222</v>
      </c>
      <c r="AF625" s="62">
        <v>0.0</v>
      </c>
    </row>
    <row r="626">
      <c r="A626" s="68">
        <v>46120.0</v>
      </c>
      <c r="B626" s="62" t="s">
        <v>84</v>
      </c>
      <c r="C626" s="62" t="s">
        <v>186</v>
      </c>
      <c r="D626" s="62">
        <v>0.0</v>
      </c>
      <c r="E626" s="62">
        <v>0.0</v>
      </c>
      <c r="F626" s="62">
        <v>2.0</v>
      </c>
      <c r="G626" s="62">
        <v>0.0</v>
      </c>
      <c r="H626" s="62">
        <v>0.0</v>
      </c>
      <c r="I626" s="62">
        <v>0.0</v>
      </c>
      <c r="J626" s="62">
        <v>1.0</v>
      </c>
      <c r="K626" s="62">
        <v>2.0</v>
      </c>
      <c r="L626" s="62">
        <v>0.0</v>
      </c>
      <c r="M626" s="62">
        <v>0.0</v>
      </c>
      <c r="N626" s="62">
        <v>0.0</v>
      </c>
      <c r="O626" s="62">
        <v>1.0</v>
      </c>
      <c r="P626" s="62">
        <v>0.0</v>
      </c>
      <c r="Q626" s="62">
        <v>0.0</v>
      </c>
      <c r="R626" s="62">
        <v>0.0</v>
      </c>
      <c r="S626" s="62">
        <v>0.0</v>
      </c>
      <c r="T626" s="62">
        <v>0.0</v>
      </c>
      <c r="U626" s="62">
        <v>0.433611111111111</v>
      </c>
      <c r="V626" s="62">
        <v>0.0</v>
      </c>
      <c r="W626" s="62">
        <v>0.0</v>
      </c>
      <c r="X626" s="62">
        <v>0.0</v>
      </c>
      <c r="Y626" s="62">
        <v>0.249444444444444</v>
      </c>
      <c r="Z626" s="62">
        <v>0.507777777777777</v>
      </c>
      <c r="AA626" s="62">
        <v>0.0</v>
      </c>
      <c r="AB626" s="62">
        <v>0.0</v>
      </c>
      <c r="AC626" s="62">
        <v>0.0</v>
      </c>
      <c r="AD626" s="62">
        <v>0.236944444444444</v>
      </c>
      <c r="AE626" s="62">
        <v>0.0</v>
      </c>
      <c r="AF626" s="62">
        <v>0.0</v>
      </c>
    </row>
    <row r="627">
      <c r="A627" s="68">
        <v>46120.0</v>
      </c>
      <c r="B627" s="62" t="s">
        <v>26</v>
      </c>
      <c r="C627" s="62" t="s">
        <v>178</v>
      </c>
      <c r="D627" s="62">
        <v>0.0</v>
      </c>
      <c r="E627" s="62">
        <v>9.0</v>
      </c>
      <c r="F627" s="62">
        <v>3.0</v>
      </c>
      <c r="G627" s="62">
        <v>3.0</v>
      </c>
      <c r="H627" s="62">
        <v>11.0</v>
      </c>
      <c r="I627" s="62">
        <v>8.0</v>
      </c>
      <c r="J627" s="62">
        <v>4.0</v>
      </c>
      <c r="K627" s="62">
        <v>1.0</v>
      </c>
      <c r="L627" s="62">
        <v>1.0</v>
      </c>
      <c r="M627" s="62">
        <v>7.0</v>
      </c>
      <c r="N627" s="62">
        <v>10.0</v>
      </c>
      <c r="O627" s="62">
        <v>1.0</v>
      </c>
      <c r="P627" s="62">
        <v>10.0</v>
      </c>
      <c r="Q627" s="62">
        <v>0.0</v>
      </c>
      <c r="R627" s="62">
        <v>0.0</v>
      </c>
      <c r="S627" s="62">
        <v>20821.0</v>
      </c>
      <c r="T627" s="62">
        <v>1.38361111111111</v>
      </c>
      <c r="U627" s="62">
        <v>0.538888888888888</v>
      </c>
      <c r="V627" s="62">
        <v>0.604444444444444</v>
      </c>
      <c r="W627" s="62">
        <v>2.1525</v>
      </c>
      <c r="X627" s="62">
        <v>1.54805555555555</v>
      </c>
      <c r="Y627" s="62">
        <v>0.774444444444444</v>
      </c>
      <c r="Z627" s="62">
        <v>0.201944444444444</v>
      </c>
      <c r="AA627" s="62">
        <v>0.201944444444444</v>
      </c>
      <c r="AB627" s="62">
        <v>1.37388888888888</v>
      </c>
      <c r="AC627" s="62">
        <v>1.89333333333333</v>
      </c>
      <c r="AD627" s="62">
        <v>0.178055555555555</v>
      </c>
      <c r="AE627" s="62">
        <v>1.89333333333333</v>
      </c>
      <c r="AF627" s="62">
        <v>7.0</v>
      </c>
    </row>
    <row r="628">
      <c r="A628" s="68">
        <v>46120.0</v>
      </c>
      <c r="B628" s="62" t="s">
        <v>62</v>
      </c>
      <c r="C628" s="62" t="s">
        <v>63</v>
      </c>
      <c r="D628" s="62">
        <v>3.0</v>
      </c>
      <c r="E628" s="62">
        <v>0.0</v>
      </c>
      <c r="F628" s="62">
        <v>0.0</v>
      </c>
      <c r="G628" s="62">
        <v>0.0</v>
      </c>
      <c r="H628" s="62">
        <v>3.0</v>
      </c>
      <c r="I628" s="62">
        <v>3.0</v>
      </c>
      <c r="J628" s="62">
        <v>2.0</v>
      </c>
      <c r="K628" s="62">
        <v>1.0</v>
      </c>
      <c r="L628" s="62">
        <v>0.0</v>
      </c>
      <c r="M628" s="62">
        <v>1.0</v>
      </c>
      <c r="N628" s="62">
        <v>2.0</v>
      </c>
      <c r="O628" s="62">
        <v>1.0</v>
      </c>
      <c r="P628" s="62">
        <v>2.0</v>
      </c>
      <c r="Q628" s="62">
        <v>0.0</v>
      </c>
      <c r="R628" s="62">
        <v>7936.0</v>
      </c>
      <c r="S628" s="62">
        <v>0.0</v>
      </c>
      <c r="T628" s="62">
        <v>0.648888888888888</v>
      </c>
      <c r="U628" s="62">
        <v>0.0</v>
      </c>
      <c r="V628" s="62">
        <v>0.0</v>
      </c>
      <c r="W628" s="62">
        <v>0.648888888888888</v>
      </c>
      <c r="X628" s="62">
        <v>0.648888888888888</v>
      </c>
      <c r="Y628" s="62">
        <v>0.4275</v>
      </c>
      <c r="Z628" s="62">
        <v>0.236944444444444</v>
      </c>
      <c r="AA628" s="62">
        <v>0.0</v>
      </c>
      <c r="AB628" s="62">
        <v>0.211388888888888</v>
      </c>
      <c r="AC628" s="62">
        <v>0.460277777777777</v>
      </c>
      <c r="AD628" s="62">
        <v>0.2175</v>
      </c>
      <c r="AE628" s="62">
        <v>0.460277777777777</v>
      </c>
      <c r="AF628" s="62">
        <v>3.0</v>
      </c>
    </row>
    <row r="629">
      <c r="A629" s="68">
        <v>46119.0</v>
      </c>
      <c r="B629" s="62" t="s">
        <v>98</v>
      </c>
      <c r="C629" s="62" t="s">
        <v>183</v>
      </c>
      <c r="D629" s="62">
        <v>3.0</v>
      </c>
      <c r="E629" s="62">
        <v>3.0</v>
      </c>
      <c r="F629" s="62">
        <v>2.0</v>
      </c>
      <c r="G629" s="62">
        <v>0.0</v>
      </c>
      <c r="H629" s="62">
        <v>1.0</v>
      </c>
      <c r="I629" s="62">
        <v>1.0</v>
      </c>
      <c r="J629" s="62">
        <v>4.0</v>
      </c>
      <c r="K629" s="62">
        <v>2.0</v>
      </c>
      <c r="L629" s="62">
        <v>1.0</v>
      </c>
      <c r="M629" s="62">
        <v>6.0</v>
      </c>
      <c r="N629" s="62">
        <v>0.0</v>
      </c>
      <c r="O629" s="62">
        <v>0.0</v>
      </c>
      <c r="P629" s="62">
        <v>0.0</v>
      </c>
      <c r="Q629" s="62">
        <v>0.0</v>
      </c>
      <c r="R629" s="62">
        <v>6652.0</v>
      </c>
      <c r="S629" s="62">
        <v>6775.0</v>
      </c>
      <c r="T629" s="62">
        <v>0.660833333333333</v>
      </c>
      <c r="U629" s="62">
        <v>0.434722222222222</v>
      </c>
      <c r="V629" s="62">
        <v>0.0</v>
      </c>
      <c r="W629" s="62">
        <v>0.226111111111111</v>
      </c>
      <c r="X629" s="62">
        <v>0.226111111111111</v>
      </c>
      <c r="Y629" s="62">
        <v>0.873611111111111</v>
      </c>
      <c r="Z629" s="62">
        <v>0.484444444444444</v>
      </c>
      <c r="AA629" s="62">
        <v>0.245277777777777</v>
      </c>
      <c r="AB629" s="62">
        <v>1.28972222222222</v>
      </c>
      <c r="AC629" s="62">
        <v>0.0</v>
      </c>
      <c r="AD629" s="62">
        <v>0.0</v>
      </c>
      <c r="AE629" s="62">
        <v>0.0</v>
      </c>
      <c r="AF629" s="62">
        <v>3.0</v>
      </c>
    </row>
    <row r="630">
      <c r="A630" s="68">
        <v>46119.0</v>
      </c>
      <c r="B630" s="62" t="s">
        <v>71</v>
      </c>
      <c r="C630" s="62" t="s">
        <v>163</v>
      </c>
      <c r="D630" s="62">
        <v>0.0</v>
      </c>
      <c r="E630" s="62">
        <v>4.0</v>
      </c>
      <c r="F630" s="62">
        <v>0.0</v>
      </c>
      <c r="G630" s="62">
        <v>2.0</v>
      </c>
      <c r="H630" s="62">
        <v>2.0</v>
      </c>
      <c r="I630" s="62">
        <v>0.0</v>
      </c>
      <c r="J630" s="62">
        <v>2.0</v>
      </c>
      <c r="K630" s="62">
        <v>0.0</v>
      </c>
      <c r="L630" s="62">
        <v>0.0</v>
      </c>
      <c r="M630" s="62">
        <v>2.0</v>
      </c>
      <c r="N630" s="62">
        <v>2.0</v>
      </c>
      <c r="O630" s="62">
        <v>1.0</v>
      </c>
      <c r="P630" s="62">
        <v>2.0</v>
      </c>
      <c r="Q630" s="62">
        <v>0.0</v>
      </c>
      <c r="R630" s="62">
        <v>0.0</v>
      </c>
      <c r="S630" s="62">
        <v>11264.0</v>
      </c>
      <c r="T630" s="62">
        <v>0.0</v>
      </c>
      <c r="U630" s="62">
        <v>0.0</v>
      </c>
      <c r="V630" s="62">
        <v>0.5025</v>
      </c>
      <c r="W630" s="62">
        <v>0.5025</v>
      </c>
      <c r="X630" s="62">
        <v>0.0</v>
      </c>
      <c r="Y630" s="62">
        <v>0.5025</v>
      </c>
      <c r="Z630" s="62">
        <v>0.0</v>
      </c>
      <c r="AA630" s="62">
        <v>0.0</v>
      </c>
      <c r="AB630" s="62">
        <v>0.5025</v>
      </c>
      <c r="AC630" s="62">
        <v>0.5025</v>
      </c>
      <c r="AD630" s="62">
        <v>0.282777777777777</v>
      </c>
      <c r="AE630" s="62">
        <v>0.5025</v>
      </c>
      <c r="AF630" s="62">
        <v>0.0</v>
      </c>
    </row>
    <row r="631">
      <c r="A631" s="68">
        <v>46119.0</v>
      </c>
      <c r="B631" s="62" t="s">
        <v>76</v>
      </c>
      <c r="C631" s="62" t="s">
        <v>165</v>
      </c>
      <c r="D631" s="62">
        <v>0.0</v>
      </c>
      <c r="E631" s="62">
        <v>2.0</v>
      </c>
      <c r="F631" s="62">
        <v>4.0</v>
      </c>
      <c r="G631" s="62">
        <v>7.0</v>
      </c>
      <c r="H631" s="62">
        <v>8.0</v>
      </c>
      <c r="I631" s="62">
        <v>1.0</v>
      </c>
      <c r="J631" s="62">
        <v>8.0</v>
      </c>
      <c r="K631" s="62">
        <v>1.0</v>
      </c>
      <c r="L631" s="62">
        <v>0.0</v>
      </c>
      <c r="M631" s="62">
        <v>2.0</v>
      </c>
      <c r="N631" s="62">
        <v>0.0</v>
      </c>
      <c r="O631" s="62">
        <v>1.0</v>
      </c>
      <c r="P631" s="62">
        <v>0.0</v>
      </c>
      <c r="Q631" s="62">
        <v>0.0</v>
      </c>
      <c r="R631" s="62">
        <v>0.0</v>
      </c>
      <c r="S631" s="62">
        <v>6092.0</v>
      </c>
      <c r="T631" s="62">
        <v>0.0</v>
      </c>
      <c r="U631" s="62">
        <v>1.24583333333333</v>
      </c>
      <c r="V631" s="62">
        <v>2.05083333333333</v>
      </c>
      <c r="W631" s="62">
        <v>2.34805555555555</v>
      </c>
      <c r="X631" s="62">
        <v>0.297222222222222</v>
      </c>
      <c r="Y631" s="62">
        <v>2.42</v>
      </c>
      <c r="Z631" s="62">
        <v>0.286944444444444</v>
      </c>
      <c r="AA631" s="62">
        <v>0.0</v>
      </c>
      <c r="AB631" s="62">
        <v>0.661388888888888</v>
      </c>
      <c r="AC631" s="62">
        <v>0.0</v>
      </c>
      <c r="AD631" s="62">
        <v>0.225</v>
      </c>
      <c r="AE631" s="62">
        <v>0.0</v>
      </c>
      <c r="AF631" s="62">
        <v>0.0</v>
      </c>
    </row>
    <row r="632">
      <c r="A632" s="68">
        <v>46119.0</v>
      </c>
      <c r="B632" s="62" t="s">
        <v>104</v>
      </c>
      <c r="C632" s="62" t="s">
        <v>166</v>
      </c>
      <c r="D632" s="62">
        <v>0.0</v>
      </c>
      <c r="E632" s="62">
        <v>3.0</v>
      </c>
      <c r="F632" s="62">
        <v>3.0</v>
      </c>
      <c r="G632" s="62">
        <v>3.0</v>
      </c>
      <c r="H632" s="62">
        <v>3.0</v>
      </c>
      <c r="I632" s="62">
        <v>0.0</v>
      </c>
      <c r="J632" s="62">
        <v>1.0</v>
      </c>
      <c r="K632" s="62">
        <v>0.0</v>
      </c>
      <c r="L632" s="62">
        <v>0.0</v>
      </c>
      <c r="M632" s="62">
        <v>3.0</v>
      </c>
      <c r="N632" s="62">
        <v>0.0</v>
      </c>
      <c r="O632" s="62">
        <v>1.0</v>
      </c>
      <c r="P632" s="62">
        <v>0.0</v>
      </c>
      <c r="Q632" s="62">
        <v>0.0</v>
      </c>
      <c r="R632" s="62">
        <v>0.0</v>
      </c>
      <c r="S632" s="62">
        <v>7299.0</v>
      </c>
      <c r="T632" s="62">
        <v>0.626666666666666</v>
      </c>
      <c r="U632" s="62">
        <v>0.626666666666666</v>
      </c>
      <c r="V632" s="62">
        <v>0.520277777777777</v>
      </c>
      <c r="W632" s="62">
        <v>0.520277777777777</v>
      </c>
      <c r="X632" s="62">
        <v>0.0</v>
      </c>
      <c r="Y632" s="62">
        <v>0.174722222222222</v>
      </c>
      <c r="Z632" s="62">
        <v>0.0</v>
      </c>
      <c r="AA632" s="62">
        <v>0.0</v>
      </c>
      <c r="AB632" s="62">
        <v>0.535</v>
      </c>
      <c r="AC632" s="62">
        <v>0.0</v>
      </c>
      <c r="AD632" s="62">
        <v>0.215</v>
      </c>
      <c r="AE632" s="62">
        <v>0.0</v>
      </c>
      <c r="AF632" s="62">
        <v>3.0</v>
      </c>
    </row>
    <row r="633">
      <c r="A633" s="68">
        <v>46119.0</v>
      </c>
      <c r="B633" s="62" t="s">
        <v>32</v>
      </c>
      <c r="C633" s="62" t="s">
        <v>168</v>
      </c>
      <c r="D633" s="62">
        <v>5.0</v>
      </c>
      <c r="E633" s="62">
        <v>6.0</v>
      </c>
      <c r="F633" s="62">
        <v>0.0</v>
      </c>
      <c r="G633" s="62">
        <v>0.0</v>
      </c>
      <c r="H633" s="62">
        <v>4.0</v>
      </c>
      <c r="I633" s="62">
        <v>3.0</v>
      </c>
      <c r="J633" s="62">
        <v>3.0</v>
      </c>
      <c r="K633" s="62">
        <v>1.0</v>
      </c>
      <c r="L633" s="62">
        <v>0.0</v>
      </c>
      <c r="M633" s="62">
        <v>3.0</v>
      </c>
      <c r="N633" s="62">
        <v>0.0</v>
      </c>
      <c r="O633" s="62">
        <v>1.0</v>
      </c>
      <c r="P633" s="62">
        <v>0.0</v>
      </c>
      <c r="Q633" s="62">
        <v>0.0</v>
      </c>
      <c r="R633" s="62">
        <v>11957.0</v>
      </c>
      <c r="S633" s="62">
        <v>14335.0</v>
      </c>
      <c r="T633" s="62">
        <v>0.653611111111111</v>
      </c>
      <c r="U633" s="62">
        <v>0.0</v>
      </c>
      <c r="V633" s="62">
        <v>0.0</v>
      </c>
      <c r="W633" s="62">
        <v>0.891111111111111</v>
      </c>
      <c r="X633" s="62">
        <v>0.653611111111111</v>
      </c>
      <c r="Y633" s="62">
        <v>0.696944444444444</v>
      </c>
      <c r="Z633" s="62">
        <v>0.2375</v>
      </c>
      <c r="AA633" s="62">
        <v>0.0</v>
      </c>
      <c r="AB633" s="62">
        <v>0.688333333333333</v>
      </c>
      <c r="AC633" s="62">
        <v>0.0</v>
      </c>
      <c r="AD633" s="62">
        <v>0.226666666666666</v>
      </c>
      <c r="AE633" s="62">
        <v>0.0</v>
      </c>
      <c r="AF633" s="62">
        <v>3.0</v>
      </c>
    </row>
    <row r="634">
      <c r="A634" s="68">
        <v>46119.0</v>
      </c>
      <c r="B634" s="62" t="s">
        <v>93</v>
      </c>
      <c r="C634" s="62" t="s">
        <v>182</v>
      </c>
      <c r="D634" s="62">
        <v>0.0</v>
      </c>
      <c r="E634" s="62">
        <v>0.0</v>
      </c>
      <c r="F634" s="62">
        <v>6.0</v>
      </c>
      <c r="G634" s="62">
        <v>3.0</v>
      </c>
      <c r="H634" s="62">
        <v>3.0</v>
      </c>
      <c r="I634" s="62">
        <v>0.0</v>
      </c>
      <c r="J634" s="62">
        <v>3.0</v>
      </c>
      <c r="K634" s="62">
        <v>1.0</v>
      </c>
      <c r="L634" s="62">
        <v>1.0</v>
      </c>
      <c r="M634" s="62">
        <v>2.0</v>
      </c>
      <c r="N634" s="62">
        <v>0.0</v>
      </c>
      <c r="O634" s="62">
        <v>0.0</v>
      </c>
      <c r="P634" s="62">
        <v>0.0</v>
      </c>
      <c r="Q634" s="62">
        <v>0.0</v>
      </c>
      <c r="R634" s="62">
        <v>0.0</v>
      </c>
      <c r="S634" s="62">
        <v>0.0</v>
      </c>
      <c r="T634" s="62">
        <v>0.0</v>
      </c>
      <c r="U634" s="62">
        <v>1.57666666666666</v>
      </c>
      <c r="V634" s="62">
        <v>0.695277777777777</v>
      </c>
      <c r="W634" s="62">
        <v>0.695277777777777</v>
      </c>
      <c r="X634" s="62">
        <v>0.0</v>
      </c>
      <c r="Y634" s="62">
        <v>0.698055555555555</v>
      </c>
      <c r="Z634" s="62">
        <v>0.23</v>
      </c>
      <c r="AA634" s="62">
        <v>0.23</v>
      </c>
      <c r="AB634" s="62">
        <v>0.468055555555555</v>
      </c>
      <c r="AC634" s="62">
        <v>0.0</v>
      </c>
      <c r="AD634" s="62">
        <v>0.0</v>
      </c>
      <c r="AE634" s="62">
        <v>0.0</v>
      </c>
      <c r="AF634" s="62">
        <v>0.0</v>
      </c>
    </row>
    <row r="635">
      <c r="A635" s="68">
        <v>46119.0</v>
      </c>
      <c r="B635" s="62" t="s">
        <v>65</v>
      </c>
      <c r="C635" s="62" t="s">
        <v>173</v>
      </c>
      <c r="D635" s="62">
        <v>1.0</v>
      </c>
      <c r="E635" s="62">
        <v>3.0</v>
      </c>
      <c r="F635" s="62">
        <v>0.0</v>
      </c>
      <c r="G635" s="62">
        <v>0.0</v>
      </c>
      <c r="H635" s="62">
        <v>0.0</v>
      </c>
      <c r="I635" s="62">
        <v>0.0</v>
      </c>
      <c r="J635" s="62">
        <v>0.0</v>
      </c>
      <c r="K635" s="62">
        <v>0.0</v>
      </c>
      <c r="L635" s="62">
        <v>0.0</v>
      </c>
      <c r="M635" s="62">
        <v>0.0</v>
      </c>
      <c r="N635" s="62">
        <v>0.0</v>
      </c>
      <c r="O635" s="62">
        <v>1.0</v>
      </c>
      <c r="P635" s="62">
        <v>0.0</v>
      </c>
      <c r="Q635" s="62">
        <v>0.0</v>
      </c>
      <c r="R635" s="62">
        <v>2230.0</v>
      </c>
      <c r="S635" s="62">
        <v>6741.0</v>
      </c>
      <c r="T635" s="62">
        <v>0.0</v>
      </c>
      <c r="U635" s="62">
        <v>0.0</v>
      </c>
      <c r="V635" s="62">
        <v>0.0</v>
      </c>
      <c r="W635" s="62">
        <v>0.0</v>
      </c>
      <c r="X635" s="62">
        <v>0.0</v>
      </c>
      <c r="Y635" s="62">
        <v>0.0</v>
      </c>
      <c r="Z635" s="62">
        <v>0.0</v>
      </c>
      <c r="AA635" s="62">
        <v>0.0</v>
      </c>
      <c r="AB635" s="62">
        <v>0.0</v>
      </c>
      <c r="AC635" s="62">
        <v>0.0</v>
      </c>
      <c r="AD635" s="62">
        <v>0.248888888888888</v>
      </c>
      <c r="AE635" s="62">
        <v>0.0</v>
      </c>
      <c r="AF635" s="62">
        <v>0.0</v>
      </c>
    </row>
    <row r="636">
      <c r="A636" s="68">
        <v>46119.0</v>
      </c>
      <c r="B636" s="62" t="s">
        <v>37</v>
      </c>
      <c r="C636" s="62" t="s">
        <v>174</v>
      </c>
      <c r="D636" s="62">
        <v>6.0</v>
      </c>
      <c r="E636" s="62">
        <v>0.0</v>
      </c>
      <c r="F636" s="62">
        <v>4.0</v>
      </c>
      <c r="G636" s="62">
        <v>2.0</v>
      </c>
      <c r="H636" s="62">
        <v>3.0</v>
      </c>
      <c r="I636" s="62">
        <v>1.0</v>
      </c>
      <c r="J636" s="62">
        <v>2.0</v>
      </c>
      <c r="K636" s="62">
        <v>2.0</v>
      </c>
      <c r="L636" s="62">
        <v>2.0</v>
      </c>
      <c r="M636" s="62">
        <v>2.0</v>
      </c>
      <c r="N636" s="62">
        <v>1.0</v>
      </c>
      <c r="O636" s="62">
        <v>1.0</v>
      </c>
      <c r="P636" s="62">
        <v>1.0</v>
      </c>
      <c r="Q636" s="62">
        <v>0.0</v>
      </c>
      <c r="R636" s="62">
        <v>14216.0</v>
      </c>
      <c r="S636" s="62">
        <v>0.0</v>
      </c>
      <c r="T636" s="62">
        <v>0.0</v>
      </c>
      <c r="U636" s="62">
        <v>1.15499999999999</v>
      </c>
      <c r="V636" s="62">
        <v>0.555555555555555</v>
      </c>
      <c r="W636" s="62">
        <v>0.827777777777777</v>
      </c>
      <c r="X636" s="62">
        <v>0.272222222222222</v>
      </c>
      <c r="Y636" s="62">
        <v>0.555555555555555</v>
      </c>
      <c r="Z636" s="62">
        <v>0.5575</v>
      </c>
      <c r="AA636" s="62">
        <v>0.5575</v>
      </c>
      <c r="AB636" s="62">
        <v>0.5575</v>
      </c>
      <c r="AC636" s="62">
        <v>0.296388888888888</v>
      </c>
      <c r="AD636" s="62">
        <v>0.289444444444444</v>
      </c>
      <c r="AE636" s="62">
        <v>0.296388888888888</v>
      </c>
      <c r="AF636" s="62">
        <v>0.0</v>
      </c>
    </row>
    <row r="637">
      <c r="A637" s="68">
        <v>46119.0</v>
      </c>
      <c r="B637" s="62" t="s">
        <v>56</v>
      </c>
      <c r="C637" s="62" t="s">
        <v>176</v>
      </c>
      <c r="D637" s="62">
        <v>0.0</v>
      </c>
      <c r="E637" s="62">
        <v>2.0</v>
      </c>
      <c r="F637" s="62">
        <v>0.0</v>
      </c>
      <c r="G637" s="62">
        <v>0.0</v>
      </c>
      <c r="H637" s="62">
        <v>0.0</v>
      </c>
      <c r="I637" s="62">
        <v>0.0</v>
      </c>
      <c r="J637" s="62">
        <v>0.0</v>
      </c>
      <c r="K637" s="62">
        <v>0.0</v>
      </c>
      <c r="L637" s="62">
        <v>0.0</v>
      </c>
      <c r="M637" s="62">
        <v>0.0</v>
      </c>
      <c r="N637" s="62">
        <v>0.0</v>
      </c>
      <c r="O637" s="62">
        <v>0.0</v>
      </c>
      <c r="P637" s="62">
        <v>0.0</v>
      </c>
      <c r="Q637" s="62">
        <v>0.0</v>
      </c>
      <c r="R637" s="62">
        <v>0.0</v>
      </c>
      <c r="S637" s="62">
        <v>3044.0</v>
      </c>
      <c r="T637" s="62">
        <v>0.0</v>
      </c>
      <c r="U637" s="62">
        <v>0.0</v>
      </c>
      <c r="V637" s="62">
        <v>0.0</v>
      </c>
      <c r="W637" s="62">
        <v>0.0</v>
      </c>
      <c r="X637" s="62">
        <v>0.0</v>
      </c>
      <c r="Y637" s="62">
        <v>0.0</v>
      </c>
      <c r="Z637" s="62">
        <v>0.0</v>
      </c>
      <c r="AA637" s="62">
        <v>0.0</v>
      </c>
      <c r="AB637" s="62">
        <v>0.0</v>
      </c>
      <c r="AC637" s="62">
        <v>0.0</v>
      </c>
      <c r="AD637" s="62">
        <v>0.0</v>
      </c>
      <c r="AE637" s="62">
        <v>0.0</v>
      </c>
      <c r="AF637" s="62">
        <v>0.0</v>
      </c>
    </row>
    <row r="638">
      <c r="A638" s="68">
        <v>46119.0</v>
      </c>
      <c r="B638" s="62" t="s">
        <v>91</v>
      </c>
      <c r="C638" s="62" t="s">
        <v>184</v>
      </c>
      <c r="D638" s="62">
        <v>0.0</v>
      </c>
      <c r="E638" s="62">
        <v>4.0</v>
      </c>
      <c r="F638" s="62">
        <v>6.0</v>
      </c>
      <c r="G638" s="62">
        <v>6.0</v>
      </c>
      <c r="H638" s="62">
        <v>6.0</v>
      </c>
      <c r="I638" s="62">
        <v>0.0</v>
      </c>
      <c r="J638" s="62">
        <v>6.0</v>
      </c>
      <c r="K638" s="62">
        <v>1.0</v>
      </c>
      <c r="L638" s="62">
        <v>3.0</v>
      </c>
      <c r="M638" s="62">
        <v>5.0</v>
      </c>
      <c r="N638" s="62">
        <v>1.0</v>
      </c>
      <c r="O638" s="62">
        <v>1.0</v>
      </c>
      <c r="P638" s="62">
        <v>1.0</v>
      </c>
      <c r="Q638" s="62">
        <v>0.0</v>
      </c>
      <c r="R638" s="62">
        <v>0.0</v>
      </c>
      <c r="S638" s="62">
        <v>8932.0</v>
      </c>
      <c r="T638" s="62">
        <v>0.0</v>
      </c>
      <c r="U638" s="62">
        <v>1.29</v>
      </c>
      <c r="V638" s="62">
        <v>0.877222222222222</v>
      </c>
      <c r="W638" s="62">
        <v>0.877222222222222</v>
      </c>
      <c r="X638" s="62">
        <v>0.0</v>
      </c>
      <c r="Y638" s="62">
        <v>0.877222222222222</v>
      </c>
      <c r="Z638" s="62">
        <v>0.140277777777777</v>
      </c>
      <c r="AA638" s="62">
        <v>0.441944444444444</v>
      </c>
      <c r="AB638" s="62">
        <v>0.714166666666666</v>
      </c>
      <c r="AC638" s="62">
        <v>0.152222222222222</v>
      </c>
      <c r="AD638" s="62">
        <v>0.162222222222222</v>
      </c>
      <c r="AE638" s="62">
        <v>0.152222222222222</v>
      </c>
      <c r="AF638" s="62">
        <v>0.0</v>
      </c>
    </row>
    <row r="639">
      <c r="A639" s="68">
        <v>46119.0</v>
      </c>
      <c r="B639" s="62" t="s">
        <v>84</v>
      </c>
      <c r="C639" s="62" t="s">
        <v>186</v>
      </c>
      <c r="D639" s="62">
        <v>0.0</v>
      </c>
      <c r="E639" s="62">
        <v>0.0</v>
      </c>
      <c r="F639" s="62">
        <v>1.0</v>
      </c>
      <c r="G639" s="62">
        <v>1.0</v>
      </c>
      <c r="H639" s="62">
        <v>2.0</v>
      </c>
      <c r="I639" s="62">
        <v>1.0</v>
      </c>
      <c r="J639" s="62">
        <v>1.0</v>
      </c>
      <c r="K639" s="62">
        <v>1.0</v>
      </c>
      <c r="L639" s="62">
        <v>1.0</v>
      </c>
      <c r="M639" s="62">
        <v>1.0</v>
      </c>
      <c r="N639" s="62">
        <v>1.0</v>
      </c>
      <c r="O639" s="62">
        <v>1.0</v>
      </c>
      <c r="P639" s="62">
        <v>1.0</v>
      </c>
      <c r="Q639" s="62">
        <v>0.0</v>
      </c>
      <c r="R639" s="62">
        <v>0.0</v>
      </c>
      <c r="S639" s="62">
        <v>0.0</v>
      </c>
      <c r="T639" s="62">
        <v>0.433611111111111</v>
      </c>
      <c r="U639" s="62">
        <v>0.251388888888888</v>
      </c>
      <c r="V639" s="62">
        <v>0.249444444444444</v>
      </c>
      <c r="W639" s="62">
        <v>0.507777777777777</v>
      </c>
      <c r="X639" s="62">
        <v>0.258333333333333</v>
      </c>
      <c r="Y639" s="62">
        <v>0.258333333333333</v>
      </c>
      <c r="Z639" s="62">
        <v>0.246666666666666</v>
      </c>
      <c r="AA639" s="62">
        <v>0.247777777777777</v>
      </c>
      <c r="AB639" s="62">
        <v>0.247777777777777</v>
      </c>
      <c r="AC639" s="62">
        <v>0.247777777777777</v>
      </c>
      <c r="AD639" s="62">
        <v>0.213055555555555</v>
      </c>
      <c r="AE639" s="62">
        <v>0.247777777777777</v>
      </c>
      <c r="AF639" s="62">
        <v>2.0</v>
      </c>
    </row>
    <row r="640">
      <c r="A640" s="68">
        <v>46119.0</v>
      </c>
      <c r="B640" s="62" t="s">
        <v>26</v>
      </c>
      <c r="C640" s="62" t="s">
        <v>178</v>
      </c>
      <c r="D640" s="62">
        <v>0.0</v>
      </c>
      <c r="E640" s="62">
        <v>10.0</v>
      </c>
      <c r="F640" s="62">
        <v>2.0</v>
      </c>
      <c r="G640" s="62">
        <v>1.0</v>
      </c>
      <c r="H640" s="62">
        <v>7.0</v>
      </c>
      <c r="I640" s="62">
        <v>6.0</v>
      </c>
      <c r="J640" s="62">
        <v>5.0</v>
      </c>
      <c r="K640" s="62">
        <v>0.0</v>
      </c>
      <c r="L640" s="62">
        <v>1.0</v>
      </c>
      <c r="M640" s="62">
        <v>7.0</v>
      </c>
      <c r="N640" s="62">
        <v>2.0</v>
      </c>
      <c r="O640" s="62">
        <v>1.0</v>
      </c>
      <c r="P640" s="62">
        <v>2.0</v>
      </c>
      <c r="Q640" s="62">
        <v>0.0</v>
      </c>
      <c r="R640" s="62">
        <v>0.0</v>
      </c>
      <c r="S640" s="62">
        <v>21218.0</v>
      </c>
      <c r="T640" s="62">
        <v>2.10611111111111</v>
      </c>
      <c r="U640" s="62">
        <v>0.396944444444444</v>
      </c>
      <c r="V640" s="62">
        <v>0.21</v>
      </c>
      <c r="W640" s="62">
        <v>1.38444444444444</v>
      </c>
      <c r="X640" s="62">
        <v>1.17444444444444</v>
      </c>
      <c r="Y640" s="62">
        <v>0.993888888888888</v>
      </c>
      <c r="Z640" s="62">
        <v>0.0</v>
      </c>
      <c r="AA640" s="62">
        <v>0.173055555555555</v>
      </c>
      <c r="AB640" s="62">
        <v>1.35222222222222</v>
      </c>
      <c r="AC640" s="62">
        <v>0.405277777777777</v>
      </c>
      <c r="AD640" s="62">
        <v>0.183888888888888</v>
      </c>
      <c r="AE640" s="62">
        <v>0.405277777777777</v>
      </c>
      <c r="AF640" s="62">
        <v>11.0</v>
      </c>
    </row>
    <row r="641">
      <c r="A641" s="68">
        <v>46119.0</v>
      </c>
      <c r="B641" s="62" t="s">
        <v>62</v>
      </c>
      <c r="C641" s="62" t="s">
        <v>63</v>
      </c>
      <c r="D641" s="62">
        <v>3.0</v>
      </c>
      <c r="E641" s="62">
        <v>0.0</v>
      </c>
      <c r="F641" s="62">
        <v>0.0</v>
      </c>
      <c r="G641" s="62">
        <v>0.0</v>
      </c>
      <c r="H641" s="62">
        <v>4.0</v>
      </c>
      <c r="I641" s="62">
        <v>4.0</v>
      </c>
      <c r="J641" s="62">
        <v>2.0</v>
      </c>
      <c r="K641" s="62">
        <v>1.0</v>
      </c>
      <c r="L641" s="62">
        <v>0.0</v>
      </c>
      <c r="M641" s="62">
        <v>4.0</v>
      </c>
      <c r="N641" s="62">
        <v>2.0</v>
      </c>
      <c r="O641" s="62">
        <v>1.0</v>
      </c>
      <c r="P641" s="62">
        <v>2.0</v>
      </c>
      <c r="Q641" s="62">
        <v>0.0</v>
      </c>
      <c r="R641" s="62">
        <v>7045.0</v>
      </c>
      <c r="S641" s="62">
        <v>0.0</v>
      </c>
      <c r="T641" s="62">
        <v>0.428611111111111</v>
      </c>
      <c r="U641" s="62">
        <v>0.0</v>
      </c>
      <c r="V641" s="62">
        <v>0.0</v>
      </c>
      <c r="W641" s="62">
        <v>0.896111111111111</v>
      </c>
      <c r="X641" s="62">
        <v>0.896111111111111</v>
      </c>
      <c r="Y641" s="62">
        <v>0.477777777777777</v>
      </c>
      <c r="Z641" s="62">
        <v>0.240833333333333</v>
      </c>
      <c r="AA641" s="62">
        <v>0.0</v>
      </c>
      <c r="AB641" s="62">
        <v>0.878055555555555</v>
      </c>
      <c r="AC641" s="62">
        <v>0.417777777777777</v>
      </c>
      <c r="AD641" s="62">
        <v>0.223055555555555</v>
      </c>
      <c r="AE641" s="62">
        <v>0.417777777777777</v>
      </c>
      <c r="AF641" s="62">
        <v>2.0</v>
      </c>
    </row>
    <row r="642">
      <c r="A642" s="68">
        <v>46118.0</v>
      </c>
      <c r="B642" s="62" t="s">
        <v>98</v>
      </c>
      <c r="C642" s="62" t="s">
        <v>183</v>
      </c>
      <c r="D642" s="62">
        <v>3.0</v>
      </c>
      <c r="E642" s="62">
        <v>1.0</v>
      </c>
      <c r="F642" s="62">
        <v>1.0</v>
      </c>
      <c r="G642" s="62">
        <v>1.0</v>
      </c>
      <c r="H642" s="62">
        <v>4.0</v>
      </c>
      <c r="I642" s="62">
        <v>3.0</v>
      </c>
      <c r="J642" s="62">
        <v>5.0</v>
      </c>
      <c r="K642" s="62">
        <v>4.0</v>
      </c>
      <c r="L642" s="62">
        <v>4.0</v>
      </c>
      <c r="M642" s="62">
        <v>2.0</v>
      </c>
      <c r="N642" s="62">
        <v>0.0</v>
      </c>
      <c r="O642" s="62">
        <v>0.0</v>
      </c>
      <c r="P642" s="62">
        <v>0.0</v>
      </c>
      <c r="Q642" s="62">
        <v>0.0</v>
      </c>
      <c r="R642" s="62">
        <v>6775.0</v>
      </c>
      <c r="S642" s="62">
        <v>2183.0</v>
      </c>
      <c r="T642" s="62">
        <v>0.851388888888888</v>
      </c>
      <c r="U642" s="62">
        <v>0.218333333333333</v>
      </c>
      <c r="V642" s="62">
        <v>0.217777777777777</v>
      </c>
      <c r="W642" s="62">
        <v>0.850833333333333</v>
      </c>
      <c r="X642" s="62">
        <v>0.633055555555555</v>
      </c>
      <c r="Y642" s="62">
        <v>1.11361111111111</v>
      </c>
      <c r="Z642" s="62">
        <v>0.865555555555555</v>
      </c>
      <c r="AA642" s="62">
        <v>0.865277777777777</v>
      </c>
      <c r="AB642" s="62">
        <v>0.443888888888888</v>
      </c>
      <c r="AC642" s="62">
        <v>0.0</v>
      </c>
      <c r="AD642" s="62">
        <v>0.0</v>
      </c>
      <c r="AE642" s="62">
        <v>0.0</v>
      </c>
      <c r="AF642" s="62">
        <v>4.0</v>
      </c>
    </row>
    <row r="643">
      <c r="A643" s="68">
        <v>46118.0</v>
      </c>
      <c r="B643" s="62" t="s">
        <v>71</v>
      </c>
      <c r="C643" s="62" t="s">
        <v>163</v>
      </c>
      <c r="D643" s="62">
        <v>4.0</v>
      </c>
      <c r="E643" s="62">
        <v>0.0</v>
      </c>
      <c r="F643" s="62">
        <v>1.0</v>
      </c>
      <c r="G643" s="62">
        <v>0.0</v>
      </c>
      <c r="H643" s="62">
        <v>0.0</v>
      </c>
      <c r="I643" s="62">
        <v>0.0</v>
      </c>
      <c r="J643" s="62">
        <v>0.0</v>
      </c>
      <c r="K643" s="62">
        <v>3.0</v>
      </c>
      <c r="L643" s="62">
        <v>0.0</v>
      </c>
      <c r="M643" s="62">
        <v>3.0</v>
      </c>
      <c r="N643" s="62">
        <v>4.0</v>
      </c>
      <c r="O643" s="62">
        <v>1.0</v>
      </c>
      <c r="P643" s="62">
        <v>4.0</v>
      </c>
      <c r="Q643" s="62">
        <v>0.0</v>
      </c>
      <c r="R643" s="62">
        <v>11264.0</v>
      </c>
      <c r="S643" s="62">
        <v>0.0</v>
      </c>
      <c r="T643" s="62">
        <v>0.231666666666666</v>
      </c>
      <c r="U643" s="62">
        <v>0.231666666666666</v>
      </c>
      <c r="V643" s="62">
        <v>0.0</v>
      </c>
      <c r="W643" s="62">
        <v>0.0</v>
      </c>
      <c r="X643" s="62">
        <v>0.0</v>
      </c>
      <c r="Y643" s="62">
        <v>0.0</v>
      </c>
      <c r="Z643" s="62">
        <v>0.738333333333333</v>
      </c>
      <c r="AA643" s="62">
        <v>0.0</v>
      </c>
      <c r="AB643" s="62">
        <v>0.738333333333333</v>
      </c>
      <c r="AC643" s="62">
        <v>0.973611111111111</v>
      </c>
      <c r="AD643" s="62">
        <v>0.279166666666666</v>
      </c>
      <c r="AE643" s="62">
        <v>0.973611111111111</v>
      </c>
      <c r="AF643" s="62">
        <v>1.0</v>
      </c>
    </row>
    <row r="644">
      <c r="A644" s="68">
        <v>46118.0</v>
      </c>
      <c r="B644" s="62" t="s">
        <v>76</v>
      </c>
      <c r="C644" s="62" t="s">
        <v>165</v>
      </c>
      <c r="D644" s="62">
        <v>1.0</v>
      </c>
      <c r="E644" s="62">
        <v>5.0</v>
      </c>
      <c r="F644" s="62">
        <v>3.0</v>
      </c>
      <c r="G644" s="62">
        <v>1.0</v>
      </c>
      <c r="H644" s="62">
        <v>1.0</v>
      </c>
      <c r="I644" s="62">
        <v>0.0</v>
      </c>
      <c r="J644" s="62">
        <v>0.0</v>
      </c>
      <c r="K644" s="62">
        <v>2.0</v>
      </c>
      <c r="L644" s="62">
        <v>0.0</v>
      </c>
      <c r="M644" s="62">
        <v>4.0</v>
      </c>
      <c r="N644" s="62">
        <v>5.0</v>
      </c>
      <c r="O644" s="62">
        <v>1.0</v>
      </c>
      <c r="P644" s="62">
        <v>5.0</v>
      </c>
      <c r="Q644" s="62">
        <v>0.0</v>
      </c>
      <c r="R644" s="62">
        <v>2669.0</v>
      </c>
      <c r="S644" s="62">
        <v>15421.0</v>
      </c>
      <c r="T644" s="62">
        <v>2.08916666666666</v>
      </c>
      <c r="U644" s="62">
        <v>0.843333333333333</v>
      </c>
      <c r="V644" s="62">
        <v>0.369166666666666</v>
      </c>
      <c r="W644" s="62">
        <v>0.369166666666666</v>
      </c>
      <c r="X644" s="62">
        <v>0.0</v>
      </c>
      <c r="Y644" s="62">
        <v>0.0</v>
      </c>
      <c r="Z644" s="62">
        <v>0.535555555555555</v>
      </c>
      <c r="AA644" s="62">
        <v>0.0</v>
      </c>
      <c r="AB644" s="62">
        <v>1.16722222222222</v>
      </c>
      <c r="AC644" s="62">
        <v>1.43666666666666</v>
      </c>
      <c r="AD644" s="62">
        <v>0.238333333333333</v>
      </c>
      <c r="AE644" s="62">
        <v>1.43666666666666</v>
      </c>
      <c r="AF644" s="62">
        <v>7.0</v>
      </c>
    </row>
    <row r="645">
      <c r="A645" s="68">
        <v>46118.0</v>
      </c>
      <c r="B645" s="62" t="s">
        <v>104</v>
      </c>
      <c r="C645" s="62" t="s">
        <v>166</v>
      </c>
      <c r="D645" s="62">
        <v>0.0</v>
      </c>
      <c r="E645" s="62">
        <v>3.0</v>
      </c>
      <c r="F645" s="62">
        <v>0.0</v>
      </c>
      <c r="G645" s="62">
        <v>1.0</v>
      </c>
      <c r="H645" s="62">
        <v>1.0</v>
      </c>
      <c r="I645" s="62">
        <v>0.0</v>
      </c>
      <c r="J645" s="62">
        <v>2.0</v>
      </c>
      <c r="K645" s="62">
        <v>0.0</v>
      </c>
      <c r="L645" s="62">
        <v>0.0</v>
      </c>
      <c r="M645" s="62">
        <v>3.0</v>
      </c>
      <c r="N645" s="62">
        <v>0.0</v>
      </c>
      <c r="O645" s="62">
        <v>1.0</v>
      </c>
      <c r="P645" s="62">
        <v>0.0</v>
      </c>
      <c r="Q645" s="62">
        <v>0.0</v>
      </c>
      <c r="R645" s="62">
        <v>0.0</v>
      </c>
      <c r="S645" s="62">
        <v>7178.0</v>
      </c>
      <c r="T645" s="62">
        <v>0.0</v>
      </c>
      <c r="U645" s="62">
        <v>0.0</v>
      </c>
      <c r="V645" s="62">
        <v>0.174722222222222</v>
      </c>
      <c r="W645" s="62">
        <v>0.174722222222222</v>
      </c>
      <c r="X645" s="62">
        <v>0.0</v>
      </c>
      <c r="Y645" s="62">
        <v>0.360277777777777</v>
      </c>
      <c r="Z645" s="62">
        <v>0.0</v>
      </c>
      <c r="AA645" s="62">
        <v>0.0</v>
      </c>
      <c r="AB645" s="62">
        <v>0.594444444444444</v>
      </c>
      <c r="AC645" s="62">
        <v>0.0</v>
      </c>
      <c r="AD645" s="62">
        <v>0.215277777777777</v>
      </c>
      <c r="AE645" s="62">
        <v>0.0</v>
      </c>
      <c r="AF645" s="62">
        <v>0.0</v>
      </c>
    </row>
    <row r="646">
      <c r="A646" s="68">
        <v>46118.0</v>
      </c>
      <c r="B646" s="62" t="s">
        <v>32</v>
      </c>
      <c r="C646" s="62" t="s">
        <v>168</v>
      </c>
      <c r="D646" s="62">
        <v>7.0</v>
      </c>
      <c r="E646" s="62">
        <v>8.0</v>
      </c>
      <c r="F646" s="62">
        <v>2.0</v>
      </c>
      <c r="G646" s="62">
        <v>0.0</v>
      </c>
      <c r="H646" s="62">
        <v>4.0</v>
      </c>
      <c r="I646" s="62">
        <v>4.0</v>
      </c>
      <c r="J646" s="62">
        <v>2.0</v>
      </c>
      <c r="K646" s="62">
        <v>0.0</v>
      </c>
      <c r="L646" s="62">
        <v>0.0</v>
      </c>
      <c r="M646" s="62">
        <v>2.0</v>
      </c>
      <c r="N646" s="62">
        <v>2.0</v>
      </c>
      <c r="O646" s="62">
        <v>1.0</v>
      </c>
      <c r="P646" s="62">
        <v>2.0</v>
      </c>
      <c r="Q646" s="62">
        <v>0.0</v>
      </c>
      <c r="R646" s="62">
        <v>14407.0</v>
      </c>
      <c r="S646" s="62">
        <v>16786.0</v>
      </c>
      <c r="T646" s="62">
        <v>0.675277777777777</v>
      </c>
      <c r="U646" s="62">
        <v>0.461388888888888</v>
      </c>
      <c r="V646" s="62">
        <v>0.0</v>
      </c>
      <c r="W646" s="62">
        <v>0.918055555555555</v>
      </c>
      <c r="X646" s="62">
        <v>0.918055555555555</v>
      </c>
      <c r="Y646" s="62">
        <v>0.458611111111111</v>
      </c>
      <c r="Z646" s="62">
        <v>0.0</v>
      </c>
      <c r="AA646" s="62">
        <v>0.0</v>
      </c>
      <c r="AB646" s="62">
        <v>0.446944444444444</v>
      </c>
      <c r="AC646" s="62">
        <v>0.446944444444444</v>
      </c>
      <c r="AD646" s="62">
        <v>0.208055555555555</v>
      </c>
      <c r="AE646" s="62">
        <v>0.446944444444444</v>
      </c>
      <c r="AF646" s="62">
        <v>3.0</v>
      </c>
    </row>
    <row r="647">
      <c r="A647" s="68">
        <v>46118.0</v>
      </c>
      <c r="B647" s="62" t="s">
        <v>93</v>
      </c>
      <c r="C647" s="62" t="s">
        <v>182</v>
      </c>
      <c r="D647" s="62">
        <v>0.0</v>
      </c>
      <c r="E647" s="62">
        <v>3.0</v>
      </c>
      <c r="F647" s="62">
        <v>0.0</v>
      </c>
      <c r="G647" s="62">
        <v>8.0</v>
      </c>
      <c r="H647" s="62">
        <v>8.0</v>
      </c>
      <c r="I647" s="62">
        <v>0.0</v>
      </c>
      <c r="J647" s="62">
        <v>5.0</v>
      </c>
      <c r="K647" s="62">
        <v>1.0</v>
      </c>
      <c r="L647" s="62">
        <v>0.0</v>
      </c>
      <c r="M647" s="62">
        <v>5.0</v>
      </c>
      <c r="N647" s="62">
        <v>0.0</v>
      </c>
      <c r="O647" s="62">
        <v>0.0</v>
      </c>
      <c r="P647" s="62">
        <v>0.0</v>
      </c>
      <c r="Q647" s="62">
        <v>0.0</v>
      </c>
      <c r="R647" s="62">
        <v>0.0</v>
      </c>
      <c r="S647" s="62">
        <v>6084.0</v>
      </c>
      <c r="T647" s="62">
        <v>1.57666666666666</v>
      </c>
      <c r="U647" s="62">
        <v>0.0</v>
      </c>
      <c r="V647" s="62">
        <v>2.22861111111111</v>
      </c>
      <c r="W647" s="62">
        <v>2.22861111111111</v>
      </c>
      <c r="X647" s="62">
        <v>0.0</v>
      </c>
      <c r="Y647" s="62">
        <v>1.52888888888888</v>
      </c>
      <c r="Z647" s="62">
        <v>0.321666666666666</v>
      </c>
      <c r="AA647" s="62">
        <v>0.0</v>
      </c>
      <c r="AB647" s="62">
        <v>1.51194444444444</v>
      </c>
      <c r="AC647" s="62">
        <v>0.0</v>
      </c>
      <c r="AD647" s="62">
        <v>0.0</v>
      </c>
      <c r="AE647" s="62">
        <v>0.0</v>
      </c>
      <c r="AF647" s="62">
        <v>6.0</v>
      </c>
    </row>
    <row r="648">
      <c r="A648" s="68">
        <v>46118.0</v>
      </c>
      <c r="B648" s="62" t="s">
        <v>65</v>
      </c>
      <c r="C648" s="62" t="s">
        <v>173</v>
      </c>
      <c r="D648" s="62">
        <v>1.0</v>
      </c>
      <c r="E648" s="62">
        <v>0.0</v>
      </c>
      <c r="F648" s="62">
        <v>2.0</v>
      </c>
      <c r="G648" s="62">
        <v>0.0</v>
      </c>
      <c r="H648" s="62">
        <v>0.0</v>
      </c>
      <c r="I648" s="62">
        <v>0.0</v>
      </c>
      <c r="J648" s="62">
        <v>0.0</v>
      </c>
      <c r="K648" s="62">
        <v>0.0</v>
      </c>
      <c r="L648" s="62">
        <v>0.0</v>
      </c>
      <c r="M648" s="62">
        <v>0.0</v>
      </c>
      <c r="N648" s="62">
        <v>0.0</v>
      </c>
      <c r="O648" s="62">
        <v>1.0</v>
      </c>
      <c r="P648" s="62">
        <v>0.0</v>
      </c>
      <c r="Q648" s="62">
        <v>0.0</v>
      </c>
      <c r="R648" s="62">
        <v>2262.0</v>
      </c>
      <c r="S648" s="62">
        <v>0.0</v>
      </c>
      <c r="T648" s="62">
        <v>0.439166666666666</v>
      </c>
      <c r="U648" s="62">
        <v>0.439166666666666</v>
      </c>
      <c r="V648" s="62">
        <v>0.0</v>
      </c>
      <c r="W648" s="62">
        <v>0.0</v>
      </c>
      <c r="X648" s="62">
        <v>0.0</v>
      </c>
      <c r="Y648" s="62">
        <v>0.0</v>
      </c>
      <c r="Z648" s="62">
        <v>0.0</v>
      </c>
      <c r="AA648" s="62">
        <v>0.0</v>
      </c>
      <c r="AB648" s="62">
        <v>0.0</v>
      </c>
      <c r="AC648" s="62">
        <v>0.0</v>
      </c>
      <c r="AD648" s="62">
        <v>0.266944444444444</v>
      </c>
      <c r="AE648" s="62">
        <v>0.0</v>
      </c>
      <c r="AF648" s="62">
        <v>2.0</v>
      </c>
    </row>
    <row r="649">
      <c r="A649" s="68">
        <v>46118.0</v>
      </c>
      <c r="B649" s="62" t="s">
        <v>37</v>
      </c>
      <c r="C649" s="62" t="s">
        <v>174</v>
      </c>
      <c r="D649" s="62">
        <v>0.0</v>
      </c>
      <c r="E649" s="62">
        <v>1.0</v>
      </c>
      <c r="F649" s="62">
        <v>4.0</v>
      </c>
      <c r="G649" s="62">
        <v>2.0</v>
      </c>
      <c r="H649" s="62">
        <v>2.0</v>
      </c>
      <c r="I649" s="62">
        <v>0.0</v>
      </c>
      <c r="J649" s="62">
        <v>2.0</v>
      </c>
      <c r="K649" s="62">
        <v>6.0</v>
      </c>
      <c r="L649" s="62">
        <v>1.0</v>
      </c>
      <c r="M649" s="62">
        <v>6.0</v>
      </c>
      <c r="N649" s="62">
        <v>0.0</v>
      </c>
      <c r="O649" s="62">
        <v>1.0</v>
      </c>
      <c r="P649" s="62">
        <v>0.0</v>
      </c>
      <c r="Q649" s="62">
        <v>0.0</v>
      </c>
      <c r="R649" s="62">
        <v>0.0</v>
      </c>
      <c r="S649" s="62">
        <v>2296.0</v>
      </c>
      <c r="T649" s="62">
        <v>0.0</v>
      </c>
      <c r="U649" s="62">
        <v>1.09583333333333</v>
      </c>
      <c r="V649" s="62">
        <v>0.5575</v>
      </c>
      <c r="W649" s="62">
        <v>0.5575</v>
      </c>
      <c r="X649" s="62">
        <v>0.0</v>
      </c>
      <c r="Y649" s="62">
        <v>0.5575</v>
      </c>
      <c r="Z649" s="62">
        <v>1.77749999999999</v>
      </c>
      <c r="AA649" s="62">
        <v>0.289166666666666</v>
      </c>
      <c r="AB649" s="62">
        <v>1.77749999999999</v>
      </c>
      <c r="AC649" s="62">
        <v>0.0</v>
      </c>
      <c r="AD649" s="62">
        <v>0.281388888888888</v>
      </c>
      <c r="AE649" s="62">
        <v>0.0</v>
      </c>
      <c r="AF649" s="62">
        <v>0.0</v>
      </c>
    </row>
    <row r="650">
      <c r="A650" s="68">
        <v>46118.0</v>
      </c>
      <c r="B650" s="62" t="s">
        <v>91</v>
      </c>
      <c r="C650" s="62" t="s">
        <v>184</v>
      </c>
      <c r="D650" s="62">
        <v>0.0</v>
      </c>
      <c r="E650" s="62">
        <v>0.0</v>
      </c>
      <c r="F650" s="62">
        <v>5.0</v>
      </c>
      <c r="G650" s="62">
        <v>0.0</v>
      </c>
      <c r="H650" s="62">
        <v>0.0</v>
      </c>
      <c r="I650" s="62">
        <v>0.0</v>
      </c>
      <c r="J650" s="62">
        <v>2.0</v>
      </c>
      <c r="K650" s="62">
        <v>7.0</v>
      </c>
      <c r="L650" s="62">
        <v>3.0</v>
      </c>
      <c r="M650" s="62">
        <v>5.0</v>
      </c>
      <c r="N650" s="62">
        <v>1.0</v>
      </c>
      <c r="O650" s="62">
        <v>1.0</v>
      </c>
      <c r="P650" s="62">
        <v>1.0</v>
      </c>
      <c r="Q650" s="62">
        <v>0.0</v>
      </c>
      <c r="R650" s="62">
        <v>0.0</v>
      </c>
      <c r="S650" s="62">
        <v>0.0</v>
      </c>
      <c r="T650" s="62">
        <v>0.0</v>
      </c>
      <c r="U650" s="62">
        <v>0.838055555555555</v>
      </c>
      <c r="V650" s="62">
        <v>0.0</v>
      </c>
      <c r="W650" s="62">
        <v>0.0</v>
      </c>
      <c r="X650" s="62">
        <v>0.0</v>
      </c>
      <c r="Y650" s="62">
        <v>0.301666666666666</v>
      </c>
      <c r="Z650" s="62">
        <v>1.06388888888888</v>
      </c>
      <c r="AA650" s="62">
        <v>0.450555555555555</v>
      </c>
      <c r="AB650" s="62">
        <v>0.762222222222222</v>
      </c>
      <c r="AC650" s="62">
        <v>0.146111111111111</v>
      </c>
      <c r="AD650" s="62">
        <v>0.183055555555555</v>
      </c>
      <c r="AE650" s="62">
        <v>0.146111111111111</v>
      </c>
      <c r="AF650" s="62">
        <v>0.0</v>
      </c>
    </row>
    <row r="651">
      <c r="A651" s="68">
        <v>46118.0</v>
      </c>
      <c r="B651" s="62" t="s">
        <v>84</v>
      </c>
      <c r="C651" s="62" t="s">
        <v>186</v>
      </c>
      <c r="D651" s="62">
        <v>0.0</v>
      </c>
      <c r="E651" s="62">
        <v>0.0</v>
      </c>
      <c r="F651" s="62">
        <v>0.0</v>
      </c>
      <c r="G651" s="62">
        <v>1.0</v>
      </c>
      <c r="H651" s="62">
        <v>1.0</v>
      </c>
      <c r="I651" s="62">
        <v>0.0</v>
      </c>
      <c r="J651" s="62">
        <v>1.0</v>
      </c>
      <c r="K651" s="62">
        <v>0.0</v>
      </c>
      <c r="L651" s="62">
        <v>0.0</v>
      </c>
      <c r="M651" s="62">
        <v>0.0</v>
      </c>
      <c r="N651" s="62">
        <v>0.0</v>
      </c>
      <c r="O651" s="62">
        <v>1.0</v>
      </c>
      <c r="P651" s="62">
        <v>0.0</v>
      </c>
      <c r="Q651" s="62">
        <v>0.0</v>
      </c>
      <c r="R651" s="62">
        <v>0.0</v>
      </c>
      <c r="S651" s="62">
        <v>0.0</v>
      </c>
      <c r="T651" s="62">
        <v>0.509722222222222</v>
      </c>
      <c r="U651" s="62">
        <v>0.0</v>
      </c>
      <c r="V651" s="62">
        <v>0.246666666666666</v>
      </c>
      <c r="W651" s="62">
        <v>0.246666666666666</v>
      </c>
      <c r="X651" s="62">
        <v>0.0</v>
      </c>
      <c r="Y651" s="62">
        <v>0.246666666666666</v>
      </c>
      <c r="Z651" s="62">
        <v>0.0</v>
      </c>
      <c r="AA651" s="62">
        <v>0.0</v>
      </c>
      <c r="AB651" s="62">
        <v>0.0</v>
      </c>
      <c r="AC651" s="62">
        <v>0.0</v>
      </c>
      <c r="AD651" s="62">
        <v>0.236666666666666</v>
      </c>
      <c r="AE651" s="62">
        <v>0.0</v>
      </c>
      <c r="AF651" s="62">
        <v>2.0</v>
      </c>
    </row>
    <row r="652">
      <c r="A652" s="68">
        <v>46118.0</v>
      </c>
      <c r="B652" s="62" t="s">
        <v>26</v>
      </c>
      <c r="C652" s="62" t="s">
        <v>178</v>
      </c>
      <c r="D652" s="62">
        <v>0.0</v>
      </c>
      <c r="E652" s="62">
        <v>5.0</v>
      </c>
      <c r="F652" s="62">
        <v>1.0</v>
      </c>
      <c r="G652" s="62">
        <v>2.0</v>
      </c>
      <c r="H652" s="62">
        <v>5.0</v>
      </c>
      <c r="I652" s="62">
        <v>3.0</v>
      </c>
      <c r="J652" s="62">
        <v>6.0</v>
      </c>
      <c r="K652" s="62">
        <v>1.0</v>
      </c>
      <c r="L652" s="62">
        <v>0.0</v>
      </c>
      <c r="M652" s="62">
        <v>6.0</v>
      </c>
      <c r="N652" s="62">
        <v>0.0</v>
      </c>
      <c r="O652" s="62">
        <v>1.0</v>
      </c>
      <c r="P652" s="62">
        <v>0.0</v>
      </c>
      <c r="Q652" s="62">
        <v>0.0</v>
      </c>
      <c r="R652" s="62">
        <v>0.0</v>
      </c>
      <c r="S652" s="62">
        <v>11045.0</v>
      </c>
      <c r="T652" s="62">
        <v>0.754722222222222</v>
      </c>
      <c r="U652" s="62">
        <v>0.201111111111111</v>
      </c>
      <c r="V652" s="62">
        <v>0.380277777777777</v>
      </c>
      <c r="W652" s="62">
        <v>0.933888888888888</v>
      </c>
      <c r="X652" s="62">
        <v>0.553611111111111</v>
      </c>
      <c r="Y652" s="62">
        <v>1.17916666666666</v>
      </c>
      <c r="Z652" s="62">
        <v>0.173055555555555</v>
      </c>
      <c r="AA652" s="62">
        <v>0.0</v>
      </c>
      <c r="AB652" s="62">
        <v>1.15388888888888</v>
      </c>
      <c r="AC652" s="62">
        <v>0.0</v>
      </c>
      <c r="AD652" s="62">
        <v>0.191111111111111</v>
      </c>
      <c r="AE652" s="62">
        <v>0.0</v>
      </c>
      <c r="AF652" s="62">
        <v>4.0</v>
      </c>
    </row>
    <row r="653">
      <c r="A653" s="68">
        <v>46118.0</v>
      </c>
      <c r="B653" s="62" t="s">
        <v>62</v>
      </c>
      <c r="C653" s="62" t="s">
        <v>63</v>
      </c>
      <c r="D653" s="62">
        <v>3.0</v>
      </c>
      <c r="E653" s="62">
        <v>3.0</v>
      </c>
      <c r="F653" s="62">
        <v>0.0</v>
      </c>
      <c r="G653" s="62">
        <v>0.0</v>
      </c>
      <c r="H653" s="62">
        <v>3.0</v>
      </c>
      <c r="I653" s="62">
        <v>2.0</v>
      </c>
      <c r="J653" s="62">
        <v>4.0</v>
      </c>
      <c r="K653" s="62">
        <v>0.0</v>
      </c>
      <c r="L653" s="62">
        <v>0.0</v>
      </c>
      <c r="M653" s="62">
        <v>3.0</v>
      </c>
      <c r="N653" s="62">
        <v>3.0</v>
      </c>
      <c r="O653" s="62">
        <v>1.0</v>
      </c>
      <c r="P653" s="62">
        <v>3.0</v>
      </c>
      <c r="Q653" s="62">
        <v>0.0</v>
      </c>
      <c r="R653" s="62">
        <v>7324.0</v>
      </c>
      <c r="S653" s="62">
        <v>6380.0</v>
      </c>
      <c r="T653" s="62">
        <v>0.683611111111111</v>
      </c>
      <c r="U653" s="62">
        <v>0.0</v>
      </c>
      <c r="V653" s="62">
        <v>0.0</v>
      </c>
      <c r="W653" s="62">
        <v>0.628611111111111</v>
      </c>
      <c r="X653" s="62">
        <v>0.409166666666666</v>
      </c>
      <c r="Y653" s="62">
        <v>0.844722222222222</v>
      </c>
      <c r="Z653" s="62">
        <v>0.0</v>
      </c>
      <c r="AA653" s="62">
        <v>0.0</v>
      </c>
      <c r="AB653" s="62">
        <v>0.668888888888888</v>
      </c>
      <c r="AC653" s="62">
        <v>0.668888888888888</v>
      </c>
      <c r="AD653" s="62">
        <v>0.22</v>
      </c>
      <c r="AE653" s="62">
        <v>0.668888888888888</v>
      </c>
      <c r="AF653" s="62">
        <v>3.0</v>
      </c>
    </row>
    <row r="654">
      <c r="A654" s="68">
        <v>46117.0</v>
      </c>
      <c r="B654" s="62" t="s">
        <v>98</v>
      </c>
      <c r="C654" s="62" t="s">
        <v>183</v>
      </c>
      <c r="D654" s="62">
        <v>0.0</v>
      </c>
      <c r="E654" s="62">
        <v>0.0</v>
      </c>
      <c r="F654" s="62">
        <v>0.0</v>
      </c>
      <c r="G654" s="62">
        <v>0.0</v>
      </c>
      <c r="H654" s="62">
        <v>0.0</v>
      </c>
      <c r="I654" s="62">
        <v>0.0</v>
      </c>
      <c r="J654" s="62">
        <v>1.0</v>
      </c>
      <c r="K654" s="62">
        <v>0.0</v>
      </c>
      <c r="L654" s="62">
        <v>0.0</v>
      </c>
      <c r="M654" s="62">
        <v>0.0</v>
      </c>
      <c r="N654" s="62">
        <v>0.0</v>
      </c>
      <c r="O654" s="62">
        <v>0.0</v>
      </c>
      <c r="P654" s="62">
        <v>0.0</v>
      </c>
      <c r="Q654" s="62">
        <v>0.0</v>
      </c>
      <c r="R654" s="62">
        <v>0.0</v>
      </c>
      <c r="S654" s="62">
        <v>0.0</v>
      </c>
      <c r="T654" s="62">
        <v>0.0</v>
      </c>
      <c r="U654" s="62">
        <v>0.0</v>
      </c>
      <c r="V654" s="62">
        <v>0.0</v>
      </c>
      <c r="W654" s="62">
        <v>0.0</v>
      </c>
      <c r="X654" s="62">
        <v>0.0</v>
      </c>
      <c r="Y654" s="62">
        <v>0.212777777777777</v>
      </c>
      <c r="Z654" s="62">
        <v>0.0</v>
      </c>
      <c r="AA654" s="62">
        <v>0.0</v>
      </c>
      <c r="AB654" s="62">
        <v>0.0</v>
      </c>
      <c r="AC654" s="62">
        <v>0.0</v>
      </c>
      <c r="AD654" s="62">
        <v>0.0</v>
      </c>
      <c r="AE654" s="62">
        <v>0.0</v>
      </c>
      <c r="AF654" s="62">
        <v>0.0</v>
      </c>
    </row>
    <row r="655">
      <c r="A655" s="68">
        <v>46117.0</v>
      </c>
      <c r="B655" s="62" t="s">
        <v>32</v>
      </c>
      <c r="C655" s="62" t="s">
        <v>168</v>
      </c>
      <c r="D655" s="62">
        <v>0.0</v>
      </c>
      <c r="E655" s="62">
        <v>0.0</v>
      </c>
      <c r="F655" s="62">
        <v>0.0</v>
      </c>
      <c r="G655" s="62">
        <v>0.0</v>
      </c>
      <c r="H655" s="62">
        <v>0.0</v>
      </c>
      <c r="I655" s="62">
        <v>0.0</v>
      </c>
      <c r="J655" s="62">
        <v>0.0</v>
      </c>
      <c r="K655" s="62">
        <v>0.0</v>
      </c>
      <c r="L655" s="62">
        <v>0.0</v>
      </c>
      <c r="M655" s="62">
        <v>0.0</v>
      </c>
      <c r="N655" s="62">
        <v>0.0</v>
      </c>
      <c r="O655" s="62">
        <v>1.0</v>
      </c>
      <c r="P655" s="62">
        <v>0.0</v>
      </c>
      <c r="Q655" s="62">
        <v>0.0</v>
      </c>
      <c r="R655" s="62">
        <v>0.0</v>
      </c>
      <c r="S655" s="62">
        <v>0.0</v>
      </c>
      <c r="T655" s="62">
        <v>0.696388888888888</v>
      </c>
      <c r="U655" s="62">
        <v>0.0</v>
      </c>
      <c r="V655" s="62">
        <v>0.0</v>
      </c>
      <c r="W655" s="62">
        <v>0.0</v>
      </c>
      <c r="X655" s="62">
        <v>0.0</v>
      </c>
      <c r="Y655" s="62">
        <v>0.0</v>
      </c>
      <c r="Z655" s="62">
        <v>0.0</v>
      </c>
      <c r="AA655" s="62">
        <v>0.0</v>
      </c>
      <c r="AB655" s="62">
        <v>0.0</v>
      </c>
      <c r="AC655" s="62">
        <v>0.0</v>
      </c>
      <c r="AD655" s="62">
        <v>0.236666666666666</v>
      </c>
      <c r="AE655" s="62">
        <v>0.0</v>
      </c>
      <c r="AF655" s="62">
        <v>3.0</v>
      </c>
    </row>
    <row r="656">
      <c r="A656" s="68">
        <v>46117.0</v>
      </c>
      <c r="B656" s="62" t="s">
        <v>93</v>
      </c>
      <c r="C656" s="62" t="s">
        <v>182</v>
      </c>
      <c r="D656" s="62">
        <v>0.0</v>
      </c>
      <c r="E656" s="62">
        <v>3.0</v>
      </c>
      <c r="F656" s="62">
        <v>0.0</v>
      </c>
      <c r="G656" s="62">
        <v>0.0</v>
      </c>
      <c r="H656" s="62">
        <v>0.0</v>
      </c>
      <c r="I656" s="62">
        <v>0.0</v>
      </c>
      <c r="J656" s="62">
        <v>0.0</v>
      </c>
      <c r="K656" s="62">
        <v>0.0</v>
      </c>
      <c r="L656" s="62">
        <v>0.0</v>
      </c>
      <c r="M656" s="62">
        <v>0.0</v>
      </c>
      <c r="N656" s="62">
        <v>0.0</v>
      </c>
      <c r="O656" s="62">
        <v>0.0</v>
      </c>
      <c r="P656" s="62">
        <v>0.0</v>
      </c>
      <c r="Q656" s="62">
        <v>0.0</v>
      </c>
      <c r="R656" s="62">
        <v>0.0</v>
      </c>
      <c r="S656" s="62">
        <v>6218.0</v>
      </c>
      <c r="T656" s="62">
        <v>0.0</v>
      </c>
      <c r="U656" s="62">
        <v>0.0</v>
      </c>
      <c r="V656" s="62">
        <v>0.0</v>
      </c>
      <c r="W656" s="62">
        <v>0.0</v>
      </c>
      <c r="X656" s="62">
        <v>0.0</v>
      </c>
      <c r="Y656" s="62">
        <v>0.0</v>
      </c>
      <c r="Z656" s="62">
        <v>0.0</v>
      </c>
      <c r="AA656" s="62">
        <v>0.0</v>
      </c>
      <c r="AB656" s="62">
        <v>0.0</v>
      </c>
      <c r="AC656" s="62">
        <v>0.0</v>
      </c>
      <c r="AD656" s="62">
        <v>0.0</v>
      </c>
      <c r="AE656" s="62">
        <v>0.0</v>
      </c>
      <c r="AF656" s="62">
        <v>0.0</v>
      </c>
    </row>
    <row r="657">
      <c r="A657" s="68">
        <v>46117.0</v>
      </c>
      <c r="B657" s="62" t="s">
        <v>56</v>
      </c>
      <c r="C657" s="62" t="s">
        <v>176</v>
      </c>
      <c r="D657" s="62">
        <v>5.0</v>
      </c>
      <c r="E657" s="62">
        <v>0.0</v>
      </c>
      <c r="F657" s="62">
        <v>0.0</v>
      </c>
      <c r="G657" s="62">
        <v>0.0</v>
      </c>
      <c r="H657" s="62">
        <v>0.0</v>
      </c>
      <c r="I657" s="62">
        <v>0.0</v>
      </c>
      <c r="J657" s="62">
        <v>0.0</v>
      </c>
      <c r="K657" s="62">
        <v>0.0</v>
      </c>
      <c r="L657" s="62">
        <v>0.0</v>
      </c>
      <c r="M657" s="62">
        <v>0.0</v>
      </c>
      <c r="N657" s="62">
        <v>0.0</v>
      </c>
      <c r="O657" s="62">
        <v>0.0</v>
      </c>
      <c r="P657" s="62">
        <v>0.0</v>
      </c>
      <c r="Q657" s="62">
        <v>0.0</v>
      </c>
      <c r="R657" s="62">
        <v>10462.0</v>
      </c>
      <c r="S657" s="62">
        <v>0.0</v>
      </c>
      <c r="T657" s="62">
        <v>0.0</v>
      </c>
      <c r="U657" s="62">
        <v>0.0</v>
      </c>
      <c r="V657" s="62">
        <v>0.0</v>
      </c>
      <c r="W657" s="62">
        <v>0.0</v>
      </c>
      <c r="X657" s="62">
        <v>0.0</v>
      </c>
      <c r="Y657" s="62">
        <v>0.0</v>
      </c>
      <c r="Z657" s="62">
        <v>0.0</v>
      </c>
      <c r="AA657" s="62">
        <v>0.0</v>
      </c>
      <c r="AB657" s="62">
        <v>0.0</v>
      </c>
      <c r="AC657" s="62">
        <v>0.0</v>
      </c>
      <c r="AD657" s="62">
        <v>0.0</v>
      </c>
      <c r="AE657" s="62">
        <v>0.0</v>
      </c>
      <c r="AF657" s="62">
        <v>0.0</v>
      </c>
    </row>
    <row r="658">
      <c r="A658" s="68">
        <v>46117.0</v>
      </c>
      <c r="B658" s="62" t="s">
        <v>91</v>
      </c>
      <c r="C658" s="62" t="s">
        <v>184</v>
      </c>
      <c r="D658" s="62">
        <v>0.0</v>
      </c>
      <c r="E658" s="62">
        <v>0.0</v>
      </c>
      <c r="F658" s="62">
        <v>0.0</v>
      </c>
      <c r="G658" s="62">
        <v>2.0</v>
      </c>
      <c r="H658" s="62">
        <v>2.0</v>
      </c>
      <c r="I658" s="62">
        <v>0.0</v>
      </c>
      <c r="J658" s="62">
        <v>1.0</v>
      </c>
      <c r="K658" s="62">
        <v>0.0</v>
      </c>
      <c r="L658" s="62">
        <v>0.0</v>
      </c>
      <c r="M658" s="62">
        <v>0.0</v>
      </c>
      <c r="N658" s="62">
        <v>7.0</v>
      </c>
      <c r="O658" s="62">
        <v>1.0</v>
      </c>
      <c r="P658" s="62">
        <v>7.0</v>
      </c>
      <c r="Q658" s="62">
        <v>0.0</v>
      </c>
      <c r="R658" s="62">
        <v>0.0</v>
      </c>
      <c r="S658" s="62">
        <v>0.0</v>
      </c>
      <c r="T658" s="62">
        <v>0.0</v>
      </c>
      <c r="U658" s="62">
        <v>0.0</v>
      </c>
      <c r="V658" s="62">
        <v>0.301666666666666</v>
      </c>
      <c r="W658" s="62">
        <v>0.301666666666666</v>
      </c>
      <c r="X658" s="62">
        <v>0.0</v>
      </c>
      <c r="Y658" s="62">
        <v>0.153333333333333</v>
      </c>
      <c r="Z658" s="62">
        <v>0.0</v>
      </c>
      <c r="AA658" s="62">
        <v>0.0</v>
      </c>
      <c r="AB658" s="62">
        <v>0.0</v>
      </c>
      <c r="AC658" s="62">
        <v>1.16388888888888</v>
      </c>
      <c r="AD658" s="62">
        <v>0.154166666666666</v>
      </c>
      <c r="AE658" s="62">
        <v>1.16388888888888</v>
      </c>
      <c r="AF658" s="62">
        <v>0.0</v>
      </c>
    </row>
    <row r="659">
      <c r="A659" s="68">
        <v>46117.0</v>
      </c>
      <c r="B659" s="62" t="s">
        <v>26</v>
      </c>
      <c r="C659" s="62" t="s">
        <v>178</v>
      </c>
      <c r="D659" s="62">
        <v>0.0</v>
      </c>
      <c r="E659" s="62">
        <v>5.0</v>
      </c>
      <c r="F659" s="62">
        <v>0.0</v>
      </c>
      <c r="G659" s="62">
        <v>1.0</v>
      </c>
      <c r="H659" s="62">
        <v>1.0</v>
      </c>
      <c r="I659" s="62">
        <v>0.0</v>
      </c>
      <c r="J659" s="62">
        <v>4.0</v>
      </c>
      <c r="K659" s="62">
        <v>0.0</v>
      </c>
      <c r="L659" s="62">
        <v>0.0</v>
      </c>
      <c r="M659" s="62">
        <v>0.0</v>
      </c>
      <c r="N659" s="62">
        <v>0.0</v>
      </c>
      <c r="O659" s="62">
        <v>1.0</v>
      </c>
      <c r="P659" s="62">
        <v>0.0</v>
      </c>
      <c r="Q659" s="62">
        <v>0.0</v>
      </c>
      <c r="R659" s="62">
        <v>0.0</v>
      </c>
      <c r="S659" s="62">
        <v>11756.0</v>
      </c>
      <c r="T659" s="62">
        <v>0.0</v>
      </c>
      <c r="U659" s="62">
        <v>0.0</v>
      </c>
      <c r="V659" s="62">
        <v>0.200555555555555</v>
      </c>
      <c r="W659" s="62">
        <v>0.200555555555555</v>
      </c>
      <c r="X659" s="62">
        <v>0.0</v>
      </c>
      <c r="Y659" s="62">
        <v>0.738888888888888</v>
      </c>
      <c r="Z659" s="62">
        <v>0.0</v>
      </c>
      <c r="AA659" s="62">
        <v>0.0</v>
      </c>
      <c r="AB659" s="62">
        <v>0.0</v>
      </c>
      <c r="AC659" s="62">
        <v>0.0</v>
      </c>
      <c r="AD659" s="62">
        <v>0.2</v>
      </c>
      <c r="AE659" s="62">
        <v>0.0</v>
      </c>
      <c r="AF659" s="62">
        <v>0.0</v>
      </c>
    </row>
    <row r="660">
      <c r="A660" s="68">
        <v>46116.0</v>
      </c>
      <c r="B660" s="62" t="s">
        <v>98</v>
      </c>
      <c r="C660" s="62" t="s">
        <v>183</v>
      </c>
      <c r="D660" s="62">
        <v>0.0</v>
      </c>
      <c r="E660" s="62">
        <v>3.0</v>
      </c>
      <c r="F660" s="62">
        <v>0.0</v>
      </c>
      <c r="G660" s="62">
        <v>1.0</v>
      </c>
      <c r="H660" s="62">
        <v>1.0</v>
      </c>
      <c r="I660" s="62">
        <v>0.0</v>
      </c>
      <c r="J660" s="62">
        <v>1.0</v>
      </c>
      <c r="K660" s="62">
        <v>0.0</v>
      </c>
      <c r="L660" s="62">
        <v>0.0</v>
      </c>
      <c r="M660" s="62">
        <v>0.0</v>
      </c>
      <c r="N660" s="62">
        <v>0.0</v>
      </c>
      <c r="O660" s="62">
        <v>0.0</v>
      </c>
      <c r="P660" s="62">
        <v>0.0</v>
      </c>
      <c r="Q660" s="62">
        <v>0.0</v>
      </c>
      <c r="R660" s="62">
        <v>0.0</v>
      </c>
      <c r="S660" s="62">
        <v>6707.0</v>
      </c>
      <c r="T660" s="62">
        <v>0.0</v>
      </c>
      <c r="U660" s="62">
        <v>0.0</v>
      </c>
      <c r="V660" s="62">
        <v>0.239166666666666</v>
      </c>
      <c r="W660" s="62">
        <v>0.239166666666666</v>
      </c>
      <c r="X660" s="62">
        <v>0.0</v>
      </c>
      <c r="Y660" s="62">
        <v>0.208611111111111</v>
      </c>
      <c r="Z660" s="62">
        <v>0.0</v>
      </c>
      <c r="AA660" s="62">
        <v>0.0</v>
      </c>
      <c r="AB660" s="62">
        <v>0.0</v>
      </c>
      <c r="AC660" s="62">
        <v>0.0</v>
      </c>
      <c r="AD660" s="62">
        <v>0.0</v>
      </c>
      <c r="AE660" s="62">
        <v>0.0</v>
      </c>
      <c r="AF660" s="62">
        <v>0.0</v>
      </c>
    </row>
    <row r="661">
      <c r="A661" s="68">
        <v>46116.0</v>
      </c>
      <c r="B661" s="62" t="s">
        <v>76</v>
      </c>
      <c r="C661" s="62" t="s">
        <v>165</v>
      </c>
      <c r="D661" s="62">
        <v>0.0</v>
      </c>
      <c r="E661" s="62">
        <v>1.0</v>
      </c>
      <c r="F661" s="62">
        <v>0.0</v>
      </c>
      <c r="G661" s="62">
        <v>0.0</v>
      </c>
      <c r="H661" s="62">
        <v>0.0</v>
      </c>
      <c r="I661" s="62">
        <v>0.0</v>
      </c>
      <c r="J661" s="62">
        <v>0.0</v>
      </c>
      <c r="K661" s="62">
        <v>0.0</v>
      </c>
      <c r="L661" s="62">
        <v>0.0</v>
      </c>
      <c r="M661" s="62">
        <v>0.0</v>
      </c>
      <c r="N661" s="62">
        <v>0.0</v>
      </c>
      <c r="O661" s="62">
        <v>1.0</v>
      </c>
      <c r="P661" s="62">
        <v>0.0</v>
      </c>
      <c r="Q661" s="62">
        <v>0.0</v>
      </c>
      <c r="R661" s="62">
        <v>0.0</v>
      </c>
      <c r="S661" s="62">
        <v>2561.0</v>
      </c>
      <c r="T661" s="62">
        <v>0.0</v>
      </c>
      <c r="U661" s="62">
        <v>0.0</v>
      </c>
      <c r="V661" s="62">
        <v>0.0</v>
      </c>
      <c r="W661" s="62">
        <v>0.0</v>
      </c>
      <c r="X661" s="62">
        <v>0.0</v>
      </c>
      <c r="Y661" s="62">
        <v>0.0</v>
      </c>
      <c r="Z661" s="62">
        <v>0.0</v>
      </c>
      <c r="AA661" s="62">
        <v>0.0</v>
      </c>
      <c r="AB661" s="62">
        <v>0.0</v>
      </c>
      <c r="AC661" s="62">
        <v>0.0</v>
      </c>
      <c r="AD661" s="62">
        <v>0.235</v>
      </c>
      <c r="AE661" s="62">
        <v>0.0</v>
      </c>
      <c r="AF661" s="62">
        <v>0.0</v>
      </c>
    </row>
    <row r="662">
      <c r="A662" s="68">
        <v>46116.0</v>
      </c>
      <c r="B662" s="62" t="s">
        <v>37</v>
      </c>
      <c r="C662" s="62" t="s">
        <v>174</v>
      </c>
      <c r="D662" s="62">
        <v>0.0</v>
      </c>
      <c r="E662" s="62">
        <v>0.0</v>
      </c>
      <c r="F662" s="62">
        <v>0.0</v>
      </c>
      <c r="G662" s="62">
        <v>0.0</v>
      </c>
      <c r="H662" s="62">
        <v>0.0</v>
      </c>
      <c r="I662" s="62">
        <v>0.0</v>
      </c>
      <c r="J662" s="62">
        <v>0.0</v>
      </c>
      <c r="K662" s="62">
        <v>0.0</v>
      </c>
      <c r="L662" s="62">
        <v>0.0</v>
      </c>
      <c r="M662" s="62">
        <v>0.0</v>
      </c>
      <c r="N662" s="62">
        <v>0.0</v>
      </c>
      <c r="O662" s="62">
        <v>1.0</v>
      </c>
      <c r="P662" s="62">
        <v>0.0</v>
      </c>
      <c r="Q662" s="62">
        <v>0.0</v>
      </c>
      <c r="R662" s="62">
        <v>0.0</v>
      </c>
      <c r="S662" s="62">
        <v>0.0</v>
      </c>
      <c r="T662" s="62">
        <v>2.02527777777777</v>
      </c>
      <c r="U662" s="62">
        <v>0.0</v>
      </c>
      <c r="V662" s="62">
        <v>0.0</v>
      </c>
      <c r="W662" s="62">
        <v>0.0</v>
      </c>
      <c r="X662" s="62">
        <v>0.0</v>
      </c>
      <c r="Y662" s="62">
        <v>0.0</v>
      </c>
      <c r="Z662" s="62">
        <v>0.0</v>
      </c>
      <c r="AA662" s="62">
        <v>0.0</v>
      </c>
      <c r="AB662" s="62">
        <v>0.0</v>
      </c>
      <c r="AC662" s="62">
        <v>0.0</v>
      </c>
      <c r="AD662" s="62">
        <v>0.293611111111111</v>
      </c>
      <c r="AE662" s="62">
        <v>0.0</v>
      </c>
      <c r="AF662" s="62">
        <v>7.0</v>
      </c>
    </row>
    <row r="663">
      <c r="A663" s="68">
        <v>46116.0</v>
      </c>
      <c r="B663" s="62" t="s">
        <v>91</v>
      </c>
      <c r="C663" s="62" t="s">
        <v>184</v>
      </c>
      <c r="D663" s="62">
        <v>0.0</v>
      </c>
      <c r="E663" s="62">
        <v>0.0</v>
      </c>
      <c r="F663" s="62">
        <v>0.0</v>
      </c>
      <c r="G663" s="62">
        <v>4.0</v>
      </c>
      <c r="H663" s="62">
        <v>4.0</v>
      </c>
      <c r="I663" s="62">
        <v>0.0</v>
      </c>
      <c r="J663" s="62">
        <v>3.0</v>
      </c>
      <c r="K663" s="62">
        <v>0.0</v>
      </c>
      <c r="L663" s="62">
        <v>7.0</v>
      </c>
      <c r="M663" s="62">
        <v>7.0</v>
      </c>
      <c r="N663" s="62">
        <v>0.0</v>
      </c>
      <c r="O663" s="62">
        <v>1.0</v>
      </c>
      <c r="P663" s="62">
        <v>0.0</v>
      </c>
      <c r="Q663" s="62">
        <v>0.0</v>
      </c>
      <c r="R663" s="62">
        <v>0.0</v>
      </c>
      <c r="S663" s="62">
        <v>0.0</v>
      </c>
      <c r="T663" s="62">
        <v>1.29</v>
      </c>
      <c r="U663" s="62">
        <v>0.0</v>
      </c>
      <c r="V663" s="62">
        <v>0.616111111111111</v>
      </c>
      <c r="W663" s="62">
        <v>0.616111111111111</v>
      </c>
      <c r="X663" s="62">
        <v>0.0</v>
      </c>
      <c r="Y663" s="62">
        <v>0.462777777777777</v>
      </c>
      <c r="Z663" s="62">
        <v>0.0</v>
      </c>
      <c r="AA663" s="62">
        <v>1.16388888888888</v>
      </c>
      <c r="AB663" s="62">
        <v>1.16388888888888</v>
      </c>
      <c r="AC663" s="62">
        <v>0.0</v>
      </c>
      <c r="AD663" s="62">
        <v>0.189722222222222</v>
      </c>
      <c r="AE663" s="62">
        <v>0.0</v>
      </c>
      <c r="AF663" s="62">
        <v>6.0</v>
      </c>
    </row>
    <row r="664">
      <c r="A664" s="68">
        <v>46116.0</v>
      </c>
      <c r="B664" s="62" t="s">
        <v>26</v>
      </c>
      <c r="C664" s="62" t="s">
        <v>178</v>
      </c>
      <c r="D664" s="62">
        <v>7.0</v>
      </c>
      <c r="E664" s="62">
        <v>0.0</v>
      </c>
      <c r="F664" s="62">
        <v>0.0</v>
      </c>
      <c r="G664" s="62">
        <v>0.0</v>
      </c>
      <c r="H664" s="62">
        <v>0.0</v>
      </c>
      <c r="I664" s="62">
        <v>0.0</v>
      </c>
      <c r="J664" s="62">
        <v>0.0</v>
      </c>
      <c r="K664" s="62">
        <v>0.0</v>
      </c>
      <c r="L664" s="62">
        <v>0.0</v>
      </c>
      <c r="M664" s="62">
        <v>0.0</v>
      </c>
      <c r="N664" s="62">
        <v>0.0</v>
      </c>
      <c r="O664" s="62">
        <v>1.0</v>
      </c>
      <c r="P664" s="62">
        <v>0.0</v>
      </c>
      <c r="Q664" s="62">
        <v>0.0</v>
      </c>
      <c r="R664" s="62">
        <v>16491.0</v>
      </c>
      <c r="S664" s="62">
        <v>0.0</v>
      </c>
      <c r="T664" s="62">
        <v>0.0</v>
      </c>
      <c r="U664" s="62">
        <v>0.0</v>
      </c>
      <c r="V664" s="62">
        <v>0.0</v>
      </c>
      <c r="W664" s="62">
        <v>0.0</v>
      </c>
      <c r="X664" s="62">
        <v>0.0</v>
      </c>
      <c r="Y664" s="62">
        <v>0.0</v>
      </c>
      <c r="Z664" s="62">
        <v>0.0</v>
      </c>
      <c r="AA664" s="62">
        <v>0.0</v>
      </c>
      <c r="AB664" s="62">
        <v>0.0</v>
      </c>
      <c r="AC664" s="62">
        <v>0.0</v>
      </c>
      <c r="AD664" s="62">
        <v>0.209166666666666</v>
      </c>
      <c r="AE664" s="62">
        <v>0.0</v>
      </c>
      <c r="AF664" s="62">
        <v>0.0</v>
      </c>
    </row>
    <row r="665">
      <c r="A665" s="68">
        <v>46116.0</v>
      </c>
      <c r="B665" s="62" t="s">
        <v>62</v>
      </c>
      <c r="C665" s="62" t="s">
        <v>63</v>
      </c>
      <c r="D665" s="62">
        <v>0.0</v>
      </c>
      <c r="E665" s="62">
        <v>0.0</v>
      </c>
      <c r="F665" s="62">
        <v>0.0</v>
      </c>
      <c r="G665" s="62">
        <v>0.0</v>
      </c>
      <c r="H665" s="62">
        <v>0.0</v>
      </c>
      <c r="I665" s="62">
        <v>0.0</v>
      </c>
      <c r="J665" s="62">
        <v>0.0</v>
      </c>
      <c r="K665" s="62">
        <v>0.0</v>
      </c>
      <c r="L665" s="62">
        <v>0.0</v>
      </c>
      <c r="M665" s="62">
        <v>0.0</v>
      </c>
      <c r="N665" s="62">
        <v>0.0</v>
      </c>
      <c r="O665" s="62">
        <v>1.0</v>
      </c>
      <c r="P665" s="62">
        <v>0.0</v>
      </c>
      <c r="Q665" s="62">
        <v>0.0</v>
      </c>
      <c r="R665" s="62">
        <v>0.0</v>
      </c>
      <c r="S665" s="62">
        <v>0.0</v>
      </c>
      <c r="T665" s="62">
        <v>0.409166666666666</v>
      </c>
      <c r="U665" s="62">
        <v>0.0</v>
      </c>
      <c r="V665" s="62">
        <v>0.0</v>
      </c>
      <c r="W665" s="62">
        <v>0.0</v>
      </c>
      <c r="X665" s="62">
        <v>0.0</v>
      </c>
      <c r="Y665" s="62">
        <v>0.0</v>
      </c>
      <c r="Z665" s="62">
        <v>0.0</v>
      </c>
      <c r="AA665" s="62">
        <v>0.0</v>
      </c>
      <c r="AB665" s="62">
        <v>0.0</v>
      </c>
      <c r="AC665" s="62">
        <v>0.0</v>
      </c>
      <c r="AD665" s="62">
        <v>0.235</v>
      </c>
      <c r="AE665" s="62">
        <v>0.0</v>
      </c>
      <c r="AF665" s="62">
        <v>2.0</v>
      </c>
    </row>
    <row r="666">
      <c r="A666" s="68">
        <v>46115.0</v>
      </c>
      <c r="B666" s="62" t="s">
        <v>98</v>
      </c>
      <c r="C666" s="62" t="s">
        <v>183</v>
      </c>
      <c r="D666" s="62">
        <v>4.0</v>
      </c>
      <c r="E666" s="62">
        <v>4.0</v>
      </c>
      <c r="F666" s="62">
        <v>0.0</v>
      </c>
      <c r="G666" s="62">
        <v>2.0</v>
      </c>
      <c r="H666" s="62">
        <v>2.0</v>
      </c>
      <c r="I666" s="62">
        <v>0.0</v>
      </c>
      <c r="J666" s="62">
        <v>2.0</v>
      </c>
      <c r="K666" s="62">
        <v>1.0</v>
      </c>
      <c r="L666" s="62">
        <v>0.0</v>
      </c>
      <c r="M666" s="62">
        <v>1.0</v>
      </c>
      <c r="N666" s="62">
        <v>1.0</v>
      </c>
      <c r="O666" s="62">
        <v>1.0</v>
      </c>
      <c r="P666" s="62">
        <v>1.0</v>
      </c>
      <c r="Q666" s="62">
        <v>0.0</v>
      </c>
      <c r="R666" s="62">
        <v>8890.0</v>
      </c>
      <c r="S666" s="62">
        <v>8756.0</v>
      </c>
      <c r="T666" s="62">
        <v>0.0</v>
      </c>
      <c r="U666" s="62">
        <v>0.0</v>
      </c>
      <c r="V666" s="62">
        <v>0.472222222222222</v>
      </c>
      <c r="W666" s="62">
        <v>0.472222222222222</v>
      </c>
      <c r="X666" s="62">
        <v>0.0</v>
      </c>
      <c r="Y666" s="62">
        <v>0.444166666666666</v>
      </c>
      <c r="Z666" s="62">
        <v>0.264444444444444</v>
      </c>
      <c r="AA666" s="62">
        <v>0.0</v>
      </c>
      <c r="AB666" s="62">
        <v>0.264444444444444</v>
      </c>
      <c r="AC666" s="62">
        <v>0.264444444444444</v>
      </c>
      <c r="AD666" s="62">
        <v>0.264444444444444</v>
      </c>
      <c r="AE666" s="62">
        <v>0.264444444444444</v>
      </c>
      <c r="AF666" s="62">
        <v>0.0</v>
      </c>
    </row>
    <row r="667">
      <c r="A667" s="68">
        <v>46115.0</v>
      </c>
      <c r="B667" s="62" t="s">
        <v>71</v>
      </c>
      <c r="C667" s="62" t="s">
        <v>163</v>
      </c>
      <c r="D667" s="62">
        <v>0.0</v>
      </c>
      <c r="E667" s="62">
        <v>2.0</v>
      </c>
      <c r="F667" s="62">
        <v>4.0</v>
      </c>
      <c r="G667" s="62">
        <v>5.0</v>
      </c>
      <c r="H667" s="62">
        <v>5.0</v>
      </c>
      <c r="I667" s="62">
        <v>0.0</v>
      </c>
      <c r="J667" s="62">
        <v>4.0</v>
      </c>
      <c r="K667" s="62">
        <v>2.0</v>
      </c>
      <c r="L667" s="62">
        <v>0.0</v>
      </c>
      <c r="M667" s="62">
        <v>3.0</v>
      </c>
      <c r="N667" s="62">
        <v>4.0</v>
      </c>
      <c r="O667" s="62">
        <v>1.0</v>
      </c>
      <c r="P667" s="62">
        <v>4.0</v>
      </c>
      <c r="Q667" s="62">
        <v>0.0</v>
      </c>
      <c r="R667" s="62">
        <v>0.0</v>
      </c>
      <c r="S667" s="62">
        <v>5545.0</v>
      </c>
      <c r="T667" s="62">
        <v>0.745833333333333</v>
      </c>
      <c r="U667" s="62">
        <v>0.991111111111111</v>
      </c>
      <c r="V667" s="62">
        <v>1.24583333333333</v>
      </c>
      <c r="W667" s="62">
        <v>1.24583333333333</v>
      </c>
      <c r="X667" s="62">
        <v>0.0</v>
      </c>
      <c r="Y667" s="62">
        <v>1.01055555555555</v>
      </c>
      <c r="Z667" s="62">
        <v>0.501944444444444</v>
      </c>
      <c r="AA667" s="62">
        <v>0.0</v>
      </c>
      <c r="AB667" s="62">
        <v>0.737222222222222</v>
      </c>
      <c r="AC667" s="62">
        <v>0.982777777777777</v>
      </c>
      <c r="AD667" s="62">
        <v>0.281388888888888</v>
      </c>
      <c r="AE667" s="62">
        <v>0.982777777777777</v>
      </c>
      <c r="AF667" s="62">
        <v>3.0</v>
      </c>
    </row>
    <row r="668">
      <c r="A668" s="68">
        <v>46115.0</v>
      </c>
      <c r="B668" s="62" t="s">
        <v>76</v>
      </c>
      <c r="C668" s="62" t="s">
        <v>165</v>
      </c>
      <c r="D668" s="62">
        <v>22.0</v>
      </c>
      <c r="E668" s="62">
        <v>6.0</v>
      </c>
      <c r="F668" s="62">
        <v>7.0</v>
      </c>
      <c r="G668" s="62">
        <v>6.0</v>
      </c>
      <c r="H668" s="62">
        <v>6.0</v>
      </c>
      <c r="I668" s="62">
        <v>0.0</v>
      </c>
      <c r="J668" s="62">
        <v>7.0</v>
      </c>
      <c r="K668" s="62">
        <v>2.0</v>
      </c>
      <c r="L668" s="62">
        <v>2.0</v>
      </c>
      <c r="M668" s="62">
        <v>7.0</v>
      </c>
      <c r="N668" s="62">
        <v>9.0</v>
      </c>
      <c r="O668" s="62">
        <v>1.0</v>
      </c>
      <c r="P668" s="62">
        <v>9.0</v>
      </c>
      <c r="Q668" s="62">
        <v>0.0</v>
      </c>
      <c r="R668" s="62">
        <v>63173.0</v>
      </c>
      <c r="S668" s="62">
        <v>16133.0</v>
      </c>
      <c r="T668" s="62">
        <v>0.545833333333333</v>
      </c>
      <c r="U668" s="62">
        <v>2.13638888888888</v>
      </c>
      <c r="V668" s="62">
        <v>1.65277777777777</v>
      </c>
      <c r="W668" s="62">
        <v>1.65277777777777</v>
      </c>
      <c r="X668" s="62">
        <v>0.0</v>
      </c>
      <c r="Y668" s="62">
        <v>1.92222222222222</v>
      </c>
      <c r="Z668" s="62">
        <v>0.549166666666666</v>
      </c>
      <c r="AA668" s="62">
        <v>0.525277777777777</v>
      </c>
      <c r="AB668" s="62">
        <v>1.91333333333333</v>
      </c>
      <c r="AC668" s="62">
        <v>2.41444444444444</v>
      </c>
      <c r="AD668" s="62">
        <v>0.229722222222222</v>
      </c>
      <c r="AE668" s="62">
        <v>2.41444444444444</v>
      </c>
      <c r="AF668" s="62">
        <v>2.0</v>
      </c>
    </row>
    <row r="669">
      <c r="A669" s="68">
        <v>46115.0</v>
      </c>
      <c r="B669" s="62" t="s">
        <v>104</v>
      </c>
      <c r="C669" s="62" t="s">
        <v>166</v>
      </c>
      <c r="D669" s="62">
        <v>7.0</v>
      </c>
      <c r="E669" s="62">
        <v>0.0</v>
      </c>
      <c r="F669" s="62">
        <v>4.0</v>
      </c>
      <c r="G669" s="62">
        <v>0.0</v>
      </c>
      <c r="H669" s="62">
        <v>1.0</v>
      </c>
      <c r="I669" s="62">
        <v>0.0</v>
      </c>
      <c r="J669" s="62">
        <v>3.0</v>
      </c>
      <c r="K669" s="62">
        <v>0.0</v>
      </c>
      <c r="L669" s="62">
        <v>0.0</v>
      </c>
      <c r="M669" s="62">
        <v>3.0</v>
      </c>
      <c r="N669" s="62">
        <v>7.0</v>
      </c>
      <c r="O669" s="62">
        <v>1.0</v>
      </c>
      <c r="P669" s="62">
        <v>7.0</v>
      </c>
      <c r="Q669" s="62">
        <v>0.0</v>
      </c>
      <c r="R669" s="62">
        <v>16950.0</v>
      </c>
      <c r="S669" s="62">
        <v>0.0</v>
      </c>
      <c r="T669" s="62">
        <v>0.0</v>
      </c>
      <c r="U669" s="62">
        <v>0.824722222222222</v>
      </c>
      <c r="V669" s="62">
        <v>0.0</v>
      </c>
      <c r="W669" s="62">
        <v>0.198888888888888</v>
      </c>
      <c r="X669" s="62">
        <v>0.0</v>
      </c>
      <c r="Y669" s="62">
        <v>0.658333333333333</v>
      </c>
      <c r="Z669" s="62">
        <v>0.0</v>
      </c>
      <c r="AA669" s="62">
        <v>0.0</v>
      </c>
      <c r="AB669" s="62">
        <v>0.568333333333333</v>
      </c>
      <c r="AC669" s="62">
        <v>1.45222222222222</v>
      </c>
      <c r="AD669" s="62">
        <v>0.215277777777777</v>
      </c>
      <c r="AE669" s="62">
        <v>1.45222222222222</v>
      </c>
      <c r="AF669" s="62">
        <v>0.0</v>
      </c>
    </row>
    <row r="670">
      <c r="A670" s="68">
        <v>46115.0</v>
      </c>
      <c r="B670" s="62" t="s">
        <v>100</v>
      </c>
      <c r="C670" s="62" t="s">
        <v>167</v>
      </c>
      <c r="D670" s="62">
        <v>1.0</v>
      </c>
      <c r="E670" s="62">
        <v>1.0</v>
      </c>
      <c r="F670" s="62">
        <v>0.0</v>
      </c>
      <c r="G670" s="62">
        <v>0.0</v>
      </c>
      <c r="H670" s="62">
        <v>0.0</v>
      </c>
      <c r="I670" s="62">
        <v>0.0</v>
      </c>
      <c r="J670" s="62">
        <v>0.0</v>
      </c>
      <c r="K670" s="62">
        <v>0.0</v>
      </c>
      <c r="L670" s="62">
        <v>0.0</v>
      </c>
      <c r="M670" s="62">
        <v>0.0</v>
      </c>
      <c r="N670" s="62">
        <v>0.0</v>
      </c>
      <c r="O670" s="62">
        <v>0.0</v>
      </c>
      <c r="P670" s="62">
        <v>0.0</v>
      </c>
      <c r="Q670" s="62">
        <v>0.0</v>
      </c>
      <c r="R670" s="62">
        <v>2454.0</v>
      </c>
      <c r="S670" s="62">
        <v>2454.0</v>
      </c>
      <c r="T670" s="62">
        <v>0.0</v>
      </c>
      <c r="U670" s="62">
        <v>0.0</v>
      </c>
      <c r="V670" s="62">
        <v>0.0</v>
      </c>
      <c r="W670" s="62">
        <v>0.0</v>
      </c>
      <c r="X670" s="62">
        <v>0.0</v>
      </c>
      <c r="Y670" s="62">
        <v>0.0</v>
      </c>
      <c r="Z670" s="62">
        <v>0.0</v>
      </c>
      <c r="AA670" s="62">
        <v>0.0</v>
      </c>
      <c r="AB670" s="62">
        <v>0.0</v>
      </c>
      <c r="AC670" s="62">
        <v>0.0</v>
      </c>
      <c r="AD670" s="62">
        <v>0.0</v>
      </c>
      <c r="AE670" s="62">
        <v>0.0</v>
      </c>
      <c r="AF670" s="62">
        <v>0.0</v>
      </c>
    </row>
    <row r="671">
      <c r="A671" s="68">
        <v>46115.0</v>
      </c>
      <c r="B671" s="62" t="s">
        <v>32</v>
      </c>
      <c r="C671" s="62" t="s">
        <v>168</v>
      </c>
      <c r="D671" s="62">
        <v>0.0</v>
      </c>
      <c r="E671" s="62">
        <v>0.0</v>
      </c>
      <c r="F671" s="62">
        <v>0.0</v>
      </c>
      <c r="G671" s="62">
        <v>0.0</v>
      </c>
      <c r="H671" s="62">
        <v>2.0</v>
      </c>
      <c r="I671" s="62">
        <v>2.0</v>
      </c>
      <c r="J671" s="62">
        <v>5.0</v>
      </c>
      <c r="K671" s="62">
        <v>0.0</v>
      </c>
      <c r="L671" s="62">
        <v>0.0</v>
      </c>
      <c r="M671" s="62">
        <v>5.0</v>
      </c>
      <c r="N671" s="62">
        <v>7.0</v>
      </c>
      <c r="O671" s="62">
        <v>1.0</v>
      </c>
      <c r="P671" s="62">
        <v>7.0</v>
      </c>
      <c r="Q671" s="62">
        <v>0.0</v>
      </c>
      <c r="R671" s="62">
        <v>0.0</v>
      </c>
      <c r="S671" s="62">
        <v>0.0</v>
      </c>
      <c r="T671" s="62">
        <v>0.0</v>
      </c>
      <c r="U671" s="62">
        <v>0.0</v>
      </c>
      <c r="V671" s="62">
        <v>0.0</v>
      </c>
      <c r="W671" s="62">
        <v>0.443888888888888</v>
      </c>
      <c r="X671" s="62">
        <v>0.443888888888888</v>
      </c>
      <c r="Y671" s="62">
        <v>1.12</v>
      </c>
      <c r="Z671" s="62">
        <v>0.0</v>
      </c>
      <c r="AA671" s="62">
        <v>0.0</v>
      </c>
      <c r="AB671" s="62">
        <v>1.13638888888888</v>
      </c>
      <c r="AC671" s="62">
        <v>1.62083333333333</v>
      </c>
      <c r="AD671" s="62">
        <v>0.232777777777777</v>
      </c>
      <c r="AE671" s="62">
        <v>1.62083333333333</v>
      </c>
      <c r="AF671" s="62">
        <v>0.0</v>
      </c>
    </row>
    <row r="672">
      <c r="A672" s="68">
        <v>46115.0</v>
      </c>
      <c r="B672" s="62" t="s">
        <v>93</v>
      </c>
      <c r="C672" s="62" t="s">
        <v>182</v>
      </c>
      <c r="D672" s="62">
        <v>0.0</v>
      </c>
      <c r="E672" s="62">
        <v>4.0</v>
      </c>
      <c r="F672" s="62">
        <v>0.0</v>
      </c>
      <c r="G672" s="62">
        <v>0.0</v>
      </c>
      <c r="H672" s="62">
        <v>1.0</v>
      </c>
      <c r="I672" s="62">
        <v>0.0</v>
      </c>
      <c r="J672" s="62">
        <v>1.0</v>
      </c>
      <c r="K672" s="62">
        <v>0.0</v>
      </c>
      <c r="L672" s="62">
        <v>0.0</v>
      </c>
      <c r="M672" s="62">
        <v>1.0</v>
      </c>
      <c r="N672" s="62">
        <v>1.0</v>
      </c>
      <c r="O672" s="62">
        <v>1.0</v>
      </c>
      <c r="P672" s="62">
        <v>1.0</v>
      </c>
      <c r="Q672" s="62">
        <v>0.0</v>
      </c>
      <c r="R672" s="62">
        <v>0.0</v>
      </c>
      <c r="S672" s="62">
        <v>8468.0</v>
      </c>
      <c r="T672" s="62">
        <v>0.0</v>
      </c>
      <c r="U672" s="62">
        <v>0.0</v>
      </c>
      <c r="V672" s="62">
        <v>0.0</v>
      </c>
      <c r="W672" s="62">
        <v>0.25</v>
      </c>
      <c r="X672" s="62">
        <v>0.0</v>
      </c>
      <c r="Y672" s="62">
        <v>0.25</v>
      </c>
      <c r="Z672" s="62">
        <v>0.0</v>
      </c>
      <c r="AA672" s="62">
        <v>0.0</v>
      </c>
      <c r="AB672" s="62">
        <v>0.25</v>
      </c>
      <c r="AC672" s="62">
        <v>0.25</v>
      </c>
      <c r="AD672" s="62">
        <v>0.25</v>
      </c>
      <c r="AE672" s="62">
        <v>0.25</v>
      </c>
      <c r="AF672" s="62">
        <v>0.0</v>
      </c>
    </row>
    <row r="673">
      <c r="A673" s="68">
        <v>46115.0</v>
      </c>
      <c r="B673" s="62" t="s">
        <v>65</v>
      </c>
      <c r="C673" s="62" t="s">
        <v>173</v>
      </c>
      <c r="D673" s="62">
        <v>2.0</v>
      </c>
      <c r="E673" s="62">
        <v>2.0</v>
      </c>
      <c r="F673" s="62">
        <v>0.0</v>
      </c>
      <c r="G673" s="62">
        <v>0.0</v>
      </c>
      <c r="H673" s="62">
        <v>0.0</v>
      </c>
      <c r="I673" s="62">
        <v>0.0</v>
      </c>
      <c r="J673" s="62">
        <v>0.0</v>
      </c>
      <c r="K673" s="62">
        <v>0.0</v>
      </c>
      <c r="L673" s="62">
        <v>0.0</v>
      </c>
      <c r="M673" s="62">
        <v>0.0</v>
      </c>
      <c r="N673" s="62">
        <v>1.0</v>
      </c>
      <c r="O673" s="62">
        <v>1.0</v>
      </c>
      <c r="P673" s="62">
        <v>1.0</v>
      </c>
      <c r="Q673" s="62">
        <v>0.0</v>
      </c>
      <c r="R673" s="62">
        <v>4479.0</v>
      </c>
      <c r="S673" s="62">
        <v>4335.0</v>
      </c>
      <c r="T673" s="62">
        <v>0.0</v>
      </c>
      <c r="U673" s="62">
        <v>0.0</v>
      </c>
      <c r="V673" s="62">
        <v>0.0</v>
      </c>
      <c r="W673" s="62">
        <v>0.0</v>
      </c>
      <c r="X673" s="62">
        <v>0.0</v>
      </c>
      <c r="Y673" s="62">
        <v>0.0</v>
      </c>
      <c r="Z673" s="62">
        <v>0.0</v>
      </c>
      <c r="AA673" s="62">
        <v>0.0</v>
      </c>
      <c r="AB673" s="62">
        <v>0.0</v>
      </c>
      <c r="AC673" s="62">
        <v>0.248888888888888</v>
      </c>
      <c r="AD673" s="62">
        <v>0.280277777777777</v>
      </c>
      <c r="AE673" s="62">
        <v>0.248888888888888</v>
      </c>
      <c r="AF673" s="62">
        <v>0.0</v>
      </c>
    </row>
    <row r="674">
      <c r="A674" s="68">
        <v>46115.0</v>
      </c>
      <c r="B674" s="62" t="s">
        <v>37</v>
      </c>
      <c r="C674" s="62" t="s">
        <v>174</v>
      </c>
      <c r="D674" s="62">
        <v>6.0</v>
      </c>
      <c r="E674" s="62">
        <v>7.0</v>
      </c>
      <c r="F674" s="62">
        <v>4.0</v>
      </c>
      <c r="G674" s="62">
        <v>5.0</v>
      </c>
      <c r="H674" s="62">
        <v>5.0</v>
      </c>
      <c r="I674" s="62">
        <v>0.0</v>
      </c>
      <c r="J674" s="62">
        <v>6.0</v>
      </c>
      <c r="K674" s="62">
        <v>0.0</v>
      </c>
      <c r="L674" s="62">
        <v>0.0</v>
      </c>
      <c r="M674" s="62">
        <v>0.0</v>
      </c>
      <c r="N674" s="62">
        <v>3.0</v>
      </c>
      <c r="O674" s="62">
        <v>1.0</v>
      </c>
      <c r="P674" s="62">
        <v>3.0</v>
      </c>
      <c r="Q674" s="62">
        <v>0.0</v>
      </c>
      <c r="R674" s="62">
        <v>14161.0</v>
      </c>
      <c r="S674" s="62">
        <v>14124.0</v>
      </c>
      <c r="T674" s="62">
        <v>1.09583333333333</v>
      </c>
      <c r="U674" s="62">
        <v>1.1475</v>
      </c>
      <c r="V674" s="62">
        <v>1.4825</v>
      </c>
      <c r="W674" s="62">
        <v>1.4825</v>
      </c>
      <c r="X674" s="62">
        <v>0.0</v>
      </c>
      <c r="Y674" s="62">
        <v>1.77749999999999</v>
      </c>
      <c r="Z674" s="62">
        <v>0.0</v>
      </c>
      <c r="AA674" s="62">
        <v>0.0</v>
      </c>
      <c r="AB674" s="62">
        <v>0.0</v>
      </c>
      <c r="AC674" s="62">
        <v>0.904722222222222</v>
      </c>
      <c r="AD674" s="62">
        <v>0.278333333333333</v>
      </c>
      <c r="AE674" s="62">
        <v>0.904722222222222</v>
      </c>
      <c r="AF674" s="62">
        <v>4.0</v>
      </c>
    </row>
    <row r="675">
      <c r="A675" s="68">
        <v>46115.0</v>
      </c>
      <c r="B675" s="62" t="s">
        <v>91</v>
      </c>
      <c r="C675" s="62" t="s">
        <v>184</v>
      </c>
      <c r="D675" s="62">
        <v>0.0</v>
      </c>
      <c r="E675" s="62">
        <v>2.0</v>
      </c>
      <c r="F675" s="62">
        <v>0.0</v>
      </c>
      <c r="G675" s="62">
        <v>6.0</v>
      </c>
      <c r="H675" s="62">
        <v>6.0</v>
      </c>
      <c r="I675" s="62">
        <v>0.0</v>
      </c>
      <c r="J675" s="62">
        <v>8.0</v>
      </c>
      <c r="K675" s="62">
        <v>7.0</v>
      </c>
      <c r="L675" s="62">
        <v>0.0</v>
      </c>
      <c r="M675" s="62">
        <v>0.0</v>
      </c>
      <c r="N675" s="62">
        <v>1.0</v>
      </c>
      <c r="O675" s="62">
        <v>1.0</v>
      </c>
      <c r="P675" s="62">
        <v>1.0</v>
      </c>
      <c r="Q675" s="62">
        <v>0.0</v>
      </c>
      <c r="R675" s="62">
        <v>0.0</v>
      </c>
      <c r="S675" s="62">
        <v>4991.0</v>
      </c>
      <c r="T675" s="62">
        <v>0.838055555555555</v>
      </c>
      <c r="U675" s="62">
        <v>0.0</v>
      </c>
      <c r="V675" s="62">
        <v>0.963611111111111</v>
      </c>
      <c r="W675" s="62">
        <v>0.963611111111111</v>
      </c>
      <c r="X675" s="62">
        <v>0.0</v>
      </c>
      <c r="Y675" s="62">
        <v>1.31</v>
      </c>
      <c r="Z675" s="62">
        <v>1.16388888888888</v>
      </c>
      <c r="AA675" s="62">
        <v>0.0</v>
      </c>
      <c r="AB675" s="62">
        <v>0.0</v>
      </c>
      <c r="AC675" s="62">
        <v>0.225277777777777</v>
      </c>
      <c r="AD675" s="62">
        <v>0.225277777777777</v>
      </c>
      <c r="AE675" s="62">
        <v>0.225277777777777</v>
      </c>
      <c r="AF675" s="62">
        <v>5.0</v>
      </c>
    </row>
    <row r="676">
      <c r="A676" s="68">
        <v>46115.0</v>
      </c>
      <c r="B676" s="62" t="s">
        <v>84</v>
      </c>
      <c r="C676" s="62" t="s">
        <v>186</v>
      </c>
      <c r="D676" s="62">
        <v>3.0</v>
      </c>
      <c r="E676" s="62">
        <v>0.0</v>
      </c>
      <c r="F676" s="62">
        <v>0.0</v>
      </c>
      <c r="G676" s="62">
        <v>0.0</v>
      </c>
      <c r="H676" s="62">
        <v>0.0</v>
      </c>
      <c r="I676" s="62">
        <v>0.0</v>
      </c>
      <c r="J676" s="62">
        <v>0.0</v>
      </c>
      <c r="K676" s="62">
        <v>0.0</v>
      </c>
      <c r="L676" s="62">
        <v>0.0</v>
      </c>
      <c r="M676" s="62">
        <v>2.0</v>
      </c>
      <c r="N676" s="62">
        <v>3.0</v>
      </c>
      <c r="O676" s="62">
        <v>1.0</v>
      </c>
      <c r="P676" s="62">
        <v>3.0</v>
      </c>
      <c r="Q676" s="62">
        <v>0.0</v>
      </c>
      <c r="R676" s="62">
        <v>7117.0</v>
      </c>
      <c r="S676" s="62">
        <v>0.0</v>
      </c>
      <c r="T676" s="62">
        <v>0.0</v>
      </c>
      <c r="U676" s="62">
        <v>0.0</v>
      </c>
      <c r="V676" s="62">
        <v>0.0</v>
      </c>
      <c r="W676" s="62">
        <v>0.0</v>
      </c>
      <c r="X676" s="62">
        <v>0.0</v>
      </c>
      <c r="Y676" s="62">
        <v>0.0</v>
      </c>
      <c r="Z676" s="62">
        <v>0.0</v>
      </c>
      <c r="AA676" s="62">
        <v>0.0</v>
      </c>
      <c r="AB676" s="62">
        <v>0.585</v>
      </c>
      <c r="AC676" s="62">
        <v>0.846666666666666</v>
      </c>
      <c r="AD676" s="62">
        <v>0.246111111111111</v>
      </c>
      <c r="AE676" s="62">
        <v>0.846666666666666</v>
      </c>
      <c r="AF676" s="62">
        <v>0.0</v>
      </c>
    </row>
    <row r="677">
      <c r="A677" s="68">
        <v>46115.0</v>
      </c>
      <c r="B677" s="62" t="s">
        <v>26</v>
      </c>
      <c r="C677" s="62" t="s">
        <v>178</v>
      </c>
      <c r="D677" s="62">
        <v>10.0</v>
      </c>
      <c r="E677" s="62">
        <v>0.0</v>
      </c>
      <c r="F677" s="62">
        <v>2.0</v>
      </c>
      <c r="G677" s="62">
        <v>2.0</v>
      </c>
      <c r="H677" s="62">
        <v>6.0</v>
      </c>
      <c r="I677" s="62">
        <v>4.0</v>
      </c>
      <c r="J677" s="62">
        <v>7.0</v>
      </c>
      <c r="K677" s="62">
        <v>0.0</v>
      </c>
      <c r="L677" s="62">
        <v>0.0</v>
      </c>
      <c r="M677" s="62">
        <v>5.0</v>
      </c>
      <c r="N677" s="62">
        <v>16.0</v>
      </c>
      <c r="O677" s="62">
        <v>1.0</v>
      </c>
      <c r="P677" s="62">
        <v>16.0</v>
      </c>
      <c r="Q677" s="62">
        <v>0.0</v>
      </c>
      <c r="R677" s="62">
        <v>22751.0</v>
      </c>
      <c r="S677" s="62">
        <v>0.0</v>
      </c>
      <c r="T677" s="62">
        <v>1.02166666666666</v>
      </c>
      <c r="U677" s="62">
        <v>0.391666666666666</v>
      </c>
      <c r="V677" s="62">
        <v>0.385555555555555</v>
      </c>
      <c r="W677" s="62">
        <v>1.1975</v>
      </c>
      <c r="X677" s="62">
        <v>0.811944444444444</v>
      </c>
      <c r="Y677" s="62">
        <v>1.39611111111111</v>
      </c>
      <c r="Z677" s="62">
        <v>0.0</v>
      </c>
      <c r="AA677" s="62">
        <v>0.0</v>
      </c>
      <c r="AB677" s="62">
        <v>0.990833333333333</v>
      </c>
      <c r="AC677" s="62">
        <v>3.25638888888888</v>
      </c>
      <c r="AD677" s="62">
        <v>0.213611111111111</v>
      </c>
      <c r="AE677" s="62">
        <v>3.25638888888888</v>
      </c>
      <c r="AF677" s="62">
        <v>5.0</v>
      </c>
    </row>
    <row r="678">
      <c r="A678" s="68">
        <v>46115.0</v>
      </c>
      <c r="B678" s="62" t="s">
        <v>62</v>
      </c>
      <c r="C678" s="62" t="s">
        <v>63</v>
      </c>
      <c r="D678" s="62">
        <v>1.0</v>
      </c>
      <c r="E678" s="62">
        <v>12.0</v>
      </c>
      <c r="F678" s="62">
        <v>0.0</v>
      </c>
      <c r="G678" s="62">
        <v>0.0</v>
      </c>
      <c r="H678" s="62">
        <v>3.0</v>
      </c>
      <c r="I678" s="62">
        <v>3.0</v>
      </c>
      <c r="J678" s="62">
        <v>4.0</v>
      </c>
      <c r="K678" s="62">
        <v>0.0</v>
      </c>
      <c r="L678" s="62">
        <v>0.0</v>
      </c>
      <c r="M678" s="62">
        <v>4.0</v>
      </c>
      <c r="N678" s="62">
        <v>5.0</v>
      </c>
      <c r="O678" s="62">
        <v>1.0</v>
      </c>
      <c r="P678" s="62">
        <v>5.0</v>
      </c>
      <c r="Q678" s="62">
        <v>0.0</v>
      </c>
      <c r="R678" s="62">
        <v>2392.0</v>
      </c>
      <c r="S678" s="62">
        <v>26454.0</v>
      </c>
      <c r="T678" s="62">
        <v>0.659722222222222</v>
      </c>
      <c r="U678" s="62">
        <v>0.0</v>
      </c>
      <c r="V678" s="62">
        <v>0.0</v>
      </c>
      <c r="W678" s="62">
        <v>0.659722222222222</v>
      </c>
      <c r="X678" s="62">
        <v>0.659722222222222</v>
      </c>
      <c r="Y678" s="62">
        <v>0.899444444444444</v>
      </c>
      <c r="Z678" s="62">
        <v>0.0</v>
      </c>
      <c r="AA678" s="62">
        <v>0.0</v>
      </c>
      <c r="AB678" s="62">
        <v>0.910833333333333</v>
      </c>
      <c r="AC678" s="62">
        <v>1.12027777777777</v>
      </c>
      <c r="AD678" s="62">
        <v>0.230555555555555</v>
      </c>
      <c r="AE678" s="62">
        <v>1.12027777777777</v>
      </c>
      <c r="AF678" s="62">
        <v>3.0</v>
      </c>
    </row>
    <row r="679">
      <c r="A679" s="68">
        <v>46114.0</v>
      </c>
      <c r="B679" s="62" t="s">
        <v>98</v>
      </c>
      <c r="C679" s="62" t="s">
        <v>183</v>
      </c>
      <c r="D679" s="62">
        <v>0.0</v>
      </c>
      <c r="E679" s="62">
        <v>0.0</v>
      </c>
      <c r="F679" s="62">
        <v>0.0</v>
      </c>
      <c r="G679" s="62">
        <v>1.0</v>
      </c>
      <c r="H679" s="62">
        <v>5.0</v>
      </c>
      <c r="I679" s="62">
        <v>4.0</v>
      </c>
      <c r="J679" s="62">
        <v>1.0</v>
      </c>
      <c r="K679" s="62">
        <v>0.0</v>
      </c>
      <c r="L679" s="62">
        <v>0.0</v>
      </c>
      <c r="M679" s="62">
        <v>0.0</v>
      </c>
      <c r="N679" s="62">
        <v>0.0</v>
      </c>
      <c r="O679" s="62">
        <v>0.0</v>
      </c>
      <c r="P679" s="62">
        <v>0.0</v>
      </c>
      <c r="Q679" s="62">
        <v>0.0</v>
      </c>
      <c r="R679" s="62">
        <v>0.0</v>
      </c>
      <c r="S679" s="62">
        <v>0.0</v>
      </c>
      <c r="T679" s="62">
        <v>0.0</v>
      </c>
      <c r="U679" s="62">
        <v>0.0</v>
      </c>
      <c r="V679" s="62">
        <v>0.264444444444444</v>
      </c>
      <c r="W679" s="62">
        <v>1.1075</v>
      </c>
      <c r="X679" s="62">
        <v>0.843055555555555</v>
      </c>
      <c r="Y679" s="62">
        <v>0.264444444444444</v>
      </c>
      <c r="Z679" s="62">
        <v>0.0</v>
      </c>
      <c r="AA679" s="62">
        <v>0.0</v>
      </c>
      <c r="AB679" s="62">
        <v>0.0</v>
      </c>
      <c r="AC679" s="62">
        <v>0.0</v>
      </c>
      <c r="AD679" s="62">
        <v>0.0</v>
      </c>
      <c r="AE679" s="62">
        <v>0.0</v>
      </c>
      <c r="AF679" s="62">
        <v>0.0</v>
      </c>
    </row>
    <row r="680">
      <c r="A680" s="68">
        <v>46114.0</v>
      </c>
      <c r="B680" s="62" t="s">
        <v>71</v>
      </c>
      <c r="C680" s="62" t="s">
        <v>163</v>
      </c>
      <c r="D680" s="62">
        <v>1.0</v>
      </c>
      <c r="E680" s="62">
        <v>0.0</v>
      </c>
      <c r="F680" s="62">
        <v>4.0</v>
      </c>
      <c r="G680" s="62">
        <v>3.0</v>
      </c>
      <c r="H680" s="62">
        <v>3.0</v>
      </c>
      <c r="I680" s="62">
        <v>0.0</v>
      </c>
      <c r="J680" s="62">
        <v>3.0</v>
      </c>
      <c r="K680" s="62">
        <v>2.0</v>
      </c>
      <c r="L680" s="62">
        <v>0.0</v>
      </c>
      <c r="M680" s="62">
        <v>3.0</v>
      </c>
      <c r="N680" s="62">
        <v>1.0</v>
      </c>
      <c r="O680" s="62">
        <v>1.0</v>
      </c>
      <c r="P680" s="62">
        <v>1.0</v>
      </c>
      <c r="Q680" s="62">
        <v>0.0</v>
      </c>
      <c r="R680" s="62">
        <v>2631.0</v>
      </c>
      <c r="S680" s="62">
        <v>0.0</v>
      </c>
      <c r="T680" s="62">
        <v>1.23555555555555</v>
      </c>
      <c r="U680" s="62">
        <v>0.990277777777777</v>
      </c>
      <c r="V680" s="62">
        <v>0.710555555555555</v>
      </c>
      <c r="W680" s="62">
        <v>0.710555555555555</v>
      </c>
      <c r="X680" s="62">
        <v>0.0</v>
      </c>
      <c r="Y680" s="62">
        <v>0.710555555555555</v>
      </c>
      <c r="Z680" s="62">
        <v>0.476111111111111</v>
      </c>
      <c r="AA680" s="62">
        <v>0.0</v>
      </c>
      <c r="AB680" s="62">
        <v>0.718611111111111</v>
      </c>
      <c r="AC680" s="62">
        <v>0.237777777777777</v>
      </c>
      <c r="AD680" s="62">
        <v>0.315555555555555</v>
      </c>
      <c r="AE680" s="62">
        <v>0.237777777777777</v>
      </c>
      <c r="AF680" s="62">
        <v>5.0</v>
      </c>
    </row>
    <row r="681">
      <c r="A681" s="68">
        <v>46114.0</v>
      </c>
      <c r="B681" s="62" t="s">
        <v>76</v>
      </c>
      <c r="C681" s="62" t="s">
        <v>165</v>
      </c>
      <c r="D681" s="62">
        <v>0.0</v>
      </c>
      <c r="E681" s="62">
        <v>5.0</v>
      </c>
      <c r="F681" s="62">
        <v>4.0</v>
      </c>
      <c r="G681" s="62">
        <v>3.0</v>
      </c>
      <c r="H681" s="62">
        <v>4.0</v>
      </c>
      <c r="I681" s="62">
        <v>1.0</v>
      </c>
      <c r="J681" s="62">
        <v>4.0</v>
      </c>
      <c r="K681" s="62">
        <v>1.0</v>
      </c>
      <c r="L681" s="62">
        <v>1.0</v>
      </c>
      <c r="M681" s="62">
        <v>1.0</v>
      </c>
      <c r="N681" s="62">
        <v>0.0</v>
      </c>
      <c r="O681" s="62">
        <v>1.0</v>
      </c>
      <c r="P681" s="62">
        <v>0.0</v>
      </c>
      <c r="Q681" s="62">
        <v>0.0</v>
      </c>
      <c r="R681" s="62">
        <v>0.0</v>
      </c>
      <c r="S681" s="62">
        <v>14176.0</v>
      </c>
      <c r="T681" s="62">
        <v>3.02305555555555</v>
      </c>
      <c r="U681" s="62">
        <v>1.16388888888888</v>
      </c>
      <c r="V681" s="62">
        <v>0.9025</v>
      </c>
      <c r="W681" s="62">
        <v>1.17111111111111</v>
      </c>
      <c r="X681" s="62">
        <v>0.268611111111111</v>
      </c>
      <c r="Y681" s="62">
        <v>1.15777777777777</v>
      </c>
      <c r="Z681" s="62">
        <v>0.255277777777777</v>
      </c>
      <c r="AA681" s="62">
        <v>0.299444444444444</v>
      </c>
      <c r="AB681" s="62">
        <v>0.299444444444444</v>
      </c>
      <c r="AC681" s="62">
        <v>0.0</v>
      </c>
      <c r="AD681" s="62">
        <v>0.239722222222222</v>
      </c>
      <c r="AE681" s="62">
        <v>0.0</v>
      </c>
      <c r="AF681" s="62">
        <v>10.0</v>
      </c>
    </row>
    <row r="682">
      <c r="A682" s="68">
        <v>46114.0</v>
      </c>
      <c r="B682" s="62" t="s">
        <v>104</v>
      </c>
      <c r="C682" s="62" t="s">
        <v>166</v>
      </c>
      <c r="D682" s="62">
        <v>0.0</v>
      </c>
      <c r="E682" s="62">
        <v>4.0</v>
      </c>
      <c r="F682" s="62">
        <v>4.0</v>
      </c>
      <c r="G682" s="62">
        <v>0.0</v>
      </c>
      <c r="H682" s="62">
        <v>0.0</v>
      </c>
      <c r="I682" s="62">
        <v>0.0</v>
      </c>
      <c r="J682" s="62">
        <v>4.0</v>
      </c>
      <c r="K682" s="62">
        <v>0.0</v>
      </c>
      <c r="L682" s="62">
        <v>0.0</v>
      </c>
      <c r="M682" s="62">
        <v>3.0</v>
      </c>
      <c r="N682" s="62">
        <v>0.0</v>
      </c>
      <c r="O682" s="62">
        <v>1.0</v>
      </c>
      <c r="P682" s="62">
        <v>0.0</v>
      </c>
      <c r="Q682" s="62">
        <v>0.0</v>
      </c>
      <c r="R682" s="62">
        <v>0.0</v>
      </c>
      <c r="S682" s="62">
        <v>9439.0</v>
      </c>
      <c r="T682" s="62">
        <v>0.824722222222222</v>
      </c>
      <c r="U682" s="62">
        <v>0.750833333333333</v>
      </c>
      <c r="V682" s="62">
        <v>0.0</v>
      </c>
      <c r="W682" s="62">
        <v>0.0</v>
      </c>
      <c r="X682" s="62">
        <v>0.0</v>
      </c>
      <c r="Y682" s="62">
        <v>0.796111111111111</v>
      </c>
      <c r="Z682" s="62">
        <v>0.0</v>
      </c>
      <c r="AA682" s="62">
        <v>0.0</v>
      </c>
      <c r="AB682" s="62">
        <v>0.655833333333333</v>
      </c>
      <c r="AC682" s="62">
        <v>0.0</v>
      </c>
      <c r="AD682" s="62">
        <v>0.194722222222222</v>
      </c>
      <c r="AE682" s="62">
        <v>0.0</v>
      </c>
      <c r="AF682" s="62">
        <v>4.0</v>
      </c>
    </row>
    <row r="683">
      <c r="A683" s="68">
        <v>46114.0</v>
      </c>
      <c r="B683" s="62" t="s">
        <v>32</v>
      </c>
      <c r="C683" s="62" t="s">
        <v>168</v>
      </c>
      <c r="D683" s="62">
        <v>0.0</v>
      </c>
      <c r="E683" s="62">
        <v>0.0</v>
      </c>
      <c r="F683" s="62">
        <v>2.0</v>
      </c>
      <c r="G683" s="62">
        <v>0.0</v>
      </c>
      <c r="H683" s="62">
        <v>5.0</v>
      </c>
      <c r="I683" s="62">
        <v>3.0</v>
      </c>
      <c r="J683" s="62">
        <v>4.0</v>
      </c>
      <c r="K683" s="62">
        <v>1.0</v>
      </c>
      <c r="L683" s="62">
        <v>0.0</v>
      </c>
      <c r="M683" s="62">
        <v>2.0</v>
      </c>
      <c r="N683" s="62">
        <v>0.0</v>
      </c>
      <c r="O683" s="62">
        <v>1.0</v>
      </c>
      <c r="P683" s="62">
        <v>0.0</v>
      </c>
      <c r="Q683" s="62">
        <v>0.0</v>
      </c>
      <c r="R683" s="62">
        <v>0.0</v>
      </c>
      <c r="S683" s="62">
        <v>0.0</v>
      </c>
      <c r="T683" s="62">
        <v>1.11722222222222</v>
      </c>
      <c r="U683" s="62">
        <v>0.463611111111111</v>
      </c>
      <c r="V683" s="62">
        <v>0.0</v>
      </c>
      <c r="W683" s="62">
        <v>1.13666666666666</v>
      </c>
      <c r="X683" s="62">
        <v>0.673333333333333</v>
      </c>
      <c r="Y683" s="62">
        <v>0.947777777777777</v>
      </c>
      <c r="Z683" s="62">
        <v>0.238055555555555</v>
      </c>
      <c r="AA683" s="62">
        <v>0.0</v>
      </c>
      <c r="AB683" s="62">
        <v>0.484444444444444</v>
      </c>
      <c r="AC683" s="62">
        <v>0.0</v>
      </c>
      <c r="AD683" s="62">
        <v>0.219166666666666</v>
      </c>
      <c r="AE683" s="62">
        <v>0.0</v>
      </c>
      <c r="AF683" s="62">
        <v>5.0</v>
      </c>
    </row>
    <row r="684">
      <c r="A684" s="68">
        <v>46114.0</v>
      </c>
      <c r="B684" s="62" t="s">
        <v>93</v>
      </c>
      <c r="C684" s="62" t="s">
        <v>182</v>
      </c>
      <c r="D684" s="62">
        <v>0.0</v>
      </c>
      <c r="E684" s="62">
        <v>0.0</v>
      </c>
      <c r="F684" s="62">
        <v>6.0</v>
      </c>
      <c r="G684" s="62">
        <v>0.0</v>
      </c>
      <c r="H684" s="62">
        <v>0.0</v>
      </c>
      <c r="I684" s="62">
        <v>0.0</v>
      </c>
      <c r="J684" s="62">
        <v>0.0</v>
      </c>
      <c r="K684" s="62">
        <v>0.0</v>
      </c>
      <c r="L684" s="62">
        <v>0.0</v>
      </c>
      <c r="M684" s="62">
        <v>0.0</v>
      </c>
      <c r="N684" s="62">
        <v>0.0</v>
      </c>
      <c r="O684" s="62">
        <v>0.0</v>
      </c>
      <c r="P684" s="62">
        <v>0.0</v>
      </c>
      <c r="Q684" s="62">
        <v>0.0</v>
      </c>
      <c r="R684" s="62">
        <v>0.0</v>
      </c>
      <c r="S684" s="62">
        <v>0.0</v>
      </c>
      <c r="T684" s="62">
        <v>0.0</v>
      </c>
      <c r="U684" s="62">
        <v>1.5675</v>
      </c>
      <c r="V684" s="62">
        <v>0.0</v>
      </c>
      <c r="W684" s="62">
        <v>0.0</v>
      </c>
      <c r="X684" s="62">
        <v>0.0</v>
      </c>
      <c r="Y684" s="62">
        <v>0.0</v>
      </c>
      <c r="Z684" s="62">
        <v>0.0</v>
      </c>
      <c r="AA684" s="62">
        <v>0.0</v>
      </c>
      <c r="AB684" s="62">
        <v>0.0</v>
      </c>
      <c r="AC684" s="62">
        <v>0.0</v>
      </c>
      <c r="AD684" s="62">
        <v>0.0</v>
      </c>
      <c r="AE684" s="62">
        <v>0.0</v>
      </c>
      <c r="AF684" s="62">
        <v>0.0</v>
      </c>
    </row>
    <row r="685">
      <c r="A685" s="68">
        <v>46114.0</v>
      </c>
      <c r="B685" s="62" t="s">
        <v>65</v>
      </c>
      <c r="C685" s="62" t="s">
        <v>173</v>
      </c>
      <c r="D685" s="62">
        <v>2.0</v>
      </c>
      <c r="E685" s="62">
        <v>0.0</v>
      </c>
      <c r="F685" s="62">
        <v>0.0</v>
      </c>
      <c r="G685" s="62">
        <v>0.0</v>
      </c>
      <c r="H685" s="62">
        <v>0.0</v>
      </c>
      <c r="I685" s="62">
        <v>0.0</v>
      </c>
      <c r="J685" s="62">
        <v>0.0</v>
      </c>
      <c r="K685" s="62">
        <v>0.0</v>
      </c>
      <c r="L685" s="62">
        <v>0.0</v>
      </c>
      <c r="M685" s="62">
        <v>1.0</v>
      </c>
      <c r="N685" s="62">
        <v>0.0</v>
      </c>
      <c r="O685" s="62">
        <v>1.0</v>
      </c>
      <c r="P685" s="62">
        <v>0.0</v>
      </c>
      <c r="Q685" s="62">
        <v>0.0</v>
      </c>
      <c r="R685" s="62">
        <v>4335.0</v>
      </c>
      <c r="S685" s="62">
        <v>0.0</v>
      </c>
      <c r="T685" s="62">
        <v>0.0</v>
      </c>
      <c r="U685" s="62">
        <v>0.0</v>
      </c>
      <c r="V685" s="62">
        <v>0.0</v>
      </c>
      <c r="W685" s="62">
        <v>0.0</v>
      </c>
      <c r="X685" s="62">
        <v>0.0</v>
      </c>
      <c r="Y685" s="62">
        <v>0.0</v>
      </c>
      <c r="Z685" s="62">
        <v>0.0</v>
      </c>
      <c r="AA685" s="62">
        <v>0.0</v>
      </c>
      <c r="AB685" s="62">
        <v>0.248888888888888</v>
      </c>
      <c r="AC685" s="62">
        <v>0.0</v>
      </c>
      <c r="AD685" s="62">
        <v>0.235</v>
      </c>
      <c r="AE685" s="62">
        <v>0.0</v>
      </c>
      <c r="AF685" s="62">
        <v>0.0</v>
      </c>
    </row>
    <row r="686">
      <c r="A686" s="68">
        <v>46114.0</v>
      </c>
      <c r="B686" s="62" t="s">
        <v>37</v>
      </c>
      <c r="C686" s="62" t="s">
        <v>174</v>
      </c>
      <c r="D686" s="62">
        <v>0.0</v>
      </c>
      <c r="E686" s="62">
        <v>6.0</v>
      </c>
      <c r="F686" s="62">
        <v>3.0</v>
      </c>
      <c r="G686" s="62">
        <v>2.0</v>
      </c>
      <c r="H686" s="62">
        <v>3.0</v>
      </c>
      <c r="I686" s="62">
        <v>1.0</v>
      </c>
      <c r="J686" s="62">
        <v>2.0</v>
      </c>
      <c r="K686" s="62">
        <v>2.0</v>
      </c>
      <c r="L686" s="62">
        <v>2.0</v>
      </c>
      <c r="M686" s="62">
        <v>2.0</v>
      </c>
      <c r="N686" s="62">
        <v>0.0</v>
      </c>
      <c r="O686" s="62">
        <v>1.0</v>
      </c>
      <c r="P686" s="62">
        <v>0.0</v>
      </c>
      <c r="Q686" s="62">
        <v>0.0</v>
      </c>
      <c r="R686" s="62">
        <v>0.0</v>
      </c>
      <c r="S686" s="62">
        <v>14579.0</v>
      </c>
      <c r="T686" s="62">
        <v>1.1475</v>
      </c>
      <c r="U686" s="62">
        <v>0.894166666666666</v>
      </c>
      <c r="V686" s="62">
        <v>0.595833333333333</v>
      </c>
      <c r="W686" s="62">
        <v>0.890833333333333</v>
      </c>
      <c r="X686" s="62">
        <v>0.295</v>
      </c>
      <c r="Y686" s="62">
        <v>0.595833333333333</v>
      </c>
      <c r="Z686" s="62">
        <v>0.595833333333333</v>
      </c>
      <c r="AA686" s="62">
        <v>0.595833333333333</v>
      </c>
      <c r="AB686" s="62">
        <v>0.595833333333333</v>
      </c>
      <c r="AC686" s="62">
        <v>0.0</v>
      </c>
      <c r="AD686" s="62">
        <v>0.310277777777777</v>
      </c>
      <c r="AE686" s="62">
        <v>0.0</v>
      </c>
      <c r="AF686" s="62">
        <v>4.0</v>
      </c>
    </row>
    <row r="687">
      <c r="A687" s="68">
        <v>46114.0</v>
      </c>
      <c r="B687" s="62" t="s">
        <v>91</v>
      </c>
      <c r="C687" s="62" t="s">
        <v>184</v>
      </c>
      <c r="D687" s="62">
        <v>0.0</v>
      </c>
      <c r="E687" s="62">
        <v>4.0</v>
      </c>
      <c r="F687" s="62">
        <v>0.0</v>
      </c>
      <c r="G687" s="62">
        <v>0.0</v>
      </c>
      <c r="H687" s="62">
        <v>0.0</v>
      </c>
      <c r="I687" s="62">
        <v>0.0</v>
      </c>
      <c r="J687" s="62">
        <v>0.0</v>
      </c>
      <c r="K687" s="62">
        <v>0.0</v>
      </c>
      <c r="L687" s="62">
        <v>0.0</v>
      </c>
      <c r="M687" s="62">
        <v>0.0</v>
      </c>
      <c r="N687" s="62">
        <v>0.0</v>
      </c>
      <c r="O687" s="62">
        <v>0.0</v>
      </c>
      <c r="P687" s="62">
        <v>0.0</v>
      </c>
      <c r="Q687" s="62">
        <v>0.0</v>
      </c>
      <c r="R687" s="62">
        <v>0.0</v>
      </c>
      <c r="S687" s="62">
        <v>9452.0</v>
      </c>
      <c r="T687" s="62">
        <v>0.0</v>
      </c>
      <c r="U687" s="62">
        <v>0.0</v>
      </c>
      <c r="V687" s="62">
        <v>0.0</v>
      </c>
      <c r="W687" s="62">
        <v>0.0</v>
      </c>
      <c r="X687" s="62">
        <v>0.0</v>
      </c>
      <c r="Y687" s="62">
        <v>0.0</v>
      </c>
      <c r="Z687" s="62">
        <v>0.0</v>
      </c>
      <c r="AA687" s="62">
        <v>0.0</v>
      </c>
      <c r="AB687" s="62">
        <v>0.0</v>
      </c>
      <c r="AC687" s="62">
        <v>0.0</v>
      </c>
      <c r="AD687" s="62">
        <v>0.0</v>
      </c>
      <c r="AE687" s="62">
        <v>0.0</v>
      </c>
      <c r="AF687" s="62">
        <v>0.0</v>
      </c>
    </row>
    <row r="688">
      <c r="A688" s="68">
        <v>46114.0</v>
      </c>
      <c r="B688" s="62" t="s">
        <v>84</v>
      </c>
      <c r="C688" s="62" t="s">
        <v>186</v>
      </c>
      <c r="D688" s="62">
        <v>0.0</v>
      </c>
      <c r="E688" s="62">
        <v>0.0</v>
      </c>
      <c r="F688" s="62">
        <v>1.0</v>
      </c>
      <c r="G688" s="62">
        <v>6.0</v>
      </c>
      <c r="H688" s="62">
        <v>6.0</v>
      </c>
      <c r="I688" s="62">
        <v>0.0</v>
      </c>
      <c r="J688" s="62">
        <v>6.0</v>
      </c>
      <c r="K688" s="62">
        <v>0.0</v>
      </c>
      <c r="L688" s="62">
        <v>0.0</v>
      </c>
      <c r="M688" s="62">
        <v>4.0</v>
      </c>
      <c r="N688" s="62">
        <v>3.0</v>
      </c>
      <c r="O688" s="62">
        <v>1.0</v>
      </c>
      <c r="P688" s="62">
        <v>3.0</v>
      </c>
      <c r="Q688" s="62">
        <v>0.0</v>
      </c>
      <c r="R688" s="62">
        <v>0.0</v>
      </c>
      <c r="S688" s="62">
        <v>0.0</v>
      </c>
      <c r="T688" s="62">
        <v>0.0</v>
      </c>
      <c r="U688" s="62">
        <v>0.247777777777777</v>
      </c>
      <c r="V688" s="62">
        <v>1.62944444444444</v>
      </c>
      <c r="W688" s="62">
        <v>1.62944444444444</v>
      </c>
      <c r="X688" s="62">
        <v>0.0</v>
      </c>
      <c r="Y688" s="62">
        <v>1.62944444444444</v>
      </c>
      <c r="Z688" s="62">
        <v>0.0</v>
      </c>
      <c r="AA688" s="62">
        <v>0.0</v>
      </c>
      <c r="AB688" s="62">
        <v>1.04444444444444</v>
      </c>
      <c r="AC688" s="62">
        <v>0.782777777777777</v>
      </c>
      <c r="AD688" s="62">
        <v>0.277777777777777</v>
      </c>
      <c r="AE688" s="62">
        <v>0.782777777777777</v>
      </c>
      <c r="AF688" s="62">
        <v>0.0</v>
      </c>
    </row>
    <row r="689">
      <c r="A689" s="68">
        <v>46114.0</v>
      </c>
      <c r="B689" s="62" t="s">
        <v>26</v>
      </c>
      <c r="C689" s="62" t="s">
        <v>178</v>
      </c>
      <c r="D689" s="62">
        <v>0.0</v>
      </c>
      <c r="E689" s="62">
        <v>0.0</v>
      </c>
      <c r="F689" s="62">
        <v>1.0</v>
      </c>
      <c r="G689" s="62">
        <v>2.0</v>
      </c>
      <c r="H689" s="62">
        <v>5.0</v>
      </c>
      <c r="I689" s="62">
        <v>3.0</v>
      </c>
      <c r="J689" s="62">
        <v>3.0</v>
      </c>
      <c r="K689" s="62">
        <v>0.0</v>
      </c>
      <c r="L689" s="62">
        <v>0.0</v>
      </c>
      <c r="M689" s="62">
        <v>9.0</v>
      </c>
      <c r="N689" s="62">
        <v>2.0</v>
      </c>
      <c r="O689" s="62">
        <v>1.0</v>
      </c>
      <c r="P689" s="62">
        <v>2.0</v>
      </c>
      <c r="Q689" s="62">
        <v>0.0</v>
      </c>
      <c r="R689" s="62">
        <v>0.0</v>
      </c>
      <c r="S689" s="62">
        <v>0.0</v>
      </c>
      <c r="T689" s="62">
        <v>0.948055555555555</v>
      </c>
      <c r="U689" s="62">
        <v>0.196666666666666</v>
      </c>
      <c r="V689" s="62">
        <v>0.390277777777777</v>
      </c>
      <c r="W689" s="62">
        <v>0.959722222222222</v>
      </c>
      <c r="X689" s="62">
        <v>0.569444444444444</v>
      </c>
      <c r="Y689" s="62">
        <v>0.630833333333333</v>
      </c>
      <c r="Z689" s="62">
        <v>0.0</v>
      </c>
      <c r="AA689" s="62">
        <v>0.0</v>
      </c>
      <c r="AB689" s="62">
        <v>1.83777777777777</v>
      </c>
      <c r="AC689" s="62">
        <v>0.411666666666666</v>
      </c>
      <c r="AD689" s="62">
        <v>0.185833333333333</v>
      </c>
      <c r="AE689" s="62">
        <v>0.411666666666666</v>
      </c>
      <c r="AF689" s="62">
        <v>5.0</v>
      </c>
    </row>
    <row r="690">
      <c r="A690" s="68">
        <v>46114.0</v>
      </c>
      <c r="B690" s="62" t="s">
        <v>62</v>
      </c>
      <c r="C690" s="62" t="s">
        <v>63</v>
      </c>
      <c r="D690" s="62">
        <v>7.0</v>
      </c>
      <c r="E690" s="62">
        <v>2.0</v>
      </c>
      <c r="F690" s="62">
        <v>0.0</v>
      </c>
      <c r="G690" s="62">
        <v>0.0</v>
      </c>
      <c r="H690" s="62">
        <v>3.0</v>
      </c>
      <c r="I690" s="62">
        <v>3.0</v>
      </c>
      <c r="J690" s="62">
        <v>3.0</v>
      </c>
      <c r="K690" s="62">
        <v>1.0</v>
      </c>
      <c r="L690" s="62">
        <v>0.0</v>
      </c>
      <c r="M690" s="62">
        <v>2.0</v>
      </c>
      <c r="N690" s="62">
        <v>1.0</v>
      </c>
      <c r="O690" s="62">
        <v>1.0</v>
      </c>
      <c r="P690" s="62">
        <v>1.0</v>
      </c>
      <c r="Q690" s="62">
        <v>0.0</v>
      </c>
      <c r="R690" s="62">
        <v>17819.0</v>
      </c>
      <c r="S690" s="62">
        <v>4155.0</v>
      </c>
      <c r="T690" s="62">
        <v>0.662777777777777</v>
      </c>
      <c r="U690" s="62">
        <v>0.0</v>
      </c>
      <c r="V690" s="62">
        <v>0.0</v>
      </c>
      <c r="W690" s="62">
        <v>0.662777777777777</v>
      </c>
      <c r="X690" s="62">
        <v>0.662777777777777</v>
      </c>
      <c r="Y690" s="62">
        <v>0.683333333333333</v>
      </c>
      <c r="Z690" s="62">
        <v>0.241111111111111</v>
      </c>
      <c r="AA690" s="62">
        <v>0.0</v>
      </c>
      <c r="AB690" s="62">
        <v>0.4425</v>
      </c>
      <c r="AC690" s="62">
        <v>0.233055555555555</v>
      </c>
      <c r="AD690" s="62">
        <v>0.2375</v>
      </c>
      <c r="AE690" s="62">
        <v>0.233055555555555</v>
      </c>
      <c r="AF690" s="62">
        <v>3.0</v>
      </c>
    </row>
    <row r="691">
      <c r="A691" s="68">
        <v>46113.0</v>
      </c>
      <c r="B691" s="62" t="s">
        <v>98</v>
      </c>
      <c r="C691" s="62" t="s">
        <v>183</v>
      </c>
      <c r="D691" s="62">
        <v>4.0</v>
      </c>
      <c r="E691" s="62">
        <v>0.0</v>
      </c>
      <c r="F691" s="62">
        <v>1.0</v>
      </c>
      <c r="G691" s="62">
        <v>0.0</v>
      </c>
      <c r="H691" s="62">
        <v>0.0</v>
      </c>
      <c r="I691" s="62">
        <v>0.0</v>
      </c>
      <c r="J691" s="62">
        <v>0.0</v>
      </c>
      <c r="K691" s="62">
        <v>0.0</v>
      </c>
      <c r="L691" s="62">
        <v>0.0</v>
      </c>
      <c r="M691" s="62">
        <v>0.0</v>
      </c>
      <c r="N691" s="62">
        <v>0.0</v>
      </c>
      <c r="O691" s="62">
        <v>0.0</v>
      </c>
      <c r="P691" s="62">
        <v>0.0</v>
      </c>
      <c r="Q691" s="62">
        <v>0.0</v>
      </c>
      <c r="R691" s="62">
        <v>8756.0</v>
      </c>
      <c r="S691" s="62">
        <v>0.0</v>
      </c>
      <c r="T691" s="62">
        <v>1.08611111111111</v>
      </c>
      <c r="U691" s="62">
        <v>0.243055555555555</v>
      </c>
      <c r="V691" s="62">
        <v>0.0</v>
      </c>
      <c r="W691" s="62">
        <v>0.0</v>
      </c>
      <c r="X691" s="62">
        <v>0.0</v>
      </c>
      <c r="Y691" s="62">
        <v>0.0</v>
      </c>
      <c r="Z691" s="62">
        <v>0.0</v>
      </c>
      <c r="AA691" s="62">
        <v>0.0</v>
      </c>
      <c r="AB691" s="62">
        <v>0.0</v>
      </c>
      <c r="AC691" s="62">
        <v>0.0</v>
      </c>
      <c r="AD691" s="62">
        <v>0.0</v>
      </c>
      <c r="AE691" s="62">
        <v>0.0</v>
      </c>
      <c r="AF691" s="62">
        <v>5.0</v>
      </c>
    </row>
    <row r="692">
      <c r="A692" s="68">
        <v>46113.0</v>
      </c>
      <c r="B692" s="62" t="s">
        <v>71</v>
      </c>
      <c r="C692" s="62" t="s">
        <v>163</v>
      </c>
      <c r="D692" s="62">
        <v>1.0</v>
      </c>
      <c r="E692" s="62">
        <v>2.0</v>
      </c>
      <c r="F692" s="62">
        <v>3.0</v>
      </c>
      <c r="G692" s="62">
        <v>1.0</v>
      </c>
      <c r="H692" s="62">
        <v>1.0</v>
      </c>
      <c r="I692" s="62">
        <v>0.0</v>
      </c>
      <c r="J692" s="62">
        <v>1.0</v>
      </c>
      <c r="K692" s="62">
        <v>3.0</v>
      </c>
      <c r="L692" s="62">
        <v>2.0</v>
      </c>
      <c r="M692" s="62">
        <v>3.0</v>
      </c>
      <c r="N692" s="62">
        <v>4.0</v>
      </c>
      <c r="O692" s="62">
        <v>1.0</v>
      </c>
      <c r="P692" s="62">
        <v>4.0</v>
      </c>
      <c r="Q692" s="62">
        <v>0.0</v>
      </c>
      <c r="R692" s="62">
        <v>2914.0</v>
      </c>
      <c r="S692" s="62">
        <v>5208.0</v>
      </c>
      <c r="T692" s="62">
        <v>0.756944444444444</v>
      </c>
      <c r="U692" s="62">
        <v>0.756944444444444</v>
      </c>
      <c r="V692" s="62">
        <v>0.237777777777777</v>
      </c>
      <c r="W692" s="62">
        <v>0.237777777777777</v>
      </c>
      <c r="X692" s="62">
        <v>0.0</v>
      </c>
      <c r="Y692" s="62">
        <v>0.237777777777777</v>
      </c>
      <c r="Z692" s="62">
        <v>0.735</v>
      </c>
      <c r="AA692" s="62">
        <v>0.494166666666666</v>
      </c>
      <c r="AB692" s="62">
        <v>0.734722222222222</v>
      </c>
      <c r="AC692" s="62">
        <v>0.981944444444444</v>
      </c>
      <c r="AD692" s="62">
        <v>0.281111111111111</v>
      </c>
      <c r="AE692" s="62">
        <v>0.981944444444444</v>
      </c>
      <c r="AF692" s="62">
        <v>3.0</v>
      </c>
    </row>
    <row r="693">
      <c r="A693" s="68">
        <v>46113.0</v>
      </c>
      <c r="B693" s="62" t="s">
        <v>76</v>
      </c>
      <c r="C693" s="62" t="s">
        <v>165</v>
      </c>
      <c r="D693" s="62">
        <v>0.0</v>
      </c>
      <c r="E693" s="62">
        <v>5.0</v>
      </c>
      <c r="F693" s="62">
        <v>3.0</v>
      </c>
      <c r="G693" s="62">
        <v>1.0</v>
      </c>
      <c r="H693" s="62">
        <v>1.0</v>
      </c>
      <c r="I693" s="62">
        <v>0.0</v>
      </c>
      <c r="J693" s="62">
        <v>0.0</v>
      </c>
      <c r="K693" s="62">
        <v>1.0</v>
      </c>
      <c r="L693" s="62">
        <v>0.0</v>
      </c>
      <c r="M693" s="62">
        <v>2.0</v>
      </c>
      <c r="N693" s="62">
        <v>7.0</v>
      </c>
      <c r="O693" s="62">
        <v>1.0</v>
      </c>
      <c r="P693" s="62">
        <v>7.0</v>
      </c>
      <c r="Q693" s="62">
        <v>0.0</v>
      </c>
      <c r="R693" s="62">
        <v>0.0</v>
      </c>
      <c r="S693" s="62">
        <v>14986.0</v>
      </c>
      <c r="T693" s="62">
        <v>0.768333333333333</v>
      </c>
      <c r="U693" s="62">
        <v>0.768333333333333</v>
      </c>
      <c r="V693" s="62">
        <v>0.255277777777777</v>
      </c>
      <c r="W693" s="62">
        <v>0.255277777777777</v>
      </c>
      <c r="X693" s="62">
        <v>0.0</v>
      </c>
      <c r="Y693" s="62">
        <v>0.0</v>
      </c>
      <c r="Z693" s="62">
        <v>0.299444444444444</v>
      </c>
      <c r="AA693" s="62">
        <v>0.0</v>
      </c>
      <c r="AB693" s="62">
        <v>0.471111111111111</v>
      </c>
      <c r="AC693" s="62">
        <v>1.90555555555555</v>
      </c>
      <c r="AD693" s="62">
        <v>0.235</v>
      </c>
      <c r="AE693" s="62">
        <v>1.90555555555555</v>
      </c>
      <c r="AF693" s="62">
        <v>3.0</v>
      </c>
    </row>
    <row r="694">
      <c r="A694" s="68">
        <v>46113.0</v>
      </c>
      <c r="B694" s="62" t="s">
        <v>104</v>
      </c>
      <c r="C694" s="62" t="s">
        <v>166</v>
      </c>
      <c r="D694" s="62">
        <v>0.0</v>
      </c>
      <c r="E694" s="62">
        <v>3.0</v>
      </c>
      <c r="F694" s="62">
        <v>1.0</v>
      </c>
      <c r="G694" s="62">
        <v>1.0</v>
      </c>
      <c r="H694" s="62">
        <v>2.0</v>
      </c>
      <c r="I694" s="62">
        <v>1.0</v>
      </c>
      <c r="J694" s="62">
        <v>3.0</v>
      </c>
      <c r="K694" s="62">
        <v>0.0</v>
      </c>
      <c r="L694" s="62">
        <v>0.0</v>
      </c>
      <c r="M694" s="62">
        <v>2.0</v>
      </c>
      <c r="N694" s="62">
        <v>2.0</v>
      </c>
      <c r="O694" s="62">
        <v>1.0</v>
      </c>
      <c r="P694" s="62">
        <v>2.0</v>
      </c>
      <c r="Q694" s="62">
        <v>0.0</v>
      </c>
      <c r="R694" s="62">
        <v>0.0</v>
      </c>
      <c r="S694" s="62">
        <v>6511.0</v>
      </c>
      <c r="T694" s="62">
        <v>0.750833333333333</v>
      </c>
      <c r="U694" s="62">
        <v>0.174444444444444</v>
      </c>
      <c r="V694" s="62">
        <v>0.227777777777777</v>
      </c>
      <c r="W694" s="62">
        <v>0.403611111111111</v>
      </c>
      <c r="X694" s="62">
        <v>0.175833333333333</v>
      </c>
      <c r="Y694" s="62">
        <v>0.656111111111111</v>
      </c>
      <c r="Z694" s="62">
        <v>0.0</v>
      </c>
      <c r="AA694" s="62">
        <v>0.0</v>
      </c>
      <c r="AB694" s="62">
        <v>0.443333333333333</v>
      </c>
      <c r="AC694" s="62">
        <v>0.434166666666666</v>
      </c>
      <c r="AD694" s="62">
        <v>0.223611111111111</v>
      </c>
      <c r="AE694" s="62">
        <v>0.434166666666666</v>
      </c>
      <c r="AF694" s="62">
        <v>4.0</v>
      </c>
    </row>
    <row r="695">
      <c r="A695" s="68">
        <v>46113.0</v>
      </c>
      <c r="B695" s="62" t="s">
        <v>32</v>
      </c>
      <c r="C695" s="62" t="s">
        <v>168</v>
      </c>
      <c r="D695" s="62">
        <v>16.0</v>
      </c>
      <c r="E695" s="62">
        <v>6.0</v>
      </c>
      <c r="F695" s="62">
        <v>1.0</v>
      </c>
      <c r="G695" s="62">
        <v>0.0</v>
      </c>
      <c r="H695" s="62">
        <v>4.0</v>
      </c>
      <c r="I695" s="62">
        <v>3.0</v>
      </c>
      <c r="J695" s="62">
        <v>2.0</v>
      </c>
      <c r="K695" s="62">
        <v>3.0</v>
      </c>
      <c r="L695" s="62">
        <v>0.0</v>
      </c>
      <c r="M695" s="62">
        <v>5.0</v>
      </c>
      <c r="N695" s="62">
        <v>9.0</v>
      </c>
      <c r="O695" s="62">
        <v>1.0</v>
      </c>
      <c r="P695" s="62">
        <v>9.0</v>
      </c>
      <c r="Q695" s="62">
        <v>0.0</v>
      </c>
      <c r="R695" s="62">
        <v>35011.0</v>
      </c>
      <c r="S695" s="62">
        <v>13950.0</v>
      </c>
      <c r="T695" s="62">
        <v>1.19416666666666</v>
      </c>
      <c r="U695" s="62">
        <v>0.246111111111111</v>
      </c>
      <c r="V695" s="62">
        <v>0.0</v>
      </c>
      <c r="W695" s="62">
        <v>0.968055555555555</v>
      </c>
      <c r="X695" s="62">
        <v>0.723055555555555</v>
      </c>
      <c r="Y695" s="62">
        <v>0.481944444444444</v>
      </c>
      <c r="Z695" s="62">
        <v>0.6825</v>
      </c>
      <c r="AA695" s="62">
        <v>0.0</v>
      </c>
      <c r="AB695" s="62">
        <v>1.15861111111111</v>
      </c>
      <c r="AC695" s="62">
        <v>2.07416666666666</v>
      </c>
      <c r="AD695" s="62">
        <v>0.210277777777777</v>
      </c>
      <c r="AE695" s="62">
        <v>2.07416666666666</v>
      </c>
      <c r="AF695" s="62">
        <v>5.0</v>
      </c>
    </row>
    <row r="696">
      <c r="A696" s="68">
        <v>46113.0</v>
      </c>
      <c r="B696" s="62" t="s">
        <v>93</v>
      </c>
      <c r="C696" s="62" t="s">
        <v>182</v>
      </c>
      <c r="D696" s="62">
        <v>2.0</v>
      </c>
      <c r="E696" s="62">
        <v>4.0</v>
      </c>
      <c r="F696" s="62">
        <v>1.0</v>
      </c>
      <c r="G696" s="62">
        <v>0.0</v>
      </c>
      <c r="H696" s="62">
        <v>0.0</v>
      </c>
      <c r="I696" s="62">
        <v>0.0</v>
      </c>
      <c r="J696" s="62">
        <v>0.0</v>
      </c>
      <c r="K696" s="62">
        <v>0.0</v>
      </c>
      <c r="L696" s="62">
        <v>0.0</v>
      </c>
      <c r="M696" s="62">
        <v>0.0</v>
      </c>
      <c r="N696" s="62">
        <v>0.0</v>
      </c>
      <c r="O696" s="62">
        <v>0.0</v>
      </c>
      <c r="P696" s="62">
        <v>0.0</v>
      </c>
      <c r="Q696" s="62">
        <v>0.0</v>
      </c>
      <c r="R696" s="62">
        <v>4145.0</v>
      </c>
      <c r="S696" s="62">
        <v>8419.0</v>
      </c>
      <c r="T696" s="62">
        <v>1.88722222222222</v>
      </c>
      <c r="U696" s="62">
        <v>0.319722222222222</v>
      </c>
      <c r="V696" s="62">
        <v>0.0</v>
      </c>
      <c r="W696" s="62">
        <v>0.0</v>
      </c>
      <c r="X696" s="62">
        <v>0.0</v>
      </c>
      <c r="Y696" s="62">
        <v>0.0</v>
      </c>
      <c r="Z696" s="62">
        <v>0.0</v>
      </c>
      <c r="AA696" s="62">
        <v>0.0</v>
      </c>
      <c r="AB696" s="62">
        <v>0.0</v>
      </c>
      <c r="AC696" s="62">
        <v>0.0</v>
      </c>
      <c r="AD696" s="62">
        <v>0.0</v>
      </c>
      <c r="AE696" s="62">
        <v>0.0</v>
      </c>
      <c r="AF696" s="62">
        <v>7.0</v>
      </c>
    </row>
    <row r="697">
      <c r="A697" s="68">
        <v>46113.0</v>
      </c>
      <c r="B697" s="62" t="s">
        <v>65</v>
      </c>
      <c r="C697" s="62" t="s">
        <v>173</v>
      </c>
      <c r="D697" s="62">
        <v>0.0</v>
      </c>
      <c r="E697" s="62">
        <v>0.0</v>
      </c>
      <c r="F697" s="62">
        <v>0.0</v>
      </c>
      <c r="G697" s="62">
        <v>0.0</v>
      </c>
      <c r="H697" s="62">
        <v>0.0</v>
      </c>
      <c r="I697" s="62">
        <v>0.0</v>
      </c>
      <c r="J697" s="62">
        <v>0.0</v>
      </c>
      <c r="K697" s="62">
        <v>1.0</v>
      </c>
      <c r="L697" s="62">
        <v>1.0</v>
      </c>
      <c r="M697" s="62">
        <v>0.0</v>
      </c>
      <c r="N697" s="62">
        <v>0.0</v>
      </c>
      <c r="O697" s="62">
        <v>1.0</v>
      </c>
      <c r="P697" s="62">
        <v>0.0</v>
      </c>
      <c r="Q697" s="62">
        <v>0.0</v>
      </c>
      <c r="R697" s="62">
        <v>0.0</v>
      </c>
      <c r="S697" s="62">
        <v>0.0</v>
      </c>
      <c r="T697" s="62">
        <v>0.0</v>
      </c>
      <c r="U697" s="62">
        <v>0.0</v>
      </c>
      <c r="V697" s="62">
        <v>0.0</v>
      </c>
      <c r="W697" s="62">
        <v>0.0</v>
      </c>
      <c r="X697" s="62">
        <v>0.0</v>
      </c>
      <c r="Y697" s="62">
        <v>0.0</v>
      </c>
      <c r="Z697" s="62">
        <v>0.248888888888888</v>
      </c>
      <c r="AA697" s="62">
        <v>0.248888888888888</v>
      </c>
      <c r="AB697" s="62">
        <v>0.0</v>
      </c>
      <c r="AC697" s="62">
        <v>0.0</v>
      </c>
      <c r="AD697" s="62">
        <v>0.223055555555555</v>
      </c>
      <c r="AE697" s="62">
        <v>0.0</v>
      </c>
      <c r="AF697" s="62">
        <v>0.0</v>
      </c>
    </row>
    <row r="698">
      <c r="A698" s="68">
        <v>46113.0</v>
      </c>
      <c r="B698" s="62" t="s">
        <v>37</v>
      </c>
      <c r="C698" s="62" t="s">
        <v>174</v>
      </c>
      <c r="D698" s="62">
        <v>3.0</v>
      </c>
      <c r="E698" s="62">
        <v>4.0</v>
      </c>
      <c r="F698" s="62">
        <v>0.0</v>
      </c>
      <c r="G698" s="62">
        <v>1.0</v>
      </c>
      <c r="H698" s="62">
        <v>1.0</v>
      </c>
      <c r="I698" s="62">
        <v>0.0</v>
      </c>
      <c r="J698" s="62">
        <v>1.0</v>
      </c>
      <c r="K698" s="62">
        <v>0.0</v>
      </c>
      <c r="L698" s="62">
        <v>0.0</v>
      </c>
      <c r="M698" s="62">
        <v>4.0</v>
      </c>
      <c r="N698" s="62">
        <v>5.0</v>
      </c>
      <c r="O698" s="62">
        <v>1.0</v>
      </c>
      <c r="P698" s="62">
        <v>5.0</v>
      </c>
      <c r="Q698" s="62">
        <v>0.0</v>
      </c>
      <c r="R698" s="62">
        <v>6783.0</v>
      </c>
      <c r="S698" s="62">
        <v>9955.0</v>
      </c>
      <c r="T698" s="62">
        <v>1.18916666666666</v>
      </c>
      <c r="U698" s="62">
        <v>0.0</v>
      </c>
      <c r="V698" s="62">
        <v>0.308888888888888</v>
      </c>
      <c r="W698" s="62">
        <v>0.308888888888888</v>
      </c>
      <c r="X698" s="62">
        <v>0.0</v>
      </c>
      <c r="Y698" s="62">
        <v>0.308888888888888</v>
      </c>
      <c r="Z698" s="62">
        <v>0.0</v>
      </c>
      <c r="AA698" s="62">
        <v>0.0</v>
      </c>
      <c r="AB698" s="62">
        <v>1.09083333333333</v>
      </c>
      <c r="AC698" s="62">
        <v>1.35361111111111</v>
      </c>
      <c r="AD698" s="62">
        <v>0.283611111111111</v>
      </c>
      <c r="AE698" s="62">
        <v>1.35361111111111</v>
      </c>
      <c r="AF698" s="62">
        <v>4.0</v>
      </c>
    </row>
    <row r="699">
      <c r="A699" s="68">
        <v>46113.0</v>
      </c>
      <c r="B699" s="62" t="s">
        <v>91</v>
      </c>
      <c r="C699" s="62" t="s">
        <v>184</v>
      </c>
      <c r="D699" s="62">
        <v>1.0</v>
      </c>
      <c r="E699" s="62">
        <v>2.0</v>
      </c>
      <c r="F699" s="62">
        <v>4.0</v>
      </c>
      <c r="G699" s="62">
        <v>0.0</v>
      </c>
      <c r="H699" s="62">
        <v>0.0</v>
      </c>
      <c r="I699" s="62">
        <v>0.0</v>
      </c>
      <c r="J699" s="62">
        <v>0.0</v>
      </c>
      <c r="K699" s="62">
        <v>0.0</v>
      </c>
      <c r="L699" s="62">
        <v>0.0</v>
      </c>
      <c r="M699" s="62">
        <v>0.0</v>
      </c>
      <c r="N699" s="62">
        <v>0.0</v>
      </c>
      <c r="O699" s="62">
        <v>0.0</v>
      </c>
      <c r="P699" s="62">
        <v>0.0</v>
      </c>
      <c r="Q699" s="62">
        <v>0.0</v>
      </c>
      <c r="R699" s="62">
        <v>2339.0</v>
      </c>
      <c r="S699" s="62">
        <v>3932.0</v>
      </c>
      <c r="T699" s="62">
        <v>0.1575</v>
      </c>
      <c r="U699" s="62">
        <v>0.571666666666666</v>
      </c>
      <c r="V699" s="62">
        <v>0.0</v>
      </c>
      <c r="W699" s="62">
        <v>0.0</v>
      </c>
      <c r="X699" s="62">
        <v>0.0</v>
      </c>
      <c r="Y699" s="62">
        <v>0.0</v>
      </c>
      <c r="Z699" s="62">
        <v>0.0</v>
      </c>
      <c r="AA699" s="62">
        <v>0.0</v>
      </c>
      <c r="AB699" s="62">
        <v>0.0</v>
      </c>
      <c r="AC699" s="62">
        <v>0.0</v>
      </c>
      <c r="AD699" s="62">
        <v>0.0</v>
      </c>
      <c r="AE699" s="62">
        <v>0.0</v>
      </c>
      <c r="AF699" s="62">
        <v>1.0</v>
      </c>
    </row>
    <row r="700">
      <c r="A700" s="68">
        <v>46113.0</v>
      </c>
      <c r="B700" s="62" t="s">
        <v>84</v>
      </c>
      <c r="C700" s="62" t="s">
        <v>186</v>
      </c>
      <c r="D700" s="62">
        <v>5.0</v>
      </c>
      <c r="E700" s="62">
        <v>1.0</v>
      </c>
      <c r="F700" s="62">
        <v>3.0</v>
      </c>
      <c r="G700" s="62">
        <v>0.0</v>
      </c>
      <c r="H700" s="62">
        <v>0.0</v>
      </c>
      <c r="I700" s="62">
        <v>0.0</v>
      </c>
      <c r="J700" s="62">
        <v>0.0</v>
      </c>
      <c r="K700" s="62">
        <v>0.0</v>
      </c>
      <c r="L700" s="62">
        <v>0.0</v>
      </c>
      <c r="M700" s="62">
        <v>0.0</v>
      </c>
      <c r="N700" s="62">
        <v>0.0</v>
      </c>
      <c r="O700" s="62">
        <v>1.0</v>
      </c>
      <c r="P700" s="62">
        <v>0.0</v>
      </c>
      <c r="Q700" s="62">
        <v>0.0</v>
      </c>
      <c r="R700" s="62">
        <v>11686.0</v>
      </c>
      <c r="S700" s="62">
        <v>2362.0</v>
      </c>
      <c r="T700" s="62">
        <v>0.247777777777777</v>
      </c>
      <c r="U700" s="62">
        <v>0.846666666666666</v>
      </c>
      <c r="V700" s="62">
        <v>0.0</v>
      </c>
      <c r="W700" s="62">
        <v>0.0</v>
      </c>
      <c r="X700" s="62">
        <v>0.0</v>
      </c>
      <c r="Y700" s="62">
        <v>0.0</v>
      </c>
      <c r="Z700" s="62">
        <v>0.0</v>
      </c>
      <c r="AA700" s="62">
        <v>0.0</v>
      </c>
      <c r="AB700" s="62">
        <v>0.0</v>
      </c>
      <c r="AC700" s="62">
        <v>0.0</v>
      </c>
      <c r="AD700" s="62">
        <v>0.301388888888888</v>
      </c>
      <c r="AE700" s="62">
        <v>0.0</v>
      </c>
      <c r="AF700" s="62">
        <v>1.0</v>
      </c>
    </row>
    <row r="701">
      <c r="A701" s="68">
        <v>46113.0</v>
      </c>
      <c r="B701" s="62" t="s">
        <v>26</v>
      </c>
      <c r="C701" s="62" t="s">
        <v>178</v>
      </c>
      <c r="D701" s="62">
        <v>9.0</v>
      </c>
      <c r="E701" s="62">
        <v>14.0</v>
      </c>
      <c r="F701" s="62">
        <v>3.0</v>
      </c>
      <c r="G701" s="62">
        <v>0.0</v>
      </c>
      <c r="H701" s="62">
        <v>7.0</v>
      </c>
      <c r="I701" s="62">
        <v>7.0</v>
      </c>
      <c r="J701" s="62">
        <v>5.0</v>
      </c>
      <c r="K701" s="62">
        <v>1.0</v>
      </c>
      <c r="L701" s="62">
        <v>1.0</v>
      </c>
      <c r="M701" s="62">
        <v>4.0</v>
      </c>
      <c r="N701" s="62">
        <v>0.0</v>
      </c>
      <c r="O701" s="62">
        <v>1.0</v>
      </c>
      <c r="P701" s="62">
        <v>0.0</v>
      </c>
      <c r="Q701" s="62">
        <v>0.0</v>
      </c>
      <c r="R701" s="62">
        <v>19746.0</v>
      </c>
      <c r="S701" s="62">
        <v>31080.0</v>
      </c>
      <c r="T701" s="62">
        <v>0.0</v>
      </c>
      <c r="U701" s="62">
        <v>0.584444444444444</v>
      </c>
      <c r="V701" s="62">
        <v>0.0</v>
      </c>
      <c r="W701" s="62">
        <v>1.35305555555555</v>
      </c>
      <c r="X701" s="62">
        <v>1.35305555555555</v>
      </c>
      <c r="Y701" s="62">
        <v>1.05749999999999</v>
      </c>
      <c r="Z701" s="62">
        <v>0.199166666666666</v>
      </c>
      <c r="AA701" s="62">
        <v>0.199166666666666</v>
      </c>
      <c r="AB701" s="62">
        <v>0.839444444444444</v>
      </c>
      <c r="AC701" s="62">
        <v>0.0</v>
      </c>
      <c r="AD701" s="62">
        <v>0.2</v>
      </c>
      <c r="AE701" s="62">
        <v>0.0</v>
      </c>
      <c r="AF701" s="62">
        <v>0.0</v>
      </c>
    </row>
    <row r="702">
      <c r="A702" s="68">
        <v>46113.0</v>
      </c>
      <c r="B702" s="62" t="s">
        <v>62</v>
      </c>
      <c r="C702" s="62" t="s">
        <v>63</v>
      </c>
      <c r="D702" s="62">
        <v>0.0</v>
      </c>
      <c r="E702" s="62">
        <v>2.0</v>
      </c>
      <c r="F702" s="62">
        <v>0.0</v>
      </c>
      <c r="G702" s="62">
        <v>0.0</v>
      </c>
      <c r="H702" s="62">
        <v>2.0</v>
      </c>
      <c r="I702" s="62">
        <v>2.0</v>
      </c>
      <c r="J702" s="62">
        <v>1.0</v>
      </c>
      <c r="K702" s="62">
        <v>0.0</v>
      </c>
      <c r="L702" s="62">
        <v>0.0</v>
      </c>
      <c r="M702" s="62">
        <v>0.0</v>
      </c>
      <c r="N702" s="62">
        <v>0.0</v>
      </c>
      <c r="O702" s="62">
        <v>1.0</v>
      </c>
      <c r="P702" s="62">
        <v>0.0</v>
      </c>
      <c r="Q702" s="62">
        <v>0.0</v>
      </c>
      <c r="R702" s="62">
        <v>0.0</v>
      </c>
      <c r="S702" s="62">
        <v>4536.0</v>
      </c>
      <c r="T702" s="62">
        <v>0.4575</v>
      </c>
      <c r="U702" s="62">
        <v>0.0</v>
      </c>
      <c r="V702" s="62">
        <v>0.0</v>
      </c>
      <c r="W702" s="62">
        <v>0.4575</v>
      </c>
      <c r="X702" s="62">
        <v>0.4575</v>
      </c>
      <c r="Y702" s="62">
        <v>0.233055555555555</v>
      </c>
      <c r="Z702" s="62">
        <v>0.0</v>
      </c>
      <c r="AA702" s="62">
        <v>0.0</v>
      </c>
      <c r="AB702" s="62">
        <v>0.0</v>
      </c>
      <c r="AC702" s="62">
        <v>0.0</v>
      </c>
      <c r="AD702" s="62">
        <v>0.258611111111111</v>
      </c>
      <c r="AE702" s="62">
        <v>0.0</v>
      </c>
      <c r="AF702" s="62">
        <v>2.0</v>
      </c>
    </row>
    <row r="703">
      <c r="A703" s="68">
        <v>46113.0</v>
      </c>
      <c r="B703" s="62" t="s">
        <v>89</v>
      </c>
      <c r="C703" s="62" t="s">
        <v>180</v>
      </c>
      <c r="D703" s="62">
        <v>1.0</v>
      </c>
      <c r="E703" s="62">
        <v>1.0</v>
      </c>
      <c r="F703" s="62">
        <v>0.0</v>
      </c>
      <c r="G703" s="62">
        <v>0.0</v>
      </c>
      <c r="H703" s="62">
        <v>0.0</v>
      </c>
      <c r="I703" s="62">
        <v>0.0</v>
      </c>
      <c r="J703" s="62">
        <v>0.0</v>
      </c>
      <c r="K703" s="62">
        <v>0.0</v>
      </c>
      <c r="L703" s="62">
        <v>0.0</v>
      </c>
      <c r="M703" s="62">
        <v>0.0</v>
      </c>
      <c r="N703" s="62">
        <v>0.0</v>
      </c>
      <c r="O703" s="62">
        <v>0.0</v>
      </c>
      <c r="P703" s="62">
        <v>0.0</v>
      </c>
      <c r="Q703" s="62">
        <v>0.0</v>
      </c>
      <c r="R703" s="62">
        <v>3317.0</v>
      </c>
      <c r="S703" s="62">
        <v>3317.0</v>
      </c>
      <c r="T703" s="62">
        <v>0.0</v>
      </c>
      <c r="U703" s="62">
        <v>0.0</v>
      </c>
      <c r="V703" s="62">
        <v>0.0</v>
      </c>
      <c r="W703" s="62">
        <v>0.0</v>
      </c>
      <c r="X703" s="62">
        <v>0.0</v>
      </c>
      <c r="Y703" s="62">
        <v>0.0</v>
      </c>
      <c r="Z703" s="62">
        <v>0.0</v>
      </c>
      <c r="AA703" s="62">
        <v>0.0</v>
      </c>
      <c r="AB703" s="62">
        <v>0.0</v>
      </c>
      <c r="AC703" s="62">
        <v>0.0</v>
      </c>
      <c r="AD703" s="62">
        <v>0.0</v>
      </c>
      <c r="AE703" s="62">
        <v>0.0</v>
      </c>
      <c r="AF703" s="62">
        <v>0.0</v>
      </c>
    </row>
    <row r="704">
      <c r="A704" s="68">
        <v>46112.0</v>
      </c>
      <c r="B704" s="62" t="s">
        <v>98</v>
      </c>
      <c r="C704" s="62" t="s">
        <v>183</v>
      </c>
      <c r="D704" s="62">
        <v>0.0</v>
      </c>
      <c r="E704" s="62">
        <v>3.0</v>
      </c>
      <c r="F704" s="62">
        <v>0.0</v>
      </c>
      <c r="G704" s="62">
        <v>0.0</v>
      </c>
      <c r="H704" s="62">
        <v>0.0</v>
      </c>
      <c r="I704" s="62">
        <v>0.0</v>
      </c>
      <c r="J704" s="62">
        <v>0.0</v>
      </c>
      <c r="K704" s="62">
        <v>0.0</v>
      </c>
      <c r="L704" s="62">
        <v>0.0</v>
      </c>
      <c r="M704" s="62">
        <v>0.0</v>
      </c>
      <c r="N704" s="62">
        <v>0.0</v>
      </c>
      <c r="O704" s="62">
        <v>0.0</v>
      </c>
      <c r="P704" s="62">
        <v>0.0</v>
      </c>
      <c r="Q704" s="62">
        <v>0.0</v>
      </c>
      <c r="R704" s="62">
        <v>0.0</v>
      </c>
      <c r="S704" s="62">
        <v>6561.0</v>
      </c>
      <c r="T704" s="62">
        <v>0.0</v>
      </c>
      <c r="U704" s="62">
        <v>0.0</v>
      </c>
      <c r="V704" s="62">
        <v>0.0</v>
      </c>
      <c r="W704" s="62">
        <v>0.0</v>
      </c>
      <c r="X704" s="62">
        <v>0.0</v>
      </c>
      <c r="Y704" s="62">
        <v>0.0</v>
      </c>
      <c r="Z704" s="62">
        <v>0.0</v>
      </c>
      <c r="AA704" s="62">
        <v>0.0</v>
      </c>
      <c r="AB704" s="62">
        <v>0.0</v>
      </c>
      <c r="AC704" s="62">
        <v>0.0</v>
      </c>
      <c r="AD704" s="62">
        <v>0.0</v>
      </c>
      <c r="AE704" s="62">
        <v>0.0</v>
      </c>
      <c r="AF704" s="62">
        <v>0.0</v>
      </c>
    </row>
    <row r="705">
      <c r="A705" s="68">
        <v>46112.0</v>
      </c>
      <c r="B705" s="62" t="s">
        <v>71</v>
      </c>
      <c r="C705" s="62" t="s">
        <v>163</v>
      </c>
      <c r="D705" s="62">
        <v>0.0</v>
      </c>
      <c r="E705" s="62">
        <v>3.0</v>
      </c>
      <c r="F705" s="62">
        <v>2.0</v>
      </c>
      <c r="G705" s="62">
        <v>2.0</v>
      </c>
      <c r="H705" s="62">
        <v>2.0</v>
      </c>
      <c r="I705" s="62">
        <v>0.0</v>
      </c>
      <c r="J705" s="62">
        <v>3.0</v>
      </c>
      <c r="K705" s="62">
        <v>2.0</v>
      </c>
      <c r="L705" s="62">
        <v>0.0</v>
      </c>
      <c r="M705" s="62">
        <v>3.0</v>
      </c>
      <c r="N705" s="62">
        <v>2.0</v>
      </c>
      <c r="O705" s="62">
        <v>1.0</v>
      </c>
      <c r="P705" s="62">
        <v>2.0</v>
      </c>
      <c r="Q705" s="62">
        <v>0.0</v>
      </c>
      <c r="R705" s="62">
        <v>0.0</v>
      </c>
      <c r="S705" s="62">
        <v>8021.0</v>
      </c>
      <c r="T705" s="62">
        <v>0.468611111111111</v>
      </c>
      <c r="U705" s="62">
        <v>0.468611111111111</v>
      </c>
      <c r="V705" s="62">
        <v>0.494444444444444</v>
      </c>
      <c r="W705" s="62">
        <v>0.494444444444444</v>
      </c>
      <c r="X705" s="62">
        <v>0.0</v>
      </c>
      <c r="Y705" s="62">
        <v>0.735</v>
      </c>
      <c r="Z705" s="62">
        <v>0.517777777777777</v>
      </c>
      <c r="AA705" s="62">
        <v>0.0</v>
      </c>
      <c r="AB705" s="62">
        <v>0.765</v>
      </c>
      <c r="AC705" s="62">
        <v>0.517777777777777</v>
      </c>
      <c r="AD705" s="62">
        <v>0.304166666666666</v>
      </c>
      <c r="AE705" s="62">
        <v>0.517777777777777</v>
      </c>
      <c r="AF705" s="62">
        <v>2.0</v>
      </c>
    </row>
    <row r="706">
      <c r="A706" s="68">
        <v>46112.0</v>
      </c>
      <c r="B706" s="62" t="s">
        <v>76</v>
      </c>
      <c r="C706" s="62" t="s">
        <v>165</v>
      </c>
      <c r="D706" s="62">
        <v>0.0</v>
      </c>
      <c r="E706" s="62">
        <v>4.0</v>
      </c>
      <c r="F706" s="62">
        <v>3.0</v>
      </c>
      <c r="G706" s="62">
        <v>3.0</v>
      </c>
      <c r="H706" s="62">
        <v>3.0</v>
      </c>
      <c r="I706" s="62">
        <v>0.0</v>
      </c>
      <c r="J706" s="62">
        <v>5.0</v>
      </c>
      <c r="K706" s="62">
        <v>0.0</v>
      </c>
      <c r="L706" s="62">
        <v>0.0</v>
      </c>
      <c r="M706" s="62">
        <v>2.0</v>
      </c>
      <c r="N706" s="62">
        <v>1.0</v>
      </c>
      <c r="O706" s="62">
        <v>1.0</v>
      </c>
      <c r="P706" s="62">
        <v>1.0</v>
      </c>
      <c r="Q706" s="62">
        <v>0.0</v>
      </c>
      <c r="R706" s="62">
        <v>0.0</v>
      </c>
      <c r="S706" s="62">
        <v>12911.0</v>
      </c>
      <c r="T706" s="62">
        <v>0.880555555555555</v>
      </c>
      <c r="U706" s="62">
        <v>0.880555555555555</v>
      </c>
      <c r="V706" s="62">
        <v>0.770555555555555</v>
      </c>
      <c r="W706" s="62">
        <v>0.770555555555555</v>
      </c>
      <c r="X706" s="62">
        <v>0.0</v>
      </c>
      <c r="Y706" s="62">
        <v>1.27944444444444</v>
      </c>
      <c r="Z706" s="62">
        <v>0.0</v>
      </c>
      <c r="AA706" s="62">
        <v>0.0</v>
      </c>
      <c r="AB706" s="62">
        <v>0.508888888888889</v>
      </c>
      <c r="AC706" s="62">
        <v>0.246111111111111</v>
      </c>
      <c r="AD706" s="62">
        <v>0.241111111111111</v>
      </c>
      <c r="AE706" s="62">
        <v>0.246111111111111</v>
      </c>
      <c r="AF706" s="62">
        <v>3.0</v>
      </c>
    </row>
    <row r="707">
      <c r="A707" s="68">
        <v>46112.0</v>
      </c>
      <c r="B707" s="62" t="s">
        <v>104</v>
      </c>
      <c r="C707" s="62" t="s">
        <v>166</v>
      </c>
      <c r="D707" s="62">
        <v>0.0</v>
      </c>
      <c r="E707" s="62">
        <v>3.0</v>
      </c>
      <c r="F707" s="62">
        <v>4.0</v>
      </c>
      <c r="G707" s="62">
        <v>3.0</v>
      </c>
      <c r="H707" s="62">
        <v>2.0</v>
      </c>
      <c r="I707" s="62">
        <v>0.0</v>
      </c>
      <c r="J707" s="62">
        <v>4.0</v>
      </c>
      <c r="K707" s="62">
        <v>2.0</v>
      </c>
      <c r="L707" s="62">
        <v>0.0</v>
      </c>
      <c r="M707" s="62">
        <v>4.0</v>
      </c>
      <c r="N707" s="62">
        <v>3.0</v>
      </c>
      <c r="O707" s="62">
        <v>1.0</v>
      </c>
      <c r="P707" s="62">
        <v>3.0</v>
      </c>
      <c r="Q707" s="62">
        <v>0.0</v>
      </c>
      <c r="R707" s="62">
        <v>0.0</v>
      </c>
      <c r="S707" s="62">
        <v>6073.0</v>
      </c>
      <c r="T707" s="62">
        <v>0.350277777777777</v>
      </c>
      <c r="U707" s="62">
        <v>0.717777777777777</v>
      </c>
      <c r="V707" s="62">
        <v>0.662222222222222</v>
      </c>
      <c r="W707" s="62">
        <v>0.434166666666666</v>
      </c>
      <c r="X707" s="62">
        <v>0.0</v>
      </c>
      <c r="Y707" s="62">
        <v>0.862499999999999</v>
      </c>
      <c r="Z707" s="62">
        <v>0.434166666666666</v>
      </c>
      <c r="AA707" s="62">
        <v>0.0</v>
      </c>
      <c r="AB707" s="62">
        <v>0.862222222222222</v>
      </c>
      <c r="AC707" s="62">
        <v>0.643333333333333</v>
      </c>
      <c r="AD707" s="62">
        <v>0.178888888888888</v>
      </c>
      <c r="AE707" s="62">
        <v>0.643333333333333</v>
      </c>
      <c r="AF707" s="62">
        <v>2.0</v>
      </c>
    </row>
    <row r="708">
      <c r="A708" s="68">
        <v>46112.0</v>
      </c>
      <c r="B708" s="62" t="s">
        <v>32</v>
      </c>
      <c r="C708" s="62" t="s">
        <v>168</v>
      </c>
      <c r="D708" s="62">
        <v>4.0</v>
      </c>
      <c r="E708" s="62">
        <v>4.0</v>
      </c>
      <c r="F708" s="62">
        <v>2.0</v>
      </c>
      <c r="G708" s="62">
        <v>0.0</v>
      </c>
      <c r="H708" s="62">
        <v>5.0</v>
      </c>
      <c r="I708" s="62">
        <v>2.0</v>
      </c>
      <c r="J708" s="62">
        <v>5.0</v>
      </c>
      <c r="K708" s="62">
        <v>0.0</v>
      </c>
      <c r="L708" s="62">
        <v>0.0</v>
      </c>
      <c r="M708" s="62">
        <v>5.0</v>
      </c>
      <c r="N708" s="62">
        <v>1.0</v>
      </c>
      <c r="O708" s="62">
        <v>1.0</v>
      </c>
      <c r="P708" s="62">
        <v>1.0</v>
      </c>
      <c r="Q708" s="62">
        <v>0.0</v>
      </c>
      <c r="R708" s="62">
        <v>9494.0</v>
      </c>
      <c r="S708" s="62">
        <v>9494.0</v>
      </c>
      <c r="T708" s="62">
        <v>0.238611111111111</v>
      </c>
      <c r="U708" s="62">
        <v>0.457222222222222</v>
      </c>
      <c r="V708" s="62">
        <v>0.0</v>
      </c>
      <c r="W708" s="62">
        <v>1.12666666666666</v>
      </c>
      <c r="X708" s="62">
        <v>0.441111111111111</v>
      </c>
      <c r="Y708" s="62">
        <v>1.12888888888888</v>
      </c>
      <c r="Z708" s="62">
        <v>0.0</v>
      </c>
      <c r="AA708" s="62">
        <v>0.0</v>
      </c>
      <c r="AB708" s="62">
        <v>1.16333333333333</v>
      </c>
      <c r="AC708" s="62">
        <v>0.247777777777777</v>
      </c>
      <c r="AD708" s="62">
        <v>0.218888888888888</v>
      </c>
      <c r="AE708" s="62">
        <v>0.247777777777777</v>
      </c>
      <c r="AF708" s="62">
        <v>1.0</v>
      </c>
    </row>
    <row r="709">
      <c r="A709" s="68">
        <v>46112.0</v>
      </c>
      <c r="B709" s="62" t="s">
        <v>93</v>
      </c>
      <c r="C709" s="62" t="s">
        <v>182</v>
      </c>
      <c r="D709" s="62">
        <v>2.0</v>
      </c>
      <c r="E709" s="62">
        <v>6.0</v>
      </c>
      <c r="F709" s="62">
        <v>3.0</v>
      </c>
      <c r="G709" s="62">
        <v>0.0</v>
      </c>
      <c r="H709" s="62">
        <v>0.0</v>
      </c>
      <c r="I709" s="62">
        <v>0.0</v>
      </c>
      <c r="J709" s="62">
        <v>0.0</v>
      </c>
      <c r="K709" s="62">
        <v>0.0</v>
      </c>
      <c r="L709" s="62">
        <v>0.0</v>
      </c>
      <c r="M709" s="62">
        <v>0.0</v>
      </c>
      <c r="N709" s="62">
        <v>0.0</v>
      </c>
      <c r="O709" s="62">
        <v>0.0</v>
      </c>
      <c r="P709" s="62">
        <v>0.0</v>
      </c>
      <c r="Q709" s="62">
        <v>0.0</v>
      </c>
      <c r="R709" s="62">
        <v>4144.0</v>
      </c>
      <c r="S709" s="62">
        <v>12343.0</v>
      </c>
      <c r="T709" s="62">
        <v>0.0</v>
      </c>
      <c r="U709" s="62">
        <v>1.01055555555555</v>
      </c>
      <c r="V709" s="62">
        <v>0.0</v>
      </c>
      <c r="W709" s="62">
        <v>0.0</v>
      </c>
      <c r="X709" s="62">
        <v>0.0</v>
      </c>
      <c r="Y709" s="62">
        <v>0.0</v>
      </c>
      <c r="Z709" s="62">
        <v>0.0</v>
      </c>
      <c r="AA709" s="62">
        <v>0.0</v>
      </c>
      <c r="AB709" s="62">
        <v>0.0</v>
      </c>
      <c r="AC709" s="62">
        <v>0.0</v>
      </c>
      <c r="AD709" s="62">
        <v>0.0</v>
      </c>
      <c r="AE709" s="62">
        <v>0.0</v>
      </c>
      <c r="AF709" s="62">
        <v>0.0</v>
      </c>
    </row>
    <row r="710">
      <c r="A710" s="68">
        <v>46112.0</v>
      </c>
      <c r="B710" s="62" t="s">
        <v>65</v>
      </c>
      <c r="C710" s="62" t="s">
        <v>173</v>
      </c>
      <c r="D710" s="62">
        <v>0.0</v>
      </c>
      <c r="E710" s="62">
        <v>0.0</v>
      </c>
      <c r="F710" s="62">
        <v>0.0</v>
      </c>
      <c r="G710" s="62">
        <v>0.0</v>
      </c>
      <c r="H710" s="62">
        <v>0.0</v>
      </c>
      <c r="I710" s="62">
        <v>0.0</v>
      </c>
      <c r="J710" s="62">
        <v>2.0</v>
      </c>
      <c r="K710" s="62">
        <v>1.0</v>
      </c>
      <c r="L710" s="62">
        <v>2.0</v>
      </c>
      <c r="M710" s="62">
        <v>4.0</v>
      </c>
      <c r="N710" s="62">
        <v>5.0</v>
      </c>
      <c r="O710" s="62">
        <v>1.0</v>
      </c>
      <c r="P710" s="62">
        <v>5.0</v>
      </c>
      <c r="Q710" s="62">
        <v>0.0</v>
      </c>
      <c r="R710" s="62">
        <v>0.0</v>
      </c>
      <c r="S710" s="62">
        <v>0.0</v>
      </c>
      <c r="T710" s="62">
        <v>0.0</v>
      </c>
      <c r="U710" s="62">
        <v>0.0</v>
      </c>
      <c r="V710" s="62">
        <v>0.0</v>
      </c>
      <c r="W710" s="62">
        <v>0.0</v>
      </c>
      <c r="X710" s="62">
        <v>0.0</v>
      </c>
      <c r="Y710" s="62">
        <v>0.482777777777777</v>
      </c>
      <c r="Z710" s="62">
        <v>0.233888888888888</v>
      </c>
      <c r="AA710" s="62">
        <v>0.530555555555555</v>
      </c>
      <c r="AB710" s="62">
        <v>1.01861111111111</v>
      </c>
      <c r="AC710" s="62">
        <v>1.25083333333333</v>
      </c>
      <c r="AD710" s="62">
        <v>0.248888888888888</v>
      </c>
      <c r="AE710" s="62">
        <v>1.25083333333333</v>
      </c>
      <c r="AF710" s="62">
        <v>0.0</v>
      </c>
    </row>
    <row r="711">
      <c r="A711" s="68">
        <v>46112.0</v>
      </c>
      <c r="B711" s="62" t="s">
        <v>37</v>
      </c>
      <c r="C711" s="62" t="s">
        <v>174</v>
      </c>
      <c r="D711" s="62">
        <v>6.0</v>
      </c>
      <c r="E711" s="62">
        <v>0.0</v>
      </c>
      <c r="F711" s="62">
        <v>5.0</v>
      </c>
      <c r="G711" s="62">
        <v>4.0</v>
      </c>
      <c r="H711" s="62">
        <v>4.0</v>
      </c>
      <c r="I711" s="62">
        <v>0.0</v>
      </c>
      <c r="J711" s="62">
        <v>6.0</v>
      </c>
      <c r="K711" s="62">
        <v>6.0</v>
      </c>
      <c r="L711" s="62">
        <v>1.0</v>
      </c>
      <c r="M711" s="62">
        <v>3.0</v>
      </c>
      <c r="N711" s="62">
        <v>1.0</v>
      </c>
      <c r="O711" s="62">
        <v>1.0</v>
      </c>
      <c r="P711" s="62">
        <v>1.0</v>
      </c>
      <c r="Q711" s="62">
        <v>0.0</v>
      </c>
      <c r="R711" s="62">
        <v>11962.0</v>
      </c>
      <c r="S711" s="62">
        <v>0.0</v>
      </c>
      <c r="T711" s="62">
        <v>0.0</v>
      </c>
      <c r="U711" s="62">
        <v>1.46305555555555</v>
      </c>
      <c r="V711" s="62">
        <v>1.05861111111111</v>
      </c>
      <c r="W711" s="62">
        <v>1.05861111111111</v>
      </c>
      <c r="X711" s="62">
        <v>0.0</v>
      </c>
      <c r="Y711" s="62">
        <v>1.61916666666666</v>
      </c>
      <c r="Z711" s="62">
        <v>1.61916666666666</v>
      </c>
      <c r="AA711" s="62">
        <v>0.265555555555555</v>
      </c>
      <c r="AB711" s="62">
        <v>0.837222222222222</v>
      </c>
      <c r="AC711" s="62">
        <v>0.265555555555555</v>
      </c>
      <c r="AD711" s="62">
        <v>0.2675</v>
      </c>
      <c r="AE711" s="62">
        <v>0.265555555555555</v>
      </c>
      <c r="AF711" s="62">
        <v>0.0</v>
      </c>
    </row>
    <row r="712">
      <c r="A712" s="68">
        <v>46112.0</v>
      </c>
      <c r="B712" s="62" t="s">
        <v>91</v>
      </c>
      <c r="C712" s="62" t="s">
        <v>184</v>
      </c>
      <c r="D712" s="62">
        <v>0.0</v>
      </c>
      <c r="E712" s="62">
        <v>3.0</v>
      </c>
      <c r="F712" s="62">
        <v>9.0</v>
      </c>
      <c r="G712" s="62">
        <v>0.0</v>
      </c>
      <c r="H712" s="62">
        <v>0.0</v>
      </c>
      <c r="I712" s="62">
        <v>0.0</v>
      </c>
      <c r="J712" s="62">
        <v>0.0</v>
      </c>
      <c r="K712" s="62">
        <v>0.0</v>
      </c>
      <c r="L712" s="62">
        <v>0.0</v>
      </c>
      <c r="M712" s="62">
        <v>0.0</v>
      </c>
      <c r="N712" s="62">
        <v>0.0</v>
      </c>
      <c r="O712" s="62">
        <v>0.0</v>
      </c>
      <c r="P712" s="62">
        <v>0.0</v>
      </c>
      <c r="Q712" s="62">
        <v>0.0</v>
      </c>
      <c r="R712" s="62">
        <v>0.0</v>
      </c>
      <c r="S712" s="62">
        <v>5178.0</v>
      </c>
      <c r="T712" s="62">
        <v>0.414166666666666</v>
      </c>
      <c r="U712" s="62">
        <v>1.36444444444444</v>
      </c>
      <c r="V712" s="62">
        <v>0.0</v>
      </c>
      <c r="W712" s="62">
        <v>0.0</v>
      </c>
      <c r="X712" s="62">
        <v>0.0</v>
      </c>
      <c r="Y712" s="62">
        <v>0.0</v>
      </c>
      <c r="Z712" s="62">
        <v>0.0</v>
      </c>
      <c r="AA712" s="62">
        <v>0.0</v>
      </c>
      <c r="AB712" s="62">
        <v>0.0</v>
      </c>
      <c r="AC712" s="62">
        <v>0.0</v>
      </c>
      <c r="AD712" s="62">
        <v>0.0</v>
      </c>
      <c r="AE712" s="62">
        <v>0.0</v>
      </c>
      <c r="AF712" s="62">
        <v>3.0</v>
      </c>
    </row>
    <row r="713">
      <c r="A713" s="68">
        <v>46112.0</v>
      </c>
      <c r="B713" s="62" t="s">
        <v>84</v>
      </c>
      <c r="C713" s="62" t="s">
        <v>186</v>
      </c>
      <c r="D713" s="62">
        <v>0.0</v>
      </c>
      <c r="E713" s="62">
        <v>0.0</v>
      </c>
      <c r="F713" s="62">
        <v>3.0</v>
      </c>
      <c r="G713" s="62">
        <v>0.0</v>
      </c>
      <c r="H713" s="62">
        <v>0.0</v>
      </c>
      <c r="I713" s="62">
        <v>0.0</v>
      </c>
      <c r="J713" s="62">
        <v>0.0</v>
      </c>
      <c r="K713" s="62">
        <v>0.0</v>
      </c>
      <c r="L713" s="62">
        <v>0.0</v>
      </c>
      <c r="M713" s="62">
        <v>0.0</v>
      </c>
      <c r="N713" s="62">
        <v>0.0</v>
      </c>
      <c r="O713" s="62">
        <v>1.0</v>
      </c>
      <c r="P713" s="62">
        <v>0.0</v>
      </c>
      <c r="Q713" s="62">
        <v>0.0</v>
      </c>
      <c r="R713" s="62">
        <v>0.0</v>
      </c>
      <c r="S713" s="62">
        <v>0.0</v>
      </c>
      <c r="T713" s="62">
        <v>0.846666666666666</v>
      </c>
      <c r="U713" s="62">
        <v>0.782777777777777</v>
      </c>
      <c r="V713" s="62">
        <v>0.0</v>
      </c>
      <c r="W713" s="62">
        <v>0.0</v>
      </c>
      <c r="X713" s="62">
        <v>0.0</v>
      </c>
      <c r="Y713" s="62">
        <v>0.0</v>
      </c>
      <c r="Z713" s="62">
        <v>0.0</v>
      </c>
      <c r="AA713" s="62">
        <v>0.0</v>
      </c>
      <c r="AB713" s="62">
        <v>0.0</v>
      </c>
      <c r="AC713" s="62">
        <v>0.0</v>
      </c>
      <c r="AD713" s="62">
        <v>0.268333333333333</v>
      </c>
      <c r="AE713" s="62">
        <v>0.0</v>
      </c>
      <c r="AF713" s="62">
        <v>3.0</v>
      </c>
    </row>
    <row r="714">
      <c r="A714" s="68">
        <v>46112.0</v>
      </c>
      <c r="B714" s="62" t="s">
        <v>26</v>
      </c>
      <c r="C714" s="62" t="s">
        <v>178</v>
      </c>
      <c r="D714" s="62">
        <v>4.0</v>
      </c>
      <c r="E714" s="62">
        <v>7.0</v>
      </c>
      <c r="F714" s="62">
        <v>2.0</v>
      </c>
      <c r="G714" s="62">
        <v>4.0</v>
      </c>
      <c r="H714" s="62">
        <v>8.0</v>
      </c>
      <c r="I714" s="62">
        <v>4.0</v>
      </c>
      <c r="J714" s="62">
        <v>10.0</v>
      </c>
      <c r="K714" s="62">
        <v>0.0</v>
      </c>
      <c r="L714" s="62">
        <v>1.0</v>
      </c>
      <c r="M714" s="62">
        <v>6.0</v>
      </c>
      <c r="N714" s="62">
        <v>10.0</v>
      </c>
      <c r="O714" s="62">
        <v>1.0</v>
      </c>
      <c r="P714" s="62">
        <v>10.0</v>
      </c>
      <c r="Q714" s="62">
        <v>0.0</v>
      </c>
      <c r="R714" s="62">
        <v>8377.0</v>
      </c>
      <c r="S714" s="62">
        <v>16237.0</v>
      </c>
      <c r="T714" s="62">
        <v>1.93749999999999</v>
      </c>
      <c r="U714" s="62">
        <v>0.388888888888888</v>
      </c>
      <c r="V714" s="62">
        <v>0.815277777777777</v>
      </c>
      <c r="W714" s="62">
        <v>1.6175</v>
      </c>
      <c r="X714" s="62">
        <v>0.802222222222222</v>
      </c>
      <c r="Y714" s="62">
        <v>2.04055555555555</v>
      </c>
      <c r="Z714" s="62">
        <v>0.0</v>
      </c>
      <c r="AA714" s="62">
        <v>0.209166666666666</v>
      </c>
      <c r="AB714" s="62">
        <v>1.21111111111111</v>
      </c>
      <c r="AC714" s="62">
        <v>1.99888888888888</v>
      </c>
      <c r="AD714" s="62">
        <v>0.197777777777777</v>
      </c>
      <c r="AE714" s="62">
        <v>1.99888888888888</v>
      </c>
      <c r="AF714" s="62">
        <v>10.0</v>
      </c>
    </row>
    <row r="715">
      <c r="A715" s="68">
        <v>46112.0</v>
      </c>
      <c r="B715" s="62" t="s">
        <v>62</v>
      </c>
      <c r="C715" s="62" t="s">
        <v>63</v>
      </c>
      <c r="D715" s="62">
        <v>6.0</v>
      </c>
      <c r="E715" s="62">
        <v>3.0</v>
      </c>
      <c r="F715" s="62">
        <v>0.0</v>
      </c>
      <c r="G715" s="62">
        <v>0.0</v>
      </c>
      <c r="H715" s="62">
        <v>5.0</v>
      </c>
      <c r="I715" s="62">
        <v>5.0</v>
      </c>
      <c r="J715" s="62">
        <v>4.0</v>
      </c>
      <c r="K715" s="62">
        <v>2.0</v>
      </c>
      <c r="L715" s="62">
        <v>0.0</v>
      </c>
      <c r="M715" s="62">
        <v>6.0</v>
      </c>
      <c r="N715" s="62">
        <v>7.0</v>
      </c>
      <c r="O715" s="62">
        <v>1.0</v>
      </c>
      <c r="P715" s="62">
        <v>7.0</v>
      </c>
      <c r="Q715" s="62">
        <v>0.0</v>
      </c>
      <c r="R715" s="62">
        <v>15220.0</v>
      </c>
      <c r="S715" s="62">
        <v>7616.0</v>
      </c>
      <c r="T715" s="62">
        <v>0.676111111111111</v>
      </c>
      <c r="U715" s="62">
        <v>0.0</v>
      </c>
      <c r="V715" s="62">
        <v>0.0</v>
      </c>
      <c r="W715" s="62">
        <v>1.13472222222222</v>
      </c>
      <c r="X715" s="62">
        <v>1.13472222222222</v>
      </c>
      <c r="Y715" s="62">
        <v>0.9175</v>
      </c>
      <c r="Z715" s="62">
        <v>0.41</v>
      </c>
      <c r="AA715" s="62">
        <v>0.0</v>
      </c>
      <c r="AB715" s="62">
        <v>1.3275</v>
      </c>
      <c r="AC715" s="62">
        <v>1.54416666666666</v>
      </c>
      <c r="AD715" s="62">
        <v>0.261111111111111</v>
      </c>
      <c r="AE715" s="62">
        <v>1.54416666666666</v>
      </c>
      <c r="AF715" s="62">
        <v>3.0</v>
      </c>
    </row>
    <row r="716">
      <c r="A716" s="68">
        <v>46111.0</v>
      </c>
      <c r="B716" s="62" t="s">
        <v>98</v>
      </c>
      <c r="C716" s="62" t="s">
        <v>183</v>
      </c>
      <c r="D716" s="62">
        <v>3.0</v>
      </c>
      <c r="E716" s="62">
        <v>0.0</v>
      </c>
      <c r="F716" s="62">
        <v>3.0</v>
      </c>
      <c r="G716" s="62">
        <v>0.0</v>
      </c>
      <c r="H716" s="62">
        <v>1.0</v>
      </c>
      <c r="I716" s="62">
        <v>1.0</v>
      </c>
      <c r="J716" s="62">
        <v>0.0</v>
      </c>
      <c r="K716" s="62">
        <v>0.0</v>
      </c>
      <c r="L716" s="62">
        <v>0.0</v>
      </c>
      <c r="M716" s="62">
        <v>0.0</v>
      </c>
      <c r="N716" s="62">
        <v>0.0</v>
      </c>
      <c r="O716" s="62">
        <v>0.0</v>
      </c>
      <c r="P716" s="62">
        <v>0.0</v>
      </c>
      <c r="Q716" s="62">
        <v>0.0</v>
      </c>
      <c r="R716" s="62">
        <v>6561.0</v>
      </c>
      <c r="S716" s="62">
        <v>0.0</v>
      </c>
      <c r="T716" s="62">
        <v>0.686666666666666</v>
      </c>
      <c r="U716" s="62">
        <v>0.728333333333333</v>
      </c>
      <c r="V716" s="62">
        <v>0.0</v>
      </c>
      <c r="W716" s="62">
        <v>0.215555555555555</v>
      </c>
      <c r="X716" s="62">
        <v>0.215555555555555</v>
      </c>
      <c r="Y716" s="62">
        <v>0.0</v>
      </c>
      <c r="Z716" s="62">
        <v>0.0</v>
      </c>
      <c r="AA716" s="62">
        <v>0.0</v>
      </c>
      <c r="AB716" s="62">
        <v>0.0</v>
      </c>
      <c r="AC716" s="62">
        <v>0.0</v>
      </c>
      <c r="AD716" s="62">
        <v>0.0</v>
      </c>
      <c r="AE716" s="62">
        <v>0.0</v>
      </c>
      <c r="AF716" s="62">
        <v>3.0</v>
      </c>
    </row>
    <row r="717">
      <c r="A717" s="68">
        <v>46111.0</v>
      </c>
      <c r="B717" s="62" t="s">
        <v>71</v>
      </c>
      <c r="C717" s="62" t="s">
        <v>163</v>
      </c>
      <c r="D717" s="62">
        <v>3.0</v>
      </c>
      <c r="E717" s="62">
        <v>0.0</v>
      </c>
      <c r="F717" s="62">
        <v>2.0</v>
      </c>
      <c r="G717" s="62">
        <v>3.0</v>
      </c>
      <c r="H717" s="62">
        <v>3.0</v>
      </c>
      <c r="I717" s="62">
        <v>0.0</v>
      </c>
      <c r="J717" s="62">
        <v>3.0</v>
      </c>
      <c r="K717" s="62">
        <v>0.0</v>
      </c>
      <c r="L717" s="62">
        <v>0.0</v>
      </c>
      <c r="M717" s="62">
        <v>0.0</v>
      </c>
      <c r="N717" s="62">
        <v>0.0</v>
      </c>
      <c r="O717" s="62">
        <v>1.0</v>
      </c>
      <c r="P717" s="62">
        <v>0.0</v>
      </c>
      <c r="Q717" s="62">
        <v>0.0</v>
      </c>
      <c r="R717" s="62">
        <v>7915.0</v>
      </c>
      <c r="S717" s="62">
        <v>0.0</v>
      </c>
      <c r="T717" s="62">
        <v>0.479166666666666</v>
      </c>
      <c r="U717" s="62">
        <v>0.479166666666666</v>
      </c>
      <c r="V717" s="62">
        <v>0.765</v>
      </c>
      <c r="W717" s="62">
        <v>0.765</v>
      </c>
      <c r="X717" s="62">
        <v>0.0</v>
      </c>
      <c r="Y717" s="62">
        <v>0.765</v>
      </c>
      <c r="Z717" s="62">
        <v>0.0</v>
      </c>
      <c r="AA717" s="62">
        <v>0.0</v>
      </c>
      <c r="AB717" s="62">
        <v>0.0</v>
      </c>
      <c r="AC717" s="62">
        <v>0.0</v>
      </c>
      <c r="AD717" s="62">
        <v>0.283611111111111</v>
      </c>
      <c r="AE717" s="62">
        <v>0.0</v>
      </c>
      <c r="AF717" s="62">
        <v>2.0</v>
      </c>
    </row>
    <row r="718">
      <c r="A718" s="68">
        <v>46111.0</v>
      </c>
      <c r="B718" s="62" t="s">
        <v>76</v>
      </c>
      <c r="C718" s="62" t="s">
        <v>165</v>
      </c>
      <c r="D718" s="62">
        <v>0.0</v>
      </c>
      <c r="E718" s="62">
        <v>5.0</v>
      </c>
      <c r="F718" s="62">
        <v>3.0</v>
      </c>
      <c r="G718" s="62">
        <v>3.0</v>
      </c>
      <c r="H718" s="62">
        <v>2.0</v>
      </c>
      <c r="I718" s="62">
        <v>0.0</v>
      </c>
      <c r="J718" s="62">
        <v>6.0</v>
      </c>
      <c r="K718" s="62">
        <v>2.0</v>
      </c>
      <c r="L718" s="62">
        <v>2.0</v>
      </c>
      <c r="M718" s="62">
        <v>8.0</v>
      </c>
      <c r="N718" s="62">
        <v>2.0</v>
      </c>
      <c r="O718" s="62">
        <v>1.0</v>
      </c>
      <c r="P718" s="62">
        <v>2.0</v>
      </c>
      <c r="Q718" s="62">
        <v>0.0</v>
      </c>
      <c r="R718" s="62">
        <v>0.0</v>
      </c>
      <c r="S718" s="62">
        <v>14945.0</v>
      </c>
      <c r="T718" s="62">
        <v>0.77</v>
      </c>
      <c r="U718" s="62">
        <v>0.77</v>
      </c>
      <c r="V718" s="62">
        <v>0.782222222222222</v>
      </c>
      <c r="W718" s="62">
        <v>0.504166666666666</v>
      </c>
      <c r="X718" s="62">
        <v>0.0</v>
      </c>
      <c r="Y718" s="62">
        <v>1.64277777777777</v>
      </c>
      <c r="Z718" s="62">
        <v>0.594444444444444</v>
      </c>
      <c r="AA718" s="62">
        <v>0.594444444444444</v>
      </c>
      <c r="AB718" s="62">
        <v>2.23722222222222</v>
      </c>
      <c r="AC718" s="62">
        <v>0.594444444444444</v>
      </c>
      <c r="AD718" s="62">
        <v>0.2375</v>
      </c>
      <c r="AE718" s="62">
        <v>0.594444444444444</v>
      </c>
      <c r="AF718" s="62">
        <v>3.0</v>
      </c>
    </row>
    <row r="719">
      <c r="A719" s="68">
        <v>46111.0</v>
      </c>
      <c r="B719" s="62" t="s">
        <v>104</v>
      </c>
      <c r="C719" s="62" t="s">
        <v>166</v>
      </c>
      <c r="D719" s="62">
        <v>0.0</v>
      </c>
      <c r="E719" s="62">
        <v>4.0</v>
      </c>
      <c r="F719" s="62">
        <v>2.0</v>
      </c>
      <c r="G719" s="62">
        <v>2.0</v>
      </c>
      <c r="H719" s="62">
        <v>4.0</v>
      </c>
      <c r="I719" s="62">
        <v>2.0</v>
      </c>
      <c r="J719" s="62">
        <v>2.0</v>
      </c>
      <c r="K719" s="62">
        <v>0.0</v>
      </c>
      <c r="L719" s="62">
        <v>0.0</v>
      </c>
      <c r="M719" s="62">
        <v>3.0</v>
      </c>
      <c r="N719" s="62">
        <v>3.0</v>
      </c>
      <c r="O719" s="62">
        <v>1.0</v>
      </c>
      <c r="P719" s="62">
        <v>3.0</v>
      </c>
      <c r="Q719" s="62">
        <v>0.0</v>
      </c>
      <c r="R719" s="62">
        <v>0.0</v>
      </c>
      <c r="S719" s="62">
        <v>8453.0</v>
      </c>
      <c r="T719" s="62">
        <v>0.717777777777777</v>
      </c>
      <c r="U719" s="62">
        <v>0.371388888888888</v>
      </c>
      <c r="V719" s="62">
        <v>0.428333333333333</v>
      </c>
      <c r="W719" s="62">
        <v>0.785555555555555</v>
      </c>
      <c r="X719" s="62">
        <v>0.357222222222222</v>
      </c>
      <c r="Y719" s="62">
        <v>0.430277777777777</v>
      </c>
      <c r="Z719" s="62">
        <v>0.0</v>
      </c>
      <c r="AA719" s="62">
        <v>0.0</v>
      </c>
      <c r="AB719" s="62">
        <v>0.653611111111111</v>
      </c>
      <c r="AC719" s="62">
        <v>0.653611111111111</v>
      </c>
      <c r="AD719" s="62">
        <v>0.215555555555555</v>
      </c>
      <c r="AE719" s="62">
        <v>0.653611111111111</v>
      </c>
      <c r="AF719" s="62">
        <v>4.0</v>
      </c>
    </row>
    <row r="720">
      <c r="A720" s="68">
        <v>46111.0</v>
      </c>
      <c r="B720" s="62" t="s">
        <v>32</v>
      </c>
      <c r="C720" s="62" t="s">
        <v>168</v>
      </c>
      <c r="D720" s="62">
        <v>1.0</v>
      </c>
      <c r="E720" s="62">
        <v>1.0</v>
      </c>
      <c r="F720" s="62">
        <v>2.0</v>
      </c>
      <c r="G720" s="62">
        <v>0.0</v>
      </c>
      <c r="H720" s="62">
        <v>2.0</v>
      </c>
      <c r="I720" s="62">
        <v>1.0</v>
      </c>
      <c r="J720" s="62">
        <v>3.0</v>
      </c>
      <c r="K720" s="62">
        <v>0.0</v>
      </c>
      <c r="L720" s="62">
        <v>0.0</v>
      </c>
      <c r="M720" s="62">
        <v>0.0</v>
      </c>
      <c r="N720" s="62">
        <v>0.0</v>
      </c>
      <c r="O720" s="62">
        <v>1.0</v>
      </c>
      <c r="P720" s="62">
        <v>0.0</v>
      </c>
      <c r="Q720" s="62">
        <v>0.0</v>
      </c>
      <c r="R720" s="62">
        <v>2393.0</v>
      </c>
      <c r="S720" s="62">
        <v>2393.0</v>
      </c>
      <c r="T720" s="62">
        <v>1.59138888888888</v>
      </c>
      <c r="U720" s="62">
        <v>0.459999999999999</v>
      </c>
      <c r="V720" s="62">
        <v>0.0</v>
      </c>
      <c r="W720" s="62">
        <v>0.463333333333333</v>
      </c>
      <c r="X720" s="62">
        <v>0.233055555555555</v>
      </c>
      <c r="Y720" s="62">
        <v>0.711111111111111</v>
      </c>
      <c r="Z720" s="62">
        <v>0.0</v>
      </c>
      <c r="AA720" s="62">
        <v>0.0</v>
      </c>
      <c r="AB720" s="62">
        <v>0.0</v>
      </c>
      <c r="AC720" s="62">
        <v>0.0</v>
      </c>
      <c r="AD720" s="62">
        <v>0.230833333333333</v>
      </c>
      <c r="AE720" s="62">
        <v>0.0</v>
      </c>
      <c r="AF720" s="62">
        <v>7.0</v>
      </c>
    </row>
    <row r="721">
      <c r="A721" s="68">
        <v>46111.0</v>
      </c>
      <c r="B721" s="62" t="s">
        <v>93</v>
      </c>
      <c r="C721" s="62" t="s">
        <v>182</v>
      </c>
      <c r="D721" s="62">
        <v>0.0</v>
      </c>
      <c r="E721" s="62">
        <v>0.0</v>
      </c>
      <c r="F721" s="62">
        <v>0.0</v>
      </c>
      <c r="G721" s="62">
        <v>0.0</v>
      </c>
      <c r="H721" s="62">
        <v>0.0</v>
      </c>
      <c r="I721" s="62">
        <v>0.0</v>
      </c>
      <c r="J721" s="62">
        <v>0.0</v>
      </c>
      <c r="K721" s="62">
        <v>0.0</v>
      </c>
      <c r="L721" s="62">
        <v>0.0</v>
      </c>
      <c r="M721" s="62">
        <v>0.0</v>
      </c>
      <c r="N721" s="62">
        <v>0.0</v>
      </c>
      <c r="O721" s="62">
        <v>0.0</v>
      </c>
      <c r="P721" s="62">
        <v>0.0</v>
      </c>
      <c r="Q721" s="62">
        <v>0.0</v>
      </c>
      <c r="R721" s="62">
        <v>0.0</v>
      </c>
      <c r="S721" s="62">
        <v>0.0</v>
      </c>
      <c r="T721" s="62">
        <v>1.01055555555555</v>
      </c>
      <c r="U721" s="62">
        <v>0.0</v>
      </c>
      <c r="V721" s="62">
        <v>0.0</v>
      </c>
      <c r="W721" s="62">
        <v>0.0</v>
      </c>
      <c r="X721" s="62">
        <v>0.0</v>
      </c>
      <c r="Y721" s="62">
        <v>0.0</v>
      </c>
      <c r="Z721" s="62">
        <v>0.0</v>
      </c>
      <c r="AA721" s="62">
        <v>0.0</v>
      </c>
      <c r="AB721" s="62">
        <v>0.0</v>
      </c>
      <c r="AC721" s="62">
        <v>0.0</v>
      </c>
      <c r="AD721" s="62">
        <v>0.0</v>
      </c>
      <c r="AE721" s="62">
        <v>0.0</v>
      </c>
      <c r="AF721" s="62">
        <v>3.0</v>
      </c>
    </row>
    <row r="722">
      <c r="A722" s="68">
        <v>46111.0</v>
      </c>
      <c r="B722" s="62" t="s">
        <v>65</v>
      </c>
      <c r="C722" s="62" t="s">
        <v>173</v>
      </c>
      <c r="D722" s="62">
        <v>0.0</v>
      </c>
      <c r="E722" s="62">
        <v>0.0</v>
      </c>
      <c r="F722" s="62">
        <v>0.0</v>
      </c>
      <c r="G722" s="62">
        <v>1.0</v>
      </c>
      <c r="H722" s="62">
        <v>1.0</v>
      </c>
      <c r="I722" s="62">
        <v>0.0</v>
      </c>
      <c r="J722" s="62">
        <v>1.0</v>
      </c>
      <c r="K722" s="62">
        <v>3.0</v>
      </c>
      <c r="L722" s="62">
        <v>0.0</v>
      </c>
      <c r="M722" s="62">
        <v>4.0</v>
      </c>
      <c r="N722" s="62">
        <v>4.0</v>
      </c>
      <c r="O722" s="62">
        <v>1.0</v>
      </c>
      <c r="P722" s="62">
        <v>4.0</v>
      </c>
      <c r="Q722" s="62">
        <v>0.0</v>
      </c>
      <c r="R722" s="62">
        <v>0.0</v>
      </c>
      <c r="S722" s="62">
        <v>0.0</v>
      </c>
      <c r="T722" s="62">
        <v>0.0</v>
      </c>
      <c r="U722" s="62">
        <v>0.0</v>
      </c>
      <c r="V722" s="62">
        <v>0.233888888888888</v>
      </c>
      <c r="W722" s="62">
        <v>0.233888888888888</v>
      </c>
      <c r="X722" s="62">
        <v>0.0</v>
      </c>
      <c r="Y722" s="62">
        <v>0.254166666666666</v>
      </c>
      <c r="Z722" s="62">
        <v>0.785277777777777</v>
      </c>
      <c r="AA722" s="62">
        <v>0.0</v>
      </c>
      <c r="AB722" s="62">
        <v>0.963333333333333</v>
      </c>
      <c r="AC722" s="62">
        <v>0.971666666666666</v>
      </c>
      <c r="AD722" s="62">
        <v>0.2575</v>
      </c>
      <c r="AE722" s="62">
        <v>0.971666666666666</v>
      </c>
      <c r="AF722" s="62">
        <v>0.0</v>
      </c>
    </row>
    <row r="723">
      <c r="A723" s="68">
        <v>46111.0</v>
      </c>
      <c r="B723" s="62" t="s">
        <v>37</v>
      </c>
      <c r="C723" s="62" t="s">
        <v>174</v>
      </c>
      <c r="D723" s="62">
        <v>0.0</v>
      </c>
      <c r="E723" s="62">
        <v>4.0</v>
      </c>
      <c r="F723" s="62">
        <v>4.0</v>
      </c>
      <c r="G723" s="62">
        <v>2.0</v>
      </c>
      <c r="H723" s="62">
        <v>2.0</v>
      </c>
      <c r="I723" s="62">
        <v>0.0</v>
      </c>
      <c r="J723" s="62">
        <v>0.0</v>
      </c>
      <c r="K723" s="62">
        <v>0.0</v>
      </c>
      <c r="L723" s="62">
        <v>0.0</v>
      </c>
      <c r="M723" s="62">
        <v>0.0</v>
      </c>
      <c r="N723" s="62">
        <v>1.0</v>
      </c>
      <c r="O723" s="62">
        <v>1.0</v>
      </c>
      <c r="P723" s="62">
        <v>1.0</v>
      </c>
      <c r="Q723" s="62">
        <v>0.0</v>
      </c>
      <c r="R723" s="62">
        <v>0.0</v>
      </c>
      <c r="S723" s="62">
        <v>9956.0</v>
      </c>
      <c r="T723" s="62">
        <v>1.46305555555555</v>
      </c>
      <c r="U723" s="62">
        <v>1.0625</v>
      </c>
      <c r="V723" s="62">
        <v>0.560555555555555</v>
      </c>
      <c r="W723" s="62">
        <v>0.560555555555555</v>
      </c>
      <c r="X723" s="62">
        <v>0.0</v>
      </c>
      <c r="Y723" s="62">
        <v>0.0</v>
      </c>
      <c r="Z723" s="62">
        <v>0.0</v>
      </c>
      <c r="AA723" s="62">
        <v>0.0</v>
      </c>
      <c r="AB723" s="62">
        <v>0.0</v>
      </c>
      <c r="AC723" s="62">
        <v>0.294444444444444</v>
      </c>
      <c r="AD723" s="62">
        <v>0.266111111111111</v>
      </c>
      <c r="AE723" s="62">
        <v>0.294444444444444</v>
      </c>
      <c r="AF723" s="62">
        <v>5.0</v>
      </c>
    </row>
    <row r="724">
      <c r="A724" s="68">
        <v>46111.0</v>
      </c>
      <c r="B724" s="62" t="s">
        <v>91</v>
      </c>
      <c r="C724" s="62" t="s">
        <v>184</v>
      </c>
      <c r="D724" s="62">
        <v>19.0</v>
      </c>
      <c r="E724" s="62">
        <v>4.0</v>
      </c>
      <c r="F724" s="62">
        <v>3.0</v>
      </c>
      <c r="G724" s="62">
        <v>0.0</v>
      </c>
      <c r="H724" s="62">
        <v>2.0</v>
      </c>
      <c r="I724" s="62">
        <v>2.0</v>
      </c>
      <c r="J724" s="62">
        <v>0.0</v>
      </c>
      <c r="K724" s="62">
        <v>0.0</v>
      </c>
      <c r="L724" s="62">
        <v>0.0</v>
      </c>
      <c r="M724" s="62">
        <v>0.0</v>
      </c>
      <c r="N724" s="62">
        <v>0.0</v>
      </c>
      <c r="O724" s="62">
        <v>0.0</v>
      </c>
      <c r="P724" s="62">
        <v>0.0</v>
      </c>
      <c r="Q724" s="62">
        <v>0.0</v>
      </c>
      <c r="R724" s="62">
        <v>39153.0</v>
      </c>
      <c r="S724" s="62">
        <v>6756.0</v>
      </c>
      <c r="T724" s="62">
        <v>0.0</v>
      </c>
      <c r="U724" s="62">
        <v>0.535</v>
      </c>
      <c r="V724" s="62">
        <v>0.0</v>
      </c>
      <c r="W724" s="62">
        <v>0.353888888888888</v>
      </c>
      <c r="X724" s="62">
        <v>0.353888888888888</v>
      </c>
      <c r="Y724" s="62">
        <v>0.0</v>
      </c>
      <c r="Z724" s="62">
        <v>0.0</v>
      </c>
      <c r="AA724" s="62">
        <v>0.0</v>
      </c>
      <c r="AB724" s="62">
        <v>0.0</v>
      </c>
      <c r="AC724" s="62">
        <v>0.0</v>
      </c>
      <c r="AD724" s="62">
        <v>0.0</v>
      </c>
      <c r="AE724" s="62">
        <v>0.0</v>
      </c>
      <c r="AF724" s="62">
        <v>0.0</v>
      </c>
    </row>
    <row r="725">
      <c r="A725" s="68">
        <v>46111.0</v>
      </c>
      <c r="B725" s="62" t="s">
        <v>84</v>
      </c>
      <c r="C725" s="62" t="s">
        <v>186</v>
      </c>
      <c r="D725" s="62">
        <v>0.0</v>
      </c>
      <c r="E725" s="62">
        <v>4.0</v>
      </c>
      <c r="F725" s="62">
        <v>0.0</v>
      </c>
      <c r="G725" s="62">
        <v>0.0</v>
      </c>
      <c r="H725" s="62">
        <v>0.0</v>
      </c>
      <c r="I725" s="62">
        <v>0.0</v>
      </c>
      <c r="J725" s="62">
        <v>0.0</v>
      </c>
      <c r="K725" s="62">
        <v>0.0</v>
      </c>
      <c r="L725" s="62">
        <v>0.0</v>
      </c>
      <c r="M725" s="62">
        <v>4.0</v>
      </c>
      <c r="N725" s="62">
        <v>4.0</v>
      </c>
      <c r="O725" s="62">
        <v>1.0</v>
      </c>
      <c r="P725" s="62">
        <v>4.0</v>
      </c>
      <c r="Q725" s="62">
        <v>0.0</v>
      </c>
      <c r="R725" s="62">
        <v>0.0</v>
      </c>
      <c r="S725" s="62">
        <v>8947.0</v>
      </c>
      <c r="T725" s="62">
        <v>0.782777777777777</v>
      </c>
      <c r="U725" s="62">
        <v>0.0</v>
      </c>
      <c r="V725" s="62">
        <v>0.0</v>
      </c>
      <c r="W725" s="62">
        <v>0.0</v>
      </c>
      <c r="X725" s="62">
        <v>0.0</v>
      </c>
      <c r="Y725" s="62">
        <v>0.0</v>
      </c>
      <c r="Z725" s="62">
        <v>0.0</v>
      </c>
      <c r="AA725" s="62">
        <v>0.0</v>
      </c>
      <c r="AB725" s="62">
        <v>0.995</v>
      </c>
      <c r="AC725" s="62">
        <v>0.995</v>
      </c>
      <c r="AD725" s="62">
        <v>0.271388888888888</v>
      </c>
      <c r="AE725" s="62">
        <v>0.995</v>
      </c>
      <c r="AF725" s="62">
        <v>3.0</v>
      </c>
    </row>
    <row r="726">
      <c r="A726" s="68">
        <v>46111.0</v>
      </c>
      <c r="B726" s="62" t="s">
        <v>26</v>
      </c>
      <c r="C726" s="62" t="s">
        <v>178</v>
      </c>
      <c r="D726" s="62">
        <v>0.0</v>
      </c>
      <c r="E726" s="62">
        <v>8.0</v>
      </c>
      <c r="F726" s="62">
        <v>0.0</v>
      </c>
      <c r="G726" s="62">
        <v>0.0</v>
      </c>
      <c r="H726" s="62">
        <v>4.0</v>
      </c>
      <c r="I726" s="62">
        <v>4.0</v>
      </c>
      <c r="J726" s="62">
        <v>2.0</v>
      </c>
      <c r="K726" s="62">
        <v>2.0</v>
      </c>
      <c r="L726" s="62">
        <v>1.0</v>
      </c>
      <c r="M726" s="62">
        <v>4.0</v>
      </c>
      <c r="N726" s="62">
        <v>0.0</v>
      </c>
      <c r="O726" s="62">
        <v>1.0</v>
      </c>
      <c r="P726" s="62">
        <v>0.0</v>
      </c>
      <c r="Q726" s="62">
        <v>0.0</v>
      </c>
      <c r="R726" s="62">
        <v>0.0</v>
      </c>
      <c r="S726" s="62">
        <v>17787.0</v>
      </c>
      <c r="T726" s="62">
        <v>2.02</v>
      </c>
      <c r="U726" s="62">
        <v>0.0</v>
      </c>
      <c r="V726" s="62">
        <v>0.0</v>
      </c>
      <c r="W726" s="62">
        <v>0.878888888888888</v>
      </c>
      <c r="X726" s="62">
        <v>0.878888888888888</v>
      </c>
      <c r="Y726" s="62">
        <v>0.409166666666666</v>
      </c>
      <c r="Z726" s="62">
        <v>0.409166666666666</v>
      </c>
      <c r="AA726" s="62">
        <v>0.2</v>
      </c>
      <c r="AB726" s="62">
        <v>0.787777777777777</v>
      </c>
      <c r="AC726" s="62">
        <v>0.0</v>
      </c>
      <c r="AD726" s="62">
        <v>0.187222222222222</v>
      </c>
      <c r="AE726" s="62">
        <v>0.0</v>
      </c>
      <c r="AF726" s="62">
        <v>10.0</v>
      </c>
    </row>
    <row r="727">
      <c r="A727" s="68">
        <v>46111.0</v>
      </c>
      <c r="B727" s="62" t="s">
        <v>62</v>
      </c>
      <c r="C727" s="62" t="s">
        <v>63</v>
      </c>
      <c r="D727" s="62">
        <v>0.0</v>
      </c>
      <c r="E727" s="62">
        <v>3.0</v>
      </c>
      <c r="F727" s="62">
        <v>0.0</v>
      </c>
      <c r="G727" s="62">
        <v>0.0</v>
      </c>
      <c r="H727" s="62">
        <v>0.0</v>
      </c>
      <c r="I727" s="62">
        <v>0.0</v>
      </c>
      <c r="J727" s="62">
        <v>2.0</v>
      </c>
      <c r="K727" s="62">
        <v>1.0</v>
      </c>
      <c r="L727" s="62">
        <v>0.0</v>
      </c>
      <c r="M727" s="62">
        <v>1.0</v>
      </c>
      <c r="N727" s="62">
        <v>0.0</v>
      </c>
      <c r="O727" s="62">
        <v>1.0</v>
      </c>
      <c r="P727" s="62">
        <v>0.0</v>
      </c>
      <c r="Q727" s="62">
        <v>0.0</v>
      </c>
      <c r="R727" s="62">
        <v>0.0</v>
      </c>
      <c r="S727" s="62">
        <v>7277.0</v>
      </c>
      <c r="T727" s="62">
        <v>0.458611111111111</v>
      </c>
      <c r="U727" s="62">
        <v>0.0</v>
      </c>
      <c r="V727" s="62">
        <v>0.0</v>
      </c>
      <c r="W727" s="62">
        <v>0.0</v>
      </c>
      <c r="X727" s="62">
        <v>0.0</v>
      </c>
      <c r="Y727" s="62">
        <v>0.41</v>
      </c>
      <c r="Z727" s="62">
        <v>0.216666666666666</v>
      </c>
      <c r="AA727" s="62">
        <v>0.0</v>
      </c>
      <c r="AB727" s="62">
        <v>0.216666666666666</v>
      </c>
      <c r="AC727" s="62">
        <v>0.0</v>
      </c>
      <c r="AD727" s="62">
        <v>0.240555555555555</v>
      </c>
      <c r="AE727" s="62">
        <v>0.0</v>
      </c>
      <c r="AF727" s="62">
        <v>2.0</v>
      </c>
    </row>
    <row r="728">
      <c r="A728" s="68">
        <v>46110.0</v>
      </c>
      <c r="B728" s="62" t="s">
        <v>71</v>
      </c>
      <c r="C728" s="62" t="s">
        <v>163</v>
      </c>
      <c r="D728" s="62">
        <v>0.0</v>
      </c>
      <c r="E728" s="62">
        <v>0.0</v>
      </c>
      <c r="F728" s="62">
        <v>0.0</v>
      </c>
      <c r="G728" s="62">
        <v>0.0</v>
      </c>
      <c r="H728" s="62">
        <v>0.0</v>
      </c>
      <c r="I728" s="62">
        <v>0.0</v>
      </c>
      <c r="J728" s="62">
        <v>0.0</v>
      </c>
      <c r="K728" s="62">
        <v>0.0</v>
      </c>
      <c r="L728" s="62">
        <v>0.0</v>
      </c>
      <c r="M728" s="62">
        <v>0.0</v>
      </c>
      <c r="N728" s="62">
        <v>4.0</v>
      </c>
      <c r="O728" s="62">
        <v>1.0</v>
      </c>
      <c r="P728" s="62">
        <v>4.0</v>
      </c>
      <c r="Q728" s="62">
        <v>0.0</v>
      </c>
      <c r="R728" s="62">
        <v>0.0</v>
      </c>
      <c r="S728" s="62">
        <v>0.0</v>
      </c>
      <c r="T728" s="62">
        <v>0.0</v>
      </c>
      <c r="U728" s="62">
        <v>0.0</v>
      </c>
      <c r="V728" s="62">
        <v>0.0</v>
      </c>
      <c r="W728" s="62">
        <v>0.0</v>
      </c>
      <c r="X728" s="62">
        <v>0.0</v>
      </c>
      <c r="Y728" s="62">
        <v>0.0</v>
      </c>
      <c r="Z728" s="62">
        <v>0.0</v>
      </c>
      <c r="AA728" s="62">
        <v>0.0</v>
      </c>
      <c r="AB728" s="62">
        <v>0.0</v>
      </c>
      <c r="AC728" s="62">
        <v>1.00416666666666</v>
      </c>
      <c r="AD728" s="62">
        <v>0.260833333333333</v>
      </c>
      <c r="AE728" s="62">
        <v>1.00416666666666</v>
      </c>
      <c r="AF728" s="62">
        <v>0.0</v>
      </c>
    </row>
    <row r="729">
      <c r="A729" s="68">
        <v>46110.0</v>
      </c>
      <c r="B729" s="62" t="s">
        <v>76</v>
      </c>
      <c r="C729" s="62" t="s">
        <v>165</v>
      </c>
      <c r="D729" s="62">
        <v>6.0</v>
      </c>
      <c r="E729" s="62">
        <v>0.0</v>
      </c>
      <c r="F729" s="62">
        <v>0.0</v>
      </c>
      <c r="G729" s="62">
        <v>4.0</v>
      </c>
      <c r="H729" s="62">
        <v>4.0</v>
      </c>
      <c r="I729" s="62">
        <v>0.0</v>
      </c>
      <c r="J729" s="62">
        <v>0.0</v>
      </c>
      <c r="K729" s="62">
        <v>0.0</v>
      </c>
      <c r="L729" s="62">
        <v>0.0</v>
      </c>
      <c r="M729" s="62">
        <v>0.0</v>
      </c>
      <c r="N729" s="62">
        <v>0.0</v>
      </c>
      <c r="O729" s="62">
        <v>1.0</v>
      </c>
      <c r="P729" s="62">
        <v>0.0</v>
      </c>
      <c r="Q729" s="62">
        <v>0.0</v>
      </c>
      <c r="R729" s="62">
        <v>17387.0</v>
      </c>
      <c r="S729" s="62">
        <v>0.0</v>
      </c>
      <c r="T729" s="62">
        <v>0.0</v>
      </c>
      <c r="U729" s="62">
        <v>0.0</v>
      </c>
      <c r="V729" s="62">
        <v>1.12277777777777</v>
      </c>
      <c r="W729" s="62">
        <v>1.12277777777777</v>
      </c>
      <c r="X729" s="62">
        <v>0.0</v>
      </c>
      <c r="Y729" s="62">
        <v>0.0</v>
      </c>
      <c r="Z729" s="62">
        <v>0.0</v>
      </c>
      <c r="AA729" s="62">
        <v>0.0</v>
      </c>
      <c r="AB729" s="62">
        <v>0.0</v>
      </c>
      <c r="AC729" s="62">
        <v>0.0</v>
      </c>
      <c r="AD729" s="62">
        <v>0.237222222222222</v>
      </c>
      <c r="AE729" s="62">
        <v>0.0</v>
      </c>
      <c r="AF729" s="62">
        <v>0.0</v>
      </c>
    </row>
    <row r="730">
      <c r="A730" s="68">
        <v>46110.0</v>
      </c>
      <c r="B730" s="62" t="s">
        <v>104</v>
      </c>
      <c r="C730" s="62" t="s">
        <v>166</v>
      </c>
      <c r="D730" s="62">
        <v>4.0</v>
      </c>
      <c r="E730" s="62">
        <v>0.0</v>
      </c>
      <c r="F730" s="62">
        <v>0.0</v>
      </c>
      <c r="G730" s="62">
        <v>0.0</v>
      </c>
      <c r="H730" s="62">
        <v>0.0</v>
      </c>
      <c r="I730" s="62">
        <v>0.0</v>
      </c>
      <c r="J730" s="62">
        <v>0.0</v>
      </c>
      <c r="K730" s="62">
        <v>0.0</v>
      </c>
      <c r="L730" s="62">
        <v>0.0</v>
      </c>
      <c r="M730" s="62">
        <v>0.0</v>
      </c>
      <c r="N730" s="62">
        <v>0.0</v>
      </c>
      <c r="O730" s="62">
        <v>1.0</v>
      </c>
      <c r="P730" s="62">
        <v>0.0</v>
      </c>
      <c r="Q730" s="62">
        <v>0.0</v>
      </c>
      <c r="R730" s="62">
        <v>9439.0</v>
      </c>
      <c r="S730" s="62">
        <v>0.0</v>
      </c>
      <c r="T730" s="62">
        <v>0.0</v>
      </c>
      <c r="U730" s="62">
        <v>0.0</v>
      </c>
      <c r="V730" s="62">
        <v>0.0</v>
      </c>
      <c r="W730" s="62">
        <v>0.0</v>
      </c>
      <c r="X730" s="62">
        <v>0.0</v>
      </c>
      <c r="Y730" s="62">
        <v>0.0</v>
      </c>
      <c r="Z730" s="62">
        <v>0.0</v>
      </c>
      <c r="AA730" s="62">
        <v>0.0</v>
      </c>
      <c r="AB730" s="62">
        <v>0.0</v>
      </c>
      <c r="AC730" s="62">
        <v>0.0</v>
      </c>
      <c r="AD730" s="62">
        <v>0.220555555555555</v>
      </c>
      <c r="AE730" s="62">
        <v>0.0</v>
      </c>
      <c r="AF730" s="62">
        <v>0.0</v>
      </c>
    </row>
    <row r="731">
      <c r="A731" s="68">
        <v>46110.0</v>
      </c>
      <c r="B731" s="62" t="s">
        <v>65</v>
      </c>
      <c r="C731" s="62" t="s">
        <v>173</v>
      </c>
      <c r="D731" s="62">
        <v>0.0</v>
      </c>
      <c r="E731" s="62">
        <v>0.0</v>
      </c>
      <c r="F731" s="62">
        <v>0.0</v>
      </c>
      <c r="G731" s="62">
        <v>0.0</v>
      </c>
      <c r="H731" s="62">
        <v>0.0</v>
      </c>
      <c r="I731" s="62">
        <v>0.0</v>
      </c>
      <c r="J731" s="62">
        <v>0.0</v>
      </c>
      <c r="K731" s="62">
        <v>3.0</v>
      </c>
      <c r="L731" s="62">
        <v>0.0</v>
      </c>
      <c r="M731" s="62">
        <v>1.0</v>
      </c>
      <c r="N731" s="62">
        <v>0.0</v>
      </c>
      <c r="O731" s="62">
        <v>1.0</v>
      </c>
      <c r="P731" s="62">
        <v>0.0</v>
      </c>
      <c r="Q731" s="62">
        <v>0.0</v>
      </c>
      <c r="R731" s="62">
        <v>0.0</v>
      </c>
      <c r="S731" s="62">
        <v>0.0</v>
      </c>
      <c r="T731" s="62">
        <v>0.0</v>
      </c>
      <c r="U731" s="62">
        <v>0.0</v>
      </c>
      <c r="V731" s="62">
        <v>0.0</v>
      </c>
      <c r="W731" s="62">
        <v>0.0</v>
      </c>
      <c r="X731" s="62">
        <v>0.0</v>
      </c>
      <c r="Y731" s="62">
        <v>0.0</v>
      </c>
      <c r="Z731" s="62">
        <v>0.731388888888888</v>
      </c>
      <c r="AA731" s="62">
        <v>0.0</v>
      </c>
      <c r="AB731" s="62">
        <v>0.240555555555555</v>
      </c>
      <c r="AC731" s="62">
        <v>0.0</v>
      </c>
      <c r="AD731" s="62">
        <v>0.280277777777777</v>
      </c>
      <c r="AE731" s="62">
        <v>0.0</v>
      </c>
      <c r="AF731" s="62">
        <v>0.0</v>
      </c>
    </row>
    <row r="732">
      <c r="A732" s="68">
        <v>46110.0</v>
      </c>
      <c r="B732" s="62" t="s">
        <v>84</v>
      </c>
      <c r="C732" s="62" t="s">
        <v>186</v>
      </c>
      <c r="D732" s="62">
        <v>0.0</v>
      </c>
      <c r="E732" s="62">
        <v>0.0</v>
      </c>
      <c r="F732" s="62">
        <v>0.0</v>
      </c>
      <c r="G732" s="62">
        <v>1.0</v>
      </c>
      <c r="H732" s="62">
        <v>1.0</v>
      </c>
      <c r="I732" s="62">
        <v>0.0</v>
      </c>
      <c r="J732" s="62">
        <v>2.0</v>
      </c>
      <c r="K732" s="62">
        <v>0.0</v>
      </c>
      <c r="L732" s="62">
        <v>0.0</v>
      </c>
      <c r="M732" s="62">
        <v>0.0</v>
      </c>
      <c r="N732" s="62">
        <v>0.0</v>
      </c>
      <c r="O732" s="62">
        <v>1.0</v>
      </c>
      <c r="P732" s="62">
        <v>0.0</v>
      </c>
      <c r="Q732" s="62">
        <v>0.0</v>
      </c>
      <c r="R732" s="62">
        <v>0.0</v>
      </c>
      <c r="S732" s="62">
        <v>0.0</v>
      </c>
      <c r="T732" s="62">
        <v>0.0</v>
      </c>
      <c r="U732" s="62">
        <v>0.0</v>
      </c>
      <c r="V732" s="62">
        <v>0.244166666666666</v>
      </c>
      <c r="W732" s="62">
        <v>0.244166666666666</v>
      </c>
      <c r="X732" s="62">
        <v>0.0</v>
      </c>
      <c r="Y732" s="62">
        <v>0.508055555555555</v>
      </c>
      <c r="Z732" s="62">
        <v>0.0</v>
      </c>
      <c r="AA732" s="62">
        <v>0.0</v>
      </c>
      <c r="AB732" s="62">
        <v>0.0</v>
      </c>
      <c r="AC732" s="62">
        <v>0.0</v>
      </c>
      <c r="AD732" s="62">
        <v>0.293611111111111</v>
      </c>
      <c r="AE732" s="62">
        <v>0.0</v>
      </c>
      <c r="AF732" s="62">
        <v>0.0</v>
      </c>
    </row>
    <row r="733">
      <c r="A733" s="68">
        <v>46110.0</v>
      </c>
      <c r="B733" s="62" t="s">
        <v>26</v>
      </c>
      <c r="C733" s="62" t="s">
        <v>178</v>
      </c>
      <c r="D733" s="62">
        <v>0.0</v>
      </c>
      <c r="E733" s="62">
        <v>0.0</v>
      </c>
      <c r="F733" s="62">
        <v>0.0</v>
      </c>
      <c r="G733" s="62">
        <v>2.0</v>
      </c>
      <c r="H733" s="62">
        <v>2.0</v>
      </c>
      <c r="I733" s="62">
        <v>0.0</v>
      </c>
      <c r="J733" s="62">
        <v>3.0</v>
      </c>
      <c r="K733" s="62">
        <v>0.0</v>
      </c>
      <c r="L733" s="62">
        <v>0.0</v>
      </c>
      <c r="M733" s="62">
        <v>0.0</v>
      </c>
      <c r="N733" s="62">
        <v>0.0</v>
      </c>
      <c r="O733" s="62">
        <v>1.0</v>
      </c>
      <c r="P733" s="62">
        <v>0.0</v>
      </c>
      <c r="Q733" s="62">
        <v>0.0</v>
      </c>
      <c r="R733" s="62">
        <v>0.0</v>
      </c>
      <c r="S733" s="62">
        <v>0.0</v>
      </c>
      <c r="T733" s="62">
        <v>0.0</v>
      </c>
      <c r="U733" s="62">
        <v>0.0</v>
      </c>
      <c r="V733" s="62">
        <v>0.409166666666666</v>
      </c>
      <c r="W733" s="62">
        <v>0.409166666666666</v>
      </c>
      <c r="X733" s="62">
        <v>0.0</v>
      </c>
      <c r="Y733" s="62">
        <v>0.587777777777777</v>
      </c>
      <c r="Z733" s="62">
        <v>0.0</v>
      </c>
      <c r="AA733" s="62">
        <v>0.0</v>
      </c>
      <c r="AB733" s="62">
        <v>0.0</v>
      </c>
      <c r="AC733" s="62">
        <v>0.0</v>
      </c>
      <c r="AD733" s="62">
        <v>0.186944444444444</v>
      </c>
      <c r="AE733" s="62">
        <v>0.0</v>
      </c>
      <c r="AF733" s="62">
        <v>0.0</v>
      </c>
    </row>
    <row r="734">
      <c r="A734" s="68">
        <v>46110.0</v>
      </c>
      <c r="B734" s="62" t="s">
        <v>62</v>
      </c>
      <c r="C734" s="62" t="s">
        <v>63</v>
      </c>
      <c r="D734" s="62">
        <v>3.0</v>
      </c>
      <c r="E734" s="62">
        <v>0.0</v>
      </c>
      <c r="F734" s="62">
        <v>0.0</v>
      </c>
      <c r="G734" s="62">
        <v>0.0</v>
      </c>
      <c r="H734" s="62">
        <v>0.0</v>
      </c>
      <c r="I734" s="62">
        <v>0.0</v>
      </c>
      <c r="J734" s="62">
        <v>0.0</v>
      </c>
      <c r="K734" s="62">
        <v>0.0</v>
      </c>
      <c r="L734" s="62">
        <v>0.0</v>
      </c>
      <c r="M734" s="62">
        <v>0.0</v>
      </c>
      <c r="N734" s="62">
        <v>0.0</v>
      </c>
      <c r="O734" s="62">
        <v>1.0</v>
      </c>
      <c r="P734" s="62">
        <v>0.0</v>
      </c>
      <c r="Q734" s="62">
        <v>0.0</v>
      </c>
      <c r="R734" s="62">
        <v>7069.0</v>
      </c>
      <c r="S734" s="62">
        <v>0.0</v>
      </c>
      <c r="T734" s="62">
        <v>0.0</v>
      </c>
      <c r="U734" s="62">
        <v>0.0</v>
      </c>
      <c r="V734" s="62">
        <v>0.0</v>
      </c>
      <c r="W734" s="62">
        <v>0.0</v>
      </c>
      <c r="X734" s="62">
        <v>0.0</v>
      </c>
      <c r="Y734" s="62">
        <v>0.0</v>
      </c>
      <c r="Z734" s="62">
        <v>0.0</v>
      </c>
      <c r="AA734" s="62">
        <v>0.0</v>
      </c>
      <c r="AB734" s="62">
        <v>0.0</v>
      </c>
      <c r="AC734" s="62">
        <v>0.0</v>
      </c>
      <c r="AD734" s="62">
        <v>0.231944444444444</v>
      </c>
      <c r="AE734" s="62">
        <v>0.0</v>
      </c>
      <c r="AF734" s="62">
        <v>0.0</v>
      </c>
    </row>
    <row r="735">
      <c r="A735" s="68">
        <v>46109.0</v>
      </c>
      <c r="B735" s="62" t="s">
        <v>79</v>
      </c>
      <c r="C735" s="62" t="s">
        <v>162</v>
      </c>
      <c r="D735" s="62">
        <v>0.0</v>
      </c>
      <c r="E735" s="62">
        <v>0.0</v>
      </c>
      <c r="F735" s="62">
        <v>0.0</v>
      </c>
      <c r="G735" s="62">
        <v>0.0</v>
      </c>
      <c r="H735" s="62">
        <v>0.0</v>
      </c>
      <c r="I735" s="62">
        <v>0.0</v>
      </c>
      <c r="J735" s="62">
        <v>0.0</v>
      </c>
      <c r="K735" s="62">
        <v>0.0</v>
      </c>
      <c r="L735" s="62">
        <v>0.0</v>
      </c>
      <c r="M735" s="62">
        <v>0.0</v>
      </c>
      <c r="N735" s="62">
        <v>2.0</v>
      </c>
      <c r="O735" s="62">
        <v>1.0</v>
      </c>
      <c r="P735" s="62">
        <v>2.0</v>
      </c>
      <c r="Q735" s="62">
        <v>0.0</v>
      </c>
      <c r="R735" s="62">
        <v>0.0</v>
      </c>
      <c r="S735" s="62">
        <v>0.0</v>
      </c>
      <c r="T735" s="62">
        <v>0.0</v>
      </c>
      <c r="U735" s="62">
        <v>0.0</v>
      </c>
      <c r="V735" s="62">
        <v>0.0</v>
      </c>
      <c r="W735" s="62">
        <v>0.0</v>
      </c>
      <c r="X735" s="62">
        <v>0.0</v>
      </c>
      <c r="Y735" s="62">
        <v>0.0</v>
      </c>
      <c r="Z735" s="62">
        <v>0.0</v>
      </c>
      <c r="AA735" s="62">
        <v>0.0</v>
      </c>
      <c r="AB735" s="62">
        <v>0.0</v>
      </c>
      <c r="AC735" s="62">
        <v>0.374166666666666</v>
      </c>
      <c r="AD735" s="62">
        <v>0.182777777777777</v>
      </c>
      <c r="AE735" s="62">
        <v>0.374166666666666</v>
      </c>
      <c r="AF735" s="62">
        <v>0.0</v>
      </c>
    </row>
    <row r="736">
      <c r="A736" s="68">
        <v>46109.0</v>
      </c>
      <c r="B736" s="62" t="s">
        <v>98</v>
      </c>
      <c r="C736" s="62" t="s">
        <v>183</v>
      </c>
      <c r="D736" s="62">
        <v>0.0</v>
      </c>
      <c r="E736" s="62">
        <v>5.0</v>
      </c>
      <c r="F736" s="62">
        <v>0.0</v>
      </c>
      <c r="G736" s="62">
        <v>0.0</v>
      </c>
      <c r="H736" s="62">
        <v>0.0</v>
      </c>
      <c r="I736" s="62">
        <v>0.0</v>
      </c>
      <c r="J736" s="62">
        <v>0.0</v>
      </c>
      <c r="K736" s="62">
        <v>0.0</v>
      </c>
      <c r="L736" s="62">
        <v>0.0</v>
      </c>
      <c r="M736" s="62">
        <v>0.0</v>
      </c>
      <c r="N736" s="62">
        <v>0.0</v>
      </c>
      <c r="O736" s="62">
        <v>0.0</v>
      </c>
      <c r="P736" s="62">
        <v>0.0</v>
      </c>
      <c r="Q736" s="62">
        <v>0.0</v>
      </c>
      <c r="R736" s="62">
        <v>0.0</v>
      </c>
      <c r="S736" s="62">
        <v>10918.0</v>
      </c>
      <c r="T736" s="62">
        <v>0.257222222222222</v>
      </c>
      <c r="U736" s="62">
        <v>0.0</v>
      </c>
      <c r="V736" s="62">
        <v>0.0</v>
      </c>
      <c r="W736" s="62">
        <v>0.0</v>
      </c>
      <c r="X736" s="62">
        <v>0.0</v>
      </c>
      <c r="Y736" s="62">
        <v>0.0</v>
      </c>
      <c r="Z736" s="62">
        <v>0.0</v>
      </c>
      <c r="AA736" s="62">
        <v>0.0</v>
      </c>
      <c r="AB736" s="62">
        <v>0.0</v>
      </c>
      <c r="AC736" s="62">
        <v>0.0</v>
      </c>
      <c r="AD736" s="62">
        <v>0.0</v>
      </c>
      <c r="AE736" s="62">
        <v>0.0</v>
      </c>
      <c r="AF736" s="62">
        <v>1.0</v>
      </c>
    </row>
    <row r="737">
      <c r="A737" s="68">
        <v>46109.0</v>
      </c>
      <c r="B737" s="62" t="s">
        <v>71</v>
      </c>
      <c r="C737" s="62" t="s">
        <v>163</v>
      </c>
      <c r="D737" s="62">
        <v>0.0</v>
      </c>
      <c r="E737" s="62">
        <v>0.0</v>
      </c>
      <c r="F737" s="62">
        <v>0.0</v>
      </c>
      <c r="G737" s="62">
        <v>0.0</v>
      </c>
      <c r="H737" s="62">
        <v>1.0</v>
      </c>
      <c r="I737" s="62">
        <v>0.0</v>
      </c>
      <c r="J737" s="62">
        <v>1.0</v>
      </c>
      <c r="K737" s="62">
        <v>1.0</v>
      </c>
      <c r="L737" s="62">
        <v>1.0</v>
      </c>
      <c r="M737" s="62">
        <v>5.0</v>
      </c>
      <c r="N737" s="62">
        <v>3.0</v>
      </c>
      <c r="O737" s="62">
        <v>1.0</v>
      </c>
      <c r="P737" s="62">
        <v>3.0</v>
      </c>
      <c r="Q737" s="62">
        <v>0.0</v>
      </c>
      <c r="R737" s="62">
        <v>0.0</v>
      </c>
      <c r="S737" s="62">
        <v>0.0</v>
      </c>
      <c r="T737" s="62">
        <v>0.0</v>
      </c>
      <c r="U737" s="62">
        <v>0.0</v>
      </c>
      <c r="V737" s="62">
        <v>0.0</v>
      </c>
      <c r="W737" s="62">
        <v>0.246944444444444</v>
      </c>
      <c r="X737" s="62">
        <v>0.0</v>
      </c>
      <c r="Y737" s="62">
        <v>0.246944444444444</v>
      </c>
      <c r="Z737" s="62">
        <v>0.246944444444444</v>
      </c>
      <c r="AA737" s="62">
        <v>0.2675</v>
      </c>
      <c r="AB737" s="62">
        <v>1.28944444444444</v>
      </c>
      <c r="AC737" s="62">
        <v>0.774722222222222</v>
      </c>
      <c r="AD737" s="62">
        <v>0.271111111111111</v>
      </c>
      <c r="AE737" s="62">
        <v>0.774722222222222</v>
      </c>
      <c r="AF737" s="62">
        <v>0.0</v>
      </c>
    </row>
    <row r="738">
      <c r="A738" s="68">
        <v>46109.0</v>
      </c>
      <c r="B738" s="62" t="s">
        <v>104</v>
      </c>
      <c r="C738" s="62" t="s">
        <v>166</v>
      </c>
      <c r="D738" s="62">
        <v>0.0</v>
      </c>
      <c r="E738" s="62">
        <v>0.0</v>
      </c>
      <c r="F738" s="62">
        <v>0.0</v>
      </c>
      <c r="G738" s="62">
        <v>0.0</v>
      </c>
      <c r="H738" s="62">
        <v>0.0</v>
      </c>
      <c r="I738" s="62">
        <v>0.0</v>
      </c>
      <c r="J738" s="62">
        <v>0.0</v>
      </c>
      <c r="K738" s="62">
        <v>0.0</v>
      </c>
      <c r="L738" s="62">
        <v>0.0</v>
      </c>
      <c r="M738" s="62">
        <v>1.0</v>
      </c>
      <c r="N738" s="62">
        <v>1.0</v>
      </c>
      <c r="O738" s="62">
        <v>1.0</v>
      </c>
      <c r="P738" s="62">
        <v>1.0</v>
      </c>
      <c r="Q738" s="62">
        <v>0.0</v>
      </c>
      <c r="R738" s="62">
        <v>0.0</v>
      </c>
      <c r="S738" s="62">
        <v>0.0</v>
      </c>
      <c r="T738" s="62">
        <v>0.0</v>
      </c>
      <c r="U738" s="62">
        <v>0.0</v>
      </c>
      <c r="V738" s="62">
        <v>0.0</v>
      </c>
      <c r="W738" s="62">
        <v>0.0</v>
      </c>
      <c r="X738" s="62">
        <v>0.0</v>
      </c>
      <c r="Y738" s="62">
        <v>0.0</v>
      </c>
      <c r="Z738" s="62">
        <v>0.0</v>
      </c>
      <c r="AA738" s="62">
        <v>0.0</v>
      </c>
      <c r="AB738" s="62">
        <v>0.215277777777777</v>
      </c>
      <c r="AC738" s="62">
        <v>0.215277777777777</v>
      </c>
      <c r="AD738" s="62">
        <v>0.203055555555555</v>
      </c>
      <c r="AE738" s="62">
        <v>0.215277777777777</v>
      </c>
      <c r="AF738" s="62">
        <v>0.0</v>
      </c>
    </row>
    <row r="739">
      <c r="A739" s="68">
        <v>46109.0</v>
      </c>
      <c r="B739" s="62" t="s">
        <v>65</v>
      </c>
      <c r="C739" s="62" t="s">
        <v>173</v>
      </c>
      <c r="D739" s="62">
        <v>0.0</v>
      </c>
      <c r="E739" s="62">
        <v>0.0</v>
      </c>
      <c r="F739" s="62">
        <v>0.0</v>
      </c>
      <c r="G739" s="62">
        <v>1.0</v>
      </c>
      <c r="H739" s="62">
        <v>1.0</v>
      </c>
      <c r="I739" s="62">
        <v>0.0</v>
      </c>
      <c r="J739" s="62">
        <v>1.0</v>
      </c>
      <c r="K739" s="62">
        <v>0.0</v>
      </c>
      <c r="L739" s="62">
        <v>6.0</v>
      </c>
      <c r="M739" s="62">
        <v>10.0</v>
      </c>
      <c r="N739" s="62">
        <v>10.0</v>
      </c>
      <c r="O739" s="62">
        <v>1.0</v>
      </c>
      <c r="P739" s="62">
        <v>10.0</v>
      </c>
      <c r="Q739" s="62">
        <v>0.0</v>
      </c>
      <c r="R739" s="62">
        <v>0.0</v>
      </c>
      <c r="S739" s="62">
        <v>0.0</v>
      </c>
      <c r="T739" s="62">
        <v>0.0</v>
      </c>
      <c r="U739" s="62">
        <v>0.0</v>
      </c>
      <c r="V739" s="62">
        <v>0.254166666666666</v>
      </c>
      <c r="W739" s="62">
        <v>0.254166666666666</v>
      </c>
      <c r="X739" s="62">
        <v>0.0</v>
      </c>
      <c r="Y739" s="62">
        <v>0.232222222222222</v>
      </c>
      <c r="Z739" s="62">
        <v>0.0</v>
      </c>
      <c r="AA739" s="62">
        <v>1.53305555555555</v>
      </c>
      <c r="AB739" s="62">
        <v>2.54111111111111</v>
      </c>
      <c r="AC739" s="62">
        <v>2.54111111111111</v>
      </c>
      <c r="AD739" s="62">
        <v>0.273333333333333</v>
      </c>
      <c r="AE739" s="62">
        <v>2.54111111111111</v>
      </c>
      <c r="AF739" s="62">
        <v>0.0</v>
      </c>
    </row>
    <row r="740">
      <c r="A740" s="68">
        <v>46109.0</v>
      </c>
      <c r="B740" s="62" t="s">
        <v>37</v>
      </c>
      <c r="C740" s="62" t="s">
        <v>174</v>
      </c>
      <c r="D740" s="62">
        <v>0.0</v>
      </c>
      <c r="E740" s="62">
        <v>0.0</v>
      </c>
      <c r="F740" s="62">
        <v>0.0</v>
      </c>
      <c r="G740" s="62">
        <v>0.0</v>
      </c>
      <c r="H740" s="62">
        <v>0.0</v>
      </c>
      <c r="I740" s="62">
        <v>0.0</v>
      </c>
      <c r="J740" s="62">
        <v>0.0</v>
      </c>
      <c r="K740" s="62">
        <v>0.0</v>
      </c>
      <c r="L740" s="62">
        <v>0.0</v>
      </c>
      <c r="M740" s="62">
        <v>2.0</v>
      </c>
      <c r="N740" s="62">
        <v>1.0</v>
      </c>
      <c r="O740" s="62">
        <v>1.0</v>
      </c>
      <c r="P740" s="62">
        <v>1.0</v>
      </c>
      <c r="Q740" s="62">
        <v>0.0</v>
      </c>
      <c r="R740" s="62">
        <v>0.0</v>
      </c>
      <c r="S740" s="62">
        <v>0.0</v>
      </c>
      <c r="T740" s="62">
        <v>0.0</v>
      </c>
      <c r="U740" s="62">
        <v>0.0</v>
      </c>
      <c r="V740" s="62">
        <v>0.0</v>
      </c>
      <c r="W740" s="62">
        <v>0.0</v>
      </c>
      <c r="X740" s="62">
        <v>0.0</v>
      </c>
      <c r="Y740" s="62">
        <v>0.0</v>
      </c>
      <c r="Z740" s="62">
        <v>0.0</v>
      </c>
      <c r="AA740" s="62">
        <v>0.0</v>
      </c>
      <c r="AB740" s="62">
        <v>0.591388888888889</v>
      </c>
      <c r="AC740" s="62">
        <v>0.296944444444444</v>
      </c>
      <c r="AD740" s="62">
        <v>0.276666666666666</v>
      </c>
      <c r="AE740" s="62">
        <v>0.296944444444444</v>
      </c>
      <c r="AF740" s="62">
        <v>0.0</v>
      </c>
    </row>
    <row r="741">
      <c r="A741" s="68">
        <v>46109.0</v>
      </c>
      <c r="B741" s="62" t="s">
        <v>91</v>
      </c>
      <c r="C741" s="62" t="s">
        <v>184</v>
      </c>
      <c r="D741" s="62">
        <v>0.0</v>
      </c>
      <c r="E741" s="62">
        <v>0.0</v>
      </c>
      <c r="F741" s="62">
        <v>0.0</v>
      </c>
      <c r="G741" s="62">
        <v>0.0</v>
      </c>
      <c r="H741" s="62">
        <v>0.0</v>
      </c>
      <c r="I741" s="62">
        <v>0.0</v>
      </c>
      <c r="J741" s="62">
        <v>0.0</v>
      </c>
      <c r="K741" s="62">
        <v>0.0</v>
      </c>
      <c r="L741" s="62">
        <v>0.0</v>
      </c>
      <c r="M741" s="62">
        <v>0.0</v>
      </c>
      <c r="N741" s="62">
        <v>0.0</v>
      </c>
      <c r="O741" s="62">
        <v>0.0</v>
      </c>
      <c r="P741" s="62">
        <v>0.0</v>
      </c>
      <c r="Q741" s="62">
        <v>0.0</v>
      </c>
      <c r="R741" s="62">
        <v>0.0</v>
      </c>
      <c r="S741" s="62">
        <v>0.0</v>
      </c>
      <c r="T741" s="62">
        <v>1.55111111111111</v>
      </c>
      <c r="U741" s="62">
        <v>0.0</v>
      </c>
      <c r="V741" s="62">
        <v>0.0</v>
      </c>
      <c r="W741" s="62">
        <v>0.0</v>
      </c>
      <c r="X741" s="62">
        <v>0.0</v>
      </c>
      <c r="Y741" s="62">
        <v>0.0</v>
      </c>
      <c r="Z741" s="62">
        <v>0.0</v>
      </c>
      <c r="AA741" s="62">
        <v>0.0</v>
      </c>
      <c r="AB741" s="62">
        <v>0.0</v>
      </c>
      <c r="AC741" s="62">
        <v>0.0</v>
      </c>
      <c r="AD741" s="62">
        <v>0.0</v>
      </c>
      <c r="AE741" s="62">
        <v>0.0</v>
      </c>
      <c r="AF741" s="62">
        <v>10.0</v>
      </c>
    </row>
    <row r="742">
      <c r="A742" s="68">
        <v>46109.0</v>
      </c>
      <c r="B742" s="62" t="s">
        <v>84</v>
      </c>
      <c r="C742" s="62" t="s">
        <v>186</v>
      </c>
      <c r="D742" s="62">
        <v>0.0</v>
      </c>
      <c r="E742" s="62">
        <v>0.0</v>
      </c>
      <c r="F742" s="62">
        <v>0.0</v>
      </c>
      <c r="G742" s="62">
        <v>1.0</v>
      </c>
      <c r="H742" s="62">
        <v>1.0</v>
      </c>
      <c r="I742" s="62">
        <v>0.0</v>
      </c>
      <c r="J742" s="62">
        <v>0.0</v>
      </c>
      <c r="K742" s="62">
        <v>0.0</v>
      </c>
      <c r="L742" s="62">
        <v>0.0</v>
      </c>
      <c r="M742" s="62">
        <v>0.0</v>
      </c>
      <c r="N742" s="62">
        <v>0.0</v>
      </c>
      <c r="O742" s="62">
        <v>1.0</v>
      </c>
      <c r="P742" s="62">
        <v>0.0</v>
      </c>
      <c r="Q742" s="62">
        <v>0.0</v>
      </c>
      <c r="R742" s="62">
        <v>0.0</v>
      </c>
      <c r="S742" s="62">
        <v>0.0</v>
      </c>
      <c r="T742" s="62">
        <v>0.0</v>
      </c>
      <c r="U742" s="62">
        <v>0.0</v>
      </c>
      <c r="V742" s="62">
        <v>0.263888888888888</v>
      </c>
      <c r="W742" s="62">
        <v>0.263888888888888</v>
      </c>
      <c r="X742" s="62">
        <v>0.0</v>
      </c>
      <c r="Y742" s="62">
        <v>0.0</v>
      </c>
      <c r="Z742" s="62">
        <v>0.0</v>
      </c>
      <c r="AA742" s="62">
        <v>0.0</v>
      </c>
      <c r="AB742" s="62">
        <v>0.0</v>
      </c>
      <c r="AC742" s="62">
        <v>0.0</v>
      </c>
      <c r="AD742" s="62">
        <v>0.262222222222222</v>
      </c>
      <c r="AE742" s="62">
        <v>0.0</v>
      </c>
      <c r="AF742" s="62">
        <v>0.0</v>
      </c>
    </row>
    <row r="743">
      <c r="A743" s="68">
        <v>46108.0</v>
      </c>
      <c r="B743" s="62" t="s">
        <v>79</v>
      </c>
      <c r="C743" s="62" t="s">
        <v>162</v>
      </c>
      <c r="D743" s="62">
        <v>0.0</v>
      </c>
      <c r="E743" s="62">
        <v>0.0</v>
      </c>
      <c r="F743" s="62">
        <v>0.0</v>
      </c>
      <c r="G743" s="62">
        <v>2.0</v>
      </c>
      <c r="H743" s="62">
        <v>2.0</v>
      </c>
      <c r="I743" s="62">
        <v>0.0</v>
      </c>
      <c r="J743" s="62">
        <v>2.0</v>
      </c>
      <c r="K743" s="62">
        <v>2.0</v>
      </c>
      <c r="L743" s="62">
        <v>4.0</v>
      </c>
      <c r="M743" s="62">
        <v>4.0</v>
      </c>
      <c r="N743" s="62">
        <v>2.0</v>
      </c>
      <c r="O743" s="62">
        <v>1.0</v>
      </c>
      <c r="P743" s="62">
        <v>2.0</v>
      </c>
      <c r="Q743" s="62">
        <v>0.0</v>
      </c>
      <c r="R743" s="62">
        <v>0.0</v>
      </c>
      <c r="S743" s="62">
        <v>0.0</v>
      </c>
      <c r="T743" s="62">
        <v>0.0</v>
      </c>
      <c r="U743" s="62">
        <v>0.0</v>
      </c>
      <c r="V743" s="62">
        <v>0.374166666666666</v>
      </c>
      <c r="W743" s="62">
        <v>0.374166666666666</v>
      </c>
      <c r="X743" s="62">
        <v>0.0</v>
      </c>
      <c r="Y743" s="62">
        <v>0.374166666666666</v>
      </c>
      <c r="Z743" s="62">
        <v>0.374166666666666</v>
      </c>
      <c r="AA743" s="62">
        <v>0.742222222222222</v>
      </c>
      <c r="AB743" s="62">
        <v>0.742222222222222</v>
      </c>
      <c r="AC743" s="62">
        <v>0.368055555555555</v>
      </c>
      <c r="AD743" s="62">
        <v>0.216944444444444</v>
      </c>
      <c r="AE743" s="62">
        <v>0.368055555555555</v>
      </c>
      <c r="AF743" s="62">
        <v>0.0</v>
      </c>
    </row>
    <row r="744">
      <c r="A744" s="68">
        <v>46108.0</v>
      </c>
      <c r="B744" s="62" t="s">
        <v>98</v>
      </c>
      <c r="C744" s="62" t="s">
        <v>183</v>
      </c>
      <c r="D744" s="62">
        <v>4.0</v>
      </c>
      <c r="E744" s="62">
        <v>4.0</v>
      </c>
      <c r="F744" s="62">
        <v>0.0</v>
      </c>
      <c r="G744" s="62">
        <v>0.0</v>
      </c>
      <c r="H744" s="62">
        <v>0.0</v>
      </c>
      <c r="I744" s="62">
        <v>0.0</v>
      </c>
      <c r="J744" s="62">
        <v>0.0</v>
      </c>
      <c r="K744" s="62">
        <v>0.0</v>
      </c>
      <c r="L744" s="62">
        <v>0.0</v>
      </c>
      <c r="M744" s="62">
        <v>0.0</v>
      </c>
      <c r="N744" s="62">
        <v>0.0</v>
      </c>
      <c r="O744" s="62">
        <v>0.0</v>
      </c>
      <c r="P744" s="62">
        <v>0.0</v>
      </c>
      <c r="Q744" s="62">
        <v>0.0</v>
      </c>
      <c r="R744" s="62">
        <v>8357.0</v>
      </c>
      <c r="S744" s="62">
        <v>8357.0</v>
      </c>
      <c r="T744" s="62">
        <v>0.0</v>
      </c>
      <c r="U744" s="62">
        <v>0.0</v>
      </c>
      <c r="V744" s="62">
        <v>0.0</v>
      </c>
      <c r="W744" s="62">
        <v>0.0</v>
      </c>
      <c r="X744" s="62">
        <v>0.0</v>
      </c>
      <c r="Y744" s="62">
        <v>0.0</v>
      </c>
      <c r="Z744" s="62">
        <v>0.0</v>
      </c>
      <c r="AA744" s="62">
        <v>0.0</v>
      </c>
      <c r="AB744" s="62">
        <v>0.0</v>
      </c>
      <c r="AC744" s="62">
        <v>0.0</v>
      </c>
      <c r="AD744" s="62">
        <v>0.0</v>
      </c>
      <c r="AE744" s="62">
        <v>0.0</v>
      </c>
      <c r="AF744" s="62">
        <v>0.0</v>
      </c>
    </row>
    <row r="745">
      <c r="A745" s="68">
        <v>46108.0</v>
      </c>
      <c r="B745" s="62" t="s">
        <v>71</v>
      </c>
      <c r="C745" s="62" t="s">
        <v>163</v>
      </c>
      <c r="D745" s="62">
        <v>2.0</v>
      </c>
      <c r="E745" s="62">
        <v>0.0</v>
      </c>
      <c r="F745" s="62">
        <v>5.0</v>
      </c>
      <c r="G745" s="62">
        <v>6.0</v>
      </c>
      <c r="H745" s="62">
        <v>7.0</v>
      </c>
      <c r="I745" s="62">
        <v>1.0</v>
      </c>
      <c r="J745" s="62">
        <v>6.0</v>
      </c>
      <c r="K745" s="62">
        <v>7.0</v>
      </c>
      <c r="L745" s="62">
        <v>0.0</v>
      </c>
      <c r="M745" s="62">
        <v>4.0</v>
      </c>
      <c r="N745" s="62">
        <v>5.0</v>
      </c>
      <c r="O745" s="62">
        <v>1.0</v>
      </c>
      <c r="P745" s="62">
        <v>5.0</v>
      </c>
      <c r="Q745" s="62">
        <v>0.0</v>
      </c>
      <c r="R745" s="62">
        <v>5314.0</v>
      </c>
      <c r="S745" s="62">
        <v>0.0</v>
      </c>
      <c r="T745" s="62">
        <v>0.0</v>
      </c>
      <c r="U745" s="62">
        <v>1.26138888888888</v>
      </c>
      <c r="V745" s="62">
        <v>1.53361111111111</v>
      </c>
      <c r="W745" s="62">
        <v>1.77361111111111</v>
      </c>
      <c r="X745" s="62">
        <v>0.24</v>
      </c>
      <c r="Y745" s="62">
        <v>1.53361111111111</v>
      </c>
      <c r="Z745" s="62">
        <v>1.8025</v>
      </c>
      <c r="AA745" s="62">
        <v>0.0</v>
      </c>
      <c r="AB745" s="62">
        <v>0.997499999999999</v>
      </c>
      <c r="AC745" s="62">
        <v>1.24805555555555</v>
      </c>
      <c r="AD745" s="62">
        <v>0.292777777777777</v>
      </c>
      <c r="AE745" s="62">
        <v>1.24805555555555</v>
      </c>
      <c r="AF745" s="62">
        <v>0.0</v>
      </c>
    </row>
    <row r="746">
      <c r="A746" s="68">
        <v>46108.0</v>
      </c>
      <c r="B746" s="62" t="s">
        <v>76</v>
      </c>
      <c r="C746" s="62" t="s">
        <v>165</v>
      </c>
      <c r="D746" s="62">
        <v>14.0</v>
      </c>
      <c r="E746" s="62">
        <v>0.0</v>
      </c>
      <c r="F746" s="62">
        <v>3.0</v>
      </c>
      <c r="G746" s="62">
        <v>3.0</v>
      </c>
      <c r="H746" s="62">
        <v>4.0</v>
      </c>
      <c r="I746" s="62">
        <v>1.0</v>
      </c>
      <c r="J746" s="62">
        <v>2.0</v>
      </c>
      <c r="K746" s="62">
        <v>1.0</v>
      </c>
      <c r="L746" s="62">
        <v>2.0</v>
      </c>
      <c r="M746" s="62">
        <v>5.0</v>
      </c>
      <c r="N746" s="62">
        <v>11.0</v>
      </c>
      <c r="O746" s="62">
        <v>1.0</v>
      </c>
      <c r="P746" s="62">
        <v>11.0</v>
      </c>
      <c r="Q746" s="62">
        <v>0.0</v>
      </c>
      <c r="R746" s="62">
        <v>37912.0</v>
      </c>
      <c r="S746" s="62">
        <v>0.0</v>
      </c>
      <c r="T746" s="62">
        <v>0.0</v>
      </c>
      <c r="U746" s="62">
        <v>0.780555555555555</v>
      </c>
      <c r="V746" s="62">
        <v>0.841111111111111</v>
      </c>
      <c r="W746" s="62">
        <v>1.11833333333333</v>
      </c>
      <c r="X746" s="62">
        <v>0.277222222222222</v>
      </c>
      <c r="Y746" s="62">
        <v>0.594444444444444</v>
      </c>
      <c r="Z746" s="62">
        <v>0.283333333333333</v>
      </c>
      <c r="AA746" s="62">
        <v>0.565833333333333</v>
      </c>
      <c r="AB746" s="62">
        <v>1.44027777777777</v>
      </c>
      <c r="AC746" s="62">
        <v>3.14888888888888</v>
      </c>
      <c r="AD746" s="62">
        <v>0.239444444444444</v>
      </c>
      <c r="AE746" s="62">
        <v>3.14888888888888</v>
      </c>
      <c r="AF746" s="62">
        <v>0.0</v>
      </c>
    </row>
    <row r="747">
      <c r="A747" s="68">
        <v>46108.0</v>
      </c>
      <c r="B747" s="62" t="s">
        <v>104</v>
      </c>
      <c r="C747" s="62" t="s">
        <v>166</v>
      </c>
      <c r="D747" s="62">
        <v>0.0</v>
      </c>
      <c r="E747" s="62">
        <v>5.0</v>
      </c>
      <c r="F747" s="62">
        <v>0.0</v>
      </c>
      <c r="G747" s="62">
        <v>1.0</v>
      </c>
      <c r="H747" s="62">
        <v>8.0</v>
      </c>
      <c r="I747" s="62">
        <v>7.0</v>
      </c>
      <c r="J747" s="62">
        <v>5.0</v>
      </c>
      <c r="K747" s="62">
        <v>1.0</v>
      </c>
      <c r="L747" s="62">
        <v>1.0</v>
      </c>
      <c r="M747" s="62">
        <v>4.0</v>
      </c>
      <c r="N747" s="62">
        <v>4.0</v>
      </c>
      <c r="O747" s="62">
        <v>1.0</v>
      </c>
      <c r="P747" s="62">
        <v>4.0</v>
      </c>
      <c r="Q747" s="62">
        <v>0.0</v>
      </c>
      <c r="R747" s="62">
        <v>0.0</v>
      </c>
      <c r="S747" s="62">
        <v>10519.0</v>
      </c>
      <c r="T747" s="62">
        <v>1.30805555555555</v>
      </c>
      <c r="U747" s="62">
        <v>0.0</v>
      </c>
      <c r="V747" s="62">
        <v>0.215277777777777</v>
      </c>
      <c r="W747" s="62">
        <v>1.59916666666666</v>
      </c>
      <c r="X747" s="62">
        <v>1.38388888888888</v>
      </c>
      <c r="Y747" s="62">
        <v>1.07194444444444</v>
      </c>
      <c r="Z747" s="62">
        <v>0.194722222222222</v>
      </c>
      <c r="AA747" s="62">
        <v>0.194722222222222</v>
      </c>
      <c r="AB747" s="62">
        <v>0.812777777777777</v>
      </c>
      <c r="AC747" s="62">
        <v>0.812777777777777</v>
      </c>
      <c r="AD747" s="62">
        <v>0.19</v>
      </c>
      <c r="AE747" s="62">
        <v>0.812777777777777</v>
      </c>
      <c r="AF747" s="62">
        <v>7.0</v>
      </c>
    </row>
    <row r="748">
      <c r="A748" s="68">
        <v>46108.0</v>
      </c>
      <c r="B748" s="62" t="s">
        <v>32</v>
      </c>
      <c r="C748" s="62" t="s">
        <v>168</v>
      </c>
      <c r="D748" s="62">
        <v>13.0</v>
      </c>
      <c r="E748" s="62">
        <v>3.0</v>
      </c>
      <c r="F748" s="62">
        <v>0.0</v>
      </c>
      <c r="G748" s="62">
        <v>0.0</v>
      </c>
      <c r="H748" s="62">
        <v>2.0</v>
      </c>
      <c r="I748" s="62">
        <v>0.0</v>
      </c>
      <c r="J748" s="62">
        <v>5.0</v>
      </c>
      <c r="K748" s="62">
        <v>0.0</v>
      </c>
      <c r="L748" s="62">
        <v>0.0</v>
      </c>
      <c r="M748" s="62">
        <v>9.0</v>
      </c>
      <c r="N748" s="62">
        <v>11.0</v>
      </c>
      <c r="O748" s="62">
        <v>1.0</v>
      </c>
      <c r="P748" s="62">
        <v>11.0</v>
      </c>
      <c r="Q748" s="62">
        <v>0.0</v>
      </c>
      <c r="R748" s="62">
        <v>28795.0</v>
      </c>
      <c r="S748" s="62">
        <v>7130.0</v>
      </c>
      <c r="T748" s="62">
        <v>0.0</v>
      </c>
      <c r="U748" s="62">
        <v>0.0</v>
      </c>
      <c r="V748" s="62">
        <v>0.0</v>
      </c>
      <c r="W748" s="62">
        <v>0.461666666666666</v>
      </c>
      <c r="X748" s="62">
        <v>0.0</v>
      </c>
      <c r="Y748" s="62">
        <v>1.14166666666666</v>
      </c>
      <c r="Z748" s="62">
        <v>0.0</v>
      </c>
      <c r="AA748" s="62">
        <v>0.0</v>
      </c>
      <c r="AB748" s="62">
        <v>2.10138888888888</v>
      </c>
      <c r="AC748" s="62">
        <v>2.58083333333333</v>
      </c>
      <c r="AD748" s="62">
        <v>0.216111111111111</v>
      </c>
      <c r="AE748" s="62">
        <v>2.58083333333333</v>
      </c>
      <c r="AF748" s="62">
        <v>0.0</v>
      </c>
    </row>
    <row r="749">
      <c r="A749" s="68">
        <v>46108.0</v>
      </c>
      <c r="B749" s="62" t="s">
        <v>93</v>
      </c>
      <c r="C749" s="62" t="s">
        <v>182</v>
      </c>
      <c r="D749" s="62">
        <v>0.0</v>
      </c>
      <c r="E749" s="62">
        <v>0.0</v>
      </c>
      <c r="F749" s="62">
        <v>1.0</v>
      </c>
      <c r="G749" s="62">
        <v>0.0</v>
      </c>
      <c r="H749" s="62">
        <v>0.0</v>
      </c>
      <c r="I749" s="62">
        <v>0.0</v>
      </c>
      <c r="J749" s="62">
        <v>0.0</v>
      </c>
      <c r="K749" s="62">
        <v>0.0</v>
      </c>
      <c r="L749" s="62">
        <v>0.0</v>
      </c>
      <c r="M749" s="62">
        <v>0.0</v>
      </c>
      <c r="N749" s="62">
        <v>0.0</v>
      </c>
      <c r="O749" s="62">
        <v>0.0</v>
      </c>
      <c r="P749" s="62">
        <v>0.0</v>
      </c>
      <c r="Q749" s="62">
        <v>0.0</v>
      </c>
      <c r="R749" s="62">
        <v>0.0</v>
      </c>
      <c r="S749" s="62">
        <v>0.0</v>
      </c>
      <c r="T749" s="62">
        <v>0.0</v>
      </c>
      <c r="U749" s="62">
        <v>0.271388888888888</v>
      </c>
      <c r="V749" s="62">
        <v>0.0</v>
      </c>
      <c r="W749" s="62">
        <v>0.0</v>
      </c>
      <c r="X749" s="62">
        <v>0.0</v>
      </c>
      <c r="Y749" s="62">
        <v>0.0</v>
      </c>
      <c r="Z749" s="62">
        <v>0.0</v>
      </c>
      <c r="AA749" s="62">
        <v>0.0</v>
      </c>
      <c r="AB749" s="62">
        <v>0.0</v>
      </c>
      <c r="AC749" s="62">
        <v>0.0</v>
      </c>
      <c r="AD749" s="62">
        <v>0.0</v>
      </c>
      <c r="AE749" s="62">
        <v>0.0</v>
      </c>
      <c r="AF749" s="62">
        <v>0.0</v>
      </c>
    </row>
    <row r="750">
      <c r="A750" s="68">
        <v>46108.0</v>
      </c>
      <c r="B750" s="62" t="s">
        <v>65</v>
      </c>
      <c r="C750" s="62" t="s">
        <v>173</v>
      </c>
      <c r="D750" s="62">
        <v>0.0</v>
      </c>
      <c r="E750" s="62">
        <v>0.0</v>
      </c>
      <c r="F750" s="62">
        <v>1.0</v>
      </c>
      <c r="G750" s="62">
        <v>0.0</v>
      </c>
      <c r="H750" s="62">
        <v>4.0</v>
      </c>
      <c r="I750" s="62">
        <v>1.0</v>
      </c>
      <c r="J750" s="62">
        <v>5.0</v>
      </c>
      <c r="K750" s="62">
        <v>2.0</v>
      </c>
      <c r="L750" s="62">
        <v>0.0</v>
      </c>
      <c r="M750" s="62">
        <v>0.0</v>
      </c>
      <c r="N750" s="62">
        <v>0.0</v>
      </c>
      <c r="O750" s="62">
        <v>1.0</v>
      </c>
      <c r="P750" s="62">
        <v>0.0</v>
      </c>
      <c r="Q750" s="62">
        <v>0.0</v>
      </c>
      <c r="R750" s="62">
        <v>0.0</v>
      </c>
      <c r="S750" s="62">
        <v>0.0</v>
      </c>
      <c r="T750" s="62">
        <v>0.482222222222222</v>
      </c>
      <c r="U750" s="62">
        <v>0.232777777777777</v>
      </c>
      <c r="V750" s="62">
        <v>0.0</v>
      </c>
      <c r="W750" s="62">
        <v>1.04583333333333</v>
      </c>
      <c r="X750" s="62">
        <v>0.249444444444444</v>
      </c>
      <c r="Y750" s="62">
        <v>1.2625</v>
      </c>
      <c r="Z750" s="62">
        <v>0.515833333333333</v>
      </c>
      <c r="AA750" s="62">
        <v>0.0</v>
      </c>
      <c r="AB750" s="62">
        <v>0.0</v>
      </c>
      <c r="AC750" s="62">
        <v>0.0</v>
      </c>
      <c r="AD750" s="62">
        <v>0.28</v>
      </c>
      <c r="AE750" s="62">
        <v>0.0</v>
      </c>
      <c r="AF750" s="62">
        <v>2.0</v>
      </c>
    </row>
    <row r="751">
      <c r="A751" s="68">
        <v>46108.0</v>
      </c>
      <c r="B751" s="62" t="s">
        <v>37</v>
      </c>
      <c r="C751" s="62" t="s">
        <v>174</v>
      </c>
      <c r="D751" s="62">
        <v>3.0</v>
      </c>
      <c r="E751" s="62">
        <v>8.0</v>
      </c>
      <c r="F751" s="62">
        <v>0.0</v>
      </c>
      <c r="G751" s="62">
        <v>0.0</v>
      </c>
      <c r="H751" s="62">
        <v>1.0</v>
      </c>
      <c r="I751" s="62">
        <v>1.0</v>
      </c>
      <c r="J751" s="62">
        <v>2.0</v>
      </c>
      <c r="K751" s="62">
        <v>4.0</v>
      </c>
      <c r="L751" s="62">
        <v>1.0</v>
      </c>
      <c r="M751" s="62">
        <v>3.0</v>
      </c>
      <c r="N751" s="62">
        <v>4.0</v>
      </c>
      <c r="O751" s="62">
        <v>1.0</v>
      </c>
      <c r="P751" s="62">
        <v>4.0</v>
      </c>
      <c r="Q751" s="62">
        <v>0.0</v>
      </c>
      <c r="R751" s="62">
        <v>7237.0</v>
      </c>
      <c r="S751" s="62">
        <v>20163.0</v>
      </c>
      <c r="T751" s="62">
        <v>1.0625</v>
      </c>
      <c r="U751" s="62">
        <v>0.0</v>
      </c>
      <c r="V751" s="62">
        <v>0.0</v>
      </c>
      <c r="W751" s="62">
        <v>0.294444444444444</v>
      </c>
      <c r="X751" s="62">
        <v>0.294444444444444</v>
      </c>
      <c r="Y751" s="62">
        <v>0.591388888888889</v>
      </c>
      <c r="Z751" s="62">
        <v>1.14722222222222</v>
      </c>
      <c r="AA751" s="62">
        <v>0.313333333333333</v>
      </c>
      <c r="AB751" s="62">
        <v>0.869166666666666</v>
      </c>
      <c r="AC751" s="62">
        <v>1.18194444444444</v>
      </c>
      <c r="AD751" s="62">
        <v>0.292222222222222</v>
      </c>
      <c r="AE751" s="62">
        <v>1.18194444444444</v>
      </c>
      <c r="AF751" s="62">
        <v>4.0</v>
      </c>
    </row>
    <row r="752">
      <c r="A752" s="68">
        <v>46108.0</v>
      </c>
      <c r="B752" s="62" t="s">
        <v>91</v>
      </c>
      <c r="C752" s="62" t="s">
        <v>184</v>
      </c>
      <c r="D752" s="62">
        <v>0.0</v>
      </c>
      <c r="E752" s="62">
        <v>0.0</v>
      </c>
      <c r="F752" s="62">
        <v>0.0</v>
      </c>
      <c r="G752" s="62">
        <v>0.0</v>
      </c>
      <c r="H752" s="62">
        <v>0.0</v>
      </c>
      <c r="I752" s="62">
        <v>0.0</v>
      </c>
      <c r="J752" s="62">
        <v>0.0</v>
      </c>
      <c r="K752" s="62">
        <v>0.0</v>
      </c>
      <c r="L752" s="62">
        <v>0.0</v>
      </c>
      <c r="M752" s="62">
        <v>0.0</v>
      </c>
      <c r="N752" s="62">
        <v>0.0</v>
      </c>
      <c r="O752" s="62">
        <v>0.0</v>
      </c>
      <c r="P752" s="62">
        <v>0.0</v>
      </c>
      <c r="Q752" s="62">
        <v>0.0</v>
      </c>
      <c r="R752" s="62">
        <v>0.0</v>
      </c>
      <c r="S752" s="62">
        <v>0.0</v>
      </c>
      <c r="T752" s="62">
        <v>0.702222222222222</v>
      </c>
      <c r="U752" s="62">
        <v>0.0</v>
      </c>
      <c r="V752" s="62">
        <v>0.0</v>
      </c>
      <c r="W752" s="62">
        <v>0.0</v>
      </c>
      <c r="X752" s="62">
        <v>0.0</v>
      </c>
      <c r="Y752" s="62">
        <v>0.0</v>
      </c>
      <c r="Z752" s="62">
        <v>0.0</v>
      </c>
      <c r="AA752" s="62">
        <v>0.0</v>
      </c>
      <c r="AB752" s="62">
        <v>0.0</v>
      </c>
      <c r="AC752" s="62">
        <v>0.0</v>
      </c>
      <c r="AD752" s="62">
        <v>0.0</v>
      </c>
      <c r="AE752" s="62">
        <v>0.0</v>
      </c>
      <c r="AF752" s="62">
        <v>4.0</v>
      </c>
    </row>
    <row r="753">
      <c r="A753" s="68">
        <v>46108.0</v>
      </c>
      <c r="B753" s="62" t="s">
        <v>84</v>
      </c>
      <c r="C753" s="62" t="s">
        <v>186</v>
      </c>
      <c r="D753" s="62">
        <v>4.0</v>
      </c>
      <c r="E753" s="62">
        <v>3.0</v>
      </c>
      <c r="F753" s="62">
        <v>0.0</v>
      </c>
      <c r="G753" s="62">
        <v>3.0</v>
      </c>
      <c r="H753" s="62">
        <v>3.0</v>
      </c>
      <c r="I753" s="62">
        <v>0.0</v>
      </c>
      <c r="J753" s="62">
        <v>3.0</v>
      </c>
      <c r="K753" s="62">
        <v>0.0</v>
      </c>
      <c r="L753" s="62">
        <v>0.0</v>
      </c>
      <c r="M753" s="62">
        <v>4.0</v>
      </c>
      <c r="N753" s="62">
        <v>6.0</v>
      </c>
      <c r="O753" s="62">
        <v>1.0</v>
      </c>
      <c r="P753" s="62">
        <v>6.0</v>
      </c>
      <c r="Q753" s="62">
        <v>0.0</v>
      </c>
      <c r="R753" s="62">
        <v>8929.0</v>
      </c>
      <c r="S753" s="62">
        <v>7000.0</v>
      </c>
      <c r="T753" s="62">
        <v>0.0</v>
      </c>
      <c r="U753" s="62">
        <v>0.0</v>
      </c>
      <c r="V753" s="62">
        <v>0.736944444444444</v>
      </c>
      <c r="W753" s="62">
        <v>0.736944444444444</v>
      </c>
      <c r="X753" s="62">
        <v>0.0</v>
      </c>
      <c r="Y753" s="62">
        <v>0.736944444444444</v>
      </c>
      <c r="Z753" s="62">
        <v>0.0</v>
      </c>
      <c r="AA753" s="62">
        <v>0.0</v>
      </c>
      <c r="AB753" s="62">
        <v>0.994722222222222</v>
      </c>
      <c r="AC753" s="62">
        <v>1.44472222222222</v>
      </c>
      <c r="AD753" s="62">
        <v>0.258611111111111</v>
      </c>
      <c r="AE753" s="62">
        <v>1.44472222222222</v>
      </c>
      <c r="AF753" s="62">
        <v>0.0</v>
      </c>
    </row>
    <row r="754">
      <c r="A754" s="68">
        <v>46108.0</v>
      </c>
      <c r="B754" s="62" t="s">
        <v>26</v>
      </c>
      <c r="C754" s="62" t="s">
        <v>178</v>
      </c>
      <c r="D754" s="62">
        <v>7.0</v>
      </c>
      <c r="E754" s="62">
        <v>0.0</v>
      </c>
      <c r="F754" s="62">
        <v>2.0</v>
      </c>
      <c r="G754" s="62">
        <v>0.0</v>
      </c>
      <c r="H754" s="62">
        <v>3.0</v>
      </c>
      <c r="I754" s="62">
        <v>3.0</v>
      </c>
      <c r="J754" s="62">
        <v>0.0</v>
      </c>
      <c r="K754" s="62">
        <v>1.0</v>
      </c>
      <c r="L754" s="62">
        <v>0.0</v>
      </c>
      <c r="M754" s="62">
        <v>3.0</v>
      </c>
      <c r="N754" s="62">
        <v>17.0</v>
      </c>
      <c r="O754" s="62">
        <v>1.0</v>
      </c>
      <c r="P754" s="62">
        <v>17.0</v>
      </c>
      <c r="Q754" s="62">
        <v>0.0</v>
      </c>
      <c r="R754" s="62">
        <v>15082.0</v>
      </c>
      <c r="S754" s="62">
        <v>0.0</v>
      </c>
      <c r="T754" s="62">
        <v>0.198333333333333</v>
      </c>
      <c r="U754" s="62">
        <v>0.400277777777777</v>
      </c>
      <c r="V754" s="62">
        <v>0.0</v>
      </c>
      <c r="W754" s="62">
        <v>0.634444444444444</v>
      </c>
      <c r="X754" s="62">
        <v>0.634444444444444</v>
      </c>
      <c r="Y754" s="62">
        <v>0.0</v>
      </c>
      <c r="Z754" s="62">
        <v>0.175277777777777</v>
      </c>
      <c r="AA754" s="62">
        <v>0.0</v>
      </c>
      <c r="AB754" s="62">
        <v>0.595833333333333</v>
      </c>
      <c r="AC754" s="62">
        <v>3.62666666666666</v>
      </c>
      <c r="AD754" s="62">
        <v>0.216944444444444</v>
      </c>
      <c r="AE754" s="62">
        <v>3.62666666666666</v>
      </c>
      <c r="AF754" s="62">
        <v>1.0</v>
      </c>
    </row>
    <row r="755">
      <c r="A755" s="68">
        <v>46108.0</v>
      </c>
      <c r="B755" s="62" t="s">
        <v>62</v>
      </c>
      <c r="C755" s="62" t="s">
        <v>63</v>
      </c>
      <c r="D755" s="62">
        <v>2.0</v>
      </c>
      <c r="E755" s="62">
        <v>2.0</v>
      </c>
      <c r="F755" s="62">
        <v>0.0</v>
      </c>
      <c r="G755" s="62">
        <v>0.0</v>
      </c>
      <c r="H755" s="62">
        <v>3.0</v>
      </c>
      <c r="I755" s="62">
        <v>3.0</v>
      </c>
      <c r="J755" s="62">
        <v>1.0</v>
      </c>
      <c r="K755" s="62">
        <v>1.0</v>
      </c>
      <c r="L755" s="62">
        <v>0.0</v>
      </c>
      <c r="M755" s="62">
        <v>4.0</v>
      </c>
      <c r="N755" s="62">
        <v>9.0</v>
      </c>
      <c r="O755" s="62">
        <v>1.0</v>
      </c>
      <c r="P755" s="62">
        <v>9.0</v>
      </c>
      <c r="Q755" s="62">
        <v>0.0</v>
      </c>
      <c r="R755" s="62">
        <v>4656.0</v>
      </c>
      <c r="S755" s="62">
        <v>4429.0</v>
      </c>
      <c r="T755" s="62">
        <v>0.0</v>
      </c>
      <c r="U755" s="62">
        <v>0.0</v>
      </c>
      <c r="V755" s="62">
        <v>0.0</v>
      </c>
      <c r="W755" s="62">
        <v>0.621944444444444</v>
      </c>
      <c r="X755" s="62">
        <v>0.621944444444444</v>
      </c>
      <c r="Y755" s="62">
        <v>0.216666666666666</v>
      </c>
      <c r="Z755" s="62">
        <v>0.219166666666666</v>
      </c>
      <c r="AA755" s="62">
        <v>0.0</v>
      </c>
      <c r="AB755" s="62">
        <v>0.878611111111111</v>
      </c>
      <c r="AC755" s="62">
        <v>1.97472222222222</v>
      </c>
      <c r="AD755" s="62">
        <v>0.252222222222222</v>
      </c>
      <c r="AE755" s="62">
        <v>1.97472222222222</v>
      </c>
      <c r="AF755" s="62">
        <v>0.0</v>
      </c>
    </row>
    <row r="756">
      <c r="A756" s="68">
        <v>46107.0</v>
      </c>
      <c r="B756" s="62" t="s">
        <v>98</v>
      </c>
      <c r="C756" s="62" t="s">
        <v>183</v>
      </c>
      <c r="D756" s="62">
        <v>1.0</v>
      </c>
      <c r="E756" s="62">
        <v>0.0</v>
      </c>
      <c r="F756" s="62">
        <v>0.0</v>
      </c>
      <c r="G756" s="62">
        <v>0.0</v>
      </c>
      <c r="H756" s="62">
        <v>0.0</v>
      </c>
      <c r="I756" s="62">
        <v>0.0</v>
      </c>
      <c r="J756" s="62">
        <v>0.0</v>
      </c>
      <c r="K756" s="62">
        <v>0.0</v>
      </c>
      <c r="L756" s="62">
        <v>0.0</v>
      </c>
      <c r="M756" s="62">
        <v>0.0</v>
      </c>
      <c r="N756" s="62">
        <v>0.0</v>
      </c>
      <c r="O756" s="62">
        <v>0.0</v>
      </c>
      <c r="P756" s="62">
        <v>0.0</v>
      </c>
      <c r="Q756" s="62">
        <v>0.0</v>
      </c>
      <c r="R756" s="62">
        <v>2226.0</v>
      </c>
      <c r="S756" s="62">
        <v>0.0</v>
      </c>
      <c r="T756" s="62">
        <v>0.0</v>
      </c>
      <c r="U756" s="62">
        <v>0.0</v>
      </c>
      <c r="V756" s="62">
        <v>0.0</v>
      </c>
      <c r="W756" s="62">
        <v>0.0</v>
      </c>
      <c r="X756" s="62">
        <v>0.0</v>
      </c>
      <c r="Y756" s="62">
        <v>0.0</v>
      </c>
      <c r="Z756" s="62">
        <v>0.0</v>
      </c>
      <c r="AA756" s="62">
        <v>0.0</v>
      </c>
      <c r="AB756" s="62">
        <v>0.0</v>
      </c>
      <c r="AC756" s="62">
        <v>0.0</v>
      </c>
      <c r="AD756" s="62">
        <v>0.0</v>
      </c>
      <c r="AE756" s="62">
        <v>0.0</v>
      </c>
      <c r="AF756" s="62">
        <v>0.0</v>
      </c>
    </row>
    <row r="757">
      <c r="A757" s="68">
        <v>46107.0</v>
      </c>
      <c r="B757" s="62" t="s">
        <v>71</v>
      </c>
      <c r="C757" s="62" t="s">
        <v>163</v>
      </c>
      <c r="D757" s="62">
        <v>0.0</v>
      </c>
      <c r="E757" s="62">
        <v>5.0</v>
      </c>
      <c r="F757" s="62">
        <v>4.0</v>
      </c>
      <c r="G757" s="62">
        <v>2.0</v>
      </c>
      <c r="H757" s="62">
        <v>2.0</v>
      </c>
      <c r="I757" s="62">
        <v>0.0</v>
      </c>
      <c r="J757" s="62">
        <v>3.0</v>
      </c>
      <c r="K757" s="62">
        <v>0.0</v>
      </c>
      <c r="L757" s="62">
        <v>0.0</v>
      </c>
      <c r="M757" s="62">
        <v>0.0</v>
      </c>
      <c r="N757" s="62">
        <v>0.0</v>
      </c>
      <c r="O757" s="62">
        <v>1.0</v>
      </c>
      <c r="P757" s="62">
        <v>0.0</v>
      </c>
      <c r="Q757" s="62">
        <v>0.0</v>
      </c>
      <c r="R757" s="62">
        <v>0.0</v>
      </c>
      <c r="S757" s="62">
        <v>13617.0</v>
      </c>
      <c r="T757" s="62">
        <v>2.51222222222222</v>
      </c>
      <c r="U757" s="62">
        <v>1.01083333333333</v>
      </c>
      <c r="V757" s="62">
        <v>0.511388888888888</v>
      </c>
      <c r="W757" s="62">
        <v>0.511388888888888</v>
      </c>
      <c r="X757" s="62">
        <v>0.0</v>
      </c>
      <c r="Y757" s="62">
        <v>0.755</v>
      </c>
      <c r="Z757" s="62">
        <v>0.0</v>
      </c>
      <c r="AA757" s="62">
        <v>0.0</v>
      </c>
      <c r="AB757" s="62">
        <v>0.0</v>
      </c>
      <c r="AC757" s="62">
        <v>0.0</v>
      </c>
      <c r="AD757" s="62">
        <v>0.273888888888888</v>
      </c>
      <c r="AE757" s="62">
        <v>0.0</v>
      </c>
      <c r="AF757" s="62">
        <v>10.0</v>
      </c>
    </row>
    <row r="758">
      <c r="A758" s="68">
        <v>46107.0</v>
      </c>
      <c r="B758" s="62" t="s">
        <v>76</v>
      </c>
      <c r="C758" s="62" t="s">
        <v>165</v>
      </c>
      <c r="D758" s="62">
        <v>0.0</v>
      </c>
      <c r="E758" s="62">
        <v>1.0</v>
      </c>
      <c r="F758" s="62">
        <v>6.0</v>
      </c>
      <c r="G758" s="62">
        <v>3.0</v>
      </c>
      <c r="H758" s="62">
        <v>3.0</v>
      </c>
      <c r="I758" s="62">
        <v>0.0</v>
      </c>
      <c r="J758" s="62">
        <v>6.0</v>
      </c>
      <c r="K758" s="62">
        <v>3.0</v>
      </c>
      <c r="L758" s="62">
        <v>5.0</v>
      </c>
      <c r="M758" s="62">
        <v>6.0</v>
      </c>
      <c r="N758" s="62">
        <v>1.0</v>
      </c>
      <c r="O758" s="62">
        <v>1.0</v>
      </c>
      <c r="P758" s="62">
        <v>1.0</v>
      </c>
      <c r="Q758" s="62">
        <v>0.0</v>
      </c>
      <c r="R758" s="62">
        <v>0.0</v>
      </c>
      <c r="S758" s="62">
        <v>2614.0</v>
      </c>
      <c r="T758" s="62">
        <v>2.49</v>
      </c>
      <c r="U758" s="62">
        <v>1.70944444444444</v>
      </c>
      <c r="V758" s="62">
        <v>0.874444444444444</v>
      </c>
      <c r="W758" s="62">
        <v>0.874444444444444</v>
      </c>
      <c r="X758" s="62">
        <v>0.0</v>
      </c>
      <c r="Y758" s="62">
        <v>1.7225</v>
      </c>
      <c r="Z758" s="62">
        <v>0.848055555555555</v>
      </c>
      <c r="AA758" s="62">
        <v>1.46888888888888</v>
      </c>
      <c r="AB758" s="62">
        <v>1.75111111111111</v>
      </c>
      <c r="AC758" s="62">
        <v>0.282222222222222</v>
      </c>
      <c r="AD758" s="62">
        <v>0.236111111111111</v>
      </c>
      <c r="AE758" s="62">
        <v>0.282222222222222</v>
      </c>
      <c r="AF758" s="62">
        <v>9.0</v>
      </c>
    </row>
    <row r="759">
      <c r="A759" s="68">
        <v>46107.0</v>
      </c>
      <c r="B759" s="62" t="s">
        <v>104</v>
      </c>
      <c r="C759" s="62" t="s">
        <v>166</v>
      </c>
      <c r="D759" s="62">
        <v>6.0</v>
      </c>
      <c r="E759" s="62">
        <v>4.0</v>
      </c>
      <c r="F759" s="62">
        <v>2.0</v>
      </c>
      <c r="G759" s="62">
        <v>2.0</v>
      </c>
      <c r="H759" s="62">
        <v>5.0</v>
      </c>
      <c r="I759" s="62">
        <v>1.0</v>
      </c>
      <c r="J759" s="62">
        <v>2.0</v>
      </c>
      <c r="K759" s="62">
        <v>2.0</v>
      </c>
      <c r="L759" s="62">
        <v>2.0</v>
      </c>
      <c r="M759" s="62">
        <v>2.0</v>
      </c>
      <c r="N759" s="62">
        <v>5.0</v>
      </c>
      <c r="O759" s="62">
        <v>1.0</v>
      </c>
      <c r="P759" s="62">
        <v>5.0</v>
      </c>
      <c r="Q759" s="62">
        <v>0.0</v>
      </c>
      <c r="R759" s="62">
        <v>12584.0</v>
      </c>
      <c r="S759" s="62">
        <v>8580.0</v>
      </c>
      <c r="T759" s="62">
        <v>0.804444444444444</v>
      </c>
      <c r="U759" s="62">
        <v>0.4525</v>
      </c>
      <c r="V759" s="62">
        <v>0.418333333333333</v>
      </c>
      <c r="W759" s="62">
        <v>1.04027777777777</v>
      </c>
      <c r="X759" s="62">
        <v>0.226944444444444</v>
      </c>
      <c r="Y759" s="62">
        <v>0.395</v>
      </c>
      <c r="Z759" s="62">
        <v>0.395</v>
      </c>
      <c r="AA759" s="62">
        <v>0.394444444444444</v>
      </c>
      <c r="AB759" s="62">
        <v>0.407777777777777</v>
      </c>
      <c r="AC759" s="62">
        <v>1.05555555555555</v>
      </c>
      <c r="AD759" s="62">
        <v>0.224166666666666</v>
      </c>
      <c r="AE759" s="62">
        <v>1.05555555555555</v>
      </c>
      <c r="AF759" s="62">
        <v>4.0</v>
      </c>
    </row>
    <row r="760">
      <c r="A760" s="68">
        <v>46107.0</v>
      </c>
      <c r="B760" s="62" t="s">
        <v>32</v>
      </c>
      <c r="C760" s="62" t="s">
        <v>168</v>
      </c>
      <c r="D760" s="62">
        <v>4.0</v>
      </c>
      <c r="E760" s="62">
        <v>4.0</v>
      </c>
      <c r="F760" s="62">
        <v>1.0</v>
      </c>
      <c r="G760" s="62">
        <v>0.0</v>
      </c>
      <c r="H760" s="62">
        <v>8.0</v>
      </c>
      <c r="I760" s="62">
        <v>7.0</v>
      </c>
      <c r="J760" s="62">
        <v>6.0</v>
      </c>
      <c r="K760" s="62">
        <v>1.0</v>
      </c>
      <c r="L760" s="62">
        <v>0.0</v>
      </c>
      <c r="M760" s="62">
        <v>2.0</v>
      </c>
      <c r="N760" s="62">
        <v>0.0</v>
      </c>
      <c r="O760" s="62">
        <v>1.0</v>
      </c>
      <c r="P760" s="62">
        <v>0.0</v>
      </c>
      <c r="Q760" s="62">
        <v>0.0</v>
      </c>
      <c r="R760" s="62">
        <v>9609.0</v>
      </c>
      <c r="S760" s="62">
        <v>9609.0</v>
      </c>
      <c r="T760" s="62">
        <v>1.86388888888888</v>
      </c>
      <c r="U760" s="62">
        <v>0.232777777777777</v>
      </c>
      <c r="V760" s="62">
        <v>0.0</v>
      </c>
      <c r="W760" s="62">
        <v>1.88777777777777</v>
      </c>
      <c r="X760" s="62">
        <v>1.63111111111111</v>
      </c>
      <c r="Y760" s="62">
        <v>1.43916666666666</v>
      </c>
      <c r="Z760" s="62">
        <v>0.256666666666666</v>
      </c>
      <c r="AA760" s="62">
        <v>0.0</v>
      </c>
      <c r="AB760" s="62">
        <v>0.479444444444444</v>
      </c>
      <c r="AC760" s="62">
        <v>0.0</v>
      </c>
      <c r="AD760" s="62">
        <v>0.211666666666666</v>
      </c>
      <c r="AE760" s="62">
        <v>0.0</v>
      </c>
      <c r="AF760" s="62">
        <v>8.0</v>
      </c>
    </row>
    <row r="761">
      <c r="A761" s="68">
        <v>46107.0</v>
      </c>
      <c r="B761" s="62" t="s">
        <v>93</v>
      </c>
      <c r="C761" s="62" t="s">
        <v>182</v>
      </c>
      <c r="D761" s="62">
        <v>6.0</v>
      </c>
      <c r="E761" s="62">
        <v>0.0</v>
      </c>
      <c r="F761" s="62">
        <v>0.0</v>
      </c>
      <c r="G761" s="62">
        <v>0.0</v>
      </c>
      <c r="H761" s="62">
        <v>0.0</v>
      </c>
      <c r="I761" s="62">
        <v>0.0</v>
      </c>
      <c r="J761" s="62">
        <v>0.0</v>
      </c>
      <c r="K761" s="62">
        <v>0.0</v>
      </c>
      <c r="L761" s="62">
        <v>0.0</v>
      </c>
      <c r="M761" s="62">
        <v>0.0</v>
      </c>
      <c r="N761" s="62">
        <v>0.0</v>
      </c>
      <c r="O761" s="62">
        <v>0.0</v>
      </c>
      <c r="P761" s="62">
        <v>0.0</v>
      </c>
      <c r="Q761" s="62">
        <v>0.0</v>
      </c>
      <c r="R761" s="62">
        <v>12626.0</v>
      </c>
      <c r="S761" s="62">
        <v>0.0</v>
      </c>
      <c r="T761" s="62">
        <v>0.271388888888888</v>
      </c>
      <c r="U761" s="62">
        <v>0.0</v>
      </c>
      <c r="V761" s="62">
        <v>0.0</v>
      </c>
      <c r="W761" s="62">
        <v>0.0</v>
      </c>
      <c r="X761" s="62">
        <v>0.0</v>
      </c>
      <c r="Y761" s="62">
        <v>0.0</v>
      </c>
      <c r="Z761" s="62">
        <v>0.0</v>
      </c>
      <c r="AA761" s="62">
        <v>0.0</v>
      </c>
      <c r="AB761" s="62">
        <v>0.0</v>
      </c>
      <c r="AC761" s="62">
        <v>0.0</v>
      </c>
      <c r="AD761" s="62">
        <v>0.0</v>
      </c>
      <c r="AE761" s="62">
        <v>0.0</v>
      </c>
      <c r="AF761" s="62">
        <v>1.0</v>
      </c>
    </row>
    <row r="762">
      <c r="A762" s="68">
        <v>46107.0</v>
      </c>
      <c r="B762" s="62" t="s">
        <v>65</v>
      </c>
      <c r="C762" s="62" t="s">
        <v>173</v>
      </c>
      <c r="D762" s="62">
        <v>0.0</v>
      </c>
      <c r="E762" s="62">
        <v>0.0</v>
      </c>
      <c r="F762" s="62">
        <v>1.0</v>
      </c>
      <c r="G762" s="62">
        <v>0.0</v>
      </c>
      <c r="H762" s="62">
        <v>0.0</v>
      </c>
      <c r="I762" s="62">
        <v>0.0</v>
      </c>
      <c r="J762" s="62">
        <v>4.0</v>
      </c>
      <c r="K762" s="62">
        <v>6.0</v>
      </c>
      <c r="L762" s="62">
        <v>0.0</v>
      </c>
      <c r="M762" s="62">
        <v>0.0</v>
      </c>
      <c r="N762" s="62">
        <v>0.0</v>
      </c>
      <c r="O762" s="62">
        <v>1.0</v>
      </c>
      <c r="P762" s="62">
        <v>0.0</v>
      </c>
      <c r="Q762" s="62">
        <v>0.0</v>
      </c>
      <c r="R762" s="62">
        <v>0.0</v>
      </c>
      <c r="S762" s="62">
        <v>0.0</v>
      </c>
      <c r="T762" s="62">
        <v>0.251944444444444</v>
      </c>
      <c r="U762" s="62">
        <v>0.251944444444444</v>
      </c>
      <c r="V762" s="62">
        <v>0.0</v>
      </c>
      <c r="W762" s="62">
        <v>0.0</v>
      </c>
      <c r="X762" s="62">
        <v>0.0</v>
      </c>
      <c r="Y762" s="62">
        <v>1.06916666666666</v>
      </c>
      <c r="Z762" s="62">
        <v>1.55749999999999</v>
      </c>
      <c r="AA762" s="62">
        <v>0.0</v>
      </c>
      <c r="AB762" s="62">
        <v>0.0</v>
      </c>
      <c r="AC762" s="62">
        <v>0.0</v>
      </c>
      <c r="AD762" s="62">
        <v>0.291111111111111</v>
      </c>
      <c r="AE762" s="62">
        <v>0.0</v>
      </c>
      <c r="AF762" s="62">
        <v>1.0</v>
      </c>
    </row>
    <row r="763">
      <c r="A763" s="68">
        <v>46107.0</v>
      </c>
      <c r="B763" s="62" t="s">
        <v>37</v>
      </c>
      <c r="C763" s="62" t="s">
        <v>174</v>
      </c>
      <c r="D763" s="62">
        <v>3.0</v>
      </c>
      <c r="E763" s="62">
        <v>1.0</v>
      </c>
      <c r="F763" s="62">
        <v>1.0</v>
      </c>
      <c r="G763" s="62">
        <v>3.0</v>
      </c>
      <c r="H763" s="62">
        <v>3.0</v>
      </c>
      <c r="I763" s="62">
        <v>0.0</v>
      </c>
      <c r="J763" s="62">
        <v>4.0</v>
      </c>
      <c r="K763" s="62">
        <v>2.0</v>
      </c>
      <c r="L763" s="62">
        <v>1.0</v>
      </c>
      <c r="M763" s="62">
        <v>1.0</v>
      </c>
      <c r="N763" s="62">
        <v>0.0</v>
      </c>
      <c r="O763" s="62">
        <v>1.0</v>
      </c>
      <c r="P763" s="62">
        <v>0.0</v>
      </c>
      <c r="Q763" s="62">
        <v>0.0</v>
      </c>
      <c r="R763" s="62">
        <v>7466.0</v>
      </c>
      <c r="S763" s="62">
        <v>2408.0</v>
      </c>
      <c r="T763" s="62">
        <v>0.0</v>
      </c>
      <c r="U763" s="62">
        <v>0.294444444444444</v>
      </c>
      <c r="V763" s="62">
        <v>0.852777777777777</v>
      </c>
      <c r="W763" s="62">
        <v>0.852777777777777</v>
      </c>
      <c r="X763" s="62">
        <v>0.0</v>
      </c>
      <c r="Y763" s="62">
        <v>1.18194444444444</v>
      </c>
      <c r="Z763" s="62">
        <v>0.626111111111111</v>
      </c>
      <c r="AA763" s="62">
        <v>0.312777777777777</v>
      </c>
      <c r="AB763" s="62">
        <v>0.312777777777777</v>
      </c>
      <c r="AC763" s="62">
        <v>0.0</v>
      </c>
      <c r="AD763" s="62">
        <v>0.284444444444444</v>
      </c>
      <c r="AE763" s="62">
        <v>0.0</v>
      </c>
      <c r="AF763" s="62">
        <v>0.0</v>
      </c>
    </row>
    <row r="764">
      <c r="A764" s="68">
        <v>46107.0</v>
      </c>
      <c r="B764" s="62" t="s">
        <v>84</v>
      </c>
      <c r="C764" s="62" t="s">
        <v>186</v>
      </c>
      <c r="D764" s="62">
        <v>4.0</v>
      </c>
      <c r="E764" s="62">
        <v>0.0</v>
      </c>
      <c r="F764" s="62">
        <v>4.0</v>
      </c>
      <c r="G764" s="62">
        <v>2.0</v>
      </c>
      <c r="H764" s="62">
        <v>2.0</v>
      </c>
      <c r="I764" s="62">
        <v>0.0</v>
      </c>
      <c r="J764" s="62">
        <v>2.0</v>
      </c>
      <c r="K764" s="62">
        <v>1.0</v>
      </c>
      <c r="L764" s="62">
        <v>0.0</v>
      </c>
      <c r="M764" s="62">
        <v>2.0</v>
      </c>
      <c r="N764" s="62">
        <v>0.0</v>
      </c>
      <c r="O764" s="62">
        <v>1.0</v>
      </c>
      <c r="P764" s="62">
        <v>0.0</v>
      </c>
      <c r="Q764" s="62">
        <v>0.0</v>
      </c>
      <c r="R764" s="62">
        <v>9380.0</v>
      </c>
      <c r="S764" s="62">
        <v>0.0</v>
      </c>
      <c r="T764" s="62">
        <v>0.729722222222222</v>
      </c>
      <c r="U764" s="62">
        <v>0.994722222222222</v>
      </c>
      <c r="V764" s="62">
        <v>0.487777777777777</v>
      </c>
      <c r="W764" s="62">
        <v>0.487777777777777</v>
      </c>
      <c r="X764" s="62">
        <v>0.0</v>
      </c>
      <c r="Y764" s="62">
        <v>0.487777777777777</v>
      </c>
      <c r="Z764" s="62">
        <v>0.256944444444444</v>
      </c>
      <c r="AA764" s="62">
        <v>0.0</v>
      </c>
      <c r="AB764" s="62">
        <v>0.45</v>
      </c>
      <c r="AC764" s="62">
        <v>0.0</v>
      </c>
      <c r="AD764" s="62">
        <v>0.299166666666666</v>
      </c>
      <c r="AE764" s="62">
        <v>0.0</v>
      </c>
      <c r="AF764" s="62">
        <v>3.0</v>
      </c>
    </row>
    <row r="765">
      <c r="A765" s="68">
        <v>46107.0</v>
      </c>
      <c r="B765" s="62" t="s">
        <v>26</v>
      </c>
      <c r="C765" s="62" t="s">
        <v>178</v>
      </c>
      <c r="D765" s="62">
        <v>17.0</v>
      </c>
      <c r="E765" s="62">
        <v>7.0</v>
      </c>
      <c r="F765" s="62">
        <v>4.0</v>
      </c>
      <c r="G765" s="62">
        <v>3.0</v>
      </c>
      <c r="H765" s="62">
        <v>9.0</v>
      </c>
      <c r="I765" s="62">
        <v>6.0</v>
      </c>
      <c r="J765" s="62">
        <v>5.0</v>
      </c>
      <c r="K765" s="62">
        <v>0.0</v>
      </c>
      <c r="L765" s="62">
        <v>0.0</v>
      </c>
      <c r="M765" s="62">
        <v>3.0</v>
      </c>
      <c r="N765" s="62">
        <v>2.0</v>
      </c>
      <c r="O765" s="62">
        <v>1.0</v>
      </c>
      <c r="P765" s="62">
        <v>2.0</v>
      </c>
      <c r="Q765" s="62">
        <v>0.0</v>
      </c>
      <c r="R765" s="62">
        <v>36446.0</v>
      </c>
      <c r="S765" s="62">
        <v>15809.0</v>
      </c>
      <c r="T765" s="62">
        <v>0.836388888888888</v>
      </c>
      <c r="U765" s="62">
        <v>0.820277777777777</v>
      </c>
      <c r="V765" s="62">
        <v>0.595833333333333</v>
      </c>
      <c r="W765" s="62">
        <v>1.76805555555555</v>
      </c>
      <c r="X765" s="62">
        <v>1.17222222222222</v>
      </c>
      <c r="Y765" s="62">
        <v>1.0125</v>
      </c>
      <c r="Z765" s="62">
        <v>0.0</v>
      </c>
      <c r="AA765" s="62">
        <v>0.0</v>
      </c>
      <c r="AB765" s="62">
        <v>0.631388888888888</v>
      </c>
      <c r="AC765" s="62">
        <v>0.450555555555555</v>
      </c>
      <c r="AD765" s="62">
        <v>0.200833333333333</v>
      </c>
      <c r="AE765" s="62">
        <v>0.450555555555555</v>
      </c>
      <c r="AF765" s="62">
        <v>4.0</v>
      </c>
    </row>
    <row r="766">
      <c r="A766" s="68">
        <v>46107.0</v>
      </c>
      <c r="B766" s="62" t="s">
        <v>62</v>
      </c>
      <c r="C766" s="62" t="s">
        <v>63</v>
      </c>
      <c r="D766" s="62">
        <v>4.0</v>
      </c>
      <c r="E766" s="62">
        <v>3.0</v>
      </c>
      <c r="F766" s="62">
        <v>0.0</v>
      </c>
      <c r="G766" s="62">
        <v>0.0</v>
      </c>
      <c r="H766" s="62">
        <v>4.0</v>
      </c>
      <c r="I766" s="62">
        <v>4.0</v>
      </c>
      <c r="J766" s="62">
        <v>4.0</v>
      </c>
      <c r="K766" s="62">
        <v>0.0</v>
      </c>
      <c r="L766" s="62">
        <v>0.0</v>
      </c>
      <c r="M766" s="62">
        <v>5.0</v>
      </c>
      <c r="N766" s="62">
        <v>1.0</v>
      </c>
      <c r="O766" s="62">
        <v>1.0</v>
      </c>
      <c r="P766" s="62">
        <v>1.0</v>
      </c>
      <c r="Q766" s="62">
        <v>0.0</v>
      </c>
      <c r="R766" s="62">
        <v>8114.0</v>
      </c>
      <c r="S766" s="62">
        <v>7294.0</v>
      </c>
      <c r="T766" s="62">
        <v>0.621944444444444</v>
      </c>
      <c r="U766" s="62">
        <v>0.0</v>
      </c>
      <c r="V766" s="62">
        <v>0.0</v>
      </c>
      <c r="W766" s="62">
        <v>0.863333333333333</v>
      </c>
      <c r="X766" s="62">
        <v>0.863333333333333</v>
      </c>
      <c r="Y766" s="62">
        <v>0.878611111111111</v>
      </c>
      <c r="Z766" s="62">
        <v>0.0</v>
      </c>
      <c r="AA766" s="62">
        <v>0.0</v>
      </c>
      <c r="AB766" s="62">
        <v>1.09611111111111</v>
      </c>
      <c r="AC766" s="62">
        <v>0.205277777777777</v>
      </c>
      <c r="AD766" s="62">
        <v>0.235833333333333</v>
      </c>
      <c r="AE766" s="62">
        <v>0.205277777777777</v>
      </c>
      <c r="AF766" s="62">
        <v>3.0</v>
      </c>
    </row>
    <row r="767">
      <c r="A767" s="68">
        <v>46106.0</v>
      </c>
      <c r="B767" s="62" t="s">
        <v>98</v>
      </c>
      <c r="C767" s="62" t="s">
        <v>183</v>
      </c>
      <c r="D767" s="62">
        <v>4.0</v>
      </c>
      <c r="E767" s="62">
        <v>0.0</v>
      </c>
      <c r="F767" s="62">
        <v>0.0</v>
      </c>
      <c r="G767" s="62">
        <v>0.0</v>
      </c>
      <c r="H767" s="62">
        <v>0.0</v>
      </c>
      <c r="I767" s="62">
        <v>0.0</v>
      </c>
      <c r="J767" s="62">
        <v>0.0</v>
      </c>
      <c r="K767" s="62">
        <v>0.0</v>
      </c>
      <c r="L767" s="62">
        <v>0.0</v>
      </c>
      <c r="M767" s="62">
        <v>0.0</v>
      </c>
      <c r="N767" s="62">
        <v>0.0</v>
      </c>
      <c r="O767" s="62">
        <v>0.0</v>
      </c>
      <c r="P767" s="62">
        <v>0.0</v>
      </c>
      <c r="Q767" s="62">
        <v>0.0</v>
      </c>
      <c r="R767" s="62">
        <v>8692.0</v>
      </c>
      <c r="S767" s="62">
        <v>0.0</v>
      </c>
      <c r="T767" s="62">
        <v>0.0</v>
      </c>
      <c r="U767" s="62">
        <v>0.0</v>
      </c>
      <c r="V767" s="62">
        <v>0.0</v>
      </c>
      <c r="W767" s="62">
        <v>0.0</v>
      </c>
      <c r="X767" s="62">
        <v>0.0</v>
      </c>
      <c r="Y767" s="62">
        <v>0.0</v>
      </c>
      <c r="Z767" s="62">
        <v>0.0</v>
      </c>
      <c r="AA767" s="62">
        <v>0.0</v>
      </c>
      <c r="AB767" s="62">
        <v>0.0</v>
      </c>
      <c r="AC767" s="62">
        <v>0.0</v>
      </c>
      <c r="AD767" s="62">
        <v>0.0</v>
      </c>
      <c r="AE767" s="62">
        <v>0.0</v>
      </c>
      <c r="AF767" s="62">
        <v>0.0</v>
      </c>
    </row>
    <row r="768">
      <c r="A768" s="68">
        <v>46106.0</v>
      </c>
      <c r="B768" s="62" t="s">
        <v>71</v>
      </c>
      <c r="C768" s="62" t="s">
        <v>163</v>
      </c>
      <c r="D768" s="62">
        <v>0.0</v>
      </c>
      <c r="E768" s="62">
        <v>3.0</v>
      </c>
      <c r="F768" s="62">
        <v>2.0</v>
      </c>
      <c r="G768" s="62">
        <v>2.0</v>
      </c>
      <c r="H768" s="62">
        <v>2.0</v>
      </c>
      <c r="I768" s="62">
        <v>0.0</v>
      </c>
      <c r="J768" s="62">
        <v>2.0</v>
      </c>
      <c r="K768" s="62">
        <v>1.0</v>
      </c>
      <c r="L768" s="62">
        <v>0.0</v>
      </c>
      <c r="M768" s="62">
        <v>2.0</v>
      </c>
      <c r="N768" s="62">
        <v>0.0</v>
      </c>
      <c r="O768" s="62">
        <v>1.0</v>
      </c>
      <c r="P768" s="62">
        <v>0.0</v>
      </c>
      <c r="Q768" s="62">
        <v>0.0</v>
      </c>
      <c r="R768" s="62">
        <v>0.0</v>
      </c>
      <c r="S768" s="62">
        <v>7936.0</v>
      </c>
      <c r="T768" s="62">
        <v>0.5075</v>
      </c>
      <c r="U768" s="62">
        <v>0.5075</v>
      </c>
      <c r="V768" s="62">
        <v>0.493055555555555</v>
      </c>
      <c r="W768" s="62">
        <v>0.493055555555555</v>
      </c>
      <c r="X768" s="62">
        <v>0.0</v>
      </c>
      <c r="Y768" s="62">
        <v>0.493055555555555</v>
      </c>
      <c r="Z768" s="62">
        <v>0.253055555555555</v>
      </c>
      <c r="AA768" s="62">
        <v>0.0</v>
      </c>
      <c r="AB768" s="62">
        <v>0.493055555555555</v>
      </c>
      <c r="AC768" s="62">
        <v>0.0</v>
      </c>
      <c r="AD768" s="62">
        <v>0.256666666666666</v>
      </c>
      <c r="AE768" s="62">
        <v>0.0</v>
      </c>
      <c r="AF768" s="62">
        <v>2.0</v>
      </c>
    </row>
    <row r="769">
      <c r="A769" s="68">
        <v>46106.0</v>
      </c>
      <c r="B769" s="62" t="s">
        <v>76</v>
      </c>
      <c r="C769" s="62" t="s">
        <v>165</v>
      </c>
      <c r="D769" s="62">
        <v>0.0</v>
      </c>
      <c r="E769" s="62">
        <v>3.0</v>
      </c>
      <c r="F769" s="62">
        <v>4.0</v>
      </c>
      <c r="G769" s="62">
        <v>3.0</v>
      </c>
      <c r="H769" s="62">
        <v>3.0</v>
      </c>
      <c r="I769" s="62">
        <v>0.0</v>
      </c>
      <c r="J769" s="62">
        <v>6.0</v>
      </c>
      <c r="K769" s="62">
        <v>5.0</v>
      </c>
      <c r="L769" s="62">
        <v>0.0</v>
      </c>
      <c r="M769" s="62">
        <v>1.0</v>
      </c>
      <c r="N769" s="62">
        <v>4.0</v>
      </c>
      <c r="O769" s="62">
        <v>1.0</v>
      </c>
      <c r="P769" s="62">
        <v>4.0</v>
      </c>
      <c r="Q769" s="62">
        <v>0.0</v>
      </c>
      <c r="R769" s="62">
        <v>0.0</v>
      </c>
      <c r="S769" s="62">
        <v>8525.0</v>
      </c>
      <c r="T769" s="62">
        <v>1.15888888888888</v>
      </c>
      <c r="U769" s="62">
        <v>1.15888888888888</v>
      </c>
      <c r="V769" s="62">
        <v>0.848055555555555</v>
      </c>
      <c r="W769" s="62">
        <v>0.848055555555555</v>
      </c>
      <c r="X769" s="62">
        <v>0.0</v>
      </c>
      <c r="Y769" s="62">
        <v>1.70861111111111</v>
      </c>
      <c r="Z769" s="62">
        <v>1.46888888888888</v>
      </c>
      <c r="AA769" s="62">
        <v>0.0</v>
      </c>
      <c r="AB769" s="62">
        <v>0.239722222222222</v>
      </c>
      <c r="AC769" s="62">
        <v>1.1075</v>
      </c>
      <c r="AD769" s="62">
        <v>0.238611111111111</v>
      </c>
      <c r="AE769" s="62">
        <v>1.1075</v>
      </c>
      <c r="AF769" s="62">
        <v>4.0</v>
      </c>
    </row>
    <row r="770">
      <c r="A770" s="68">
        <v>46106.0</v>
      </c>
      <c r="B770" s="62" t="s">
        <v>104</v>
      </c>
      <c r="C770" s="62" t="s">
        <v>166</v>
      </c>
      <c r="D770" s="62">
        <v>0.0</v>
      </c>
      <c r="E770" s="62">
        <v>4.0</v>
      </c>
      <c r="F770" s="62">
        <v>4.0</v>
      </c>
      <c r="G770" s="62">
        <v>1.0</v>
      </c>
      <c r="H770" s="62">
        <v>4.0</v>
      </c>
      <c r="I770" s="62">
        <v>0.0</v>
      </c>
      <c r="J770" s="62">
        <v>4.0</v>
      </c>
      <c r="K770" s="62">
        <v>1.0</v>
      </c>
      <c r="L770" s="62">
        <v>0.0</v>
      </c>
      <c r="M770" s="62">
        <v>3.0</v>
      </c>
      <c r="N770" s="62">
        <v>0.0</v>
      </c>
      <c r="O770" s="62">
        <v>1.0</v>
      </c>
      <c r="P770" s="62">
        <v>0.0</v>
      </c>
      <c r="Q770" s="62">
        <v>0.0</v>
      </c>
      <c r="R770" s="62">
        <v>0.0</v>
      </c>
      <c r="S770" s="62">
        <v>9989.0</v>
      </c>
      <c r="T770" s="62">
        <v>0.669722222222222</v>
      </c>
      <c r="U770" s="62">
        <v>0.856388888888888</v>
      </c>
      <c r="V770" s="62">
        <v>0.220555555555555</v>
      </c>
      <c r="W770" s="62">
        <v>0.837777777777777</v>
      </c>
      <c r="X770" s="62">
        <v>0.0</v>
      </c>
      <c r="Y770" s="62">
        <v>0.837777777777777</v>
      </c>
      <c r="Z770" s="62">
        <v>0.19</v>
      </c>
      <c r="AA770" s="62">
        <v>0.0</v>
      </c>
      <c r="AB770" s="62">
        <v>0.647777777777777</v>
      </c>
      <c r="AC770" s="62">
        <v>0.0</v>
      </c>
      <c r="AD770" s="62">
        <v>0.217777777777777</v>
      </c>
      <c r="AE770" s="62">
        <v>0.0</v>
      </c>
      <c r="AF770" s="62">
        <v>3.0</v>
      </c>
    </row>
    <row r="771">
      <c r="A771" s="68">
        <v>46106.0</v>
      </c>
      <c r="B771" s="62" t="s">
        <v>32</v>
      </c>
      <c r="C771" s="62" t="s">
        <v>168</v>
      </c>
      <c r="D771" s="62">
        <v>8.0</v>
      </c>
      <c r="E771" s="62">
        <v>8.0</v>
      </c>
      <c r="F771" s="62">
        <v>2.0</v>
      </c>
      <c r="G771" s="62">
        <v>0.0</v>
      </c>
      <c r="H771" s="62">
        <v>6.0</v>
      </c>
      <c r="I771" s="62">
        <v>2.0</v>
      </c>
      <c r="J771" s="62">
        <v>5.0</v>
      </c>
      <c r="K771" s="62">
        <v>1.0</v>
      </c>
      <c r="L771" s="62">
        <v>0.0</v>
      </c>
      <c r="M771" s="62">
        <v>7.0</v>
      </c>
      <c r="N771" s="62">
        <v>9.0</v>
      </c>
      <c r="O771" s="62">
        <v>1.0</v>
      </c>
      <c r="P771" s="62">
        <v>9.0</v>
      </c>
      <c r="Q771" s="62">
        <v>0.0</v>
      </c>
      <c r="R771" s="62">
        <v>19421.0</v>
      </c>
      <c r="S771" s="62">
        <v>19421.0</v>
      </c>
      <c r="T771" s="62">
        <v>0.966388888888889</v>
      </c>
      <c r="U771" s="62">
        <v>0.487222222222222</v>
      </c>
      <c r="V771" s="62">
        <v>0.0</v>
      </c>
      <c r="W771" s="62">
        <v>1.40361111111111</v>
      </c>
      <c r="X771" s="62">
        <v>0.479166666666666</v>
      </c>
      <c r="Y771" s="62">
        <v>1.16916666666666</v>
      </c>
      <c r="Z771" s="62">
        <v>0.244722222222222</v>
      </c>
      <c r="AA771" s="62">
        <v>0.0</v>
      </c>
      <c r="AB771" s="62">
        <v>1.64166666666666</v>
      </c>
      <c r="AC771" s="62">
        <v>2.11388888888888</v>
      </c>
      <c r="AD771" s="62">
        <v>0.206666666666666</v>
      </c>
      <c r="AE771" s="62">
        <v>2.11388888888888</v>
      </c>
      <c r="AF771" s="62">
        <v>4.0</v>
      </c>
    </row>
    <row r="772">
      <c r="A772" s="68">
        <v>46106.0</v>
      </c>
      <c r="B772" s="62" t="s">
        <v>93</v>
      </c>
      <c r="C772" s="62" t="s">
        <v>182</v>
      </c>
      <c r="D772" s="62">
        <v>2.0</v>
      </c>
      <c r="E772" s="62">
        <v>0.0</v>
      </c>
      <c r="F772" s="62">
        <v>0.0</v>
      </c>
      <c r="G772" s="62">
        <v>0.0</v>
      </c>
      <c r="H772" s="62">
        <v>0.0</v>
      </c>
      <c r="I772" s="62">
        <v>0.0</v>
      </c>
      <c r="J772" s="62">
        <v>0.0</v>
      </c>
      <c r="K772" s="62">
        <v>0.0</v>
      </c>
      <c r="L772" s="62">
        <v>0.0</v>
      </c>
      <c r="M772" s="62">
        <v>0.0</v>
      </c>
      <c r="N772" s="62">
        <v>0.0</v>
      </c>
      <c r="O772" s="62">
        <v>0.0</v>
      </c>
      <c r="P772" s="62">
        <v>0.0</v>
      </c>
      <c r="Q772" s="62">
        <v>0.0</v>
      </c>
      <c r="R772" s="62">
        <v>4075.0</v>
      </c>
      <c r="S772" s="62">
        <v>0.0</v>
      </c>
      <c r="T772" s="62">
        <v>0.0</v>
      </c>
      <c r="U772" s="62">
        <v>0.0</v>
      </c>
      <c r="V772" s="62">
        <v>0.0</v>
      </c>
      <c r="W772" s="62">
        <v>0.0</v>
      </c>
      <c r="X772" s="62">
        <v>0.0</v>
      </c>
      <c r="Y772" s="62">
        <v>0.0</v>
      </c>
      <c r="Z772" s="62">
        <v>0.0</v>
      </c>
      <c r="AA772" s="62">
        <v>0.0</v>
      </c>
      <c r="AB772" s="62">
        <v>0.0</v>
      </c>
      <c r="AC772" s="62">
        <v>0.0</v>
      </c>
      <c r="AD772" s="62">
        <v>0.0</v>
      </c>
      <c r="AE772" s="62">
        <v>0.0</v>
      </c>
      <c r="AF772" s="62">
        <v>0.0</v>
      </c>
    </row>
    <row r="773">
      <c r="A773" s="68">
        <v>46106.0</v>
      </c>
      <c r="B773" s="62" t="s">
        <v>65</v>
      </c>
      <c r="C773" s="62" t="s">
        <v>173</v>
      </c>
      <c r="D773" s="62">
        <v>0.0</v>
      </c>
      <c r="E773" s="62">
        <v>0.0</v>
      </c>
      <c r="F773" s="62">
        <v>1.0</v>
      </c>
      <c r="G773" s="62">
        <v>3.0</v>
      </c>
      <c r="H773" s="62">
        <v>5.0</v>
      </c>
      <c r="I773" s="62">
        <v>2.0</v>
      </c>
      <c r="J773" s="62">
        <v>5.0</v>
      </c>
      <c r="K773" s="62">
        <v>2.0</v>
      </c>
      <c r="L773" s="62">
        <v>0.0</v>
      </c>
      <c r="M773" s="62">
        <v>0.0</v>
      </c>
      <c r="N773" s="62">
        <v>3.0</v>
      </c>
      <c r="O773" s="62">
        <v>1.0</v>
      </c>
      <c r="P773" s="62">
        <v>3.0</v>
      </c>
      <c r="Q773" s="62">
        <v>0.0</v>
      </c>
      <c r="R773" s="62">
        <v>0.0</v>
      </c>
      <c r="S773" s="62">
        <v>0.0</v>
      </c>
      <c r="T773" s="62">
        <v>0.76</v>
      </c>
      <c r="U773" s="62">
        <v>0.278611111111111</v>
      </c>
      <c r="V773" s="62">
        <v>0.828611111111111</v>
      </c>
      <c r="W773" s="62">
        <v>1.31</v>
      </c>
      <c r="X773" s="62">
        <v>0.481388888888888</v>
      </c>
      <c r="Y773" s="62">
        <v>1.19833333333333</v>
      </c>
      <c r="Z773" s="62">
        <v>0.469444444444444</v>
      </c>
      <c r="AA773" s="62">
        <v>0.0</v>
      </c>
      <c r="AB773" s="62">
        <v>0.0</v>
      </c>
      <c r="AC773" s="62">
        <v>0.792777777777777</v>
      </c>
      <c r="AD773" s="62">
        <v>0.268055555555555</v>
      </c>
      <c r="AE773" s="62">
        <v>0.792777777777777</v>
      </c>
      <c r="AF773" s="62">
        <v>3.0</v>
      </c>
    </row>
    <row r="774">
      <c r="A774" s="68">
        <v>46106.0</v>
      </c>
      <c r="B774" s="62" t="s">
        <v>37</v>
      </c>
      <c r="C774" s="62" t="s">
        <v>174</v>
      </c>
      <c r="D774" s="62">
        <v>3.0</v>
      </c>
      <c r="E774" s="62">
        <v>2.0</v>
      </c>
      <c r="F774" s="62">
        <v>3.0</v>
      </c>
      <c r="G774" s="62">
        <v>2.0</v>
      </c>
      <c r="H774" s="62">
        <v>2.0</v>
      </c>
      <c r="I774" s="62">
        <v>0.0</v>
      </c>
      <c r="J774" s="62">
        <v>0.0</v>
      </c>
      <c r="K774" s="62">
        <v>3.0</v>
      </c>
      <c r="L774" s="62">
        <v>0.0</v>
      </c>
      <c r="M774" s="62">
        <v>3.0</v>
      </c>
      <c r="N774" s="62">
        <v>6.0</v>
      </c>
      <c r="O774" s="62">
        <v>1.0</v>
      </c>
      <c r="P774" s="62">
        <v>6.0</v>
      </c>
      <c r="Q774" s="62">
        <v>0.0</v>
      </c>
      <c r="R774" s="62">
        <v>7506.0</v>
      </c>
      <c r="S774" s="62">
        <v>4682.0</v>
      </c>
      <c r="T774" s="62">
        <v>1.17638888888888</v>
      </c>
      <c r="U774" s="62">
        <v>0.881944444444444</v>
      </c>
      <c r="V774" s="62">
        <v>0.626111111111111</v>
      </c>
      <c r="W774" s="62">
        <v>0.626111111111111</v>
      </c>
      <c r="X774" s="62">
        <v>0.0</v>
      </c>
      <c r="Y774" s="62">
        <v>0.0</v>
      </c>
      <c r="Z774" s="62">
        <v>0.887777777777777</v>
      </c>
      <c r="AA774" s="62">
        <v>0.0</v>
      </c>
      <c r="AB774" s="62">
        <v>0.887777777777777</v>
      </c>
      <c r="AC774" s="62">
        <v>1.69722222222222</v>
      </c>
      <c r="AD774" s="62">
        <v>0.258333333333333</v>
      </c>
      <c r="AE774" s="62">
        <v>1.69722222222222</v>
      </c>
      <c r="AF774" s="62">
        <v>4.0</v>
      </c>
    </row>
    <row r="775">
      <c r="A775" s="68">
        <v>46106.0</v>
      </c>
      <c r="B775" s="62" t="s">
        <v>91</v>
      </c>
      <c r="C775" s="62" t="s">
        <v>184</v>
      </c>
      <c r="D775" s="62">
        <v>0.0</v>
      </c>
      <c r="E775" s="62">
        <v>5.0</v>
      </c>
      <c r="F775" s="62">
        <v>0.0</v>
      </c>
      <c r="G775" s="62">
        <v>0.0</v>
      </c>
      <c r="H775" s="62">
        <v>0.0</v>
      </c>
      <c r="I775" s="62">
        <v>0.0</v>
      </c>
      <c r="J775" s="62">
        <v>0.0</v>
      </c>
      <c r="K775" s="62">
        <v>1.0</v>
      </c>
      <c r="L775" s="62">
        <v>1.0</v>
      </c>
      <c r="M775" s="62">
        <v>1.0</v>
      </c>
      <c r="N775" s="62">
        <v>0.0</v>
      </c>
      <c r="O775" s="62">
        <v>0.0</v>
      </c>
      <c r="P775" s="62">
        <v>0.0</v>
      </c>
      <c r="Q775" s="62">
        <v>0.0</v>
      </c>
      <c r="R775" s="62">
        <v>0.0</v>
      </c>
      <c r="S775" s="62">
        <v>8734.0</v>
      </c>
      <c r="T775" s="62">
        <v>0.0</v>
      </c>
      <c r="U775" s="62">
        <v>0.0</v>
      </c>
      <c r="V775" s="62">
        <v>0.0</v>
      </c>
      <c r="W775" s="62">
        <v>0.0</v>
      </c>
      <c r="X775" s="62">
        <v>0.0</v>
      </c>
      <c r="Y775" s="62">
        <v>0.0</v>
      </c>
      <c r="Z775" s="62">
        <v>0.223611111111111</v>
      </c>
      <c r="AA775" s="62">
        <v>0.223611111111111</v>
      </c>
      <c r="AB775" s="62">
        <v>0.225277777777777</v>
      </c>
      <c r="AC775" s="62">
        <v>0.0</v>
      </c>
      <c r="AD775" s="62">
        <v>0.0</v>
      </c>
      <c r="AE775" s="62">
        <v>0.0</v>
      </c>
      <c r="AF775" s="62">
        <v>0.0</v>
      </c>
    </row>
    <row r="776">
      <c r="A776" s="68">
        <v>46106.0</v>
      </c>
      <c r="B776" s="62" t="s">
        <v>84</v>
      </c>
      <c r="C776" s="62" t="s">
        <v>186</v>
      </c>
      <c r="D776" s="62">
        <v>0.0</v>
      </c>
      <c r="E776" s="62">
        <v>1.0</v>
      </c>
      <c r="F776" s="62">
        <v>2.0</v>
      </c>
      <c r="G776" s="62">
        <v>3.0</v>
      </c>
      <c r="H776" s="62">
        <v>3.0</v>
      </c>
      <c r="I776" s="62">
        <v>0.0</v>
      </c>
      <c r="J776" s="62">
        <v>4.0</v>
      </c>
      <c r="K776" s="62">
        <v>0.0</v>
      </c>
      <c r="L776" s="62">
        <v>0.0</v>
      </c>
      <c r="M776" s="62">
        <v>2.0</v>
      </c>
      <c r="N776" s="62">
        <v>3.0</v>
      </c>
      <c r="O776" s="62">
        <v>1.0</v>
      </c>
      <c r="P776" s="62">
        <v>3.0</v>
      </c>
      <c r="Q776" s="62">
        <v>0.0</v>
      </c>
      <c r="R776" s="62">
        <v>0.0</v>
      </c>
      <c r="S776" s="62">
        <v>2650.0</v>
      </c>
      <c r="T776" s="62">
        <v>0.265</v>
      </c>
      <c r="U776" s="62">
        <v>0.515555555555555</v>
      </c>
      <c r="V776" s="62">
        <v>0.706944444444444</v>
      </c>
      <c r="W776" s="62">
        <v>0.706944444444444</v>
      </c>
      <c r="X776" s="62">
        <v>0.0</v>
      </c>
      <c r="Y776" s="62">
        <v>0.943611111111111</v>
      </c>
      <c r="Z776" s="62">
        <v>0.0</v>
      </c>
      <c r="AA776" s="62">
        <v>0.0</v>
      </c>
      <c r="AB776" s="62">
        <v>0.473055555555555</v>
      </c>
      <c r="AC776" s="62">
        <v>0.713333333333333</v>
      </c>
      <c r="AD776" s="62">
        <v>0.287222222222222</v>
      </c>
      <c r="AE776" s="62">
        <v>0.713333333333333</v>
      </c>
      <c r="AF776" s="62">
        <v>1.0</v>
      </c>
    </row>
    <row r="777">
      <c r="A777" s="68">
        <v>46106.0</v>
      </c>
      <c r="B777" s="62" t="s">
        <v>26</v>
      </c>
      <c r="C777" s="62" t="s">
        <v>178</v>
      </c>
      <c r="D777" s="62">
        <v>0.0</v>
      </c>
      <c r="E777" s="62">
        <v>8.0</v>
      </c>
      <c r="F777" s="62">
        <v>1.0</v>
      </c>
      <c r="G777" s="62">
        <v>3.0</v>
      </c>
      <c r="H777" s="62">
        <v>2.0</v>
      </c>
      <c r="I777" s="62">
        <v>0.0</v>
      </c>
      <c r="J777" s="62">
        <v>6.0</v>
      </c>
      <c r="K777" s="62">
        <v>1.0</v>
      </c>
      <c r="L777" s="62">
        <v>1.0</v>
      </c>
      <c r="M777" s="62">
        <v>7.0</v>
      </c>
      <c r="N777" s="62">
        <v>9.0</v>
      </c>
      <c r="O777" s="62">
        <v>1.0</v>
      </c>
      <c r="P777" s="62">
        <v>9.0</v>
      </c>
      <c r="Q777" s="62">
        <v>0.0</v>
      </c>
      <c r="R777" s="62">
        <v>0.0</v>
      </c>
      <c r="S777" s="62">
        <v>18630.0</v>
      </c>
      <c r="T777" s="62">
        <v>2.21305555555555</v>
      </c>
      <c r="U777" s="62">
        <v>0.220555555555555</v>
      </c>
      <c r="V777" s="62">
        <v>0.620833333333333</v>
      </c>
      <c r="W777" s="62">
        <v>0.406111111111111</v>
      </c>
      <c r="X777" s="62">
        <v>0.0</v>
      </c>
      <c r="Y777" s="62">
        <v>1.24027777777777</v>
      </c>
      <c r="Z777" s="62">
        <v>0.214722222222222</v>
      </c>
      <c r="AA777" s="62">
        <v>0.214722222222222</v>
      </c>
      <c r="AB777" s="62">
        <v>1.43666666666666</v>
      </c>
      <c r="AC777" s="62">
        <v>2.05388888888888</v>
      </c>
      <c r="AD777" s="62">
        <v>0.202777777777777</v>
      </c>
      <c r="AE777" s="62">
        <v>2.05388888888888</v>
      </c>
      <c r="AF777" s="62">
        <v>11.0</v>
      </c>
    </row>
    <row r="778">
      <c r="A778" s="68">
        <v>46106.0</v>
      </c>
      <c r="B778" s="62" t="s">
        <v>62</v>
      </c>
      <c r="C778" s="62" t="s">
        <v>63</v>
      </c>
      <c r="D778" s="62">
        <v>5.0</v>
      </c>
      <c r="E778" s="62">
        <v>3.0</v>
      </c>
      <c r="F778" s="62">
        <v>0.0</v>
      </c>
      <c r="G778" s="62">
        <v>0.0</v>
      </c>
      <c r="H778" s="62">
        <v>1.0</v>
      </c>
      <c r="I778" s="62">
        <v>1.0</v>
      </c>
      <c r="J778" s="62">
        <v>4.0</v>
      </c>
      <c r="K778" s="62">
        <v>3.0</v>
      </c>
      <c r="L778" s="62">
        <v>0.0</v>
      </c>
      <c r="M778" s="62">
        <v>3.0</v>
      </c>
      <c r="N778" s="62">
        <v>2.0</v>
      </c>
      <c r="O778" s="62">
        <v>1.0</v>
      </c>
      <c r="P778" s="62">
        <v>2.0</v>
      </c>
      <c r="Q778" s="62">
        <v>0.0</v>
      </c>
      <c r="R778" s="62">
        <v>10957.0</v>
      </c>
      <c r="S778" s="62">
        <v>6948.0</v>
      </c>
      <c r="T778" s="62">
        <v>0.863333333333333</v>
      </c>
      <c r="U778" s="62">
        <v>0.0</v>
      </c>
      <c r="V778" s="62">
        <v>0.0</v>
      </c>
      <c r="W778" s="62">
        <v>0.223888888888888</v>
      </c>
      <c r="X778" s="62">
        <v>0.223888888888888</v>
      </c>
      <c r="Y778" s="62">
        <v>0.866111111111111</v>
      </c>
      <c r="Z778" s="62">
        <v>0.647777777777777</v>
      </c>
      <c r="AA778" s="62">
        <v>0.0</v>
      </c>
      <c r="AB778" s="62">
        <v>0.639722222222222</v>
      </c>
      <c r="AC778" s="62">
        <v>0.434444444444444</v>
      </c>
      <c r="AD778" s="62">
        <v>0.211944444444444</v>
      </c>
      <c r="AE778" s="62">
        <v>0.434444444444444</v>
      </c>
      <c r="AF778" s="62">
        <v>4.0</v>
      </c>
    </row>
    <row r="779">
      <c r="A779" s="68">
        <v>46105.0</v>
      </c>
      <c r="B779" s="62" t="s">
        <v>79</v>
      </c>
      <c r="C779" s="62" t="s">
        <v>162</v>
      </c>
      <c r="D779" s="62">
        <v>0.0</v>
      </c>
      <c r="E779" s="62">
        <v>0.0</v>
      </c>
      <c r="F779" s="62">
        <v>0.0</v>
      </c>
      <c r="G779" s="62">
        <v>0.0</v>
      </c>
      <c r="H779" s="62">
        <v>0.0</v>
      </c>
      <c r="I779" s="62">
        <v>0.0</v>
      </c>
      <c r="J779" s="62">
        <v>1.0</v>
      </c>
      <c r="K779" s="62">
        <v>2.0</v>
      </c>
      <c r="L779" s="62">
        <v>0.0</v>
      </c>
      <c r="M779" s="62">
        <v>0.0</v>
      </c>
      <c r="N779" s="62">
        <v>0.0</v>
      </c>
      <c r="O779" s="62">
        <v>1.0</v>
      </c>
      <c r="P779" s="62">
        <v>0.0</v>
      </c>
      <c r="Q779" s="62">
        <v>0.0</v>
      </c>
      <c r="R779" s="62">
        <v>0.0</v>
      </c>
      <c r="S779" s="62">
        <v>0.0</v>
      </c>
      <c r="T779" s="62">
        <v>0.0</v>
      </c>
      <c r="U779" s="62">
        <v>0.0</v>
      </c>
      <c r="V779" s="62">
        <v>0.0</v>
      </c>
      <c r="W779" s="62">
        <v>0.0</v>
      </c>
      <c r="X779" s="62">
        <v>0.0</v>
      </c>
      <c r="Y779" s="62">
        <v>0.173888888888888</v>
      </c>
      <c r="Z779" s="62">
        <v>0.368055555555555</v>
      </c>
      <c r="AA779" s="62">
        <v>0.0</v>
      </c>
      <c r="AB779" s="62">
        <v>0.0</v>
      </c>
      <c r="AC779" s="62">
        <v>0.0</v>
      </c>
      <c r="AD779" s="62">
        <v>0.198333333333333</v>
      </c>
      <c r="AE779" s="62">
        <v>0.0</v>
      </c>
      <c r="AF779" s="62">
        <v>0.0</v>
      </c>
    </row>
    <row r="780">
      <c r="A780" s="68">
        <v>46105.0</v>
      </c>
      <c r="B780" s="62" t="s">
        <v>71</v>
      </c>
      <c r="C780" s="62" t="s">
        <v>163</v>
      </c>
      <c r="D780" s="62">
        <v>0.0</v>
      </c>
      <c r="E780" s="62">
        <v>1.0</v>
      </c>
      <c r="F780" s="62">
        <v>2.0</v>
      </c>
      <c r="G780" s="62">
        <v>0.0</v>
      </c>
      <c r="H780" s="62">
        <v>0.0</v>
      </c>
      <c r="I780" s="62">
        <v>0.0</v>
      </c>
      <c r="J780" s="62">
        <v>0.0</v>
      </c>
      <c r="K780" s="62">
        <v>0.0</v>
      </c>
      <c r="L780" s="62">
        <v>0.0</v>
      </c>
      <c r="M780" s="62">
        <v>0.0</v>
      </c>
      <c r="N780" s="62">
        <v>1.0</v>
      </c>
      <c r="O780" s="62">
        <v>1.0</v>
      </c>
      <c r="P780" s="62">
        <v>1.0</v>
      </c>
      <c r="Q780" s="62">
        <v>0.0</v>
      </c>
      <c r="R780" s="62">
        <v>0.0</v>
      </c>
      <c r="S780" s="62">
        <v>2595.0</v>
      </c>
      <c r="T780" s="62">
        <v>0.527777777777777</v>
      </c>
      <c r="U780" s="62">
        <v>0.527777777777777</v>
      </c>
      <c r="V780" s="62">
        <v>0.0</v>
      </c>
      <c r="W780" s="62">
        <v>0.0</v>
      </c>
      <c r="X780" s="62">
        <v>0.0</v>
      </c>
      <c r="Y780" s="62">
        <v>0.0</v>
      </c>
      <c r="Z780" s="62">
        <v>0.0</v>
      </c>
      <c r="AA780" s="62">
        <v>0.0</v>
      </c>
      <c r="AB780" s="62">
        <v>0.0</v>
      </c>
      <c r="AC780" s="62">
        <v>0.242222222222222</v>
      </c>
      <c r="AD780" s="62">
        <v>0.295277777777777</v>
      </c>
      <c r="AE780" s="62">
        <v>0.242222222222222</v>
      </c>
      <c r="AF780" s="62">
        <v>2.0</v>
      </c>
    </row>
    <row r="781">
      <c r="A781" s="68">
        <v>46105.0</v>
      </c>
      <c r="B781" s="62" t="s">
        <v>76</v>
      </c>
      <c r="C781" s="62" t="s">
        <v>165</v>
      </c>
      <c r="D781" s="62">
        <v>0.0</v>
      </c>
      <c r="E781" s="62">
        <v>5.0</v>
      </c>
      <c r="F781" s="62">
        <v>2.0</v>
      </c>
      <c r="G781" s="62">
        <v>4.0</v>
      </c>
      <c r="H781" s="62">
        <v>6.0</v>
      </c>
      <c r="I781" s="62">
        <v>2.0</v>
      </c>
      <c r="J781" s="62">
        <v>0.0</v>
      </c>
      <c r="K781" s="62">
        <v>0.0</v>
      </c>
      <c r="L781" s="62">
        <v>0.0</v>
      </c>
      <c r="M781" s="62">
        <v>0.0</v>
      </c>
      <c r="N781" s="62">
        <v>0.0</v>
      </c>
      <c r="O781" s="62">
        <v>1.0</v>
      </c>
      <c r="P781" s="62">
        <v>0.0</v>
      </c>
      <c r="Q781" s="62">
        <v>0.0</v>
      </c>
      <c r="R781" s="62">
        <v>0.0</v>
      </c>
      <c r="S781" s="62">
        <v>13080.0</v>
      </c>
      <c r="T781" s="62">
        <v>1.18194444444444</v>
      </c>
      <c r="U781" s="62">
        <v>0.5625</v>
      </c>
      <c r="V781" s="62">
        <v>1.08833333333333</v>
      </c>
      <c r="W781" s="62">
        <v>1.70777777777777</v>
      </c>
      <c r="X781" s="62">
        <v>0.619444444444444</v>
      </c>
      <c r="Y781" s="62">
        <v>0.0</v>
      </c>
      <c r="Z781" s="62">
        <v>0.0</v>
      </c>
      <c r="AA781" s="62">
        <v>0.0</v>
      </c>
      <c r="AB781" s="62">
        <v>0.0</v>
      </c>
      <c r="AC781" s="62">
        <v>0.0</v>
      </c>
      <c r="AD781" s="62">
        <v>0.238611111111111</v>
      </c>
      <c r="AE781" s="62">
        <v>0.0</v>
      </c>
      <c r="AF781" s="62">
        <v>4.0</v>
      </c>
    </row>
    <row r="782">
      <c r="A782" s="68">
        <v>46105.0</v>
      </c>
      <c r="B782" s="62" t="s">
        <v>104</v>
      </c>
      <c r="C782" s="62" t="s">
        <v>166</v>
      </c>
      <c r="D782" s="62">
        <v>5.0</v>
      </c>
      <c r="E782" s="62">
        <v>4.0</v>
      </c>
      <c r="F782" s="62">
        <v>0.0</v>
      </c>
      <c r="G782" s="62">
        <v>0.0</v>
      </c>
      <c r="H782" s="62">
        <v>4.0</v>
      </c>
      <c r="I782" s="62">
        <v>3.0</v>
      </c>
      <c r="J782" s="62">
        <v>1.0</v>
      </c>
      <c r="K782" s="62">
        <v>1.0</v>
      </c>
      <c r="L782" s="62">
        <v>0.0</v>
      </c>
      <c r="M782" s="62">
        <v>0.0</v>
      </c>
      <c r="N782" s="62">
        <v>0.0</v>
      </c>
      <c r="O782" s="62">
        <v>0.0</v>
      </c>
      <c r="P782" s="62">
        <v>0.0</v>
      </c>
      <c r="Q782" s="62">
        <v>0.0</v>
      </c>
      <c r="R782" s="62">
        <v>10414.0</v>
      </c>
      <c r="S782" s="62">
        <v>9819.0</v>
      </c>
      <c r="T782" s="62">
        <v>0.639166666666666</v>
      </c>
      <c r="U782" s="62">
        <v>0.0</v>
      </c>
      <c r="V782" s="62">
        <v>0.0</v>
      </c>
      <c r="W782" s="62">
        <v>0.859444444444444</v>
      </c>
      <c r="X782" s="62">
        <v>0.641666666666666</v>
      </c>
      <c r="Y782" s="62">
        <v>0.217777777777777</v>
      </c>
      <c r="Z782" s="62">
        <v>0.217777777777777</v>
      </c>
      <c r="AA782" s="62">
        <v>0.0</v>
      </c>
      <c r="AB782" s="62">
        <v>0.0</v>
      </c>
      <c r="AC782" s="62">
        <v>0.0</v>
      </c>
      <c r="AD782" s="62">
        <v>0.0</v>
      </c>
      <c r="AE782" s="62">
        <v>0.0</v>
      </c>
      <c r="AF782" s="62">
        <v>3.0</v>
      </c>
    </row>
    <row r="783">
      <c r="A783" s="68">
        <v>46105.0</v>
      </c>
      <c r="B783" s="62" t="s">
        <v>32</v>
      </c>
      <c r="C783" s="62" t="s">
        <v>168</v>
      </c>
      <c r="D783" s="62">
        <v>5.0</v>
      </c>
      <c r="E783" s="62">
        <v>5.0</v>
      </c>
      <c r="F783" s="62">
        <v>1.0</v>
      </c>
      <c r="G783" s="62">
        <v>0.0</v>
      </c>
      <c r="H783" s="62">
        <v>1.0</v>
      </c>
      <c r="I783" s="62">
        <v>1.0</v>
      </c>
      <c r="J783" s="62">
        <v>2.0</v>
      </c>
      <c r="K783" s="62">
        <v>0.0</v>
      </c>
      <c r="L783" s="62">
        <v>0.0</v>
      </c>
      <c r="M783" s="62">
        <v>2.0</v>
      </c>
      <c r="N783" s="62">
        <v>0.0</v>
      </c>
      <c r="O783" s="62">
        <v>1.0</v>
      </c>
      <c r="P783" s="62">
        <v>0.0</v>
      </c>
      <c r="Q783" s="62">
        <v>0.0</v>
      </c>
      <c r="R783" s="62">
        <v>12182.0</v>
      </c>
      <c r="S783" s="62">
        <v>12182.0</v>
      </c>
      <c r="T783" s="62">
        <v>0.219166666666666</v>
      </c>
      <c r="U783" s="62">
        <v>0.219166666666666</v>
      </c>
      <c r="V783" s="62">
        <v>0.0</v>
      </c>
      <c r="W783" s="62">
        <v>0.232777777777777</v>
      </c>
      <c r="X783" s="62">
        <v>0.232777777777777</v>
      </c>
      <c r="Y783" s="62">
        <v>0.483888888888888</v>
      </c>
      <c r="Z783" s="62">
        <v>0.0</v>
      </c>
      <c r="AA783" s="62">
        <v>0.0</v>
      </c>
      <c r="AB783" s="62">
        <v>0.472222222222222</v>
      </c>
      <c r="AC783" s="62">
        <v>0.0</v>
      </c>
      <c r="AD783" s="62">
        <v>0.213611111111111</v>
      </c>
      <c r="AE783" s="62">
        <v>0.0</v>
      </c>
      <c r="AF783" s="62">
        <v>1.0</v>
      </c>
    </row>
    <row r="784">
      <c r="A784" s="68">
        <v>46105.0</v>
      </c>
      <c r="B784" s="62" t="s">
        <v>65</v>
      </c>
      <c r="C784" s="62" t="s">
        <v>173</v>
      </c>
      <c r="D784" s="62">
        <v>0.0</v>
      </c>
      <c r="E784" s="62">
        <v>0.0</v>
      </c>
      <c r="F784" s="62">
        <v>2.0</v>
      </c>
      <c r="G784" s="62">
        <v>3.0</v>
      </c>
      <c r="H784" s="62">
        <v>4.0</v>
      </c>
      <c r="I784" s="62">
        <v>1.0</v>
      </c>
      <c r="J784" s="62">
        <v>0.0</v>
      </c>
      <c r="K784" s="62">
        <v>0.0</v>
      </c>
      <c r="L784" s="62">
        <v>0.0</v>
      </c>
      <c r="M784" s="62">
        <v>3.0</v>
      </c>
      <c r="N784" s="62">
        <v>0.0</v>
      </c>
      <c r="O784" s="62">
        <v>1.0</v>
      </c>
      <c r="P784" s="62">
        <v>0.0</v>
      </c>
      <c r="Q784" s="62">
        <v>0.0</v>
      </c>
      <c r="R784" s="62">
        <v>0.0</v>
      </c>
      <c r="S784" s="62">
        <v>0.0</v>
      </c>
      <c r="T784" s="62">
        <v>0.728611111111111</v>
      </c>
      <c r="U784" s="62">
        <v>0.514166666666666</v>
      </c>
      <c r="V784" s="62">
        <v>0.676388888888888</v>
      </c>
      <c r="W784" s="62">
        <v>0.890833333333333</v>
      </c>
      <c r="X784" s="62">
        <v>0.214444444444444</v>
      </c>
      <c r="Y784" s="62">
        <v>0.0</v>
      </c>
      <c r="Z784" s="62">
        <v>0.0</v>
      </c>
      <c r="AA784" s="62">
        <v>0.0</v>
      </c>
      <c r="AB784" s="62">
        <v>0.792777777777777</v>
      </c>
      <c r="AC784" s="62">
        <v>0.0</v>
      </c>
      <c r="AD784" s="62">
        <v>0.441388888888888</v>
      </c>
      <c r="AE784" s="62">
        <v>0.0</v>
      </c>
      <c r="AF784" s="62">
        <v>3.0</v>
      </c>
    </row>
    <row r="785">
      <c r="A785" s="68">
        <v>46105.0</v>
      </c>
      <c r="B785" s="62" t="s">
        <v>37</v>
      </c>
      <c r="C785" s="62" t="s">
        <v>174</v>
      </c>
      <c r="D785" s="62">
        <v>6.0</v>
      </c>
      <c r="E785" s="62">
        <v>4.0</v>
      </c>
      <c r="F785" s="62">
        <v>4.0</v>
      </c>
      <c r="G785" s="62">
        <v>3.0</v>
      </c>
      <c r="H785" s="62">
        <v>3.0</v>
      </c>
      <c r="I785" s="62">
        <v>0.0</v>
      </c>
      <c r="J785" s="62">
        <v>3.0</v>
      </c>
      <c r="K785" s="62">
        <v>0.0</v>
      </c>
      <c r="L785" s="62">
        <v>0.0</v>
      </c>
      <c r="M785" s="62">
        <v>2.0</v>
      </c>
      <c r="N785" s="62">
        <v>1.0</v>
      </c>
      <c r="O785" s="62">
        <v>1.0</v>
      </c>
      <c r="P785" s="62">
        <v>1.0</v>
      </c>
      <c r="Q785" s="62">
        <v>0.0</v>
      </c>
      <c r="R785" s="62">
        <v>14977.0</v>
      </c>
      <c r="S785" s="62">
        <v>9836.0</v>
      </c>
      <c r="T785" s="62">
        <v>0.0</v>
      </c>
      <c r="U785" s="62">
        <v>1.22583333333333</v>
      </c>
      <c r="V785" s="62">
        <v>0.887777777777777</v>
      </c>
      <c r="W785" s="62">
        <v>0.887777777777777</v>
      </c>
      <c r="X785" s="62">
        <v>0.0</v>
      </c>
      <c r="Y785" s="62">
        <v>0.887777777777777</v>
      </c>
      <c r="Z785" s="62">
        <v>0.0</v>
      </c>
      <c r="AA785" s="62">
        <v>0.0</v>
      </c>
      <c r="AB785" s="62">
        <v>0.528055555555555</v>
      </c>
      <c r="AC785" s="62">
        <v>0.295</v>
      </c>
      <c r="AD785" s="62">
        <v>0.266388888888888</v>
      </c>
      <c r="AE785" s="62">
        <v>0.295</v>
      </c>
      <c r="AF785" s="62">
        <v>0.0</v>
      </c>
    </row>
    <row r="786">
      <c r="A786" s="68">
        <v>46105.0</v>
      </c>
      <c r="B786" s="62" t="s">
        <v>91</v>
      </c>
      <c r="C786" s="62" t="s">
        <v>184</v>
      </c>
      <c r="D786" s="62">
        <v>0.0</v>
      </c>
      <c r="E786" s="62">
        <v>0.0</v>
      </c>
      <c r="F786" s="62">
        <v>0.0</v>
      </c>
      <c r="G786" s="62">
        <v>0.0</v>
      </c>
      <c r="H786" s="62">
        <v>1.0</v>
      </c>
      <c r="I786" s="62">
        <v>1.0</v>
      </c>
      <c r="J786" s="62">
        <v>1.0</v>
      </c>
      <c r="K786" s="62">
        <v>0.0</v>
      </c>
      <c r="L786" s="62">
        <v>0.0</v>
      </c>
      <c r="M786" s="62">
        <v>0.0</v>
      </c>
      <c r="N786" s="62">
        <v>0.0</v>
      </c>
      <c r="O786" s="62">
        <v>0.0</v>
      </c>
      <c r="P786" s="62">
        <v>0.0</v>
      </c>
      <c r="Q786" s="62">
        <v>0.0</v>
      </c>
      <c r="R786" s="62">
        <v>0.0</v>
      </c>
      <c r="S786" s="62">
        <v>0.0</v>
      </c>
      <c r="T786" s="62">
        <v>0.221944444444444</v>
      </c>
      <c r="U786" s="62">
        <v>0.0</v>
      </c>
      <c r="V786" s="62">
        <v>0.0</v>
      </c>
      <c r="W786" s="62">
        <v>0.221944444444444</v>
      </c>
      <c r="X786" s="62">
        <v>0.221944444444444</v>
      </c>
      <c r="Y786" s="62">
        <v>0.223611111111111</v>
      </c>
      <c r="Z786" s="62">
        <v>0.0</v>
      </c>
      <c r="AA786" s="62">
        <v>0.0</v>
      </c>
      <c r="AB786" s="62">
        <v>0.0</v>
      </c>
      <c r="AC786" s="62">
        <v>0.0</v>
      </c>
      <c r="AD786" s="62">
        <v>0.0</v>
      </c>
      <c r="AE786" s="62">
        <v>0.0</v>
      </c>
      <c r="AF786" s="62">
        <v>1.0</v>
      </c>
    </row>
    <row r="787">
      <c r="A787" s="68">
        <v>46105.0</v>
      </c>
      <c r="B787" s="62" t="s">
        <v>84</v>
      </c>
      <c r="C787" s="62" t="s">
        <v>186</v>
      </c>
      <c r="D787" s="62">
        <v>0.0</v>
      </c>
      <c r="E787" s="62">
        <v>3.0</v>
      </c>
      <c r="F787" s="62">
        <v>4.0</v>
      </c>
      <c r="G787" s="62">
        <v>1.0</v>
      </c>
      <c r="H787" s="62">
        <v>1.0</v>
      </c>
      <c r="I787" s="62">
        <v>1.0</v>
      </c>
      <c r="J787" s="62">
        <v>1.0</v>
      </c>
      <c r="K787" s="62">
        <v>1.0</v>
      </c>
      <c r="L787" s="62">
        <v>1.0</v>
      </c>
      <c r="M787" s="62">
        <v>2.0</v>
      </c>
      <c r="N787" s="62">
        <v>1.0</v>
      </c>
      <c r="O787" s="62">
        <v>1.0</v>
      </c>
      <c r="P787" s="62">
        <v>1.0</v>
      </c>
      <c r="Q787" s="62">
        <v>0.0</v>
      </c>
      <c r="R787" s="62">
        <v>0.0</v>
      </c>
      <c r="S787" s="62">
        <v>6992.0</v>
      </c>
      <c r="T787" s="62">
        <v>0.515555555555555</v>
      </c>
      <c r="U787" s="62">
        <v>0.982499999999999</v>
      </c>
      <c r="V787" s="62">
        <v>0.24</v>
      </c>
      <c r="W787" s="62">
        <v>0.24</v>
      </c>
      <c r="X787" s="62">
        <v>0.236111111111111</v>
      </c>
      <c r="Y787" s="62">
        <v>0.236388888888888</v>
      </c>
      <c r="Z787" s="62">
        <v>0.246111111111111</v>
      </c>
      <c r="AA787" s="62">
        <v>0.246111111111111</v>
      </c>
      <c r="AB787" s="62">
        <v>0.486388888888888</v>
      </c>
      <c r="AC787" s="62">
        <v>0.246111111111111</v>
      </c>
      <c r="AD787" s="62">
        <v>0.309166666666666</v>
      </c>
      <c r="AE787" s="62">
        <v>0.246111111111111</v>
      </c>
      <c r="AF787" s="62">
        <v>2.0</v>
      </c>
    </row>
    <row r="788">
      <c r="A788" s="68">
        <v>46105.0</v>
      </c>
      <c r="B788" s="62" t="s">
        <v>26</v>
      </c>
      <c r="C788" s="62" t="s">
        <v>178</v>
      </c>
      <c r="D788" s="62">
        <v>6.0</v>
      </c>
      <c r="E788" s="62">
        <v>5.0</v>
      </c>
      <c r="F788" s="62">
        <v>5.0</v>
      </c>
      <c r="G788" s="62">
        <v>3.0</v>
      </c>
      <c r="H788" s="62">
        <v>11.0</v>
      </c>
      <c r="I788" s="62">
        <v>8.0</v>
      </c>
      <c r="J788" s="62">
        <v>9.0</v>
      </c>
      <c r="K788" s="62">
        <v>0.0</v>
      </c>
      <c r="L788" s="62">
        <v>0.0</v>
      </c>
      <c r="M788" s="62">
        <v>9.0</v>
      </c>
      <c r="N788" s="62">
        <v>0.0</v>
      </c>
      <c r="O788" s="62">
        <v>1.0</v>
      </c>
      <c r="P788" s="62">
        <v>0.0</v>
      </c>
      <c r="Q788" s="62">
        <v>0.0</v>
      </c>
      <c r="R788" s="62">
        <v>12719.0</v>
      </c>
      <c r="S788" s="62">
        <v>10624.0</v>
      </c>
      <c r="T788" s="62">
        <v>1.00555555555555</v>
      </c>
      <c r="U788" s="62">
        <v>0.994444444444444</v>
      </c>
      <c r="V788" s="62">
        <v>0.702777777777777</v>
      </c>
      <c r="W788" s="62">
        <v>2.39166666666666</v>
      </c>
      <c r="X788" s="62">
        <v>1.68888888888888</v>
      </c>
      <c r="Y788" s="62">
        <v>2.00472222222222</v>
      </c>
      <c r="Z788" s="62">
        <v>0.0</v>
      </c>
      <c r="AA788" s="62">
        <v>0.0</v>
      </c>
      <c r="AB788" s="62">
        <v>2.05916666666666</v>
      </c>
      <c r="AC788" s="62">
        <v>0.0</v>
      </c>
      <c r="AD788" s="62">
        <v>0.217777777777777</v>
      </c>
      <c r="AE788" s="62">
        <v>0.0</v>
      </c>
      <c r="AF788" s="62">
        <v>5.0</v>
      </c>
    </row>
    <row r="789">
      <c r="A789" s="68">
        <v>46105.0</v>
      </c>
      <c r="B789" s="62" t="s">
        <v>62</v>
      </c>
      <c r="C789" s="62" t="s">
        <v>63</v>
      </c>
      <c r="D789" s="62">
        <v>0.0</v>
      </c>
      <c r="E789" s="62">
        <v>3.0</v>
      </c>
      <c r="F789" s="62">
        <v>0.0</v>
      </c>
      <c r="G789" s="62">
        <v>0.0</v>
      </c>
      <c r="H789" s="62">
        <v>0.0</v>
      </c>
      <c r="I789" s="62">
        <v>0.0</v>
      </c>
      <c r="J789" s="62">
        <v>4.0</v>
      </c>
      <c r="K789" s="62">
        <v>0.0</v>
      </c>
      <c r="L789" s="62">
        <v>0.0</v>
      </c>
      <c r="M789" s="62">
        <v>0.0</v>
      </c>
      <c r="N789" s="62">
        <v>0.0</v>
      </c>
      <c r="O789" s="62">
        <v>1.0</v>
      </c>
      <c r="P789" s="62">
        <v>0.0</v>
      </c>
      <c r="Q789" s="62">
        <v>0.0</v>
      </c>
      <c r="R789" s="62">
        <v>0.0</v>
      </c>
      <c r="S789" s="62">
        <v>7619.0</v>
      </c>
      <c r="T789" s="62">
        <v>0.223888888888888</v>
      </c>
      <c r="U789" s="62">
        <v>0.0</v>
      </c>
      <c r="V789" s="62">
        <v>0.0</v>
      </c>
      <c r="W789" s="62">
        <v>0.0</v>
      </c>
      <c r="X789" s="62">
        <v>0.0</v>
      </c>
      <c r="Y789" s="62">
        <v>0.869166666666666</v>
      </c>
      <c r="Z789" s="62">
        <v>0.0</v>
      </c>
      <c r="AA789" s="62">
        <v>0.0</v>
      </c>
      <c r="AB789" s="62">
        <v>0.0</v>
      </c>
      <c r="AC789" s="62">
        <v>0.0</v>
      </c>
      <c r="AD789" s="62">
        <v>0.237222222222222</v>
      </c>
      <c r="AE789" s="62">
        <v>0.0</v>
      </c>
      <c r="AF789" s="62">
        <v>1.0</v>
      </c>
    </row>
    <row r="790">
      <c r="A790" s="68">
        <v>46104.0</v>
      </c>
      <c r="B790" s="62" t="s">
        <v>79</v>
      </c>
      <c r="C790" s="62" t="s">
        <v>162</v>
      </c>
      <c r="D790" s="62">
        <v>0.0</v>
      </c>
      <c r="E790" s="62">
        <v>0.0</v>
      </c>
      <c r="F790" s="62">
        <v>3.0</v>
      </c>
      <c r="G790" s="62">
        <v>1.0</v>
      </c>
      <c r="H790" s="62">
        <v>2.0</v>
      </c>
      <c r="I790" s="62">
        <v>1.0</v>
      </c>
      <c r="J790" s="62">
        <v>1.0</v>
      </c>
      <c r="K790" s="62">
        <v>4.0</v>
      </c>
      <c r="L790" s="62">
        <v>4.0</v>
      </c>
      <c r="M790" s="62">
        <v>4.0</v>
      </c>
      <c r="N790" s="62">
        <v>4.0</v>
      </c>
      <c r="O790" s="62">
        <v>1.0</v>
      </c>
      <c r="P790" s="62">
        <v>4.0</v>
      </c>
      <c r="Q790" s="62">
        <v>0.0</v>
      </c>
      <c r="R790" s="62">
        <v>0.0</v>
      </c>
      <c r="S790" s="62">
        <v>0.0</v>
      </c>
      <c r="T790" s="62">
        <v>0.376944444444444</v>
      </c>
      <c r="U790" s="62">
        <v>0.552777777777777</v>
      </c>
      <c r="V790" s="62">
        <v>0.173888888888888</v>
      </c>
      <c r="W790" s="62">
        <v>0.368888888888888</v>
      </c>
      <c r="X790" s="62">
        <v>0.195</v>
      </c>
      <c r="Y790" s="62">
        <v>0.194166666666666</v>
      </c>
      <c r="Z790" s="62">
        <v>0.713333333333333</v>
      </c>
      <c r="AA790" s="62">
        <v>0.713333333333333</v>
      </c>
      <c r="AB790" s="62">
        <v>0.713333333333333</v>
      </c>
      <c r="AC790" s="62">
        <v>0.713333333333333</v>
      </c>
      <c r="AD790" s="62">
        <v>0.203611111111111</v>
      </c>
      <c r="AE790" s="62">
        <v>0.713333333333333</v>
      </c>
      <c r="AF790" s="62">
        <v>2.0</v>
      </c>
    </row>
    <row r="791">
      <c r="A791" s="68">
        <v>46104.0</v>
      </c>
      <c r="B791" s="62" t="s">
        <v>71</v>
      </c>
      <c r="C791" s="62" t="s">
        <v>163</v>
      </c>
      <c r="D791" s="62">
        <v>9.0</v>
      </c>
      <c r="E791" s="62">
        <v>5.0</v>
      </c>
      <c r="F791" s="62">
        <v>2.0</v>
      </c>
      <c r="G791" s="62">
        <v>0.0</v>
      </c>
      <c r="H791" s="62">
        <v>1.0</v>
      </c>
      <c r="I791" s="62">
        <v>1.0</v>
      </c>
      <c r="J791" s="62">
        <v>0.0</v>
      </c>
      <c r="K791" s="62">
        <v>1.0</v>
      </c>
      <c r="L791" s="62">
        <v>0.0</v>
      </c>
      <c r="M791" s="62">
        <v>2.0</v>
      </c>
      <c r="N791" s="62">
        <v>1.0</v>
      </c>
      <c r="O791" s="62">
        <v>1.0</v>
      </c>
      <c r="P791" s="62">
        <v>1.0</v>
      </c>
      <c r="Q791" s="62">
        <v>0.0</v>
      </c>
      <c r="R791" s="62">
        <v>24148.0</v>
      </c>
      <c r="S791" s="62">
        <v>13563.0</v>
      </c>
      <c r="T791" s="62">
        <v>0.735</v>
      </c>
      <c r="U791" s="62">
        <v>0.491944444444444</v>
      </c>
      <c r="V791" s="62">
        <v>0.0</v>
      </c>
      <c r="W791" s="62">
        <v>0.243055555555555</v>
      </c>
      <c r="X791" s="62">
        <v>0.243055555555555</v>
      </c>
      <c r="Y791" s="62">
        <v>0.0</v>
      </c>
      <c r="Z791" s="62">
        <v>0.242222222222222</v>
      </c>
      <c r="AA791" s="62">
        <v>0.0</v>
      </c>
      <c r="AB791" s="62">
        <v>0.486666666666666</v>
      </c>
      <c r="AC791" s="62">
        <v>0.244444444444444</v>
      </c>
      <c r="AD791" s="62">
        <v>0.278055555555555</v>
      </c>
      <c r="AE791" s="62">
        <v>0.244444444444444</v>
      </c>
      <c r="AF791" s="62">
        <v>3.0</v>
      </c>
    </row>
    <row r="792">
      <c r="A792" s="68">
        <v>46104.0</v>
      </c>
      <c r="B792" s="62" t="s">
        <v>76</v>
      </c>
      <c r="C792" s="62" t="s">
        <v>165</v>
      </c>
      <c r="D792" s="62">
        <v>0.0</v>
      </c>
      <c r="E792" s="62">
        <v>4.0</v>
      </c>
      <c r="F792" s="62">
        <v>4.0</v>
      </c>
      <c r="G792" s="62">
        <v>1.0</v>
      </c>
      <c r="H792" s="62">
        <v>1.0</v>
      </c>
      <c r="I792" s="62">
        <v>0.0</v>
      </c>
      <c r="J792" s="62">
        <v>1.0</v>
      </c>
      <c r="K792" s="62">
        <v>4.0</v>
      </c>
      <c r="L792" s="62">
        <v>3.0</v>
      </c>
      <c r="M792" s="62">
        <v>8.0</v>
      </c>
      <c r="N792" s="62">
        <v>7.0</v>
      </c>
      <c r="O792" s="62">
        <v>1.0</v>
      </c>
      <c r="P792" s="62">
        <v>7.0</v>
      </c>
      <c r="Q792" s="62">
        <v>0.0</v>
      </c>
      <c r="R792" s="62">
        <v>0.0</v>
      </c>
      <c r="S792" s="62">
        <v>10422.0</v>
      </c>
      <c r="T792" s="62">
        <v>1.08555555555555</v>
      </c>
      <c r="U792" s="62">
        <v>1.08555555555555</v>
      </c>
      <c r="V792" s="62">
        <v>0.283333333333333</v>
      </c>
      <c r="W792" s="62">
        <v>0.283333333333333</v>
      </c>
      <c r="X792" s="62">
        <v>0.0</v>
      </c>
      <c r="Y792" s="62">
        <v>0.283333333333333</v>
      </c>
      <c r="Z792" s="62">
        <v>0.997222222222222</v>
      </c>
      <c r="AA792" s="62">
        <v>0.786944444444444</v>
      </c>
      <c r="AB792" s="62">
        <v>2.11194444444444</v>
      </c>
      <c r="AC792" s="62">
        <v>1.81055555555555</v>
      </c>
      <c r="AD792" s="62">
        <v>0.242222222222222</v>
      </c>
      <c r="AE792" s="62">
        <v>1.81055555555555</v>
      </c>
      <c r="AF792" s="62">
        <v>4.0</v>
      </c>
    </row>
    <row r="793">
      <c r="A793" s="68">
        <v>46104.0</v>
      </c>
      <c r="B793" s="62" t="s">
        <v>104</v>
      </c>
      <c r="C793" s="62" t="s">
        <v>166</v>
      </c>
      <c r="D793" s="62">
        <v>1.0</v>
      </c>
      <c r="E793" s="62">
        <v>3.0</v>
      </c>
      <c r="F793" s="62">
        <v>0.0</v>
      </c>
      <c r="G793" s="62">
        <v>0.0</v>
      </c>
      <c r="H793" s="62">
        <v>0.0</v>
      </c>
      <c r="I793" s="62">
        <v>0.0</v>
      </c>
      <c r="J793" s="62">
        <v>0.0</v>
      </c>
      <c r="K793" s="62">
        <v>0.0</v>
      </c>
      <c r="L793" s="62">
        <v>0.0</v>
      </c>
      <c r="M793" s="62">
        <v>0.0</v>
      </c>
      <c r="N793" s="62">
        <v>0.0</v>
      </c>
      <c r="O793" s="62">
        <v>0.0</v>
      </c>
      <c r="P793" s="62">
        <v>0.0</v>
      </c>
      <c r="Q793" s="62">
        <v>0.0</v>
      </c>
      <c r="R793" s="62">
        <v>2527.0</v>
      </c>
      <c r="S793" s="62">
        <v>7524.0</v>
      </c>
      <c r="T793" s="62">
        <v>0.641666666666666</v>
      </c>
      <c r="U793" s="62">
        <v>0.0</v>
      </c>
      <c r="V793" s="62">
        <v>0.0</v>
      </c>
      <c r="W793" s="62">
        <v>0.0</v>
      </c>
      <c r="X793" s="62">
        <v>0.0</v>
      </c>
      <c r="Y793" s="62">
        <v>0.0</v>
      </c>
      <c r="Z793" s="62">
        <v>0.0</v>
      </c>
      <c r="AA793" s="62">
        <v>0.0</v>
      </c>
      <c r="AB793" s="62">
        <v>0.0</v>
      </c>
      <c r="AC793" s="62">
        <v>0.0</v>
      </c>
      <c r="AD793" s="62">
        <v>0.0</v>
      </c>
      <c r="AE793" s="62">
        <v>0.0</v>
      </c>
      <c r="AF793" s="62">
        <v>3.0</v>
      </c>
    </row>
    <row r="794">
      <c r="A794" s="68">
        <v>46104.0</v>
      </c>
      <c r="B794" s="62" t="s">
        <v>32</v>
      </c>
      <c r="C794" s="62" t="s">
        <v>168</v>
      </c>
      <c r="D794" s="62">
        <v>4.0</v>
      </c>
      <c r="E794" s="62">
        <v>4.0</v>
      </c>
      <c r="F794" s="62">
        <v>3.0</v>
      </c>
      <c r="G794" s="62">
        <v>0.0</v>
      </c>
      <c r="H794" s="62">
        <v>3.0</v>
      </c>
      <c r="I794" s="62">
        <v>3.0</v>
      </c>
      <c r="J794" s="62">
        <v>2.0</v>
      </c>
      <c r="K794" s="62">
        <v>0.0</v>
      </c>
      <c r="L794" s="62">
        <v>0.0</v>
      </c>
      <c r="M794" s="62">
        <v>0.0</v>
      </c>
      <c r="N794" s="62">
        <v>0.0</v>
      </c>
      <c r="O794" s="62">
        <v>1.0</v>
      </c>
      <c r="P794" s="62">
        <v>0.0</v>
      </c>
      <c r="Q794" s="62">
        <v>0.0</v>
      </c>
      <c r="R794" s="62">
        <v>9705.0</v>
      </c>
      <c r="S794" s="62">
        <v>9705.0</v>
      </c>
      <c r="T794" s="62">
        <v>1.6725</v>
      </c>
      <c r="U794" s="62">
        <v>0.705833333333333</v>
      </c>
      <c r="V794" s="62">
        <v>0.0</v>
      </c>
      <c r="W794" s="62">
        <v>0.722222222222222</v>
      </c>
      <c r="X794" s="62">
        <v>0.722222222222222</v>
      </c>
      <c r="Y794" s="62">
        <v>0.472222222222222</v>
      </c>
      <c r="Z794" s="62">
        <v>0.0</v>
      </c>
      <c r="AA794" s="62">
        <v>0.0</v>
      </c>
      <c r="AB794" s="62">
        <v>0.0</v>
      </c>
      <c r="AC794" s="62">
        <v>0.0</v>
      </c>
      <c r="AD794" s="62">
        <v>0.188611111111111</v>
      </c>
      <c r="AE794" s="62">
        <v>0.0</v>
      </c>
      <c r="AF794" s="62">
        <v>7.0</v>
      </c>
    </row>
    <row r="795">
      <c r="A795" s="68">
        <v>46104.0</v>
      </c>
      <c r="B795" s="62" t="s">
        <v>65</v>
      </c>
      <c r="C795" s="62" t="s">
        <v>173</v>
      </c>
      <c r="D795" s="62">
        <v>0.0</v>
      </c>
      <c r="E795" s="62">
        <v>0.0</v>
      </c>
      <c r="F795" s="62">
        <v>2.0</v>
      </c>
      <c r="G795" s="62">
        <v>0.0</v>
      </c>
      <c r="H795" s="62">
        <v>3.0</v>
      </c>
      <c r="I795" s="62">
        <v>3.0</v>
      </c>
      <c r="J795" s="62">
        <v>0.0</v>
      </c>
      <c r="K795" s="62">
        <v>4.0</v>
      </c>
      <c r="L795" s="62">
        <v>3.0</v>
      </c>
      <c r="M795" s="62">
        <v>1.0</v>
      </c>
      <c r="N795" s="62">
        <v>1.0</v>
      </c>
      <c r="O795" s="62">
        <v>1.0</v>
      </c>
      <c r="P795" s="62">
        <v>1.0</v>
      </c>
      <c r="Q795" s="62">
        <v>0.0</v>
      </c>
      <c r="R795" s="62">
        <v>0.0</v>
      </c>
      <c r="S795" s="62">
        <v>0.0</v>
      </c>
      <c r="T795" s="62">
        <v>0.487222222222222</v>
      </c>
      <c r="U795" s="62">
        <v>0.551111111111111</v>
      </c>
      <c r="V795" s="62">
        <v>0.0</v>
      </c>
      <c r="W795" s="62">
        <v>0.755277777777777</v>
      </c>
      <c r="X795" s="62">
        <v>0.755277777777777</v>
      </c>
      <c r="Y795" s="62">
        <v>0.0</v>
      </c>
      <c r="Z795" s="62">
        <v>1.02777777777777</v>
      </c>
      <c r="AA795" s="62">
        <v>0.792777777777777</v>
      </c>
      <c r="AB795" s="62">
        <v>0.235</v>
      </c>
      <c r="AC795" s="62">
        <v>0.235</v>
      </c>
      <c r="AD795" s="62">
        <v>0.274444444444444</v>
      </c>
      <c r="AE795" s="62">
        <v>0.235</v>
      </c>
      <c r="AF795" s="62">
        <v>2.0</v>
      </c>
    </row>
    <row r="796">
      <c r="A796" s="68">
        <v>46104.0</v>
      </c>
      <c r="B796" s="62" t="s">
        <v>37</v>
      </c>
      <c r="C796" s="62" t="s">
        <v>174</v>
      </c>
      <c r="D796" s="62">
        <v>0.0</v>
      </c>
      <c r="E796" s="62">
        <v>3.0</v>
      </c>
      <c r="F796" s="62">
        <v>0.0</v>
      </c>
      <c r="G796" s="62">
        <v>0.0</v>
      </c>
      <c r="H796" s="62">
        <v>0.0</v>
      </c>
      <c r="I796" s="62">
        <v>0.0</v>
      </c>
      <c r="J796" s="62">
        <v>2.0</v>
      </c>
      <c r="K796" s="62">
        <v>0.0</v>
      </c>
      <c r="L796" s="62">
        <v>0.0</v>
      </c>
      <c r="M796" s="62">
        <v>3.0</v>
      </c>
      <c r="N796" s="62">
        <v>1.0</v>
      </c>
      <c r="O796" s="62">
        <v>1.0</v>
      </c>
      <c r="P796" s="62">
        <v>1.0</v>
      </c>
      <c r="Q796" s="62">
        <v>0.0</v>
      </c>
      <c r="R796" s="62">
        <v>0.0</v>
      </c>
      <c r="S796" s="62">
        <v>7900.0</v>
      </c>
      <c r="T796" s="62">
        <v>1.22583333333333</v>
      </c>
      <c r="U796" s="62">
        <v>0.0</v>
      </c>
      <c r="V796" s="62">
        <v>0.0</v>
      </c>
      <c r="W796" s="62">
        <v>0.0</v>
      </c>
      <c r="X796" s="62">
        <v>0.0</v>
      </c>
      <c r="Y796" s="62">
        <v>0.528055555555555</v>
      </c>
      <c r="Z796" s="62">
        <v>0.0</v>
      </c>
      <c r="AA796" s="62">
        <v>0.0</v>
      </c>
      <c r="AB796" s="62">
        <v>0.849166666666666</v>
      </c>
      <c r="AC796" s="62">
        <v>0.272777777777777</v>
      </c>
      <c r="AD796" s="62">
        <v>0.235277777777777</v>
      </c>
      <c r="AE796" s="62">
        <v>0.272777777777777</v>
      </c>
      <c r="AF796" s="62">
        <v>4.0</v>
      </c>
    </row>
    <row r="797">
      <c r="A797" s="68">
        <v>46104.0</v>
      </c>
      <c r="B797" s="62" t="s">
        <v>91</v>
      </c>
      <c r="C797" s="62" t="s">
        <v>184</v>
      </c>
      <c r="D797" s="62">
        <v>0.0</v>
      </c>
      <c r="E797" s="62">
        <v>2.0</v>
      </c>
      <c r="F797" s="62">
        <v>0.0</v>
      </c>
      <c r="G797" s="62">
        <v>0.0</v>
      </c>
      <c r="H797" s="62">
        <v>0.0</v>
      </c>
      <c r="I797" s="62">
        <v>0.0</v>
      </c>
      <c r="J797" s="62">
        <v>0.0</v>
      </c>
      <c r="K797" s="62">
        <v>0.0</v>
      </c>
      <c r="L797" s="62">
        <v>0.0</v>
      </c>
      <c r="M797" s="62">
        <v>0.0</v>
      </c>
      <c r="N797" s="62">
        <v>0.0</v>
      </c>
      <c r="O797" s="62">
        <v>0.0</v>
      </c>
      <c r="P797" s="62">
        <v>0.0</v>
      </c>
      <c r="Q797" s="62">
        <v>0.0</v>
      </c>
      <c r="R797" s="62">
        <v>0.0</v>
      </c>
      <c r="S797" s="62">
        <v>3573.0</v>
      </c>
      <c r="T797" s="62">
        <v>0.0</v>
      </c>
      <c r="U797" s="62">
        <v>0.0</v>
      </c>
      <c r="V797" s="62">
        <v>0.0</v>
      </c>
      <c r="W797" s="62">
        <v>0.0</v>
      </c>
      <c r="X797" s="62">
        <v>0.0</v>
      </c>
      <c r="Y797" s="62">
        <v>0.0</v>
      </c>
      <c r="Z797" s="62">
        <v>0.0</v>
      </c>
      <c r="AA797" s="62">
        <v>0.0</v>
      </c>
      <c r="AB797" s="62">
        <v>0.0</v>
      </c>
      <c r="AC797" s="62">
        <v>0.0</v>
      </c>
      <c r="AD797" s="62">
        <v>0.0</v>
      </c>
      <c r="AE797" s="62">
        <v>0.0</v>
      </c>
      <c r="AF797" s="62">
        <v>0.0</v>
      </c>
    </row>
    <row r="798">
      <c r="A798" s="68">
        <v>46104.0</v>
      </c>
      <c r="B798" s="62" t="s">
        <v>84</v>
      </c>
      <c r="C798" s="62" t="s">
        <v>186</v>
      </c>
      <c r="D798" s="62">
        <v>2.0</v>
      </c>
      <c r="E798" s="62">
        <v>2.0</v>
      </c>
      <c r="F798" s="62">
        <v>4.0</v>
      </c>
      <c r="G798" s="62">
        <v>3.0</v>
      </c>
      <c r="H798" s="62">
        <v>3.0</v>
      </c>
      <c r="I798" s="62">
        <v>0.0</v>
      </c>
      <c r="J798" s="62">
        <v>2.0</v>
      </c>
      <c r="K798" s="62">
        <v>0.0</v>
      </c>
      <c r="L798" s="62">
        <v>0.0</v>
      </c>
      <c r="M798" s="62">
        <v>4.0</v>
      </c>
      <c r="N798" s="62">
        <v>4.0</v>
      </c>
      <c r="O798" s="62">
        <v>1.0</v>
      </c>
      <c r="P798" s="62">
        <v>4.0</v>
      </c>
      <c r="Q798" s="62">
        <v>0.0</v>
      </c>
      <c r="R798" s="62">
        <v>5031.0</v>
      </c>
      <c r="S798" s="62">
        <v>4530.0</v>
      </c>
      <c r="T798" s="62">
        <v>0.520833333333333</v>
      </c>
      <c r="U798" s="62">
        <v>0.973888888888888</v>
      </c>
      <c r="V798" s="62">
        <v>0.724722222222222</v>
      </c>
      <c r="W798" s="62">
        <v>0.724722222222222</v>
      </c>
      <c r="X798" s="62">
        <v>0.0</v>
      </c>
      <c r="Y798" s="62">
        <v>0.486388888888888</v>
      </c>
      <c r="Z798" s="62">
        <v>0.0</v>
      </c>
      <c r="AA798" s="62">
        <v>0.0</v>
      </c>
      <c r="AB798" s="62">
        <v>1.11888888888888</v>
      </c>
      <c r="AC798" s="62">
        <v>1.11888888888888</v>
      </c>
      <c r="AD798" s="62">
        <v>0.293611111111111</v>
      </c>
      <c r="AE798" s="62">
        <v>1.11888888888888</v>
      </c>
      <c r="AF798" s="62">
        <v>2.0</v>
      </c>
    </row>
    <row r="799">
      <c r="A799" s="68">
        <v>46104.0</v>
      </c>
      <c r="B799" s="62" t="s">
        <v>26</v>
      </c>
      <c r="C799" s="62" t="s">
        <v>178</v>
      </c>
      <c r="D799" s="62">
        <v>0.0</v>
      </c>
      <c r="E799" s="62">
        <v>10.0</v>
      </c>
      <c r="F799" s="62">
        <v>2.0</v>
      </c>
      <c r="G799" s="62">
        <v>2.0</v>
      </c>
      <c r="H799" s="62">
        <v>4.0</v>
      </c>
      <c r="I799" s="62">
        <v>2.0</v>
      </c>
      <c r="J799" s="62">
        <v>5.0</v>
      </c>
      <c r="K799" s="62">
        <v>0.0</v>
      </c>
      <c r="L799" s="62">
        <v>0.0</v>
      </c>
      <c r="M799" s="62">
        <v>8.0</v>
      </c>
      <c r="N799" s="62">
        <v>2.0</v>
      </c>
      <c r="O799" s="62">
        <v>1.0</v>
      </c>
      <c r="P799" s="62">
        <v>2.0</v>
      </c>
      <c r="Q799" s="62">
        <v>0.0</v>
      </c>
      <c r="R799" s="62">
        <v>0.0</v>
      </c>
      <c r="S799" s="62">
        <v>22976.0</v>
      </c>
      <c r="T799" s="62">
        <v>1.88527777777777</v>
      </c>
      <c r="U799" s="62">
        <v>0.453333333333333</v>
      </c>
      <c r="V799" s="62">
        <v>0.465555555555555</v>
      </c>
      <c r="W799" s="62">
        <v>0.955277777777777</v>
      </c>
      <c r="X799" s="62">
        <v>0.489722222222222</v>
      </c>
      <c r="Y799" s="62">
        <v>1.23138888888888</v>
      </c>
      <c r="Z799" s="62">
        <v>0.0</v>
      </c>
      <c r="AA799" s="62">
        <v>0.0</v>
      </c>
      <c r="AB799" s="62">
        <v>1.86722222222222</v>
      </c>
      <c r="AC799" s="62">
        <v>0.459166666666666</v>
      </c>
      <c r="AD799" s="62">
        <v>0.198055555555555</v>
      </c>
      <c r="AE799" s="62">
        <v>0.459166666666666</v>
      </c>
      <c r="AF799" s="62">
        <v>9.0</v>
      </c>
    </row>
    <row r="800">
      <c r="A800" s="68">
        <v>46104.0</v>
      </c>
      <c r="B800" s="62" t="s">
        <v>62</v>
      </c>
      <c r="C800" s="62" t="s">
        <v>63</v>
      </c>
      <c r="D800" s="62">
        <v>0.0</v>
      </c>
      <c r="E800" s="62">
        <v>3.0</v>
      </c>
      <c r="F800" s="62">
        <v>0.0</v>
      </c>
      <c r="G800" s="62">
        <v>0.0</v>
      </c>
      <c r="H800" s="62">
        <v>4.0</v>
      </c>
      <c r="I800" s="62">
        <v>4.0</v>
      </c>
      <c r="J800" s="62">
        <v>0.0</v>
      </c>
      <c r="K800" s="62">
        <v>0.0</v>
      </c>
      <c r="L800" s="62">
        <v>0.0</v>
      </c>
      <c r="M800" s="62">
        <v>0.0</v>
      </c>
      <c r="N800" s="62">
        <v>0.0</v>
      </c>
      <c r="O800" s="62">
        <v>1.0</v>
      </c>
      <c r="P800" s="62">
        <v>0.0</v>
      </c>
      <c r="Q800" s="62">
        <v>0.0</v>
      </c>
      <c r="R800" s="62">
        <v>0.0</v>
      </c>
      <c r="S800" s="62">
        <v>7677.0</v>
      </c>
      <c r="T800" s="62">
        <v>0.0</v>
      </c>
      <c r="U800" s="62">
        <v>0.0</v>
      </c>
      <c r="V800" s="62">
        <v>0.0</v>
      </c>
      <c r="W800" s="62">
        <v>0.848611111111111</v>
      </c>
      <c r="X800" s="62">
        <v>0.848611111111111</v>
      </c>
      <c r="Y800" s="62">
        <v>0.0</v>
      </c>
      <c r="Z800" s="62">
        <v>0.0</v>
      </c>
      <c r="AA800" s="62">
        <v>0.0</v>
      </c>
      <c r="AB800" s="62">
        <v>0.0</v>
      </c>
      <c r="AC800" s="62">
        <v>0.0</v>
      </c>
      <c r="AD800" s="62">
        <v>0.231111111111111</v>
      </c>
      <c r="AE800" s="62">
        <v>0.0</v>
      </c>
      <c r="AF800" s="62">
        <v>0.0</v>
      </c>
    </row>
    <row r="801">
      <c r="A801" s="68">
        <v>46103.0</v>
      </c>
      <c r="B801" s="62" t="s">
        <v>76</v>
      </c>
      <c r="C801" s="62" t="s">
        <v>165</v>
      </c>
      <c r="D801" s="62">
        <v>16.0</v>
      </c>
      <c r="E801" s="62">
        <v>0.0</v>
      </c>
      <c r="F801" s="62">
        <v>0.0</v>
      </c>
      <c r="G801" s="62">
        <v>0.0</v>
      </c>
      <c r="H801" s="62">
        <v>0.0</v>
      </c>
      <c r="I801" s="62">
        <v>0.0</v>
      </c>
      <c r="J801" s="62">
        <v>0.0</v>
      </c>
      <c r="K801" s="62">
        <v>0.0</v>
      </c>
      <c r="L801" s="62">
        <v>0.0</v>
      </c>
      <c r="M801" s="62">
        <v>0.0</v>
      </c>
      <c r="N801" s="62">
        <v>0.0</v>
      </c>
      <c r="O801" s="62">
        <v>1.0</v>
      </c>
      <c r="P801" s="62">
        <v>0.0</v>
      </c>
      <c r="Q801" s="62">
        <v>0.0</v>
      </c>
      <c r="R801" s="62">
        <v>43986.0</v>
      </c>
      <c r="S801" s="62">
        <v>0.0</v>
      </c>
      <c r="T801" s="62">
        <v>0.0</v>
      </c>
      <c r="U801" s="62">
        <v>0.0</v>
      </c>
      <c r="V801" s="62">
        <v>0.0</v>
      </c>
      <c r="W801" s="62">
        <v>0.0</v>
      </c>
      <c r="X801" s="62">
        <v>0.0</v>
      </c>
      <c r="Y801" s="62">
        <v>0.0</v>
      </c>
      <c r="Z801" s="62">
        <v>0.0</v>
      </c>
      <c r="AA801" s="62">
        <v>0.0</v>
      </c>
      <c r="AB801" s="62">
        <v>0.0</v>
      </c>
      <c r="AC801" s="62">
        <v>0.0</v>
      </c>
      <c r="AD801" s="62">
        <v>0.246388888888888</v>
      </c>
      <c r="AE801" s="62">
        <v>0.0</v>
      </c>
      <c r="AF801" s="62">
        <v>0.0</v>
      </c>
    </row>
    <row r="802">
      <c r="A802" s="68">
        <v>46103.0</v>
      </c>
      <c r="B802" s="62" t="s">
        <v>104</v>
      </c>
      <c r="C802" s="62" t="s">
        <v>166</v>
      </c>
      <c r="D802" s="62">
        <v>5.0</v>
      </c>
      <c r="E802" s="62">
        <v>0.0</v>
      </c>
      <c r="F802" s="62">
        <v>0.0</v>
      </c>
      <c r="G802" s="62">
        <v>0.0</v>
      </c>
      <c r="H802" s="62">
        <v>0.0</v>
      </c>
      <c r="I802" s="62">
        <v>0.0</v>
      </c>
      <c r="J802" s="62">
        <v>0.0</v>
      </c>
      <c r="K802" s="62">
        <v>0.0</v>
      </c>
      <c r="L802" s="62">
        <v>0.0</v>
      </c>
      <c r="M802" s="62">
        <v>0.0</v>
      </c>
      <c r="N802" s="62">
        <v>0.0</v>
      </c>
      <c r="O802" s="62">
        <v>0.0</v>
      </c>
      <c r="P802" s="62">
        <v>0.0</v>
      </c>
      <c r="Q802" s="62">
        <v>0.0</v>
      </c>
      <c r="R802" s="62">
        <v>10836.0</v>
      </c>
      <c r="S802" s="62">
        <v>0.0</v>
      </c>
      <c r="T802" s="62">
        <v>0.0</v>
      </c>
      <c r="U802" s="62">
        <v>0.0</v>
      </c>
      <c r="V802" s="62">
        <v>0.0</v>
      </c>
      <c r="W802" s="62">
        <v>0.0</v>
      </c>
      <c r="X802" s="62">
        <v>0.0</v>
      </c>
      <c r="Y802" s="62">
        <v>0.0</v>
      </c>
      <c r="Z802" s="62">
        <v>0.0</v>
      </c>
      <c r="AA802" s="62">
        <v>0.0</v>
      </c>
      <c r="AB802" s="62">
        <v>0.0</v>
      </c>
      <c r="AC802" s="62">
        <v>0.0</v>
      </c>
      <c r="AD802" s="62">
        <v>0.0</v>
      </c>
      <c r="AE802" s="62">
        <v>0.0</v>
      </c>
      <c r="AF802" s="62">
        <v>0.0</v>
      </c>
    </row>
    <row r="803">
      <c r="A803" s="68">
        <v>46103.0</v>
      </c>
      <c r="B803" s="62" t="s">
        <v>65</v>
      </c>
      <c r="C803" s="62" t="s">
        <v>173</v>
      </c>
      <c r="D803" s="62">
        <v>0.0</v>
      </c>
      <c r="E803" s="62">
        <v>0.0</v>
      </c>
      <c r="F803" s="62">
        <v>0.0</v>
      </c>
      <c r="G803" s="62">
        <v>3.0</v>
      </c>
      <c r="H803" s="62">
        <v>3.0</v>
      </c>
      <c r="I803" s="62">
        <v>0.0</v>
      </c>
      <c r="J803" s="62">
        <v>3.0</v>
      </c>
      <c r="K803" s="62">
        <v>0.0</v>
      </c>
      <c r="L803" s="62">
        <v>2.0</v>
      </c>
      <c r="M803" s="62">
        <v>2.0</v>
      </c>
      <c r="N803" s="62">
        <v>2.0</v>
      </c>
      <c r="O803" s="62">
        <v>1.0</v>
      </c>
      <c r="P803" s="62">
        <v>2.0</v>
      </c>
      <c r="Q803" s="62">
        <v>0.0</v>
      </c>
      <c r="R803" s="62">
        <v>0.0</v>
      </c>
      <c r="S803" s="62">
        <v>0.0</v>
      </c>
      <c r="T803" s="62">
        <v>0.819166666666666</v>
      </c>
      <c r="U803" s="62">
        <v>0.0</v>
      </c>
      <c r="V803" s="62">
        <v>0.782222222222222</v>
      </c>
      <c r="W803" s="62">
        <v>0.782222222222222</v>
      </c>
      <c r="X803" s="62">
        <v>0.0</v>
      </c>
      <c r="Y803" s="62">
        <v>0.782222222222222</v>
      </c>
      <c r="Z803" s="62">
        <v>0.0</v>
      </c>
      <c r="AA803" s="62">
        <v>0.471944444444444</v>
      </c>
      <c r="AB803" s="62">
        <v>0.471944444444444</v>
      </c>
      <c r="AC803" s="62">
        <v>0.471944444444444</v>
      </c>
      <c r="AD803" s="62">
        <v>0.258611111111111</v>
      </c>
      <c r="AE803" s="62">
        <v>0.471944444444444</v>
      </c>
      <c r="AF803" s="62">
        <v>3.0</v>
      </c>
    </row>
    <row r="804">
      <c r="A804" s="68">
        <v>46103.0</v>
      </c>
      <c r="B804" s="62" t="s">
        <v>84</v>
      </c>
      <c r="C804" s="62" t="s">
        <v>186</v>
      </c>
      <c r="D804" s="62">
        <v>0.0</v>
      </c>
      <c r="E804" s="62">
        <v>1.0</v>
      </c>
      <c r="F804" s="62">
        <v>0.0</v>
      </c>
      <c r="G804" s="62">
        <v>0.0</v>
      </c>
      <c r="H804" s="62">
        <v>0.0</v>
      </c>
      <c r="I804" s="62">
        <v>0.0</v>
      </c>
      <c r="J804" s="62">
        <v>3.0</v>
      </c>
      <c r="K804" s="62">
        <v>0.0</v>
      </c>
      <c r="L804" s="62">
        <v>0.0</v>
      </c>
      <c r="M804" s="62">
        <v>0.0</v>
      </c>
      <c r="N804" s="62">
        <v>0.0</v>
      </c>
      <c r="O804" s="62">
        <v>1.0</v>
      </c>
      <c r="P804" s="62">
        <v>0.0</v>
      </c>
      <c r="Q804" s="62">
        <v>0.0</v>
      </c>
      <c r="R804" s="62">
        <v>0.0</v>
      </c>
      <c r="S804" s="62">
        <v>2266.0</v>
      </c>
      <c r="T804" s="62">
        <v>0.0</v>
      </c>
      <c r="U804" s="62">
        <v>0.0</v>
      </c>
      <c r="V804" s="62">
        <v>0.0</v>
      </c>
      <c r="W804" s="62">
        <v>0.0</v>
      </c>
      <c r="X804" s="62">
        <v>0.0</v>
      </c>
      <c r="Y804" s="62">
        <v>0.847499999999999</v>
      </c>
      <c r="Z804" s="62">
        <v>0.0</v>
      </c>
      <c r="AA804" s="62">
        <v>0.0</v>
      </c>
      <c r="AB804" s="62">
        <v>0.0</v>
      </c>
      <c r="AC804" s="62">
        <v>0.0</v>
      </c>
      <c r="AD804" s="62">
        <v>0.274444444444444</v>
      </c>
      <c r="AE804" s="62">
        <v>0.0</v>
      </c>
      <c r="AF804" s="62">
        <v>0.0</v>
      </c>
    </row>
    <row r="805">
      <c r="A805" s="68">
        <v>46103.0</v>
      </c>
      <c r="B805" s="62" t="s">
        <v>62</v>
      </c>
      <c r="C805" s="62" t="s">
        <v>63</v>
      </c>
      <c r="D805" s="62">
        <v>9.0</v>
      </c>
      <c r="E805" s="62">
        <v>0.0</v>
      </c>
      <c r="F805" s="62">
        <v>0.0</v>
      </c>
      <c r="G805" s="62">
        <v>0.0</v>
      </c>
      <c r="H805" s="62">
        <v>0.0</v>
      </c>
      <c r="I805" s="62">
        <v>0.0</v>
      </c>
      <c r="J805" s="62">
        <v>0.0</v>
      </c>
      <c r="K805" s="62">
        <v>0.0</v>
      </c>
      <c r="L805" s="62">
        <v>0.0</v>
      </c>
      <c r="M805" s="62">
        <v>0.0</v>
      </c>
      <c r="N805" s="62">
        <v>0.0</v>
      </c>
      <c r="O805" s="62">
        <v>1.0</v>
      </c>
      <c r="P805" s="62">
        <v>0.0</v>
      </c>
      <c r="Q805" s="62">
        <v>0.0</v>
      </c>
      <c r="R805" s="62">
        <v>19410.0</v>
      </c>
      <c r="S805" s="62">
        <v>0.0</v>
      </c>
      <c r="T805" s="62">
        <v>0.0</v>
      </c>
      <c r="U805" s="62">
        <v>0.0</v>
      </c>
      <c r="V805" s="62">
        <v>0.0</v>
      </c>
      <c r="W805" s="62">
        <v>0.0</v>
      </c>
      <c r="X805" s="62">
        <v>0.0</v>
      </c>
      <c r="Y805" s="62">
        <v>0.0</v>
      </c>
      <c r="Z805" s="62">
        <v>0.0</v>
      </c>
      <c r="AA805" s="62">
        <v>0.0</v>
      </c>
      <c r="AB805" s="62">
        <v>0.0</v>
      </c>
      <c r="AC805" s="62">
        <v>0.0</v>
      </c>
      <c r="AD805" s="62">
        <v>0.238333333333333</v>
      </c>
      <c r="AE805" s="62">
        <v>0.0</v>
      </c>
      <c r="AF805" s="62">
        <v>0.0</v>
      </c>
    </row>
    <row r="806">
      <c r="A806" s="68">
        <v>46102.0</v>
      </c>
      <c r="B806" s="62" t="s">
        <v>71</v>
      </c>
      <c r="C806" s="62" t="s">
        <v>163</v>
      </c>
      <c r="D806" s="62">
        <v>0.0</v>
      </c>
      <c r="E806" s="62">
        <v>0.0</v>
      </c>
      <c r="F806" s="62">
        <v>0.0</v>
      </c>
      <c r="G806" s="62">
        <v>0.0</v>
      </c>
      <c r="H806" s="62">
        <v>0.0</v>
      </c>
      <c r="I806" s="62">
        <v>0.0</v>
      </c>
      <c r="J806" s="62">
        <v>0.0</v>
      </c>
      <c r="K806" s="62">
        <v>0.0</v>
      </c>
      <c r="L806" s="62">
        <v>1.0</v>
      </c>
      <c r="M806" s="62">
        <v>1.0</v>
      </c>
      <c r="N806" s="62">
        <v>1.0</v>
      </c>
      <c r="O806" s="62">
        <v>1.0</v>
      </c>
      <c r="P806" s="62">
        <v>1.0</v>
      </c>
      <c r="Q806" s="62">
        <v>0.0</v>
      </c>
      <c r="R806" s="62">
        <v>0.0</v>
      </c>
      <c r="S806" s="62">
        <v>0.0</v>
      </c>
      <c r="T806" s="62">
        <v>0.0</v>
      </c>
      <c r="U806" s="62">
        <v>0.0</v>
      </c>
      <c r="V806" s="62">
        <v>0.0</v>
      </c>
      <c r="W806" s="62">
        <v>0.0</v>
      </c>
      <c r="X806" s="62">
        <v>0.0</v>
      </c>
      <c r="Y806" s="62">
        <v>0.0</v>
      </c>
      <c r="Z806" s="62">
        <v>0.0</v>
      </c>
      <c r="AA806" s="62">
        <v>0.2525</v>
      </c>
      <c r="AB806" s="62">
        <v>0.2525</v>
      </c>
      <c r="AC806" s="62">
        <v>0.2525</v>
      </c>
      <c r="AD806" s="62">
        <v>0.285</v>
      </c>
      <c r="AE806" s="62">
        <v>0.2525</v>
      </c>
      <c r="AF806" s="62">
        <v>0.0</v>
      </c>
    </row>
    <row r="807">
      <c r="A807" s="68">
        <v>46102.0</v>
      </c>
      <c r="B807" s="62" t="s">
        <v>76</v>
      </c>
      <c r="C807" s="62" t="s">
        <v>165</v>
      </c>
      <c r="D807" s="62">
        <v>0.0</v>
      </c>
      <c r="E807" s="62">
        <v>0.0</v>
      </c>
      <c r="F807" s="62">
        <v>0.0</v>
      </c>
      <c r="G807" s="62">
        <v>5.0</v>
      </c>
      <c r="H807" s="62">
        <v>5.0</v>
      </c>
      <c r="I807" s="62">
        <v>0.0</v>
      </c>
      <c r="J807" s="62">
        <v>5.0</v>
      </c>
      <c r="K807" s="62">
        <v>0.0</v>
      </c>
      <c r="L807" s="62">
        <v>0.0</v>
      </c>
      <c r="M807" s="62">
        <v>0.0</v>
      </c>
      <c r="N807" s="62">
        <v>0.0</v>
      </c>
      <c r="O807" s="62">
        <v>1.0</v>
      </c>
      <c r="P807" s="62">
        <v>0.0</v>
      </c>
      <c r="Q807" s="62">
        <v>0.0</v>
      </c>
      <c r="R807" s="62">
        <v>0.0</v>
      </c>
      <c r="S807" s="62">
        <v>0.0</v>
      </c>
      <c r="T807" s="62">
        <v>0.0</v>
      </c>
      <c r="U807" s="62">
        <v>0.0</v>
      </c>
      <c r="V807" s="62">
        <v>1.28638888888888</v>
      </c>
      <c r="W807" s="62">
        <v>1.28638888888888</v>
      </c>
      <c r="X807" s="62">
        <v>0.0</v>
      </c>
      <c r="Y807" s="62">
        <v>1.28638888888888</v>
      </c>
      <c r="Z807" s="62">
        <v>0.0</v>
      </c>
      <c r="AA807" s="62">
        <v>0.0</v>
      </c>
      <c r="AB807" s="62">
        <v>0.0</v>
      </c>
      <c r="AC807" s="62">
        <v>0.0</v>
      </c>
      <c r="AD807" s="62">
        <v>0.225833333333333</v>
      </c>
      <c r="AE807" s="62">
        <v>0.0</v>
      </c>
      <c r="AF807" s="62">
        <v>0.0</v>
      </c>
    </row>
    <row r="808">
      <c r="A808" s="68">
        <v>46102.0</v>
      </c>
      <c r="B808" s="62" t="s">
        <v>65</v>
      </c>
      <c r="C808" s="62" t="s">
        <v>173</v>
      </c>
      <c r="D808" s="62">
        <v>0.0</v>
      </c>
      <c r="E808" s="62">
        <v>0.0</v>
      </c>
      <c r="F808" s="62">
        <v>0.0</v>
      </c>
      <c r="G808" s="62">
        <v>2.0</v>
      </c>
      <c r="H808" s="62">
        <v>2.0</v>
      </c>
      <c r="I808" s="62">
        <v>0.0</v>
      </c>
      <c r="J808" s="62">
        <v>3.0</v>
      </c>
      <c r="K808" s="62">
        <v>0.0</v>
      </c>
      <c r="L808" s="62">
        <v>0.0</v>
      </c>
      <c r="M808" s="62">
        <v>0.0</v>
      </c>
      <c r="N808" s="62">
        <v>1.0</v>
      </c>
      <c r="O808" s="62">
        <v>1.0</v>
      </c>
      <c r="P808" s="62">
        <v>1.0</v>
      </c>
      <c r="Q808" s="62">
        <v>0.0</v>
      </c>
      <c r="R808" s="62">
        <v>0.0</v>
      </c>
      <c r="S808" s="62">
        <v>0.0</v>
      </c>
      <c r="T808" s="62">
        <v>0.0</v>
      </c>
      <c r="U808" s="62">
        <v>0.0</v>
      </c>
      <c r="V808" s="62">
        <v>0.515277777777777</v>
      </c>
      <c r="W808" s="62">
        <v>0.515277777777777</v>
      </c>
      <c r="X808" s="62">
        <v>0.0</v>
      </c>
      <c r="Y808" s="62">
        <v>0.761388888888888</v>
      </c>
      <c r="Z808" s="62">
        <v>0.0</v>
      </c>
      <c r="AA808" s="62">
        <v>0.0</v>
      </c>
      <c r="AB808" s="62">
        <v>0.0</v>
      </c>
      <c r="AC808" s="62">
        <v>0.2575</v>
      </c>
      <c r="AD808" s="62">
        <v>0.264166666666666</v>
      </c>
      <c r="AE808" s="62">
        <v>0.2575</v>
      </c>
      <c r="AF808" s="62">
        <v>0.0</v>
      </c>
    </row>
    <row r="809">
      <c r="A809" s="68">
        <v>46102.0</v>
      </c>
      <c r="B809" s="62" t="s">
        <v>91</v>
      </c>
      <c r="C809" s="62" t="s">
        <v>184</v>
      </c>
      <c r="D809" s="62">
        <v>11.0</v>
      </c>
      <c r="E809" s="62">
        <v>0.0</v>
      </c>
      <c r="F809" s="62">
        <v>0.0</v>
      </c>
      <c r="G809" s="62">
        <v>0.0</v>
      </c>
      <c r="H809" s="62">
        <v>0.0</v>
      </c>
      <c r="I809" s="62">
        <v>0.0</v>
      </c>
      <c r="J809" s="62">
        <v>0.0</v>
      </c>
      <c r="K809" s="62">
        <v>0.0</v>
      </c>
      <c r="L809" s="62">
        <v>0.0</v>
      </c>
      <c r="M809" s="62">
        <v>0.0</v>
      </c>
      <c r="N809" s="62">
        <v>0.0</v>
      </c>
      <c r="O809" s="62">
        <v>0.0</v>
      </c>
      <c r="P809" s="62">
        <v>0.0</v>
      </c>
      <c r="Q809" s="62">
        <v>0.0</v>
      </c>
      <c r="R809" s="62">
        <v>23920.0</v>
      </c>
      <c r="S809" s="62">
        <v>0.0</v>
      </c>
      <c r="T809" s="62">
        <v>0.0</v>
      </c>
      <c r="U809" s="62">
        <v>0.0</v>
      </c>
      <c r="V809" s="62">
        <v>0.0</v>
      </c>
      <c r="W809" s="62">
        <v>0.0</v>
      </c>
      <c r="X809" s="62">
        <v>0.0</v>
      </c>
      <c r="Y809" s="62">
        <v>0.0</v>
      </c>
      <c r="Z809" s="62">
        <v>0.0</v>
      </c>
      <c r="AA809" s="62">
        <v>0.0</v>
      </c>
      <c r="AB809" s="62">
        <v>0.0</v>
      </c>
      <c r="AC809" s="62">
        <v>0.0</v>
      </c>
      <c r="AD809" s="62">
        <v>0.0</v>
      </c>
      <c r="AE809" s="62">
        <v>0.0</v>
      </c>
      <c r="AF809" s="62">
        <v>0.0</v>
      </c>
    </row>
    <row r="810">
      <c r="A810" s="68">
        <v>46102.0</v>
      </c>
      <c r="B810" s="62" t="s">
        <v>84</v>
      </c>
      <c r="C810" s="62" t="s">
        <v>186</v>
      </c>
      <c r="D810" s="62">
        <v>0.0</v>
      </c>
      <c r="E810" s="62">
        <v>0.0</v>
      </c>
      <c r="F810" s="62">
        <v>0.0</v>
      </c>
      <c r="G810" s="62">
        <v>3.0</v>
      </c>
      <c r="H810" s="62">
        <v>3.0</v>
      </c>
      <c r="I810" s="62">
        <v>0.0</v>
      </c>
      <c r="J810" s="62">
        <v>0.0</v>
      </c>
      <c r="K810" s="62">
        <v>0.0</v>
      </c>
      <c r="L810" s="62">
        <v>0.0</v>
      </c>
      <c r="M810" s="62">
        <v>0.0</v>
      </c>
      <c r="N810" s="62">
        <v>0.0</v>
      </c>
      <c r="O810" s="62">
        <v>1.0</v>
      </c>
      <c r="P810" s="62">
        <v>0.0</v>
      </c>
      <c r="Q810" s="62">
        <v>0.0</v>
      </c>
      <c r="R810" s="62">
        <v>0.0</v>
      </c>
      <c r="S810" s="62">
        <v>0.0</v>
      </c>
      <c r="T810" s="62">
        <v>0.724722222222222</v>
      </c>
      <c r="U810" s="62">
        <v>0.0</v>
      </c>
      <c r="V810" s="62">
        <v>0.847499999999999</v>
      </c>
      <c r="W810" s="62">
        <v>0.8475</v>
      </c>
      <c r="X810" s="62">
        <v>0.0</v>
      </c>
      <c r="Y810" s="62">
        <v>0.0</v>
      </c>
      <c r="Z810" s="62">
        <v>0.0</v>
      </c>
      <c r="AA810" s="62">
        <v>0.0</v>
      </c>
      <c r="AB810" s="62">
        <v>0.0</v>
      </c>
      <c r="AC810" s="62">
        <v>0.0</v>
      </c>
      <c r="AD810" s="62">
        <v>0.246666666666666</v>
      </c>
      <c r="AE810" s="62">
        <v>0.0</v>
      </c>
      <c r="AF810" s="62">
        <v>3.0</v>
      </c>
    </row>
    <row r="811">
      <c r="A811" s="68">
        <v>46102.0</v>
      </c>
      <c r="B811" s="62" t="s">
        <v>26</v>
      </c>
      <c r="C811" s="62" t="s">
        <v>178</v>
      </c>
      <c r="D811" s="62">
        <v>4.0</v>
      </c>
      <c r="E811" s="62">
        <v>0.0</v>
      </c>
      <c r="F811" s="62">
        <v>0.0</v>
      </c>
      <c r="G811" s="62">
        <v>0.0</v>
      </c>
      <c r="H811" s="62">
        <v>0.0</v>
      </c>
      <c r="I811" s="62">
        <v>0.0</v>
      </c>
      <c r="J811" s="62">
        <v>0.0</v>
      </c>
      <c r="K811" s="62">
        <v>0.0</v>
      </c>
      <c r="L811" s="62">
        <v>0.0</v>
      </c>
      <c r="M811" s="62">
        <v>0.0</v>
      </c>
      <c r="N811" s="62">
        <v>10.0</v>
      </c>
      <c r="O811" s="62">
        <v>1.0</v>
      </c>
      <c r="P811" s="62">
        <v>10.0</v>
      </c>
      <c r="Q811" s="62">
        <v>0.0</v>
      </c>
      <c r="R811" s="62">
        <v>8856.0</v>
      </c>
      <c r="S811" s="62">
        <v>0.0</v>
      </c>
      <c r="T811" s="62">
        <v>0.0</v>
      </c>
      <c r="U811" s="62">
        <v>0.0</v>
      </c>
      <c r="V811" s="62">
        <v>0.0</v>
      </c>
      <c r="W811" s="62">
        <v>0.0</v>
      </c>
      <c r="X811" s="62">
        <v>0.0</v>
      </c>
      <c r="Y811" s="62">
        <v>0.0</v>
      </c>
      <c r="Z811" s="62">
        <v>0.0</v>
      </c>
      <c r="AA811" s="62">
        <v>0.0</v>
      </c>
      <c r="AB811" s="62">
        <v>0.0</v>
      </c>
      <c r="AC811" s="62">
        <v>1.96916666666666</v>
      </c>
      <c r="AD811" s="62">
        <v>0.189166666666666</v>
      </c>
      <c r="AE811" s="62">
        <v>1.96916666666666</v>
      </c>
      <c r="AF811" s="62">
        <v>0.0</v>
      </c>
    </row>
    <row r="812">
      <c r="A812" s="68">
        <v>46102.0</v>
      </c>
      <c r="B812" s="62" t="s">
        <v>62</v>
      </c>
      <c r="C812" s="62" t="s">
        <v>63</v>
      </c>
      <c r="D812" s="62">
        <v>0.0</v>
      </c>
      <c r="E812" s="62">
        <v>0.0</v>
      </c>
      <c r="F812" s="62">
        <v>0.0</v>
      </c>
      <c r="G812" s="62">
        <v>0.0</v>
      </c>
      <c r="H812" s="62">
        <v>0.0</v>
      </c>
      <c r="I812" s="62">
        <v>0.0</v>
      </c>
      <c r="J812" s="62">
        <v>0.0</v>
      </c>
      <c r="K812" s="62">
        <v>0.0</v>
      </c>
      <c r="L812" s="62">
        <v>0.0</v>
      </c>
      <c r="M812" s="62">
        <v>1.0</v>
      </c>
      <c r="N812" s="62">
        <v>3.0</v>
      </c>
      <c r="O812" s="62">
        <v>1.0</v>
      </c>
      <c r="P812" s="62">
        <v>3.0</v>
      </c>
      <c r="Q812" s="62">
        <v>0.0</v>
      </c>
      <c r="R812" s="62">
        <v>0.0</v>
      </c>
      <c r="S812" s="62">
        <v>0.0</v>
      </c>
      <c r="T812" s="62">
        <v>0.0</v>
      </c>
      <c r="U812" s="62">
        <v>0.0</v>
      </c>
      <c r="V812" s="62">
        <v>0.0</v>
      </c>
      <c r="W812" s="62">
        <v>0.0</v>
      </c>
      <c r="X812" s="62">
        <v>0.0</v>
      </c>
      <c r="Y812" s="62">
        <v>0.0</v>
      </c>
      <c r="Z812" s="62">
        <v>0.0</v>
      </c>
      <c r="AA812" s="62">
        <v>0.0</v>
      </c>
      <c r="AB812" s="62">
        <v>0.186388888888888</v>
      </c>
      <c r="AC812" s="62">
        <v>0.606111111111111</v>
      </c>
      <c r="AD812" s="62">
        <v>0.241666666666666</v>
      </c>
      <c r="AE812" s="62">
        <v>0.606111111111111</v>
      </c>
      <c r="AF812" s="62">
        <v>0.0</v>
      </c>
    </row>
    <row r="813">
      <c r="A813" s="68">
        <v>46101.0</v>
      </c>
      <c r="B813" s="62" t="s">
        <v>79</v>
      </c>
      <c r="C813" s="62" t="s">
        <v>162</v>
      </c>
      <c r="D813" s="62">
        <v>0.0</v>
      </c>
      <c r="E813" s="62">
        <v>0.0</v>
      </c>
      <c r="F813" s="62">
        <v>4.0</v>
      </c>
      <c r="G813" s="62">
        <v>4.0</v>
      </c>
      <c r="H813" s="62">
        <v>4.0</v>
      </c>
      <c r="I813" s="62">
        <v>0.0</v>
      </c>
      <c r="J813" s="62">
        <v>4.0</v>
      </c>
      <c r="K813" s="62">
        <v>0.0</v>
      </c>
      <c r="L813" s="62">
        <v>1.0</v>
      </c>
      <c r="M813" s="62">
        <v>1.0</v>
      </c>
      <c r="N813" s="62">
        <v>11.0</v>
      </c>
      <c r="O813" s="62">
        <v>1.0</v>
      </c>
      <c r="P813" s="62">
        <v>11.0</v>
      </c>
      <c r="Q813" s="62">
        <v>0.0</v>
      </c>
      <c r="R813" s="62">
        <v>0.0</v>
      </c>
      <c r="S813" s="62">
        <v>0.0</v>
      </c>
      <c r="T813" s="62">
        <v>0.715833333333333</v>
      </c>
      <c r="U813" s="62">
        <v>0.718333333333333</v>
      </c>
      <c r="V813" s="62">
        <v>0.713333333333333</v>
      </c>
      <c r="W813" s="62">
        <v>0.713333333333333</v>
      </c>
      <c r="X813" s="62">
        <v>0.0</v>
      </c>
      <c r="Y813" s="62">
        <v>0.713333333333333</v>
      </c>
      <c r="Z813" s="62">
        <v>0.0</v>
      </c>
      <c r="AA813" s="62">
        <v>0.178611111111111</v>
      </c>
      <c r="AB813" s="62">
        <v>0.178611111111111</v>
      </c>
      <c r="AC813" s="62">
        <v>2.11472222222222</v>
      </c>
      <c r="AD813" s="62">
        <v>0.19</v>
      </c>
      <c r="AE813" s="62">
        <v>2.11472222222222</v>
      </c>
      <c r="AF813" s="62">
        <v>4.0</v>
      </c>
    </row>
    <row r="814">
      <c r="A814" s="68">
        <v>46101.0</v>
      </c>
      <c r="B814" s="62" t="s">
        <v>71</v>
      </c>
      <c r="C814" s="62" t="s">
        <v>163</v>
      </c>
      <c r="D814" s="62">
        <v>0.0</v>
      </c>
      <c r="E814" s="62">
        <v>2.0</v>
      </c>
      <c r="F814" s="62">
        <v>1.0</v>
      </c>
      <c r="G814" s="62">
        <v>2.0</v>
      </c>
      <c r="H814" s="62">
        <v>3.0</v>
      </c>
      <c r="I814" s="62">
        <v>1.0</v>
      </c>
      <c r="J814" s="62">
        <v>5.0</v>
      </c>
      <c r="K814" s="62">
        <v>2.0</v>
      </c>
      <c r="L814" s="62">
        <v>2.0</v>
      </c>
      <c r="M814" s="62">
        <v>3.0</v>
      </c>
      <c r="N814" s="62">
        <v>6.0</v>
      </c>
      <c r="O814" s="62">
        <v>1.0</v>
      </c>
      <c r="P814" s="62">
        <v>6.0</v>
      </c>
      <c r="Q814" s="62">
        <v>0.0</v>
      </c>
      <c r="R814" s="62">
        <v>0.0</v>
      </c>
      <c r="S814" s="62">
        <v>5594.0</v>
      </c>
      <c r="T814" s="62">
        <v>0.0</v>
      </c>
      <c r="U814" s="62">
        <v>0.2525</v>
      </c>
      <c r="V814" s="62">
        <v>0.506666666666666</v>
      </c>
      <c r="W814" s="62">
        <v>0.748055555555555</v>
      </c>
      <c r="X814" s="62">
        <v>0.241388888888888</v>
      </c>
      <c r="Y814" s="62">
        <v>1.24305555555555</v>
      </c>
      <c r="Z814" s="62">
        <v>0.506666666666666</v>
      </c>
      <c r="AA814" s="62">
        <v>0.494722222222222</v>
      </c>
      <c r="AB814" s="62">
        <v>0.744444444444444</v>
      </c>
      <c r="AC814" s="62">
        <v>1.55083333333333</v>
      </c>
      <c r="AD814" s="62">
        <v>0.283333333333333</v>
      </c>
      <c r="AE814" s="62">
        <v>1.55083333333333</v>
      </c>
      <c r="AF814" s="62">
        <v>0.0</v>
      </c>
    </row>
    <row r="815">
      <c r="A815" s="68">
        <v>46101.0</v>
      </c>
      <c r="B815" s="62" t="s">
        <v>76</v>
      </c>
      <c r="C815" s="62" t="s">
        <v>165</v>
      </c>
      <c r="D815" s="62">
        <v>0.0</v>
      </c>
      <c r="E815" s="62">
        <v>4.0</v>
      </c>
      <c r="F815" s="62">
        <v>0.0</v>
      </c>
      <c r="G815" s="62">
        <v>3.0</v>
      </c>
      <c r="H815" s="62">
        <v>3.0</v>
      </c>
      <c r="I815" s="62">
        <v>0.0</v>
      </c>
      <c r="J815" s="62">
        <v>5.0</v>
      </c>
      <c r="K815" s="62">
        <v>0.0</v>
      </c>
      <c r="L815" s="62">
        <v>0.0</v>
      </c>
      <c r="M815" s="62">
        <v>5.0</v>
      </c>
      <c r="N815" s="62">
        <v>7.0</v>
      </c>
      <c r="O815" s="62">
        <v>1.0</v>
      </c>
      <c r="P815" s="62">
        <v>7.0</v>
      </c>
      <c r="Q815" s="62">
        <v>0.0</v>
      </c>
      <c r="R815" s="62">
        <v>0.0</v>
      </c>
      <c r="S815" s="62">
        <v>11013.0</v>
      </c>
      <c r="T815" s="62">
        <v>0.0</v>
      </c>
      <c r="U815" s="62">
        <v>0.0</v>
      </c>
      <c r="V815" s="62">
        <v>0.7725</v>
      </c>
      <c r="W815" s="62">
        <v>0.7725</v>
      </c>
      <c r="X815" s="62">
        <v>0.0</v>
      </c>
      <c r="Y815" s="62">
        <v>1.34833333333333</v>
      </c>
      <c r="Z815" s="62">
        <v>0.0</v>
      </c>
      <c r="AA815" s="62">
        <v>0.0</v>
      </c>
      <c r="AB815" s="62">
        <v>1.44027777777777</v>
      </c>
      <c r="AC815" s="62">
        <v>2.13</v>
      </c>
      <c r="AD815" s="62">
        <v>0.223888888888888</v>
      </c>
      <c r="AE815" s="62">
        <v>2.13</v>
      </c>
      <c r="AF815" s="62">
        <v>0.0</v>
      </c>
    </row>
    <row r="816">
      <c r="A816" s="68">
        <v>46101.0</v>
      </c>
      <c r="B816" s="62" t="s">
        <v>104</v>
      </c>
      <c r="C816" s="62" t="s">
        <v>166</v>
      </c>
      <c r="D816" s="62">
        <v>0.0</v>
      </c>
      <c r="E816" s="62">
        <v>1.0</v>
      </c>
      <c r="F816" s="62">
        <v>3.0</v>
      </c>
      <c r="G816" s="62">
        <v>0.0</v>
      </c>
      <c r="H816" s="62">
        <v>1.0</v>
      </c>
      <c r="I816" s="62">
        <v>1.0</v>
      </c>
      <c r="J816" s="62">
        <v>0.0</v>
      </c>
      <c r="K816" s="62">
        <v>0.0</v>
      </c>
      <c r="L816" s="62">
        <v>0.0</v>
      </c>
      <c r="M816" s="62">
        <v>0.0</v>
      </c>
      <c r="N816" s="62">
        <v>0.0</v>
      </c>
      <c r="O816" s="62">
        <v>0.0</v>
      </c>
      <c r="P816" s="62">
        <v>0.0</v>
      </c>
      <c r="Q816" s="62">
        <v>0.0</v>
      </c>
      <c r="R816" s="62">
        <v>0.0</v>
      </c>
      <c r="S816" s="62">
        <v>2548.0</v>
      </c>
      <c r="T816" s="62">
        <v>0.220833333333333</v>
      </c>
      <c r="U816" s="62">
        <v>0.626111111111111</v>
      </c>
      <c r="V816" s="62">
        <v>0.0</v>
      </c>
      <c r="W816" s="62">
        <v>0.220833333333333</v>
      </c>
      <c r="X816" s="62">
        <v>0.220833333333333</v>
      </c>
      <c r="Y816" s="62">
        <v>0.0</v>
      </c>
      <c r="Z816" s="62">
        <v>0.0</v>
      </c>
      <c r="AA816" s="62">
        <v>0.0</v>
      </c>
      <c r="AB816" s="62">
        <v>0.0</v>
      </c>
      <c r="AC816" s="62">
        <v>0.0</v>
      </c>
      <c r="AD816" s="62">
        <v>0.0</v>
      </c>
      <c r="AE816" s="62">
        <v>0.0</v>
      </c>
      <c r="AF816" s="62">
        <v>1.0</v>
      </c>
    </row>
    <row r="817">
      <c r="A817" s="68">
        <v>46101.0</v>
      </c>
      <c r="B817" s="62" t="s">
        <v>32</v>
      </c>
      <c r="C817" s="62" t="s">
        <v>168</v>
      </c>
      <c r="D817" s="62">
        <v>13.0</v>
      </c>
      <c r="E817" s="62">
        <v>4.0</v>
      </c>
      <c r="F817" s="62">
        <v>0.0</v>
      </c>
      <c r="G817" s="62">
        <v>0.0</v>
      </c>
      <c r="H817" s="62">
        <v>6.0</v>
      </c>
      <c r="I817" s="62">
        <v>2.0</v>
      </c>
      <c r="J817" s="62">
        <v>8.0</v>
      </c>
      <c r="K817" s="62">
        <v>1.0</v>
      </c>
      <c r="L817" s="62">
        <v>0.0</v>
      </c>
      <c r="M817" s="62">
        <v>9.0</v>
      </c>
      <c r="N817" s="62">
        <v>12.0</v>
      </c>
      <c r="O817" s="62">
        <v>1.0</v>
      </c>
      <c r="P817" s="62">
        <v>12.0</v>
      </c>
      <c r="Q817" s="62">
        <v>0.0</v>
      </c>
      <c r="R817" s="62">
        <v>26312.0</v>
      </c>
      <c r="S817" s="62">
        <v>7325.0</v>
      </c>
      <c r="T817" s="62">
        <v>0.4825</v>
      </c>
      <c r="U817" s="62">
        <v>0.0</v>
      </c>
      <c r="V817" s="62">
        <v>0.0</v>
      </c>
      <c r="W817" s="62">
        <v>1.37944444444444</v>
      </c>
      <c r="X817" s="62">
        <v>0.4825</v>
      </c>
      <c r="Y817" s="62">
        <v>1.81722222222222</v>
      </c>
      <c r="Z817" s="62">
        <v>0.209722222222222</v>
      </c>
      <c r="AA817" s="62">
        <v>0.0</v>
      </c>
      <c r="AB817" s="62">
        <v>2.03416666666666</v>
      </c>
      <c r="AC817" s="62">
        <v>2.7175</v>
      </c>
      <c r="AD817" s="62">
        <v>0.225277777777777</v>
      </c>
      <c r="AE817" s="62">
        <v>2.7175</v>
      </c>
      <c r="AF817" s="62">
        <v>2.0</v>
      </c>
    </row>
    <row r="818">
      <c r="A818" s="68">
        <v>46101.0</v>
      </c>
      <c r="B818" s="62" t="s">
        <v>93</v>
      </c>
      <c r="C818" s="62" t="s">
        <v>182</v>
      </c>
      <c r="D818" s="62">
        <v>9.0</v>
      </c>
      <c r="E818" s="62">
        <v>0.0</v>
      </c>
      <c r="F818" s="62">
        <v>0.0</v>
      </c>
      <c r="G818" s="62">
        <v>0.0</v>
      </c>
      <c r="H818" s="62">
        <v>0.0</v>
      </c>
      <c r="I818" s="62">
        <v>0.0</v>
      </c>
      <c r="J818" s="62">
        <v>0.0</v>
      </c>
      <c r="K818" s="62">
        <v>0.0</v>
      </c>
      <c r="L818" s="62">
        <v>0.0</v>
      </c>
      <c r="M818" s="62">
        <v>0.0</v>
      </c>
      <c r="N818" s="62">
        <v>0.0</v>
      </c>
      <c r="O818" s="62">
        <v>0.0</v>
      </c>
      <c r="P818" s="62">
        <v>0.0</v>
      </c>
      <c r="Q818" s="62">
        <v>0.0</v>
      </c>
      <c r="R818" s="62">
        <v>18650.0</v>
      </c>
      <c r="S818" s="62">
        <v>0.0</v>
      </c>
      <c r="T818" s="62">
        <v>0.0</v>
      </c>
      <c r="U818" s="62">
        <v>0.0</v>
      </c>
      <c r="V818" s="62">
        <v>0.0</v>
      </c>
      <c r="W818" s="62">
        <v>0.0</v>
      </c>
      <c r="X818" s="62">
        <v>0.0</v>
      </c>
      <c r="Y818" s="62">
        <v>0.0</v>
      </c>
      <c r="Z818" s="62">
        <v>0.0</v>
      </c>
      <c r="AA818" s="62">
        <v>0.0</v>
      </c>
      <c r="AB818" s="62">
        <v>0.0</v>
      </c>
      <c r="AC818" s="62">
        <v>0.0</v>
      </c>
      <c r="AD818" s="62">
        <v>0.0</v>
      </c>
      <c r="AE818" s="62">
        <v>0.0</v>
      </c>
      <c r="AF818" s="62">
        <v>0.0</v>
      </c>
    </row>
    <row r="819">
      <c r="A819" s="68">
        <v>46101.0</v>
      </c>
      <c r="B819" s="62" t="s">
        <v>65</v>
      </c>
      <c r="C819" s="62" t="s">
        <v>173</v>
      </c>
      <c r="D819" s="62">
        <v>0.0</v>
      </c>
      <c r="E819" s="62">
        <v>2.0</v>
      </c>
      <c r="F819" s="62">
        <v>6.0</v>
      </c>
      <c r="G819" s="62">
        <v>0.0</v>
      </c>
      <c r="H819" s="62">
        <v>0.0</v>
      </c>
      <c r="I819" s="62">
        <v>0.0</v>
      </c>
      <c r="J819" s="62">
        <v>3.0</v>
      </c>
      <c r="K819" s="62">
        <v>2.0</v>
      </c>
      <c r="L819" s="62">
        <v>0.0</v>
      </c>
      <c r="M819" s="62">
        <v>4.0</v>
      </c>
      <c r="N819" s="62">
        <v>7.0</v>
      </c>
      <c r="O819" s="62">
        <v>1.0</v>
      </c>
      <c r="P819" s="62">
        <v>7.0</v>
      </c>
      <c r="Q819" s="62">
        <v>0.0</v>
      </c>
      <c r="R819" s="62">
        <v>0.0</v>
      </c>
      <c r="S819" s="62">
        <v>4936.0</v>
      </c>
      <c r="T819" s="62">
        <v>0.700833333333333</v>
      </c>
      <c r="U819" s="62">
        <v>1.45722222222222</v>
      </c>
      <c r="V819" s="62">
        <v>0.0</v>
      </c>
      <c r="W819" s="62">
        <v>0.0</v>
      </c>
      <c r="X819" s="62">
        <v>0.0</v>
      </c>
      <c r="Y819" s="62">
        <v>0.729444444444444</v>
      </c>
      <c r="Z819" s="62">
        <v>0.471944444444444</v>
      </c>
      <c r="AA819" s="62">
        <v>0.0</v>
      </c>
      <c r="AB819" s="62">
        <v>1.24027777777777</v>
      </c>
      <c r="AC819" s="62">
        <v>2.10861111111111</v>
      </c>
      <c r="AD819" s="62">
        <v>0.258888888888888</v>
      </c>
      <c r="AE819" s="62">
        <v>2.10861111111111</v>
      </c>
      <c r="AF819" s="62">
        <v>3.0</v>
      </c>
    </row>
    <row r="820">
      <c r="A820" s="68">
        <v>46101.0</v>
      </c>
      <c r="B820" s="62" t="s">
        <v>37</v>
      </c>
      <c r="C820" s="62" t="s">
        <v>174</v>
      </c>
      <c r="D820" s="62">
        <v>3.0</v>
      </c>
      <c r="E820" s="62">
        <v>0.0</v>
      </c>
      <c r="F820" s="62">
        <v>2.0</v>
      </c>
      <c r="G820" s="62">
        <v>3.0</v>
      </c>
      <c r="H820" s="62">
        <v>5.0</v>
      </c>
      <c r="I820" s="62">
        <v>2.0</v>
      </c>
      <c r="J820" s="62">
        <v>9.0</v>
      </c>
      <c r="K820" s="62">
        <v>1.0</v>
      </c>
      <c r="L820" s="62">
        <v>0.0</v>
      </c>
      <c r="M820" s="62">
        <v>6.0</v>
      </c>
      <c r="N820" s="62">
        <v>10.0</v>
      </c>
      <c r="O820" s="62">
        <v>1.0</v>
      </c>
      <c r="P820" s="62">
        <v>10.0</v>
      </c>
      <c r="Q820" s="62">
        <v>0.0</v>
      </c>
      <c r="R820" s="62">
        <v>7634.0</v>
      </c>
      <c r="S820" s="62">
        <v>0.0</v>
      </c>
      <c r="T820" s="62">
        <v>0.0</v>
      </c>
      <c r="U820" s="62">
        <v>0.570555555555555</v>
      </c>
      <c r="V820" s="62">
        <v>0.849166666666666</v>
      </c>
      <c r="W820" s="62">
        <v>1.3775</v>
      </c>
      <c r="X820" s="62">
        <v>0.528333333333333</v>
      </c>
      <c r="Y820" s="62">
        <v>2.48888888888888</v>
      </c>
      <c r="Z820" s="62">
        <v>0.272777777777777</v>
      </c>
      <c r="AA820" s="62">
        <v>0.0</v>
      </c>
      <c r="AB820" s="62">
        <v>1.63972222222222</v>
      </c>
      <c r="AC820" s="62">
        <v>2.85972222222222</v>
      </c>
      <c r="AD820" s="62">
        <v>0.288611111111111</v>
      </c>
      <c r="AE820" s="62">
        <v>2.85972222222222</v>
      </c>
      <c r="AF820" s="62">
        <v>0.0</v>
      </c>
    </row>
    <row r="821">
      <c r="A821" s="68">
        <v>46101.0</v>
      </c>
      <c r="B821" s="62" t="s">
        <v>91</v>
      </c>
      <c r="C821" s="62" t="s">
        <v>184</v>
      </c>
      <c r="D821" s="62">
        <v>0.0</v>
      </c>
      <c r="E821" s="62">
        <v>4.0</v>
      </c>
      <c r="F821" s="62">
        <v>0.0</v>
      </c>
      <c r="G821" s="62">
        <v>0.0</v>
      </c>
      <c r="H821" s="62">
        <v>0.0</v>
      </c>
      <c r="I821" s="62">
        <v>0.0</v>
      </c>
      <c r="J821" s="62">
        <v>0.0</v>
      </c>
      <c r="K821" s="62">
        <v>0.0</v>
      </c>
      <c r="L821" s="62">
        <v>0.0</v>
      </c>
      <c r="M821" s="62">
        <v>0.0</v>
      </c>
      <c r="N821" s="62">
        <v>0.0</v>
      </c>
      <c r="O821" s="62">
        <v>0.0</v>
      </c>
      <c r="P821" s="62">
        <v>0.0</v>
      </c>
      <c r="Q821" s="62">
        <v>0.0</v>
      </c>
      <c r="R821" s="62">
        <v>0.0</v>
      </c>
      <c r="S821" s="62">
        <v>7475.0</v>
      </c>
      <c r="T821" s="62">
        <v>0.0</v>
      </c>
      <c r="U821" s="62">
        <v>0.0</v>
      </c>
      <c r="V821" s="62">
        <v>0.0</v>
      </c>
      <c r="W821" s="62">
        <v>0.0</v>
      </c>
      <c r="X821" s="62">
        <v>0.0</v>
      </c>
      <c r="Y821" s="62">
        <v>0.0</v>
      </c>
      <c r="Z821" s="62">
        <v>0.0</v>
      </c>
      <c r="AA821" s="62">
        <v>0.0</v>
      </c>
      <c r="AB821" s="62">
        <v>0.0</v>
      </c>
      <c r="AC821" s="62">
        <v>0.0</v>
      </c>
      <c r="AD821" s="62">
        <v>0.0</v>
      </c>
      <c r="AE821" s="62">
        <v>0.0</v>
      </c>
      <c r="AF821" s="62">
        <v>0.0</v>
      </c>
    </row>
    <row r="822">
      <c r="A822" s="68">
        <v>46101.0</v>
      </c>
      <c r="B822" s="62" t="s">
        <v>84</v>
      </c>
      <c r="C822" s="62" t="s">
        <v>186</v>
      </c>
      <c r="D822" s="62">
        <v>0.0</v>
      </c>
      <c r="E822" s="62">
        <v>1.0</v>
      </c>
      <c r="F822" s="62">
        <v>0.0</v>
      </c>
      <c r="G822" s="62">
        <v>0.0</v>
      </c>
      <c r="H822" s="62">
        <v>0.0</v>
      </c>
      <c r="I822" s="62">
        <v>0.0</v>
      </c>
      <c r="J822" s="62">
        <v>1.0</v>
      </c>
      <c r="K822" s="62">
        <v>0.0</v>
      </c>
      <c r="L822" s="62">
        <v>2.0</v>
      </c>
      <c r="M822" s="62">
        <v>2.0</v>
      </c>
      <c r="N822" s="62">
        <v>4.0</v>
      </c>
      <c r="O822" s="62">
        <v>1.0</v>
      </c>
      <c r="P822" s="62">
        <v>4.0</v>
      </c>
      <c r="Q822" s="62">
        <v>0.0</v>
      </c>
      <c r="R822" s="62">
        <v>0.0</v>
      </c>
      <c r="S822" s="62">
        <v>2233.0</v>
      </c>
      <c r="T822" s="62">
        <v>0.726944444444444</v>
      </c>
      <c r="U822" s="62">
        <v>0.0</v>
      </c>
      <c r="V822" s="62">
        <v>0.0</v>
      </c>
      <c r="W822" s="62">
        <v>0.0</v>
      </c>
      <c r="X822" s="62">
        <v>0.0</v>
      </c>
      <c r="Y822" s="62">
        <v>0.271388888888888</v>
      </c>
      <c r="Z822" s="62">
        <v>0.0</v>
      </c>
      <c r="AA822" s="62">
        <v>0.561388888888888</v>
      </c>
      <c r="AB822" s="62">
        <v>0.561388888888888</v>
      </c>
      <c r="AC822" s="62">
        <v>1.11361111111111</v>
      </c>
      <c r="AD822" s="62">
        <v>0.263333333333333</v>
      </c>
      <c r="AE822" s="62">
        <v>1.11361111111111</v>
      </c>
      <c r="AF822" s="62">
        <v>3.0</v>
      </c>
    </row>
    <row r="823">
      <c r="A823" s="68">
        <v>46101.0</v>
      </c>
      <c r="B823" s="62" t="s">
        <v>26</v>
      </c>
      <c r="C823" s="62" t="s">
        <v>178</v>
      </c>
      <c r="D823" s="62">
        <v>0.0</v>
      </c>
      <c r="E823" s="62">
        <v>5.0</v>
      </c>
      <c r="F823" s="62">
        <v>3.0</v>
      </c>
      <c r="G823" s="62">
        <v>7.0</v>
      </c>
      <c r="H823" s="62">
        <v>12.0</v>
      </c>
      <c r="I823" s="62">
        <v>5.0</v>
      </c>
      <c r="J823" s="62">
        <v>9.0</v>
      </c>
      <c r="K823" s="62">
        <v>0.0</v>
      </c>
      <c r="L823" s="62">
        <v>5.0</v>
      </c>
      <c r="M823" s="62">
        <v>9.0</v>
      </c>
      <c r="N823" s="62">
        <v>13.0</v>
      </c>
      <c r="O823" s="62">
        <v>1.0</v>
      </c>
      <c r="P823" s="62">
        <v>13.0</v>
      </c>
      <c r="Q823" s="62">
        <v>0.0</v>
      </c>
      <c r="R823" s="62">
        <v>0.0</v>
      </c>
      <c r="S823" s="62">
        <v>11478.0</v>
      </c>
      <c r="T823" s="62">
        <v>0.0</v>
      </c>
      <c r="U823" s="62">
        <v>0.713333333333333</v>
      </c>
      <c r="V823" s="62">
        <v>1.49</v>
      </c>
      <c r="W823" s="62">
        <v>2.62138888888888</v>
      </c>
      <c r="X823" s="62">
        <v>1.13138888888888</v>
      </c>
      <c r="Y823" s="62">
        <v>1.92722222222222</v>
      </c>
      <c r="Z823" s="62">
        <v>0.0</v>
      </c>
      <c r="AA823" s="62">
        <v>0.980277777777777</v>
      </c>
      <c r="AB823" s="62">
        <v>1.80611111111111</v>
      </c>
      <c r="AC823" s="62">
        <v>2.74888888888888</v>
      </c>
      <c r="AD823" s="62">
        <v>0.205833333333333</v>
      </c>
      <c r="AE823" s="62">
        <v>2.74888888888888</v>
      </c>
      <c r="AF823" s="62">
        <v>0.0</v>
      </c>
    </row>
    <row r="824">
      <c r="A824" s="68">
        <v>46101.0</v>
      </c>
      <c r="B824" s="62" t="s">
        <v>62</v>
      </c>
      <c r="C824" s="62" t="s">
        <v>63</v>
      </c>
      <c r="D824" s="62">
        <v>0.0</v>
      </c>
      <c r="E824" s="62">
        <v>0.0</v>
      </c>
      <c r="F824" s="62">
        <v>0.0</v>
      </c>
      <c r="G824" s="62">
        <v>0.0</v>
      </c>
      <c r="H824" s="62">
        <v>6.0</v>
      </c>
      <c r="I824" s="62">
        <v>6.0</v>
      </c>
      <c r="J824" s="62">
        <v>3.0</v>
      </c>
      <c r="K824" s="62">
        <v>1.0</v>
      </c>
      <c r="L824" s="62">
        <v>0.0</v>
      </c>
      <c r="M824" s="62">
        <v>2.0</v>
      </c>
      <c r="N824" s="62">
        <v>5.0</v>
      </c>
      <c r="O824" s="62">
        <v>1.0</v>
      </c>
      <c r="P824" s="62">
        <v>5.0</v>
      </c>
      <c r="Q824" s="62">
        <v>0.0</v>
      </c>
      <c r="R824" s="62">
        <v>0.0</v>
      </c>
      <c r="S824" s="62">
        <v>0.0</v>
      </c>
      <c r="T824" s="62">
        <v>1.48416666666666</v>
      </c>
      <c r="U824" s="62">
        <v>0.0</v>
      </c>
      <c r="V824" s="62">
        <v>0.0</v>
      </c>
      <c r="W824" s="62">
        <v>1.23555555555555</v>
      </c>
      <c r="X824" s="62">
        <v>1.23555555555555</v>
      </c>
      <c r="Y824" s="62">
        <v>0.606111111111111</v>
      </c>
      <c r="Z824" s="62">
        <v>0.186388888888888</v>
      </c>
      <c r="AA824" s="62">
        <v>0.0</v>
      </c>
      <c r="AB824" s="62">
        <v>0.419722222222222</v>
      </c>
      <c r="AC824" s="62">
        <v>0.971388888888888</v>
      </c>
      <c r="AD824" s="62">
        <v>0.238611111111111</v>
      </c>
      <c r="AE824" s="62">
        <v>0.971388888888888</v>
      </c>
      <c r="AF824" s="62">
        <v>7.0</v>
      </c>
    </row>
    <row r="825">
      <c r="A825" s="68">
        <v>46100.0</v>
      </c>
      <c r="B825" s="62" t="s">
        <v>79</v>
      </c>
      <c r="C825" s="62" t="s">
        <v>162</v>
      </c>
      <c r="D825" s="62">
        <v>0.0</v>
      </c>
      <c r="E825" s="62">
        <v>0.0</v>
      </c>
      <c r="F825" s="62">
        <v>0.0</v>
      </c>
      <c r="G825" s="62">
        <v>3.0</v>
      </c>
      <c r="H825" s="62">
        <v>3.0</v>
      </c>
      <c r="I825" s="62">
        <v>0.0</v>
      </c>
      <c r="J825" s="62">
        <v>4.0</v>
      </c>
      <c r="K825" s="62">
        <v>1.0</v>
      </c>
      <c r="L825" s="62">
        <v>4.0</v>
      </c>
      <c r="M825" s="62">
        <v>8.0</v>
      </c>
      <c r="N825" s="62">
        <v>0.0</v>
      </c>
      <c r="O825" s="62">
        <v>1.0</v>
      </c>
      <c r="P825" s="62">
        <v>0.0</v>
      </c>
      <c r="Q825" s="62">
        <v>0.0</v>
      </c>
      <c r="R825" s="62">
        <v>0.0</v>
      </c>
      <c r="S825" s="62">
        <v>0.0</v>
      </c>
      <c r="T825" s="62">
        <v>0.0</v>
      </c>
      <c r="U825" s="62">
        <v>0.0</v>
      </c>
      <c r="V825" s="62">
        <v>0.590833333333333</v>
      </c>
      <c r="W825" s="62">
        <v>0.590833333333333</v>
      </c>
      <c r="X825" s="62">
        <v>0.0</v>
      </c>
      <c r="Y825" s="62">
        <v>0.780555555555555</v>
      </c>
      <c r="Z825" s="62">
        <v>0.178611111111111</v>
      </c>
      <c r="AA825" s="62">
        <v>0.734444444444444</v>
      </c>
      <c r="AB825" s="62">
        <v>1.53805555555555</v>
      </c>
      <c r="AC825" s="62">
        <v>0.0</v>
      </c>
      <c r="AD825" s="62">
        <v>0.187222222222222</v>
      </c>
      <c r="AE825" s="62">
        <v>0.0</v>
      </c>
      <c r="AF825" s="62">
        <v>0.0</v>
      </c>
    </row>
    <row r="826">
      <c r="A826" s="68">
        <v>46100.0</v>
      </c>
      <c r="B826" s="62" t="s">
        <v>71</v>
      </c>
      <c r="C826" s="62" t="s">
        <v>163</v>
      </c>
      <c r="D826" s="62">
        <v>0.0</v>
      </c>
      <c r="E826" s="62">
        <v>3.0</v>
      </c>
      <c r="F826" s="62">
        <v>0.0</v>
      </c>
      <c r="G826" s="62">
        <v>3.0</v>
      </c>
      <c r="H826" s="62">
        <v>3.0</v>
      </c>
      <c r="I826" s="62">
        <v>0.0</v>
      </c>
      <c r="J826" s="62">
        <v>3.0</v>
      </c>
      <c r="K826" s="62">
        <v>1.0</v>
      </c>
      <c r="L826" s="62">
        <v>0.0</v>
      </c>
      <c r="M826" s="62">
        <v>3.0</v>
      </c>
      <c r="N826" s="62">
        <v>0.0</v>
      </c>
      <c r="O826" s="62">
        <v>1.0</v>
      </c>
      <c r="P826" s="62">
        <v>0.0</v>
      </c>
      <c r="Q826" s="62">
        <v>0.0</v>
      </c>
      <c r="R826" s="62">
        <v>0.0</v>
      </c>
      <c r="S826" s="62">
        <v>7962.0</v>
      </c>
      <c r="T826" s="62">
        <v>0.493888888888888</v>
      </c>
      <c r="U826" s="62">
        <v>0.0</v>
      </c>
      <c r="V826" s="62">
        <v>0.759444444444444</v>
      </c>
      <c r="W826" s="62">
        <v>0.759444444444444</v>
      </c>
      <c r="X826" s="62">
        <v>0.0</v>
      </c>
      <c r="Y826" s="62">
        <v>0.759444444444444</v>
      </c>
      <c r="Z826" s="62">
        <v>0.239722222222222</v>
      </c>
      <c r="AA826" s="62">
        <v>0.0</v>
      </c>
      <c r="AB826" s="62">
        <v>0.806388888888888</v>
      </c>
      <c r="AC826" s="62">
        <v>0.0</v>
      </c>
      <c r="AD826" s="62">
        <v>0.306666666666666</v>
      </c>
      <c r="AE826" s="62">
        <v>0.0</v>
      </c>
      <c r="AF826" s="62">
        <v>2.0</v>
      </c>
    </row>
    <row r="827">
      <c r="A827" s="68">
        <v>46100.0</v>
      </c>
      <c r="B827" s="62" t="s">
        <v>76</v>
      </c>
      <c r="C827" s="62" t="s">
        <v>165</v>
      </c>
      <c r="D827" s="62">
        <v>0.0</v>
      </c>
      <c r="E827" s="62">
        <v>0.0</v>
      </c>
      <c r="F827" s="62">
        <v>9.0</v>
      </c>
      <c r="G827" s="62">
        <v>2.0</v>
      </c>
      <c r="H827" s="62">
        <v>1.0</v>
      </c>
      <c r="I827" s="62">
        <v>0.0</v>
      </c>
      <c r="J827" s="62">
        <v>4.0</v>
      </c>
      <c r="K827" s="62">
        <v>1.0</v>
      </c>
      <c r="L827" s="62">
        <v>1.0</v>
      </c>
      <c r="M827" s="62">
        <v>3.0</v>
      </c>
      <c r="N827" s="62">
        <v>0.0</v>
      </c>
      <c r="O827" s="62">
        <v>1.0</v>
      </c>
      <c r="P827" s="62">
        <v>0.0</v>
      </c>
      <c r="Q827" s="62">
        <v>0.0</v>
      </c>
      <c r="R827" s="62">
        <v>0.0</v>
      </c>
      <c r="S827" s="62">
        <v>0.0</v>
      </c>
      <c r="T827" s="62">
        <v>2.41527777777777</v>
      </c>
      <c r="U827" s="62">
        <v>2.41527777777777</v>
      </c>
      <c r="V827" s="62">
        <v>0.575833333333333</v>
      </c>
      <c r="W827" s="62">
        <v>0.273055555555555</v>
      </c>
      <c r="X827" s="62">
        <v>0.0</v>
      </c>
      <c r="Y827" s="62">
        <v>1.34388888888888</v>
      </c>
      <c r="Z827" s="62">
        <v>0.358333333333333</v>
      </c>
      <c r="AA827" s="62">
        <v>0.358333333333333</v>
      </c>
      <c r="AB827" s="62">
        <v>0.985555555555555</v>
      </c>
      <c r="AC827" s="62">
        <v>0.0</v>
      </c>
      <c r="AD827" s="62">
        <v>0.26</v>
      </c>
      <c r="AE827" s="62">
        <v>0.0</v>
      </c>
      <c r="AF827" s="62">
        <v>9.0</v>
      </c>
    </row>
    <row r="828">
      <c r="A828" s="68">
        <v>46100.0</v>
      </c>
      <c r="B828" s="62" t="s">
        <v>104</v>
      </c>
      <c r="C828" s="62" t="s">
        <v>166</v>
      </c>
      <c r="D828" s="62">
        <v>0.0</v>
      </c>
      <c r="E828" s="62">
        <v>0.0</v>
      </c>
      <c r="F828" s="62">
        <v>0.0</v>
      </c>
      <c r="G828" s="62">
        <v>0.0</v>
      </c>
      <c r="H828" s="62">
        <v>0.0</v>
      </c>
      <c r="I828" s="62">
        <v>0.0</v>
      </c>
      <c r="J828" s="62">
        <v>0.0</v>
      </c>
      <c r="K828" s="62">
        <v>0.0</v>
      </c>
      <c r="L828" s="62">
        <v>0.0</v>
      </c>
      <c r="M828" s="62">
        <v>0.0</v>
      </c>
      <c r="N828" s="62">
        <v>0.0</v>
      </c>
      <c r="O828" s="62">
        <v>0.0</v>
      </c>
      <c r="P828" s="62">
        <v>0.0</v>
      </c>
      <c r="Q828" s="62">
        <v>0.0</v>
      </c>
      <c r="R828" s="62">
        <v>0.0</v>
      </c>
      <c r="S828" s="62">
        <v>0.0</v>
      </c>
      <c r="T828" s="62">
        <v>0.626111111111111</v>
      </c>
      <c r="U828" s="62">
        <v>0.0</v>
      </c>
      <c r="V828" s="62">
        <v>0.0</v>
      </c>
      <c r="W828" s="62">
        <v>0.0</v>
      </c>
      <c r="X828" s="62">
        <v>0.0</v>
      </c>
      <c r="Y828" s="62">
        <v>0.0</v>
      </c>
      <c r="Z828" s="62">
        <v>0.0</v>
      </c>
      <c r="AA828" s="62">
        <v>0.0</v>
      </c>
      <c r="AB828" s="62">
        <v>0.0</v>
      </c>
      <c r="AC828" s="62">
        <v>0.0</v>
      </c>
      <c r="AD828" s="62">
        <v>0.0</v>
      </c>
      <c r="AE828" s="62">
        <v>0.0</v>
      </c>
      <c r="AF828" s="62">
        <v>3.0</v>
      </c>
    </row>
    <row r="829">
      <c r="A829" s="68">
        <v>46100.0</v>
      </c>
      <c r="B829" s="62" t="s">
        <v>32</v>
      </c>
      <c r="C829" s="62" t="s">
        <v>168</v>
      </c>
      <c r="D829" s="62">
        <v>0.0</v>
      </c>
      <c r="E829" s="62">
        <v>0.0</v>
      </c>
      <c r="F829" s="62">
        <v>2.0</v>
      </c>
      <c r="G829" s="62">
        <v>0.0</v>
      </c>
      <c r="H829" s="62">
        <v>2.0</v>
      </c>
      <c r="I829" s="62">
        <v>2.0</v>
      </c>
      <c r="J829" s="62">
        <v>0.0</v>
      </c>
      <c r="K829" s="62">
        <v>1.0</v>
      </c>
      <c r="L829" s="62">
        <v>0.0</v>
      </c>
      <c r="M829" s="62">
        <v>1.0</v>
      </c>
      <c r="N829" s="62">
        <v>0.0</v>
      </c>
      <c r="O829" s="62">
        <v>1.0</v>
      </c>
      <c r="P829" s="62">
        <v>0.0</v>
      </c>
      <c r="Q829" s="62">
        <v>0.0</v>
      </c>
      <c r="R829" s="62">
        <v>0.0</v>
      </c>
      <c r="S829" s="62">
        <v>0.0</v>
      </c>
      <c r="T829" s="62">
        <v>0.873611111111111</v>
      </c>
      <c r="U829" s="62">
        <v>0.436944444444444</v>
      </c>
      <c r="V829" s="62">
        <v>0.0</v>
      </c>
      <c r="W829" s="62">
        <v>0.436666666666666</v>
      </c>
      <c r="X829" s="62">
        <v>0.436666666666666</v>
      </c>
      <c r="Y829" s="62">
        <v>0.0</v>
      </c>
      <c r="Z829" s="62">
        <v>0.216944444444444</v>
      </c>
      <c r="AA829" s="62">
        <v>0.0</v>
      </c>
      <c r="AB829" s="62">
        <v>0.228611111111111</v>
      </c>
      <c r="AC829" s="62">
        <v>0.0</v>
      </c>
      <c r="AD829" s="62">
        <v>0.238611111111111</v>
      </c>
      <c r="AE829" s="62">
        <v>0.0</v>
      </c>
      <c r="AF829" s="62">
        <v>4.0</v>
      </c>
    </row>
    <row r="830">
      <c r="A830" s="68">
        <v>46100.0</v>
      </c>
      <c r="B830" s="62" t="s">
        <v>93</v>
      </c>
      <c r="C830" s="62" t="s">
        <v>182</v>
      </c>
      <c r="D830" s="62">
        <v>6.0</v>
      </c>
      <c r="E830" s="62">
        <v>0.0</v>
      </c>
      <c r="F830" s="62">
        <v>0.0</v>
      </c>
      <c r="G830" s="62">
        <v>0.0</v>
      </c>
      <c r="H830" s="62">
        <v>0.0</v>
      </c>
      <c r="I830" s="62">
        <v>0.0</v>
      </c>
      <c r="J830" s="62">
        <v>0.0</v>
      </c>
      <c r="K830" s="62">
        <v>0.0</v>
      </c>
      <c r="L830" s="62">
        <v>0.0</v>
      </c>
      <c r="M830" s="62">
        <v>0.0</v>
      </c>
      <c r="N830" s="62">
        <v>0.0</v>
      </c>
      <c r="O830" s="62">
        <v>0.0</v>
      </c>
      <c r="P830" s="62">
        <v>0.0</v>
      </c>
      <c r="Q830" s="62">
        <v>0.0</v>
      </c>
      <c r="R830" s="62">
        <v>12609.0</v>
      </c>
      <c r="S830" s="62">
        <v>0.0</v>
      </c>
      <c r="T830" s="62">
        <v>0.0</v>
      </c>
      <c r="U830" s="62">
        <v>0.0</v>
      </c>
      <c r="V830" s="62">
        <v>0.0</v>
      </c>
      <c r="W830" s="62">
        <v>0.0</v>
      </c>
      <c r="X830" s="62">
        <v>0.0</v>
      </c>
      <c r="Y830" s="62">
        <v>0.0</v>
      </c>
      <c r="Z830" s="62">
        <v>0.0</v>
      </c>
      <c r="AA830" s="62">
        <v>0.0</v>
      </c>
      <c r="AB830" s="62">
        <v>0.0</v>
      </c>
      <c r="AC830" s="62">
        <v>0.0</v>
      </c>
      <c r="AD830" s="62">
        <v>0.0</v>
      </c>
      <c r="AE830" s="62">
        <v>0.0</v>
      </c>
      <c r="AF830" s="62">
        <v>0.0</v>
      </c>
    </row>
    <row r="831">
      <c r="A831" s="68">
        <v>46100.0</v>
      </c>
      <c r="B831" s="62" t="s">
        <v>65</v>
      </c>
      <c r="C831" s="62" t="s">
        <v>173</v>
      </c>
      <c r="D831" s="62">
        <v>0.0</v>
      </c>
      <c r="E831" s="62">
        <v>0.0</v>
      </c>
      <c r="F831" s="62">
        <v>0.0</v>
      </c>
      <c r="G831" s="62">
        <v>3.0</v>
      </c>
      <c r="H831" s="62">
        <v>3.0</v>
      </c>
      <c r="I831" s="62">
        <v>0.0</v>
      </c>
      <c r="J831" s="62">
        <v>0.0</v>
      </c>
      <c r="K831" s="62">
        <v>1.0</v>
      </c>
      <c r="L831" s="62">
        <v>2.0</v>
      </c>
      <c r="M831" s="62">
        <v>0.0</v>
      </c>
      <c r="N831" s="62">
        <v>0.0</v>
      </c>
      <c r="O831" s="62">
        <v>1.0</v>
      </c>
      <c r="P831" s="62">
        <v>0.0</v>
      </c>
      <c r="Q831" s="62">
        <v>0.0</v>
      </c>
      <c r="R831" s="62">
        <v>0.0</v>
      </c>
      <c r="S831" s="62">
        <v>0.0</v>
      </c>
      <c r="T831" s="62">
        <v>0.490277777777777</v>
      </c>
      <c r="U831" s="62">
        <v>0.0</v>
      </c>
      <c r="V831" s="62">
        <v>0.729444444444444</v>
      </c>
      <c r="W831" s="62">
        <v>0.729444444444444</v>
      </c>
      <c r="X831" s="62">
        <v>0.0</v>
      </c>
      <c r="Y831" s="62">
        <v>0.0</v>
      </c>
      <c r="Z831" s="62">
        <v>0.441388888888888</v>
      </c>
      <c r="AA831" s="62">
        <v>0.541388888888888</v>
      </c>
      <c r="AB831" s="62">
        <v>0.0</v>
      </c>
      <c r="AC831" s="62">
        <v>0.0</v>
      </c>
      <c r="AD831" s="62">
        <v>0.2525</v>
      </c>
      <c r="AE831" s="62">
        <v>0.0</v>
      </c>
      <c r="AF831" s="62">
        <v>2.0</v>
      </c>
    </row>
    <row r="832">
      <c r="A832" s="68">
        <v>46100.0</v>
      </c>
      <c r="B832" s="62" t="s">
        <v>37</v>
      </c>
      <c r="C832" s="62" t="s">
        <v>174</v>
      </c>
      <c r="D832" s="62">
        <v>0.0</v>
      </c>
      <c r="E832" s="62">
        <v>0.0</v>
      </c>
      <c r="F832" s="62">
        <v>0.0</v>
      </c>
      <c r="G832" s="62">
        <v>3.0</v>
      </c>
      <c r="H832" s="62">
        <v>3.0</v>
      </c>
      <c r="I832" s="62">
        <v>0.0</v>
      </c>
      <c r="J832" s="62">
        <v>0.0</v>
      </c>
      <c r="K832" s="62">
        <v>0.0</v>
      </c>
      <c r="L832" s="62">
        <v>0.0</v>
      </c>
      <c r="M832" s="62">
        <v>0.0</v>
      </c>
      <c r="N832" s="62">
        <v>0.0</v>
      </c>
      <c r="O832" s="62">
        <v>1.0</v>
      </c>
      <c r="P832" s="62">
        <v>0.0</v>
      </c>
      <c r="Q832" s="62">
        <v>0.0</v>
      </c>
      <c r="R832" s="62">
        <v>0.0</v>
      </c>
      <c r="S832" s="62">
        <v>0.0</v>
      </c>
      <c r="T832" s="62">
        <v>1.09888888888888</v>
      </c>
      <c r="U832" s="62">
        <v>0.0</v>
      </c>
      <c r="V832" s="62">
        <v>0.838888888888888</v>
      </c>
      <c r="W832" s="62">
        <v>0.838888888888888</v>
      </c>
      <c r="X832" s="62">
        <v>0.0</v>
      </c>
      <c r="Y832" s="62">
        <v>0.0</v>
      </c>
      <c r="Z832" s="62">
        <v>0.0</v>
      </c>
      <c r="AA832" s="62">
        <v>0.0</v>
      </c>
      <c r="AB832" s="62">
        <v>0.0</v>
      </c>
      <c r="AC832" s="62">
        <v>0.0</v>
      </c>
      <c r="AD832" s="62">
        <v>0.245555555555555</v>
      </c>
      <c r="AE832" s="62">
        <v>0.0</v>
      </c>
      <c r="AF832" s="62">
        <v>4.0</v>
      </c>
    </row>
    <row r="833">
      <c r="A833" s="68">
        <v>46100.0</v>
      </c>
      <c r="B833" s="62" t="s">
        <v>84</v>
      </c>
      <c r="C833" s="62" t="s">
        <v>186</v>
      </c>
      <c r="D833" s="62">
        <v>0.0</v>
      </c>
      <c r="E833" s="62">
        <v>0.0</v>
      </c>
      <c r="F833" s="62">
        <v>3.0</v>
      </c>
      <c r="G833" s="62">
        <v>4.0</v>
      </c>
      <c r="H833" s="62">
        <v>4.0</v>
      </c>
      <c r="I833" s="62">
        <v>0.0</v>
      </c>
      <c r="J833" s="62">
        <v>4.0</v>
      </c>
      <c r="K833" s="62">
        <v>2.0</v>
      </c>
      <c r="L833" s="62">
        <v>0.0</v>
      </c>
      <c r="M833" s="62">
        <v>2.0</v>
      </c>
      <c r="N833" s="62">
        <v>4.0</v>
      </c>
      <c r="O833" s="62">
        <v>1.0</v>
      </c>
      <c r="P833" s="62">
        <v>4.0</v>
      </c>
      <c r="Q833" s="62">
        <v>0.0</v>
      </c>
      <c r="R833" s="62">
        <v>0.0</v>
      </c>
      <c r="S833" s="62">
        <v>0.0</v>
      </c>
      <c r="T833" s="62">
        <v>0.0</v>
      </c>
      <c r="U833" s="62">
        <v>0.853611111111111</v>
      </c>
      <c r="V833" s="62">
        <v>1.11416666666666</v>
      </c>
      <c r="W833" s="62">
        <v>1.11416666666666</v>
      </c>
      <c r="X833" s="62">
        <v>0.0</v>
      </c>
      <c r="Y833" s="62">
        <v>1.11416666666666</v>
      </c>
      <c r="Z833" s="62">
        <v>0.561944444444444</v>
      </c>
      <c r="AA833" s="62">
        <v>0.0</v>
      </c>
      <c r="AB833" s="62">
        <v>0.552222222222222</v>
      </c>
      <c r="AC833" s="62">
        <v>1.16444444444444</v>
      </c>
      <c r="AD833" s="62">
        <v>0.277222222222222</v>
      </c>
      <c r="AE833" s="62">
        <v>1.16444444444444</v>
      </c>
      <c r="AF833" s="62">
        <v>0.0</v>
      </c>
    </row>
    <row r="834">
      <c r="A834" s="68">
        <v>46100.0</v>
      </c>
      <c r="B834" s="62" t="s">
        <v>26</v>
      </c>
      <c r="C834" s="62" t="s">
        <v>178</v>
      </c>
      <c r="D834" s="62">
        <v>8.0</v>
      </c>
      <c r="E834" s="62">
        <v>0.0</v>
      </c>
      <c r="F834" s="62">
        <v>0.0</v>
      </c>
      <c r="G834" s="62">
        <v>0.0</v>
      </c>
      <c r="H834" s="62">
        <v>0.0</v>
      </c>
      <c r="I834" s="62">
        <v>0.0</v>
      </c>
      <c r="J834" s="62">
        <v>0.0</v>
      </c>
      <c r="K834" s="62">
        <v>2.0</v>
      </c>
      <c r="L834" s="62">
        <v>0.0</v>
      </c>
      <c r="M834" s="62">
        <v>1.0</v>
      </c>
      <c r="N834" s="62">
        <v>1.0</v>
      </c>
      <c r="O834" s="62">
        <v>1.0</v>
      </c>
      <c r="P834" s="62">
        <v>1.0</v>
      </c>
      <c r="Q834" s="62">
        <v>0.0</v>
      </c>
      <c r="R834" s="62">
        <v>16700.0</v>
      </c>
      <c r="S834" s="62">
        <v>0.0</v>
      </c>
      <c r="T834" s="62">
        <v>0.0</v>
      </c>
      <c r="U834" s="62">
        <v>0.0</v>
      </c>
      <c r="V834" s="62">
        <v>0.0</v>
      </c>
      <c r="W834" s="62">
        <v>0.0</v>
      </c>
      <c r="X834" s="62">
        <v>0.0</v>
      </c>
      <c r="Y834" s="62">
        <v>0.0</v>
      </c>
      <c r="Z834" s="62">
        <v>0.363055555555555</v>
      </c>
      <c r="AA834" s="62">
        <v>0.0</v>
      </c>
      <c r="AB834" s="62">
        <v>0.185277777777777</v>
      </c>
      <c r="AC834" s="62">
        <v>0.234722222222222</v>
      </c>
      <c r="AD834" s="62">
        <v>0.195277777777777</v>
      </c>
      <c r="AE834" s="62">
        <v>0.234722222222222</v>
      </c>
      <c r="AF834" s="62">
        <v>0.0</v>
      </c>
    </row>
    <row r="835">
      <c r="A835" s="68">
        <v>46100.0</v>
      </c>
      <c r="B835" s="62" t="s">
        <v>62</v>
      </c>
      <c r="C835" s="62" t="s">
        <v>63</v>
      </c>
      <c r="D835" s="62">
        <v>7.0</v>
      </c>
      <c r="E835" s="62">
        <v>0.0</v>
      </c>
      <c r="F835" s="62">
        <v>0.0</v>
      </c>
      <c r="G835" s="62">
        <v>0.0</v>
      </c>
      <c r="H835" s="62">
        <v>0.0</v>
      </c>
      <c r="I835" s="62">
        <v>0.0</v>
      </c>
      <c r="J835" s="62">
        <v>0.0</v>
      </c>
      <c r="K835" s="62">
        <v>0.0</v>
      </c>
      <c r="L835" s="62">
        <v>0.0</v>
      </c>
      <c r="M835" s="62">
        <v>2.0</v>
      </c>
      <c r="N835" s="62">
        <v>0.0</v>
      </c>
      <c r="O835" s="62">
        <v>1.0</v>
      </c>
      <c r="P835" s="62">
        <v>0.0</v>
      </c>
      <c r="Q835" s="62">
        <v>0.0</v>
      </c>
      <c r="R835" s="62">
        <v>16406.0</v>
      </c>
      <c r="S835" s="62">
        <v>0.0</v>
      </c>
      <c r="T835" s="62">
        <v>0.6</v>
      </c>
      <c r="U835" s="62">
        <v>0.0</v>
      </c>
      <c r="V835" s="62">
        <v>0.0</v>
      </c>
      <c r="W835" s="62">
        <v>0.0</v>
      </c>
      <c r="X835" s="62">
        <v>0.0</v>
      </c>
      <c r="Y835" s="62">
        <v>0.0</v>
      </c>
      <c r="Z835" s="62">
        <v>0.0</v>
      </c>
      <c r="AA835" s="62">
        <v>0.0</v>
      </c>
      <c r="AB835" s="62">
        <v>0.390555555555555</v>
      </c>
      <c r="AC835" s="62">
        <v>0.0</v>
      </c>
      <c r="AD835" s="62">
        <v>0.239444444444444</v>
      </c>
      <c r="AE835" s="62">
        <v>0.0</v>
      </c>
      <c r="AF835" s="62">
        <v>3.0</v>
      </c>
    </row>
    <row r="836">
      <c r="A836" s="68">
        <v>46099.0</v>
      </c>
      <c r="B836" s="62" t="s">
        <v>79</v>
      </c>
      <c r="C836" s="62" t="s">
        <v>162</v>
      </c>
      <c r="D836" s="62">
        <v>0.0</v>
      </c>
      <c r="E836" s="62">
        <v>0.0</v>
      </c>
      <c r="F836" s="62">
        <v>1.0</v>
      </c>
      <c r="G836" s="62">
        <v>1.0</v>
      </c>
      <c r="H836" s="62">
        <v>2.0</v>
      </c>
      <c r="I836" s="62">
        <v>1.0</v>
      </c>
      <c r="J836" s="62">
        <v>3.0</v>
      </c>
      <c r="K836" s="62">
        <v>3.0</v>
      </c>
      <c r="L836" s="62">
        <v>1.0</v>
      </c>
      <c r="M836" s="62">
        <v>1.0</v>
      </c>
      <c r="N836" s="62">
        <v>0.0</v>
      </c>
      <c r="O836" s="62">
        <v>1.0</v>
      </c>
      <c r="P836" s="62">
        <v>0.0</v>
      </c>
      <c r="Q836" s="62">
        <v>0.0</v>
      </c>
      <c r="R836" s="62">
        <v>0.0</v>
      </c>
      <c r="S836" s="62">
        <v>0.0</v>
      </c>
      <c r="T836" s="62">
        <v>0.781944444444444</v>
      </c>
      <c r="U836" s="62">
        <v>0.185555555555555</v>
      </c>
      <c r="V836" s="62">
        <v>0.189722222222222</v>
      </c>
      <c r="W836" s="62">
        <v>0.412777777777777</v>
      </c>
      <c r="X836" s="62">
        <v>0.223055555555555</v>
      </c>
      <c r="Y836" s="62">
        <v>0.600277777777777</v>
      </c>
      <c r="Z836" s="62">
        <v>0.58</v>
      </c>
      <c r="AA836" s="62">
        <v>0.201666666666666</v>
      </c>
      <c r="AB836" s="62">
        <v>0.221944444444444</v>
      </c>
      <c r="AC836" s="62">
        <v>0.0</v>
      </c>
      <c r="AD836" s="62">
        <v>0.180277777777777</v>
      </c>
      <c r="AE836" s="62">
        <v>0.0</v>
      </c>
      <c r="AF836" s="62">
        <v>4.0</v>
      </c>
    </row>
    <row r="837">
      <c r="A837" s="68">
        <v>46099.0</v>
      </c>
      <c r="B837" s="62" t="s">
        <v>71</v>
      </c>
      <c r="C837" s="62" t="s">
        <v>163</v>
      </c>
      <c r="D837" s="62">
        <v>0.0</v>
      </c>
      <c r="E837" s="62">
        <v>0.0</v>
      </c>
      <c r="F837" s="62">
        <v>2.0</v>
      </c>
      <c r="G837" s="62">
        <v>1.0</v>
      </c>
      <c r="H837" s="62">
        <v>5.0</v>
      </c>
      <c r="I837" s="62">
        <v>2.0</v>
      </c>
      <c r="J837" s="62">
        <v>3.0</v>
      </c>
      <c r="K837" s="62">
        <v>1.0</v>
      </c>
      <c r="L837" s="62">
        <v>0.0</v>
      </c>
      <c r="M837" s="62">
        <v>2.0</v>
      </c>
      <c r="N837" s="62">
        <v>3.0</v>
      </c>
      <c r="O837" s="62">
        <v>1.0</v>
      </c>
      <c r="P837" s="62">
        <v>3.0</v>
      </c>
      <c r="Q837" s="62">
        <v>0.0</v>
      </c>
      <c r="R837" s="62">
        <v>0.0</v>
      </c>
      <c r="S837" s="62">
        <v>0.0</v>
      </c>
      <c r="T837" s="62">
        <v>0.999166666666666</v>
      </c>
      <c r="U837" s="62">
        <v>0.506388888888888</v>
      </c>
      <c r="V837" s="62">
        <v>0.286666666666666</v>
      </c>
      <c r="W837" s="62">
        <v>1.34027777777777</v>
      </c>
      <c r="X837" s="62">
        <v>0.492777777777777</v>
      </c>
      <c r="Y837" s="62">
        <v>0.8475</v>
      </c>
      <c r="Z837" s="62">
        <v>0.286666666666666</v>
      </c>
      <c r="AA837" s="62">
        <v>0.0</v>
      </c>
      <c r="AB837" s="62">
        <v>0.560833333333333</v>
      </c>
      <c r="AC837" s="62">
        <v>0.851388888888889</v>
      </c>
      <c r="AD837" s="62">
        <v>0.318333333333333</v>
      </c>
      <c r="AE837" s="62">
        <v>0.851388888888888</v>
      </c>
      <c r="AF837" s="62">
        <v>4.0</v>
      </c>
    </row>
    <row r="838">
      <c r="A838" s="68">
        <v>46099.0</v>
      </c>
      <c r="B838" s="62" t="s">
        <v>76</v>
      </c>
      <c r="C838" s="62" t="s">
        <v>165</v>
      </c>
      <c r="D838" s="62">
        <v>0.0</v>
      </c>
      <c r="E838" s="62">
        <v>4.0</v>
      </c>
      <c r="F838" s="62">
        <v>4.0</v>
      </c>
      <c r="G838" s="62">
        <v>7.0</v>
      </c>
      <c r="H838" s="62">
        <v>8.0</v>
      </c>
      <c r="I838" s="62">
        <v>1.0</v>
      </c>
      <c r="J838" s="62">
        <v>3.0</v>
      </c>
      <c r="K838" s="62">
        <v>1.0</v>
      </c>
      <c r="L838" s="62">
        <v>0.0</v>
      </c>
      <c r="M838" s="62">
        <v>2.0</v>
      </c>
      <c r="N838" s="62">
        <v>0.0</v>
      </c>
      <c r="O838" s="62">
        <v>1.0</v>
      </c>
      <c r="P838" s="62">
        <v>0.0</v>
      </c>
      <c r="Q838" s="62">
        <v>0.0</v>
      </c>
      <c r="R838" s="62">
        <v>0.0</v>
      </c>
      <c r="S838" s="62">
        <v>11968.0</v>
      </c>
      <c r="T838" s="62">
        <v>1.08</v>
      </c>
      <c r="U838" s="62">
        <v>1.08</v>
      </c>
      <c r="V838" s="62">
        <v>2.13</v>
      </c>
      <c r="W838" s="62">
        <v>2.43222222222222</v>
      </c>
      <c r="X838" s="62">
        <v>0.302222222222222</v>
      </c>
      <c r="Y838" s="62">
        <v>0.786111111111111</v>
      </c>
      <c r="Z838" s="62">
        <v>0.275833333333333</v>
      </c>
      <c r="AA838" s="62">
        <v>0.0</v>
      </c>
      <c r="AB838" s="62">
        <v>0.510277777777777</v>
      </c>
      <c r="AC838" s="62">
        <v>0.0</v>
      </c>
      <c r="AD838" s="62">
        <v>0.260555555555555</v>
      </c>
      <c r="AE838" s="62">
        <v>0.0</v>
      </c>
      <c r="AF838" s="62">
        <v>4.0</v>
      </c>
    </row>
    <row r="839">
      <c r="A839" s="68">
        <v>46099.0</v>
      </c>
      <c r="B839" s="62" t="s">
        <v>104</v>
      </c>
      <c r="C839" s="62" t="s">
        <v>166</v>
      </c>
      <c r="D839" s="62">
        <v>8.0</v>
      </c>
      <c r="E839" s="62">
        <v>3.0</v>
      </c>
      <c r="F839" s="62">
        <v>2.0</v>
      </c>
      <c r="G839" s="62">
        <v>0.0</v>
      </c>
      <c r="H839" s="62">
        <v>0.0</v>
      </c>
      <c r="I839" s="62">
        <v>0.0</v>
      </c>
      <c r="J839" s="62">
        <v>0.0</v>
      </c>
      <c r="K839" s="62">
        <v>0.0</v>
      </c>
      <c r="L839" s="62">
        <v>0.0</v>
      </c>
      <c r="M839" s="62">
        <v>0.0</v>
      </c>
      <c r="N839" s="62">
        <v>0.0</v>
      </c>
      <c r="O839" s="62">
        <v>0.0</v>
      </c>
      <c r="P839" s="62">
        <v>0.0</v>
      </c>
      <c r="Q839" s="62">
        <v>0.0</v>
      </c>
      <c r="R839" s="62">
        <v>18751.0</v>
      </c>
      <c r="S839" s="62">
        <v>7349.0</v>
      </c>
      <c r="T839" s="62">
        <v>0.0</v>
      </c>
      <c r="U839" s="62">
        <v>0.391944444444444</v>
      </c>
      <c r="V839" s="62">
        <v>0.0</v>
      </c>
      <c r="W839" s="62">
        <v>0.0</v>
      </c>
      <c r="X839" s="62">
        <v>0.0</v>
      </c>
      <c r="Y839" s="62">
        <v>0.0</v>
      </c>
      <c r="Z839" s="62">
        <v>0.0</v>
      </c>
      <c r="AA839" s="62">
        <v>0.0</v>
      </c>
      <c r="AB839" s="62">
        <v>0.0</v>
      </c>
      <c r="AC839" s="62">
        <v>0.0</v>
      </c>
      <c r="AD839" s="62">
        <v>0.0</v>
      </c>
      <c r="AE839" s="62">
        <v>0.0</v>
      </c>
      <c r="AF839" s="62">
        <v>0.0</v>
      </c>
    </row>
    <row r="840">
      <c r="A840" s="68">
        <v>46099.0</v>
      </c>
      <c r="B840" s="62" t="s">
        <v>32</v>
      </c>
      <c r="C840" s="62" t="s">
        <v>168</v>
      </c>
      <c r="D840" s="62">
        <v>4.0</v>
      </c>
      <c r="E840" s="62">
        <v>4.0</v>
      </c>
      <c r="F840" s="62">
        <v>1.0</v>
      </c>
      <c r="G840" s="62">
        <v>0.0</v>
      </c>
      <c r="H840" s="62">
        <v>5.0</v>
      </c>
      <c r="I840" s="62">
        <v>2.0</v>
      </c>
      <c r="J840" s="62">
        <v>6.0</v>
      </c>
      <c r="K840" s="62">
        <v>2.0</v>
      </c>
      <c r="L840" s="62">
        <v>0.0</v>
      </c>
      <c r="M840" s="62">
        <v>4.0</v>
      </c>
      <c r="N840" s="62">
        <v>2.0</v>
      </c>
      <c r="O840" s="62">
        <v>1.0</v>
      </c>
      <c r="P840" s="62">
        <v>2.0</v>
      </c>
      <c r="Q840" s="62">
        <v>0.0</v>
      </c>
      <c r="R840" s="62">
        <v>9877.0</v>
      </c>
      <c r="S840" s="62">
        <v>9877.0</v>
      </c>
      <c r="T840" s="62">
        <v>0.467222222222222</v>
      </c>
      <c r="U840" s="62">
        <v>0.23</v>
      </c>
      <c r="V840" s="62">
        <v>0.0</v>
      </c>
      <c r="W840" s="62">
        <v>1.15305555555555</v>
      </c>
      <c r="X840" s="62">
        <v>0.466388888888888</v>
      </c>
      <c r="Y840" s="62">
        <v>1.36999999999999</v>
      </c>
      <c r="Z840" s="62">
        <v>0.453333333333333</v>
      </c>
      <c r="AA840" s="62">
        <v>0.0</v>
      </c>
      <c r="AB840" s="62">
        <v>0.924444444444444</v>
      </c>
      <c r="AC840" s="62">
        <v>0.469722222222222</v>
      </c>
      <c r="AD840" s="62">
        <v>0.209722222222222</v>
      </c>
      <c r="AE840" s="62">
        <v>0.469722222222222</v>
      </c>
      <c r="AF840" s="62">
        <v>2.0</v>
      </c>
    </row>
    <row r="841">
      <c r="A841" s="68">
        <v>46099.0</v>
      </c>
      <c r="B841" s="62" t="s">
        <v>93</v>
      </c>
      <c r="C841" s="62" t="s">
        <v>182</v>
      </c>
      <c r="D841" s="62">
        <v>5.0</v>
      </c>
      <c r="E841" s="62">
        <v>2.0</v>
      </c>
      <c r="F841" s="62">
        <v>0.0</v>
      </c>
      <c r="G841" s="62">
        <v>0.0</v>
      </c>
      <c r="H841" s="62">
        <v>0.0</v>
      </c>
      <c r="I841" s="62">
        <v>0.0</v>
      </c>
      <c r="J841" s="62">
        <v>0.0</v>
      </c>
      <c r="K841" s="62">
        <v>0.0</v>
      </c>
      <c r="L841" s="62">
        <v>0.0</v>
      </c>
      <c r="M841" s="62">
        <v>0.0</v>
      </c>
      <c r="N841" s="62">
        <v>0.0</v>
      </c>
      <c r="O841" s="62">
        <v>0.0</v>
      </c>
      <c r="P841" s="62">
        <v>0.0</v>
      </c>
      <c r="Q841" s="62">
        <v>0.0</v>
      </c>
      <c r="R841" s="62">
        <v>10273.0</v>
      </c>
      <c r="S841" s="62">
        <v>5075.0</v>
      </c>
      <c r="T841" s="62">
        <v>0.0</v>
      </c>
      <c r="U841" s="62">
        <v>0.0</v>
      </c>
      <c r="V841" s="62">
        <v>0.0</v>
      </c>
      <c r="W841" s="62">
        <v>0.0</v>
      </c>
      <c r="X841" s="62">
        <v>0.0</v>
      </c>
      <c r="Y841" s="62">
        <v>0.0</v>
      </c>
      <c r="Z841" s="62">
        <v>0.0</v>
      </c>
      <c r="AA841" s="62">
        <v>0.0</v>
      </c>
      <c r="AB841" s="62">
        <v>0.0</v>
      </c>
      <c r="AC841" s="62">
        <v>0.0</v>
      </c>
      <c r="AD841" s="62">
        <v>0.0</v>
      </c>
      <c r="AE841" s="62">
        <v>0.0</v>
      </c>
      <c r="AF841" s="62">
        <v>0.0</v>
      </c>
    </row>
    <row r="842">
      <c r="A842" s="68">
        <v>46099.0</v>
      </c>
      <c r="B842" s="62" t="s">
        <v>65</v>
      </c>
      <c r="C842" s="62" t="s">
        <v>173</v>
      </c>
      <c r="D842" s="62">
        <v>0.0</v>
      </c>
      <c r="E842" s="62">
        <v>2.0</v>
      </c>
      <c r="F842" s="62">
        <v>2.0</v>
      </c>
      <c r="G842" s="62">
        <v>1.0</v>
      </c>
      <c r="H842" s="62">
        <v>1.0</v>
      </c>
      <c r="I842" s="62">
        <v>1.0</v>
      </c>
      <c r="J842" s="62">
        <v>0.0</v>
      </c>
      <c r="K842" s="62">
        <v>1.0</v>
      </c>
      <c r="L842" s="62">
        <v>3.0</v>
      </c>
      <c r="M842" s="62">
        <v>3.0</v>
      </c>
      <c r="N842" s="62">
        <v>0.0</v>
      </c>
      <c r="O842" s="62">
        <v>1.0</v>
      </c>
      <c r="P842" s="62">
        <v>0.0</v>
      </c>
      <c r="Q842" s="62">
        <v>0.0</v>
      </c>
      <c r="R842" s="62">
        <v>0.0</v>
      </c>
      <c r="S842" s="62">
        <v>4824.0</v>
      </c>
      <c r="T842" s="62">
        <v>0.266111111111111</v>
      </c>
      <c r="U842" s="62">
        <v>0.543333333333333</v>
      </c>
      <c r="V842" s="62">
        <v>0.441111111111111</v>
      </c>
      <c r="W842" s="62">
        <v>0.245277777777777</v>
      </c>
      <c r="X842" s="62">
        <v>0.245277777777777</v>
      </c>
      <c r="Y842" s="62">
        <v>0.0</v>
      </c>
      <c r="Z842" s="62">
        <v>0.274444444444444</v>
      </c>
      <c r="AA842" s="62">
        <v>0.846388888888888</v>
      </c>
      <c r="AB842" s="62">
        <v>0.846388888888889</v>
      </c>
      <c r="AC842" s="62">
        <v>0.0</v>
      </c>
      <c r="AD842" s="62">
        <v>0.2675</v>
      </c>
      <c r="AE842" s="62">
        <v>0.0</v>
      </c>
      <c r="AF842" s="62">
        <v>1.0</v>
      </c>
    </row>
    <row r="843">
      <c r="A843" s="68">
        <v>46099.0</v>
      </c>
      <c r="B843" s="62" t="s">
        <v>37</v>
      </c>
      <c r="C843" s="62" t="s">
        <v>174</v>
      </c>
      <c r="D843" s="62">
        <v>3.0</v>
      </c>
      <c r="E843" s="62">
        <v>2.0</v>
      </c>
      <c r="F843" s="62">
        <v>5.0</v>
      </c>
      <c r="G843" s="62">
        <v>3.0</v>
      </c>
      <c r="H843" s="62">
        <v>3.0</v>
      </c>
      <c r="I843" s="62">
        <v>0.0</v>
      </c>
      <c r="J843" s="62">
        <v>4.0</v>
      </c>
      <c r="K843" s="62">
        <v>0.0</v>
      </c>
      <c r="L843" s="62">
        <v>0.0</v>
      </c>
      <c r="M843" s="62">
        <v>5.0</v>
      </c>
      <c r="N843" s="62">
        <v>6.0</v>
      </c>
      <c r="O843" s="62">
        <v>1.0</v>
      </c>
      <c r="P843" s="62">
        <v>6.0</v>
      </c>
      <c r="Q843" s="62">
        <v>0.0</v>
      </c>
      <c r="R843" s="62">
        <v>7508.0</v>
      </c>
      <c r="S843" s="62">
        <v>5069.0</v>
      </c>
      <c r="T843" s="62">
        <v>0.0</v>
      </c>
      <c r="U843" s="62">
        <v>1.40694444444444</v>
      </c>
      <c r="V843" s="62">
        <v>0.800833333333333</v>
      </c>
      <c r="W843" s="62">
        <v>0.800833333333333</v>
      </c>
      <c r="X843" s="62">
        <v>0.0</v>
      </c>
      <c r="Y843" s="62">
        <v>1.22083333333333</v>
      </c>
      <c r="Z843" s="62">
        <v>0.0</v>
      </c>
      <c r="AA843" s="62">
        <v>0.0</v>
      </c>
      <c r="AB843" s="62">
        <v>1.53583333333333</v>
      </c>
      <c r="AC843" s="62">
        <v>1.85722222222222</v>
      </c>
      <c r="AD843" s="62">
        <v>0.290277777777777</v>
      </c>
      <c r="AE843" s="62">
        <v>1.85722222222222</v>
      </c>
      <c r="AF843" s="62">
        <v>0.0</v>
      </c>
    </row>
    <row r="844">
      <c r="A844" s="68">
        <v>46099.0</v>
      </c>
      <c r="B844" s="62" t="s">
        <v>84</v>
      </c>
      <c r="C844" s="62" t="s">
        <v>186</v>
      </c>
      <c r="D844" s="62">
        <v>5.0</v>
      </c>
      <c r="E844" s="62">
        <v>0.0</v>
      </c>
      <c r="F844" s="62">
        <v>0.0</v>
      </c>
      <c r="G844" s="62">
        <v>0.0</v>
      </c>
      <c r="H844" s="62">
        <v>0.0</v>
      </c>
      <c r="I844" s="62">
        <v>0.0</v>
      </c>
      <c r="J844" s="62">
        <v>0.0</v>
      </c>
      <c r="K844" s="62">
        <v>1.0</v>
      </c>
      <c r="L844" s="62">
        <v>1.0</v>
      </c>
      <c r="M844" s="62">
        <v>3.0</v>
      </c>
      <c r="N844" s="62">
        <v>2.0</v>
      </c>
      <c r="O844" s="62">
        <v>1.0</v>
      </c>
      <c r="P844" s="62">
        <v>2.0</v>
      </c>
      <c r="Q844" s="62">
        <v>0.0</v>
      </c>
      <c r="R844" s="62">
        <v>11407.0</v>
      </c>
      <c r="S844" s="62">
        <v>0.0</v>
      </c>
      <c r="T844" s="62">
        <v>0.853611111111111</v>
      </c>
      <c r="U844" s="62">
        <v>0.0</v>
      </c>
      <c r="V844" s="62">
        <v>0.0</v>
      </c>
      <c r="W844" s="62">
        <v>0.0</v>
      </c>
      <c r="X844" s="62">
        <v>0.0</v>
      </c>
      <c r="Y844" s="62">
        <v>0.0</v>
      </c>
      <c r="Z844" s="62">
        <v>0.263333333333333</v>
      </c>
      <c r="AA844" s="62">
        <v>0.263333333333333</v>
      </c>
      <c r="AB844" s="62">
        <v>0.889999999999999</v>
      </c>
      <c r="AC844" s="62">
        <v>0.51</v>
      </c>
      <c r="AD844" s="62">
        <v>0.264166666666666</v>
      </c>
      <c r="AE844" s="62">
        <v>0.51</v>
      </c>
      <c r="AF844" s="62">
        <v>3.0</v>
      </c>
    </row>
    <row r="845">
      <c r="A845" s="68">
        <v>46099.0</v>
      </c>
      <c r="B845" s="62" t="s">
        <v>26</v>
      </c>
      <c r="C845" s="62" t="s">
        <v>178</v>
      </c>
      <c r="D845" s="62">
        <v>0.0</v>
      </c>
      <c r="E845" s="62">
        <v>10.0</v>
      </c>
      <c r="F845" s="62">
        <v>5.0</v>
      </c>
      <c r="G845" s="62">
        <v>0.0</v>
      </c>
      <c r="H845" s="62">
        <v>5.0</v>
      </c>
      <c r="I845" s="62">
        <v>5.0</v>
      </c>
      <c r="J845" s="62">
        <v>8.0</v>
      </c>
      <c r="K845" s="62">
        <v>3.0</v>
      </c>
      <c r="L845" s="62">
        <v>0.0</v>
      </c>
      <c r="M845" s="62">
        <v>2.0</v>
      </c>
      <c r="N845" s="62">
        <v>5.0</v>
      </c>
      <c r="O845" s="62">
        <v>1.0</v>
      </c>
      <c r="P845" s="62">
        <v>5.0</v>
      </c>
      <c r="Q845" s="62">
        <v>0.0</v>
      </c>
      <c r="R845" s="62">
        <v>0.0</v>
      </c>
      <c r="S845" s="62">
        <v>23656.0</v>
      </c>
      <c r="T845" s="62">
        <v>2.36527777777777</v>
      </c>
      <c r="U845" s="62">
        <v>1.07166666666666</v>
      </c>
      <c r="V845" s="62">
        <v>0.0</v>
      </c>
      <c r="W845" s="62">
        <v>0.983888888888888</v>
      </c>
      <c r="X845" s="62">
        <v>0.983888888888888</v>
      </c>
      <c r="Y845" s="62">
        <v>1.56861111111111</v>
      </c>
      <c r="Z845" s="62">
        <v>0.617222222222222</v>
      </c>
      <c r="AA845" s="62">
        <v>0.0</v>
      </c>
      <c r="AB845" s="62">
        <v>0.403055555555555</v>
      </c>
      <c r="AC845" s="62">
        <v>0.978055555555555</v>
      </c>
      <c r="AD845" s="62">
        <v>0.200277777777777</v>
      </c>
      <c r="AE845" s="62">
        <v>0.978055555555555</v>
      </c>
      <c r="AF845" s="62">
        <v>10.0</v>
      </c>
    </row>
    <row r="846">
      <c r="A846" s="68">
        <v>46099.0</v>
      </c>
      <c r="B846" s="62" t="s">
        <v>62</v>
      </c>
      <c r="C846" s="62" t="s">
        <v>63</v>
      </c>
      <c r="D846" s="62">
        <v>6.0</v>
      </c>
      <c r="E846" s="62">
        <v>2.0</v>
      </c>
      <c r="F846" s="62">
        <v>0.0</v>
      </c>
      <c r="G846" s="62">
        <v>0.0</v>
      </c>
      <c r="H846" s="62">
        <v>3.0</v>
      </c>
      <c r="I846" s="62">
        <v>2.0</v>
      </c>
      <c r="J846" s="62">
        <v>3.0</v>
      </c>
      <c r="K846" s="62">
        <v>0.0</v>
      </c>
      <c r="L846" s="62">
        <v>0.0</v>
      </c>
      <c r="M846" s="62">
        <v>4.0</v>
      </c>
      <c r="N846" s="62">
        <v>4.0</v>
      </c>
      <c r="O846" s="62">
        <v>1.0</v>
      </c>
      <c r="P846" s="62">
        <v>4.0</v>
      </c>
      <c r="Q846" s="62">
        <v>0.0</v>
      </c>
      <c r="R846" s="62">
        <v>15585.0</v>
      </c>
      <c r="S846" s="62">
        <v>4881.0</v>
      </c>
      <c r="T846" s="62">
        <v>0.563888888888888</v>
      </c>
      <c r="U846" s="62">
        <v>0.0</v>
      </c>
      <c r="V846" s="62">
        <v>0.0</v>
      </c>
      <c r="W846" s="62">
        <v>0.566666666666666</v>
      </c>
      <c r="X846" s="62">
        <v>0.384722222222222</v>
      </c>
      <c r="Y846" s="62">
        <v>0.5725</v>
      </c>
      <c r="Z846" s="62">
        <v>0.0</v>
      </c>
      <c r="AA846" s="62">
        <v>0.0</v>
      </c>
      <c r="AB846" s="62">
        <v>0.760833333333333</v>
      </c>
      <c r="AC846" s="62">
        <v>0.830833333333333</v>
      </c>
      <c r="AD846" s="62">
        <v>0.2275</v>
      </c>
      <c r="AE846" s="62">
        <v>0.830833333333333</v>
      </c>
      <c r="AF846" s="62">
        <v>3.0</v>
      </c>
    </row>
    <row r="847">
      <c r="A847" s="68">
        <v>46098.0</v>
      </c>
      <c r="B847" s="62" t="s">
        <v>79</v>
      </c>
      <c r="C847" s="62" t="s">
        <v>162</v>
      </c>
      <c r="D847" s="62">
        <v>0.0</v>
      </c>
      <c r="E847" s="62">
        <v>0.0</v>
      </c>
      <c r="F847" s="62">
        <v>2.0</v>
      </c>
      <c r="G847" s="62">
        <v>2.0</v>
      </c>
      <c r="H847" s="62">
        <v>3.0</v>
      </c>
      <c r="I847" s="62">
        <v>1.0</v>
      </c>
      <c r="J847" s="62">
        <v>2.0</v>
      </c>
      <c r="K847" s="62">
        <v>1.0</v>
      </c>
      <c r="L847" s="62">
        <v>0.0</v>
      </c>
      <c r="M847" s="62">
        <v>1.0</v>
      </c>
      <c r="N847" s="62">
        <v>0.0</v>
      </c>
      <c r="O847" s="62">
        <v>2.0</v>
      </c>
      <c r="P847" s="62">
        <v>0.0</v>
      </c>
      <c r="Q847" s="62">
        <v>0.0</v>
      </c>
      <c r="R847" s="62">
        <v>0.0</v>
      </c>
      <c r="S847" s="62">
        <v>0.0</v>
      </c>
      <c r="T847" s="62">
        <v>0.623055555555555</v>
      </c>
      <c r="U847" s="62">
        <v>0.420555555555555</v>
      </c>
      <c r="V847" s="62">
        <v>0.378333333333333</v>
      </c>
      <c r="W847" s="62">
        <v>0.580833333333333</v>
      </c>
      <c r="X847" s="62">
        <v>0.2025</v>
      </c>
      <c r="Y847" s="62">
        <v>0.392777777777777</v>
      </c>
      <c r="Z847" s="62">
        <v>0.191111111111111</v>
      </c>
      <c r="AA847" s="62">
        <v>0.0</v>
      </c>
      <c r="AB847" s="62">
        <v>0.176111111111111</v>
      </c>
      <c r="AC847" s="62">
        <v>0.0</v>
      </c>
      <c r="AD847" s="62">
        <v>0.378055555555555</v>
      </c>
      <c r="AE847" s="62">
        <v>0.0</v>
      </c>
      <c r="AF847" s="62">
        <v>3.0</v>
      </c>
    </row>
    <row r="848">
      <c r="A848" s="68">
        <v>46098.0</v>
      </c>
      <c r="B848" s="62" t="s">
        <v>71</v>
      </c>
      <c r="C848" s="62" t="s">
        <v>163</v>
      </c>
      <c r="D848" s="62">
        <v>0.0</v>
      </c>
      <c r="E848" s="62">
        <v>3.0</v>
      </c>
      <c r="F848" s="62">
        <v>2.0</v>
      </c>
      <c r="G848" s="62">
        <v>1.0</v>
      </c>
      <c r="H848" s="62">
        <v>1.0</v>
      </c>
      <c r="I848" s="62">
        <v>0.0</v>
      </c>
      <c r="J848" s="62">
        <v>1.0</v>
      </c>
      <c r="K848" s="62">
        <v>0.0</v>
      </c>
      <c r="L848" s="62">
        <v>0.0</v>
      </c>
      <c r="M848" s="62">
        <v>3.0</v>
      </c>
      <c r="N848" s="62">
        <v>2.0</v>
      </c>
      <c r="O848" s="62">
        <v>1.0</v>
      </c>
      <c r="P848" s="62">
        <v>2.0</v>
      </c>
      <c r="Q848" s="62">
        <v>0.0</v>
      </c>
      <c r="R848" s="62">
        <v>0.0</v>
      </c>
      <c r="S848" s="62">
        <v>8101.0</v>
      </c>
      <c r="T848" s="62">
        <v>0.479166666666666</v>
      </c>
      <c r="U848" s="62">
        <v>0.479166666666666</v>
      </c>
      <c r="V848" s="62">
        <v>0.290555555555555</v>
      </c>
      <c r="W848" s="62">
        <v>0.290555555555555</v>
      </c>
      <c r="X848" s="62">
        <v>0.0</v>
      </c>
      <c r="Y848" s="62">
        <v>0.290555555555555</v>
      </c>
      <c r="Z848" s="62">
        <v>0.0</v>
      </c>
      <c r="AA848" s="62">
        <v>0.0</v>
      </c>
      <c r="AB848" s="62">
        <v>0.872222222222222</v>
      </c>
      <c r="AC848" s="62">
        <v>0.581666666666666</v>
      </c>
      <c r="AD848" s="62">
        <v>0.294722222222222</v>
      </c>
      <c r="AE848" s="62">
        <v>0.581666666666666</v>
      </c>
      <c r="AF848" s="62">
        <v>2.0</v>
      </c>
    </row>
    <row r="849">
      <c r="A849" s="68">
        <v>46098.0</v>
      </c>
      <c r="B849" s="62" t="s">
        <v>76</v>
      </c>
      <c r="C849" s="62" t="s">
        <v>165</v>
      </c>
      <c r="D849" s="62">
        <v>0.0</v>
      </c>
      <c r="E849" s="62">
        <v>6.0</v>
      </c>
      <c r="F849" s="62">
        <v>4.0</v>
      </c>
      <c r="G849" s="62">
        <v>0.0</v>
      </c>
      <c r="H849" s="62">
        <v>0.0</v>
      </c>
      <c r="I849" s="62">
        <v>0.0</v>
      </c>
      <c r="J849" s="62">
        <v>0.0</v>
      </c>
      <c r="K849" s="62">
        <v>0.0</v>
      </c>
      <c r="L849" s="62">
        <v>0.0</v>
      </c>
      <c r="M849" s="62">
        <v>2.0</v>
      </c>
      <c r="N849" s="62">
        <v>2.0</v>
      </c>
      <c r="O849" s="62">
        <v>1.0</v>
      </c>
      <c r="P849" s="62">
        <v>2.0</v>
      </c>
      <c r="Q849" s="62">
        <v>0.0</v>
      </c>
      <c r="R849" s="62">
        <v>0.0</v>
      </c>
      <c r="S849" s="62">
        <v>17702.0</v>
      </c>
      <c r="T849" s="62">
        <v>1.30944444444444</v>
      </c>
      <c r="U849" s="62">
        <v>1.30944444444444</v>
      </c>
      <c r="V849" s="62">
        <v>0.0</v>
      </c>
      <c r="W849" s="62">
        <v>0.0</v>
      </c>
      <c r="X849" s="62">
        <v>0.0</v>
      </c>
      <c r="Y849" s="62">
        <v>0.0</v>
      </c>
      <c r="Z849" s="62">
        <v>0.0</v>
      </c>
      <c r="AA849" s="62">
        <v>0.0</v>
      </c>
      <c r="AB849" s="62">
        <v>0.538888888888888</v>
      </c>
      <c r="AC849" s="62">
        <v>0.538888888888888</v>
      </c>
      <c r="AD849" s="62">
        <v>0.266666666666666</v>
      </c>
      <c r="AE849" s="62">
        <v>0.538888888888888</v>
      </c>
      <c r="AF849" s="62">
        <v>4.0</v>
      </c>
    </row>
    <row r="850">
      <c r="A850" s="68">
        <v>46098.0</v>
      </c>
      <c r="B850" s="62" t="s">
        <v>104</v>
      </c>
      <c r="C850" s="62" t="s">
        <v>166</v>
      </c>
      <c r="D850" s="62">
        <v>0.0</v>
      </c>
      <c r="E850" s="62">
        <v>2.0</v>
      </c>
      <c r="F850" s="62">
        <v>5.0</v>
      </c>
      <c r="G850" s="62">
        <v>0.0</v>
      </c>
      <c r="H850" s="62">
        <v>0.0</v>
      </c>
      <c r="I850" s="62">
        <v>0.0</v>
      </c>
      <c r="J850" s="62">
        <v>0.0</v>
      </c>
      <c r="K850" s="62">
        <v>0.0</v>
      </c>
      <c r="L850" s="62">
        <v>0.0</v>
      </c>
      <c r="M850" s="62">
        <v>0.0</v>
      </c>
      <c r="N850" s="62">
        <v>0.0</v>
      </c>
      <c r="O850" s="62">
        <v>0.0</v>
      </c>
      <c r="P850" s="62">
        <v>0.0</v>
      </c>
      <c r="Q850" s="62">
        <v>0.0</v>
      </c>
      <c r="R850" s="62">
        <v>0.0</v>
      </c>
      <c r="S850" s="62">
        <v>4576.0</v>
      </c>
      <c r="T850" s="62">
        <v>0.391944444444444</v>
      </c>
      <c r="U850" s="62">
        <v>1.045</v>
      </c>
      <c r="V850" s="62">
        <v>0.0</v>
      </c>
      <c r="W850" s="62">
        <v>0.0</v>
      </c>
      <c r="X850" s="62">
        <v>0.0</v>
      </c>
      <c r="Y850" s="62">
        <v>0.0</v>
      </c>
      <c r="Z850" s="62">
        <v>0.0</v>
      </c>
      <c r="AA850" s="62">
        <v>0.0</v>
      </c>
      <c r="AB850" s="62">
        <v>0.0</v>
      </c>
      <c r="AC850" s="62">
        <v>0.0</v>
      </c>
      <c r="AD850" s="62">
        <v>0.0</v>
      </c>
      <c r="AE850" s="62">
        <v>0.0</v>
      </c>
      <c r="AF850" s="62">
        <v>2.0</v>
      </c>
    </row>
    <row r="851">
      <c r="A851" s="68">
        <v>46098.0</v>
      </c>
      <c r="B851" s="62" t="s">
        <v>32</v>
      </c>
      <c r="C851" s="62" t="s">
        <v>168</v>
      </c>
      <c r="D851" s="62">
        <v>6.0</v>
      </c>
      <c r="E851" s="62">
        <v>6.0</v>
      </c>
      <c r="F851" s="62">
        <v>2.0</v>
      </c>
      <c r="G851" s="62">
        <v>0.0</v>
      </c>
      <c r="H851" s="62">
        <v>2.0</v>
      </c>
      <c r="I851" s="62">
        <v>2.0</v>
      </c>
      <c r="J851" s="62">
        <v>0.0</v>
      </c>
      <c r="K851" s="62">
        <v>0.0</v>
      </c>
      <c r="L851" s="62">
        <v>0.0</v>
      </c>
      <c r="M851" s="62">
        <v>2.0</v>
      </c>
      <c r="N851" s="62">
        <v>2.0</v>
      </c>
      <c r="O851" s="62">
        <v>1.0</v>
      </c>
      <c r="P851" s="62">
        <v>2.0</v>
      </c>
      <c r="Q851" s="62">
        <v>0.0</v>
      </c>
      <c r="R851" s="62">
        <v>14847.0</v>
      </c>
      <c r="S851" s="62">
        <v>14847.0</v>
      </c>
      <c r="T851" s="62">
        <v>0.686944444444444</v>
      </c>
      <c r="U851" s="62">
        <v>0.448055555555555</v>
      </c>
      <c r="V851" s="62">
        <v>0.0</v>
      </c>
      <c r="W851" s="62">
        <v>0.453611111111111</v>
      </c>
      <c r="X851" s="62">
        <v>0.453611111111111</v>
      </c>
      <c r="Y851" s="62">
        <v>0.0</v>
      </c>
      <c r="Z851" s="62">
        <v>0.0</v>
      </c>
      <c r="AA851" s="62">
        <v>0.0</v>
      </c>
      <c r="AB851" s="62">
        <v>0.485</v>
      </c>
      <c r="AC851" s="62">
        <v>0.485</v>
      </c>
      <c r="AD851" s="62">
        <v>0.213611111111111</v>
      </c>
      <c r="AE851" s="62">
        <v>0.485</v>
      </c>
      <c r="AF851" s="62">
        <v>3.0</v>
      </c>
    </row>
    <row r="852">
      <c r="A852" s="68">
        <v>46098.0</v>
      </c>
      <c r="B852" s="62" t="s">
        <v>93</v>
      </c>
      <c r="C852" s="62" t="s">
        <v>182</v>
      </c>
      <c r="D852" s="62">
        <v>0.0</v>
      </c>
      <c r="E852" s="62">
        <v>3.0</v>
      </c>
      <c r="F852" s="62">
        <v>0.0</v>
      </c>
      <c r="G852" s="62">
        <v>0.0</v>
      </c>
      <c r="H852" s="62">
        <v>0.0</v>
      </c>
      <c r="I852" s="62">
        <v>0.0</v>
      </c>
      <c r="J852" s="62">
        <v>0.0</v>
      </c>
      <c r="K852" s="62">
        <v>0.0</v>
      </c>
      <c r="L852" s="62">
        <v>0.0</v>
      </c>
      <c r="M852" s="62">
        <v>0.0</v>
      </c>
      <c r="N852" s="62">
        <v>0.0</v>
      </c>
      <c r="O852" s="62">
        <v>0.0</v>
      </c>
      <c r="P852" s="62">
        <v>0.0</v>
      </c>
      <c r="Q852" s="62">
        <v>0.0</v>
      </c>
      <c r="R852" s="62">
        <v>0.0</v>
      </c>
      <c r="S852" s="62">
        <v>7076.0</v>
      </c>
      <c r="T852" s="62">
        <v>0.0</v>
      </c>
      <c r="U852" s="62">
        <v>0.0</v>
      </c>
      <c r="V852" s="62">
        <v>0.0</v>
      </c>
      <c r="W852" s="62">
        <v>0.0</v>
      </c>
      <c r="X852" s="62">
        <v>0.0</v>
      </c>
      <c r="Y852" s="62">
        <v>0.0</v>
      </c>
      <c r="Z852" s="62">
        <v>0.0</v>
      </c>
      <c r="AA852" s="62">
        <v>0.0</v>
      </c>
      <c r="AB852" s="62">
        <v>0.0</v>
      </c>
      <c r="AC852" s="62">
        <v>0.0</v>
      </c>
      <c r="AD852" s="62">
        <v>0.0</v>
      </c>
      <c r="AE852" s="62">
        <v>0.0</v>
      </c>
      <c r="AF852" s="62">
        <v>0.0</v>
      </c>
    </row>
    <row r="853">
      <c r="A853" s="68">
        <v>46098.0</v>
      </c>
      <c r="B853" s="62" t="s">
        <v>65</v>
      </c>
      <c r="C853" s="62" t="s">
        <v>173</v>
      </c>
      <c r="D853" s="62">
        <v>0.0</v>
      </c>
      <c r="E853" s="62">
        <v>5.0</v>
      </c>
      <c r="F853" s="62">
        <v>4.0</v>
      </c>
      <c r="G853" s="62">
        <v>0.0</v>
      </c>
      <c r="H853" s="62">
        <v>0.0</v>
      </c>
      <c r="I853" s="62">
        <v>0.0</v>
      </c>
      <c r="J853" s="62">
        <v>0.0</v>
      </c>
      <c r="K853" s="62">
        <v>1.0</v>
      </c>
      <c r="L853" s="62">
        <v>2.0</v>
      </c>
      <c r="M853" s="62">
        <v>6.0</v>
      </c>
      <c r="N853" s="62">
        <v>6.0</v>
      </c>
      <c r="O853" s="62">
        <v>1.0</v>
      </c>
      <c r="P853" s="62">
        <v>6.0</v>
      </c>
      <c r="Q853" s="62">
        <v>0.0</v>
      </c>
      <c r="R853" s="62">
        <v>0.0</v>
      </c>
      <c r="S853" s="62">
        <v>11981.0</v>
      </c>
      <c r="T853" s="62">
        <v>0.788611111111111</v>
      </c>
      <c r="U853" s="62">
        <v>0.95</v>
      </c>
      <c r="V853" s="62">
        <v>0.0</v>
      </c>
      <c r="W853" s="62">
        <v>0.0</v>
      </c>
      <c r="X853" s="62">
        <v>0.0</v>
      </c>
      <c r="Y853" s="62">
        <v>0.0</v>
      </c>
      <c r="Z853" s="62">
        <v>0.258611111111111</v>
      </c>
      <c r="AA853" s="62">
        <v>0.522777777777777</v>
      </c>
      <c r="AB853" s="62">
        <v>1.51277777777777</v>
      </c>
      <c r="AC853" s="62">
        <v>1.5125</v>
      </c>
      <c r="AD853" s="62">
        <v>0.210833333333333</v>
      </c>
      <c r="AE853" s="62">
        <v>1.5125</v>
      </c>
      <c r="AF853" s="62">
        <v>3.0</v>
      </c>
    </row>
    <row r="854">
      <c r="A854" s="68">
        <v>46098.0</v>
      </c>
      <c r="B854" s="62" t="s">
        <v>37</v>
      </c>
      <c r="C854" s="62" t="s">
        <v>174</v>
      </c>
      <c r="D854" s="62">
        <v>3.0</v>
      </c>
      <c r="E854" s="62">
        <v>3.0</v>
      </c>
      <c r="F854" s="62">
        <v>0.0</v>
      </c>
      <c r="G854" s="62">
        <v>4.0</v>
      </c>
      <c r="H854" s="62">
        <v>4.0</v>
      </c>
      <c r="I854" s="62">
        <v>0.0</v>
      </c>
      <c r="J854" s="62">
        <v>2.0</v>
      </c>
      <c r="K854" s="62">
        <v>0.0</v>
      </c>
      <c r="L854" s="62">
        <v>1.0</v>
      </c>
      <c r="M854" s="62">
        <v>2.0</v>
      </c>
      <c r="N854" s="62">
        <v>0.0</v>
      </c>
      <c r="O854" s="62">
        <v>1.0</v>
      </c>
      <c r="P854" s="62">
        <v>0.0</v>
      </c>
      <c r="Q854" s="62">
        <v>0.0</v>
      </c>
      <c r="R854" s="62">
        <v>7090.0</v>
      </c>
      <c r="S854" s="62">
        <v>7698.0</v>
      </c>
      <c r="T854" s="62">
        <v>1.40694444444444</v>
      </c>
      <c r="U854" s="62">
        <v>0.0</v>
      </c>
      <c r="V854" s="62">
        <v>1.22083333333333</v>
      </c>
      <c r="W854" s="62">
        <v>1.22083333333333</v>
      </c>
      <c r="X854" s="62">
        <v>0.0</v>
      </c>
      <c r="Y854" s="62">
        <v>0.627777777777777</v>
      </c>
      <c r="Z854" s="62">
        <v>0.0</v>
      </c>
      <c r="AA854" s="62">
        <v>0.315</v>
      </c>
      <c r="AB854" s="62">
        <v>0.627777777777777</v>
      </c>
      <c r="AC854" s="62">
        <v>0.0</v>
      </c>
      <c r="AD854" s="62">
        <v>0.294166666666666</v>
      </c>
      <c r="AE854" s="62">
        <v>0.0</v>
      </c>
      <c r="AF854" s="62">
        <v>5.0</v>
      </c>
    </row>
    <row r="855">
      <c r="A855" s="68">
        <v>46098.0</v>
      </c>
      <c r="B855" s="62" t="s">
        <v>91</v>
      </c>
      <c r="C855" s="62" t="s">
        <v>184</v>
      </c>
      <c r="D855" s="62">
        <v>0.0</v>
      </c>
      <c r="E855" s="62">
        <v>3.0</v>
      </c>
      <c r="F855" s="62">
        <v>0.0</v>
      </c>
      <c r="G855" s="62">
        <v>0.0</v>
      </c>
      <c r="H855" s="62">
        <v>0.0</v>
      </c>
      <c r="I855" s="62">
        <v>0.0</v>
      </c>
      <c r="J855" s="62">
        <v>0.0</v>
      </c>
      <c r="K855" s="62">
        <v>0.0</v>
      </c>
      <c r="L855" s="62">
        <v>0.0</v>
      </c>
      <c r="M855" s="62">
        <v>0.0</v>
      </c>
      <c r="N855" s="62">
        <v>0.0</v>
      </c>
      <c r="O855" s="62">
        <v>0.0</v>
      </c>
      <c r="P855" s="62">
        <v>0.0</v>
      </c>
      <c r="Q855" s="62">
        <v>0.0</v>
      </c>
      <c r="R855" s="62">
        <v>0.0</v>
      </c>
      <c r="S855" s="62">
        <v>5883.0</v>
      </c>
      <c r="T855" s="62">
        <v>0.0</v>
      </c>
      <c r="U855" s="62">
        <v>0.0</v>
      </c>
      <c r="V855" s="62">
        <v>0.0</v>
      </c>
      <c r="W855" s="62">
        <v>0.0</v>
      </c>
      <c r="X855" s="62">
        <v>0.0</v>
      </c>
      <c r="Y855" s="62">
        <v>0.0</v>
      </c>
      <c r="Z855" s="62">
        <v>0.0</v>
      </c>
      <c r="AA855" s="62">
        <v>0.0</v>
      </c>
      <c r="AB855" s="62">
        <v>0.0</v>
      </c>
      <c r="AC855" s="62">
        <v>0.0</v>
      </c>
      <c r="AD855" s="62">
        <v>0.0</v>
      </c>
      <c r="AE855" s="62">
        <v>0.0</v>
      </c>
      <c r="AF855" s="62">
        <v>0.0</v>
      </c>
    </row>
    <row r="856">
      <c r="A856" s="68">
        <v>46098.0</v>
      </c>
      <c r="B856" s="62" t="s">
        <v>84</v>
      </c>
      <c r="C856" s="62" t="s">
        <v>186</v>
      </c>
      <c r="D856" s="62">
        <v>0.0</v>
      </c>
      <c r="E856" s="62">
        <v>4.0</v>
      </c>
      <c r="F856" s="62">
        <v>5.0</v>
      </c>
      <c r="G856" s="62">
        <v>4.0</v>
      </c>
      <c r="H856" s="62">
        <v>4.0</v>
      </c>
      <c r="I856" s="62">
        <v>0.0</v>
      </c>
      <c r="J856" s="62">
        <v>3.0</v>
      </c>
      <c r="K856" s="62">
        <v>2.0</v>
      </c>
      <c r="L856" s="62">
        <v>2.0</v>
      </c>
      <c r="M856" s="62">
        <v>1.0</v>
      </c>
      <c r="N856" s="62">
        <v>3.0</v>
      </c>
      <c r="O856" s="62">
        <v>1.0</v>
      </c>
      <c r="P856" s="62">
        <v>3.0</v>
      </c>
      <c r="Q856" s="62">
        <v>0.0</v>
      </c>
      <c r="R856" s="62">
        <v>0.0</v>
      </c>
      <c r="S856" s="62">
        <v>9149.0</v>
      </c>
      <c r="T856" s="62">
        <v>0.592222222222222</v>
      </c>
      <c r="U856" s="62">
        <v>1.41638888888888</v>
      </c>
      <c r="V856" s="62">
        <v>1.16166666666666</v>
      </c>
      <c r="W856" s="62">
        <v>1.16166666666666</v>
      </c>
      <c r="X856" s="62">
        <v>0.0</v>
      </c>
      <c r="Y856" s="62">
        <v>0.889999999999999</v>
      </c>
      <c r="Z856" s="62">
        <v>0.517222222222222</v>
      </c>
      <c r="AA856" s="62">
        <v>0.521111111111111</v>
      </c>
      <c r="AB856" s="62">
        <v>0.274444444444444</v>
      </c>
      <c r="AC856" s="62">
        <v>0.866666666666666</v>
      </c>
      <c r="AD856" s="62">
        <v>0.325277777777777</v>
      </c>
      <c r="AE856" s="62">
        <v>0.866666666666666</v>
      </c>
      <c r="AF856" s="62">
        <v>2.0</v>
      </c>
    </row>
    <row r="857">
      <c r="A857" s="68">
        <v>46098.0</v>
      </c>
      <c r="B857" s="62" t="s">
        <v>26</v>
      </c>
      <c r="C857" s="62" t="s">
        <v>178</v>
      </c>
      <c r="D857" s="62">
        <v>10.0</v>
      </c>
      <c r="E857" s="62">
        <v>5.0</v>
      </c>
      <c r="F857" s="62">
        <v>2.0</v>
      </c>
      <c r="G857" s="62">
        <v>0.0</v>
      </c>
      <c r="H857" s="62">
        <v>8.0</v>
      </c>
      <c r="I857" s="62">
        <v>8.0</v>
      </c>
      <c r="J857" s="62">
        <v>3.0</v>
      </c>
      <c r="K857" s="62">
        <v>0.0</v>
      </c>
      <c r="L857" s="62">
        <v>0.0</v>
      </c>
      <c r="M857" s="62">
        <v>3.0</v>
      </c>
      <c r="N857" s="62">
        <v>1.0</v>
      </c>
      <c r="O857" s="62">
        <v>1.0</v>
      </c>
      <c r="P857" s="62">
        <v>1.0</v>
      </c>
      <c r="Q857" s="62">
        <v>0.0</v>
      </c>
      <c r="R857" s="62">
        <v>21589.0</v>
      </c>
      <c r="S857" s="62">
        <v>11862.0</v>
      </c>
      <c r="T857" s="62">
        <v>0.0</v>
      </c>
      <c r="U857" s="62">
        <v>0.413333333333333</v>
      </c>
      <c r="V857" s="62">
        <v>0.0</v>
      </c>
      <c r="W857" s="62">
        <v>1.67722222222222</v>
      </c>
      <c r="X857" s="62">
        <v>1.67722222222222</v>
      </c>
      <c r="Y857" s="62">
        <v>0.662777777777777</v>
      </c>
      <c r="Z857" s="62">
        <v>0.0</v>
      </c>
      <c r="AA857" s="62">
        <v>0.0</v>
      </c>
      <c r="AB857" s="62">
        <v>0.662777777777777</v>
      </c>
      <c r="AC857" s="62">
        <v>0.181666666666666</v>
      </c>
      <c r="AD857" s="62">
        <v>0.195833333333333</v>
      </c>
      <c r="AE857" s="62">
        <v>0.181666666666666</v>
      </c>
      <c r="AF857" s="62">
        <v>0.0</v>
      </c>
    </row>
    <row r="858">
      <c r="A858" s="68">
        <v>46098.0</v>
      </c>
      <c r="B858" s="62" t="s">
        <v>62</v>
      </c>
      <c r="C858" s="62" t="s">
        <v>63</v>
      </c>
      <c r="D858" s="62">
        <v>0.0</v>
      </c>
      <c r="E858" s="62">
        <v>0.0</v>
      </c>
      <c r="F858" s="62">
        <v>0.0</v>
      </c>
      <c r="G858" s="62">
        <v>0.0</v>
      </c>
      <c r="H858" s="62">
        <v>3.0</v>
      </c>
      <c r="I858" s="62">
        <v>3.0</v>
      </c>
      <c r="J858" s="62">
        <v>3.0</v>
      </c>
      <c r="K858" s="62">
        <v>2.0</v>
      </c>
      <c r="L858" s="62">
        <v>0.0</v>
      </c>
      <c r="M858" s="62">
        <v>2.0</v>
      </c>
      <c r="N858" s="62">
        <v>1.0</v>
      </c>
      <c r="O858" s="62">
        <v>1.0</v>
      </c>
      <c r="P858" s="62">
        <v>1.0</v>
      </c>
      <c r="Q858" s="62">
        <v>0.0</v>
      </c>
      <c r="R858" s="62">
        <v>0.0</v>
      </c>
      <c r="S858" s="62">
        <v>0.0</v>
      </c>
      <c r="T858" s="62">
        <v>0.570277777777777</v>
      </c>
      <c r="U858" s="62">
        <v>0.0</v>
      </c>
      <c r="V858" s="62">
        <v>0.0</v>
      </c>
      <c r="W858" s="62">
        <v>0.570277777777777</v>
      </c>
      <c r="X858" s="62">
        <v>0.570277777777777</v>
      </c>
      <c r="Y858" s="62">
        <v>0.578888888888888</v>
      </c>
      <c r="Z858" s="62">
        <v>0.406944444444444</v>
      </c>
      <c r="AA858" s="62">
        <v>0.0</v>
      </c>
      <c r="AB858" s="62">
        <v>0.406666666666666</v>
      </c>
      <c r="AC858" s="62">
        <v>0.226944444444444</v>
      </c>
      <c r="AD858" s="62">
        <v>0.196111111111111</v>
      </c>
      <c r="AE858" s="62">
        <v>0.226944444444444</v>
      </c>
      <c r="AF858" s="62">
        <v>3.0</v>
      </c>
    </row>
    <row r="859">
      <c r="A859" s="68">
        <v>46097.0</v>
      </c>
      <c r="B859" s="62" t="s">
        <v>79</v>
      </c>
      <c r="C859" s="62" t="s">
        <v>162</v>
      </c>
      <c r="D859" s="62">
        <v>0.0</v>
      </c>
      <c r="E859" s="62">
        <v>3.0</v>
      </c>
      <c r="F859" s="62">
        <v>3.0</v>
      </c>
      <c r="G859" s="62">
        <v>1.0</v>
      </c>
      <c r="H859" s="62">
        <v>1.0</v>
      </c>
      <c r="I859" s="62">
        <v>0.0</v>
      </c>
      <c r="J859" s="62">
        <v>0.0</v>
      </c>
      <c r="K859" s="62">
        <v>5.0</v>
      </c>
      <c r="L859" s="62">
        <v>4.0</v>
      </c>
      <c r="M859" s="62">
        <v>3.0</v>
      </c>
      <c r="N859" s="62">
        <v>3.0</v>
      </c>
      <c r="O859" s="62">
        <v>1.0</v>
      </c>
      <c r="P859" s="62">
        <v>3.0</v>
      </c>
      <c r="Q859" s="62">
        <v>0.0</v>
      </c>
      <c r="R859" s="62">
        <v>0.0</v>
      </c>
      <c r="S859" s="62">
        <v>6557.0</v>
      </c>
      <c r="T859" s="62">
        <v>0.5775</v>
      </c>
      <c r="U859" s="62">
        <v>0.5775</v>
      </c>
      <c r="V859" s="62">
        <v>0.191111111111111</v>
      </c>
      <c r="W859" s="62">
        <v>0.191111111111111</v>
      </c>
      <c r="X859" s="62">
        <v>0.0</v>
      </c>
      <c r="Y859" s="62">
        <v>0.0</v>
      </c>
      <c r="Z859" s="62">
        <v>0.900277777777777</v>
      </c>
      <c r="AA859" s="62">
        <v>0.735277777777777</v>
      </c>
      <c r="AB859" s="62">
        <v>0.559166666666666</v>
      </c>
      <c r="AC859" s="62">
        <v>0.559166666666666</v>
      </c>
      <c r="AD859" s="62">
        <v>0.184166666666666</v>
      </c>
      <c r="AE859" s="62">
        <v>0.559166666666666</v>
      </c>
      <c r="AF859" s="62">
        <v>3.0</v>
      </c>
    </row>
    <row r="860">
      <c r="A860" s="68">
        <v>46097.0</v>
      </c>
      <c r="B860" s="62" t="s">
        <v>71</v>
      </c>
      <c r="C860" s="62" t="s">
        <v>163</v>
      </c>
      <c r="D860" s="62">
        <v>7.0</v>
      </c>
      <c r="E860" s="62">
        <v>5.0</v>
      </c>
      <c r="F860" s="62">
        <v>4.0</v>
      </c>
      <c r="G860" s="62">
        <v>3.0</v>
      </c>
      <c r="H860" s="62">
        <v>3.0</v>
      </c>
      <c r="I860" s="62">
        <v>0.0</v>
      </c>
      <c r="J860" s="62">
        <v>3.0</v>
      </c>
      <c r="K860" s="62">
        <v>0.0</v>
      </c>
      <c r="L860" s="62">
        <v>0.0</v>
      </c>
      <c r="M860" s="62">
        <v>2.0</v>
      </c>
      <c r="N860" s="62">
        <v>2.0</v>
      </c>
      <c r="O860" s="62">
        <v>1.0</v>
      </c>
      <c r="P860" s="62">
        <v>2.0</v>
      </c>
      <c r="Q860" s="62">
        <v>0.0</v>
      </c>
      <c r="R860" s="62">
        <v>19157.0</v>
      </c>
      <c r="S860" s="62">
        <v>13399.0</v>
      </c>
      <c r="T860" s="62">
        <v>1.14138888888888</v>
      </c>
      <c r="U860" s="62">
        <v>1.12805555555555</v>
      </c>
      <c r="V860" s="62">
        <v>0.866666666666666</v>
      </c>
      <c r="W860" s="62">
        <v>0.866666666666666</v>
      </c>
      <c r="X860" s="62">
        <v>0.0</v>
      </c>
      <c r="Y860" s="62">
        <v>0.866666666666666</v>
      </c>
      <c r="Z860" s="62">
        <v>0.0</v>
      </c>
      <c r="AA860" s="62">
        <v>0.0</v>
      </c>
      <c r="AB860" s="62">
        <v>0.551944444444444</v>
      </c>
      <c r="AC860" s="62">
        <v>0.551944444444444</v>
      </c>
      <c r="AD860" s="62">
        <v>0.268611111111111</v>
      </c>
      <c r="AE860" s="62">
        <v>0.551944444444444</v>
      </c>
      <c r="AF860" s="62">
        <v>4.0</v>
      </c>
    </row>
    <row r="861">
      <c r="A861" s="68">
        <v>46097.0</v>
      </c>
      <c r="B861" s="62" t="s">
        <v>76</v>
      </c>
      <c r="C861" s="62" t="s">
        <v>165</v>
      </c>
      <c r="D861" s="62">
        <v>2.0</v>
      </c>
      <c r="E861" s="62">
        <v>4.0</v>
      </c>
      <c r="F861" s="62">
        <v>2.0</v>
      </c>
      <c r="G861" s="62">
        <v>0.0</v>
      </c>
      <c r="H861" s="62">
        <v>1.0</v>
      </c>
      <c r="I861" s="62">
        <v>1.0</v>
      </c>
      <c r="J861" s="62">
        <v>1.0</v>
      </c>
      <c r="K861" s="62">
        <v>1.0</v>
      </c>
      <c r="L861" s="62">
        <v>1.0</v>
      </c>
      <c r="M861" s="62">
        <v>1.0</v>
      </c>
      <c r="N861" s="62">
        <v>1.0</v>
      </c>
      <c r="O861" s="62">
        <v>1.0</v>
      </c>
      <c r="P861" s="62">
        <v>1.0</v>
      </c>
      <c r="Q861" s="62">
        <v>0.0</v>
      </c>
      <c r="R861" s="62">
        <v>5290.0</v>
      </c>
      <c r="S861" s="62">
        <v>10402.0</v>
      </c>
      <c r="T861" s="62">
        <v>0.794166666666666</v>
      </c>
      <c r="U861" s="62">
        <v>0.533055555555555</v>
      </c>
      <c r="V861" s="62">
        <v>0.0</v>
      </c>
      <c r="W861" s="62">
        <v>0.261111111111111</v>
      </c>
      <c r="X861" s="62">
        <v>0.261111111111111</v>
      </c>
      <c r="Y861" s="62">
        <v>0.261944444444444</v>
      </c>
      <c r="Z861" s="62">
        <v>0.276944444444444</v>
      </c>
      <c r="AA861" s="62">
        <v>0.276944444444444</v>
      </c>
      <c r="AB861" s="62">
        <v>0.32</v>
      </c>
      <c r="AC861" s="62">
        <v>0.32</v>
      </c>
      <c r="AD861" s="62">
        <v>0.256666666666666</v>
      </c>
      <c r="AE861" s="62">
        <v>0.32</v>
      </c>
      <c r="AF861" s="62">
        <v>3.0</v>
      </c>
    </row>
    <row r="862">
      <c r="A862" s="68">
        <v>46097.0</v>
      </c>
      <c r="B862" s="62" t="s">
        <v>104</v>
      </c>
      <c r="C862" s="62" t="s">
        <v>166</v>
      </c>
      <c r="D862" s="62">
        <v>0.0</v>
      </c>
      <c r="E862" s="62">
        <v>0.0</v>
      </c>
      <c r="F862" s="62">
        <v>0.0</v>
      </c>
      <c r="G862" s="62">
        <v>0.0</v>
      </c>
      <c r="H862" s="62">
        <v>0.0</v>
      </c>
      <c r="I862" s="62">
        <v>0.0</v>
      </c>
      <c r="J862" s="62">
        <v>0.0</v>
      </c>
      <c r="K862" s="62">
        <v>0.0</v>
      </c>
      <c r="L862" s="62">
        <v>0.0</v>
      </c>
      <c r="M862" s="62">
        <v>0.0</v>
      </c>
      <c r="N862" s="62">
        <v>0.0</v>
      </c>
      <c r="O862" s="62">
        <v>0.0</v>
      </c>
      <c r="P862" s="62">
        <v>0.0</v>
      </c>
      <c r="Q862" s="62">
        <v>0.0</v>
      </c>
      <c r="R862" s="62">
        <v>0.0</v>
      </c>
      <c r="S862" s="62">
        <v>0.0</v>
      </c>
      <c r="T862" s="62">
        <v>1.045</v>
      </c>
      <c r="U862" s="62">
        <v>0.0</v>
      </c>
      <c r="V862" s="62">
        <v>0.0</v>
      </c>
      <c r="W862" s="62">
        <v>0.0</v>
      </c>
      <c r="X862" s="62">
        <v>0.0</v>
      </c>
      <c r="Y862" s="62">
        <v>0.0</v>
      </c>
      <c r="Z862" s="62">
        <v>0.0</v>
      </c>
      <c r="AA862" s="62">
        <v>0.0</v>
      </c>
      <c r="AB862" s="62">
        <v>0.0</v>
      </c>
      <c r="AC862" s="62">
        <v>0.0</v>
      </c>
      <c r="AD862" s="62">
        <v>0.0</v>
      </c>
      <c r="AE862" s="62">
        <v>0.0</v>
      </c>
      <c r="AF862" s="62">
        <v>5.0</v>
      </c>
    </row>
    <row r="863">
      <c r="A863" s="68">
        <v>46097.0</v>
      </c>
      <c r="B863" s="62" t="s">
        <v>32</v>
      </c>
      <c r="C863" s="62" t="s">
        <v>168</v>
      </c>
      <c r="D863" s="62">
        <v>5.0</v>
      </c>
      <c r="E863" s="62">
        <v>5.0</v>
      </c>
      <c r="F863" s="62">
        <v>2.0</v>
      </c>
      <c r="G863" s="62">
        <v>0.0</v>
      </c>
      <c r="H863" s="62">
        <v>1.0</v>
      </c>
      <c r="I863" s="62">
        <v>1.0</v>
      </c>
      <c r="J863" s="62">
        <v>2.0</v>
      </c>
      <c r="K863" s="62">
        <v>0.0</v>
      </c>
      <c r="L863" s="62">
        <v>0.0</v>
      </c>
      <c r="M863" s="62">
        <v>0.0</v>
      </c>
      <c r="N863" s="62">
        <v>0.0</v>
      </c>
      <c r="O863" s="62">
        <v>1.0</v>
      </c>
      <c r="P863" s="62">
        <v>0.0</v>
      </c>
      <c r="Q863" s="62">
        <v>0.0</v>
      </c>
      <c r="R863" s="62">
        <v>12303.0</v>
      </c>
      <c r="S863" s="62">
        <v>12303.0</v>
      </c>
      <c r="T863" s="62">
        <v>1.15555555555555</v>
      </c>
      <c r="U863" s="62">
        <v>0.4725</v>
      </c>
      <c r="V863" s="62">
        <v>0.0</v>
      </c>
      <c r="W863" s="62">
        <v>0.239166666666666</v>
      </c>
      <c r="X863" s="62">
        <v>0.239166666666666</v>
      </c>
      <c r="Y863" s="62">
        <v>0.485</v>
      </c>
      <c r="Z863" s="62">
        <v>0.0</v>
      </c>
      <c r="AA863" s="62">
        <v>0.0</v>
      </c>
      <c r="AB863" s="62">
        <v>0.0</v>
      </c>
      <c r="AC863" s="62">
        <v>0.0</v>
      </c>
      <c r="AD863" s="62">
        <v>0.211666666666666</v>
      </c>
      <c r="AE863" s="62">
        <v>0.0</v>
      </c>
      <c r="AF863" s="62">
        <v>5.0</v>
      </c>
    </row>
    <row r="864">
      <c r="A864" s="68">
        <v>46097.0</v>
      </c>
      <c r="B864" s="62" t="s">
        <v>65</v>
      </c>
      <c r="C864" s="62" t="s">
        <v>173</v>
      </c>
      <c r="D864" s="62">
        <v>0.0</v>
      </c>
      <c r="E864" s="62">
        <v>6.0</v>
      </c>
      <c r="F864" s="62">
        <v>3.0</v>
      </c>
      <c r="G864" s="62">
        <v>0.0</v>
      </c>
      <c r="H864" s="62">
        <v>0.0</v>
      </c>
      <c r="I864" s="62">
        <v>3.0</v>
      </c>
      <c r="J864" s="62">
        <v>0.0</v>
      </c>
      <c r="K864" s="62">
        <v>0.0</v>
      </c>
      <c r="L864" s="62">
        <v>1.0</v>
      </c>
      <c r="M864" s="62">
        <v>0.0</v>
      </c>
      <c r="N864" s="62">
        <v>0.0</v>
      </c>
      <c r="O864" s="62">
        <v>0.0</v>
      </c>
      <c r="P864" s="62">
        <v>0.0</v>
      </c>
      <c r="Q864" s="62">
        <v>0.0</v>
      </c>
      <c r="R864" s="62">
        <v>0.0</v>
      </c>
      <c r="S864" s="62">
        <v>14940.0</v>
      </c>
      <c r="T864" s="62">
        <v>0.95</v>
      </c>
      <c r="U864" s="62">
        <v>0.967777777777777</v>
      </c>
      <c r="V864" s="62">
        <v>0.0</v>
      </c>
      <c r="W864" s="62">
        <v>0.0</v>
      </c>
      <c r="X864" s="62">
        <v>0.783611111111111</v>
      </c>
      <c r="Y864" s="62">
        <v>0.0</v>
      </c>
      <c r="Z864" s="62">
        <v>0.0</v>
      </c>
      <c r="AA864" s="62">
        <v>0.209166666666666</v>
      </c>
      <c r="AB864" s="62">
        <v>0.0</v>
      </c>
      <c r="AC864" s="62">
        <v>0.0</v>
      </c>
      <c r="AD864" s="62">
        <v>0.0</v>
      </c>
      <c r="AE864" s="62">
        <v>0.0</v>
      </c>
      <c r="AF864" s="62">
        <v>4.0</v>
      </c>
    </row>
    <row r="865">
      <c r="A865" s="68">
        <v>46097.0</v>
      </c>
      <c r="B865" s="62" t="s">
        <v>37</v>
      </c>
      <c r="C865" s="62" t="s">
        <v>174</v>
      </c>
      <c r="D865" s="62">
        <v>3.0</v>
      </c>
      <c r="E865" s="62">
        <v>5.0</v>
      </c>
      <c r="F865" s="62">
        <v>0.0</v>
      </c>
      <c r="G865" s="62">
        <v>2.0</v>
      </c>
      <c r="H865" s="62">
        <v>2.0</v>
      </c>
      <c r="I865" s="62">
        <v>0.0</v>
      </c>
      <c r="J865" s="62">
        <v>1.0</v>
      </c>
      <c r="K865" s="62">
        <v>1.0</v>
      </c>
      <c r="L865" s="62">
        <v>0.0</v>
      </c>
      <c r="M865" s="62">
        <v>3.0</v>
      </c>
      <c r="N865" s="62">
        <v>0.0</v>
      </c>
      <c r="O865" s="62">
        <v>1.0</v>
      </c>
      <c r="P865" s="62">
        <v>0.0</v>
      </c>
      <c r="Q865" s="62">
        <v>0.0</v>
      </c>
      <c r="R865" s="62">
        <v>7266.0</v>
      </c>
      <c r="S865" s="62">
        <v>12380.0</v>
      </c>
      <c r="T865" s="62">
        <v>0.0</v>
      </c>
      <c r="U865" s="62">
        <v>0.0</v>
      </c>
      <c r="V865" s="62">
        <v>0.627777777777777</v>
      </c>
      <c r="W865" s="62">
        <v>0.627777777777777</v>
      </c>
      <c r="X865" s="62">
        <v>0.0</v>
      </c>
      <c r="Y865" s="62">
        <v>0.301111111111111</v>
      </c>
      <c r="Z865" s="62">
        <v>0.315</v>
      </c>
      <c r="AA865" s="62">
        <v>0.0</v>
      </c>
      <c r="AB865" s="62">
        <v>0.914444444444444</v>
      </c>
      <c r="AC865" s="62">
        <v>0.0</v>
      </c>
      <c r="AD865" s="62">
        <v>0.255555555555555</v>
      </c>
      <c r="AE865" s="62">
        <v>0.0</v>
      </c>
      <c r="AF865" s="62">
        <v>0.0</v>
      </c>
    </row>
    <row r="866">
      <c r="A866" s="68">
        <v>46097.0</v>
      </c>
      <c r="B866" s="62" t="s">
        <v>91</v>
      </c>
      <c r="C866" s="62" t="s">
        <v>184</v>
      </c>
      <c r="D866" s="62">
        <v>11.0</v>
      </c>
      <c r="E866" s="62">
        <v>1.0</v>
      </c>
      <c r="F866" s="62">
        <v>0.0</v>
      </c>
      <c r="G866" s="62">
        <v>0.0</v>
      </c>
      <c r="H866" s="62">
        <v>0.0</v>
      </c>
      <c r="I866" s="62">
        <v>0.0</v>
      </c>
      <c r="J866" s="62">
        <v>0.0</v>
      </c>
      <c r="K866" s="62">
        <v>0.0</v>
      </c>
      <c r="L866" s="62">
        <v>0.0</v>
      </c>
      <c r="M866" s="62">
        <v>0.0</v>
      </c>
      <c r="N866" s="62">
        <v>0.0</v>
      </c>
      <c r="O866" s="62">
        <v>0.0</v>
      </c>
      <c r="P866" s="62">
        <v>0.0</v>
      </c>
      <c r="Q866" s="62">
        <v>0.0</v>
      </c>
      <c r="R866" s="62">
        <v>19549.0</v>
      </c>
      <c r="S866" s="62">
        <v>2521.0</v>
      </c>
      <c r="T866" s="62">
        <v>0.0</v>
      </c>
      <c r="U866" s="62">
        <v>0.0</v>
      </c>
      <c r="V866" s="62">
        <v>0.0</v>
      </c>
      <c r="W866" s="62">
        <v>0.0</v>
      </c>
      <c r="X866" s="62">
        <v>0.0</v>
      </c>
      <c r="Y866" s="62">
        <v>0.0</v>
      </c>
      <c r="Z866" s="62">
        <v>0.0</v>
      </c>
      <c r="AA866" s="62">
        <v>0.0</v>
      </c>
      <c r="AB866" s="62">
        <v>0.0</v>
      </c>
      <c r="AC866" s="62">
        <v>0.0</v>
      </c>
      <c r="AD866" s="62">
        <v>0.0</v>
      </c>
      <c r="AE866" s="62">
        <v>0.0</v>
      </c>
      <c r="AF866" s="62">
        <v>0.0</v>
      </c>
    </row>
    <row r="867">
      <c r="A867" s="68">
        <v>46097.0</v>
      </c>
      <c r="B867" s="62" t="s">
        <v>84</v>
      </c>
      <c r="C867" s="62" t="s">
        <v>186</v>
      </c>
      <c r="D867" s="62">
        <v>0.0</v>
      </c>
      <c r="E867" s="62">
        <v>3.0</v>
      </c>
      <c r="F867" s="62">
        <v>3.0</v>
      </c>
      <c r="G867" s="62">
        <v>1.0</v>
      </c>
      <c r="H867" s="62">
        <v>1.0</v>
      </c>
      <c r="I867" s="62">
        <v>0.0</v>
      </c>
      <c r="J867" s="62">
        <v>1.0</v>
      </c>
      <c r="K867" s="62">
        <v>0.0</v>
      </c>
      <c r="L867" s="62">
        <v>0.0</v>
      </c>
      <c r="M867" s="62">
        <v>2.0</v>
      </c>
      <c r="N867" s="62">
        <v>0.0</v>
      </c>
      <c r="O867" s="62">
        <v>0.0</v>
      </c>
      <c r="P867" s="62">
        <v>0.0</v>
      </c>
      <c r="Q867" s="62">
        <v>0.0</v>
      </c>
      <c r="R867" s="62">
        <v>0.0</v>
      </c>
      <c r="S867" s="62">
        <v>6772.0</v>
      </c>
      <c r="T867" s="62">
        <v>0.0</v>
      </c>
      <c r="U867" s="62">
        <v>0.896388888888888</v>
      </c>
      <c r="V867" s="62">
        <v>0.274444444444444</v>
      </c>
      <c r="W867" s="62">
        <v>0.274444444444444</v>
      </c>
      <c r="X867" s="62">
        <v>0.0</v>
      </c>
      <c r="Y867" s="62">
        <v>0.274444444444444</v>
      </c>
      <c r="Z867" s="62">
        <v>0.0</v>
      </c>
      <c r="AA867" s="62">
        <v>0.0</v>
      </c>
      <c r="AB867" s="62">
        <v>0.51</v>
      </c>
      <c r="AC867" s="62">
        <v>0.0</v>
      </c>
      <c r="AD867" s="62">
        <v>0.0</v>
      </c>
      <c r="AE867" s="62">
        <v>0.0</v>
      </c>
      <c r="AF867" s="62">
        <v>0.0</v>
      </c>
    </row>
    <row r="868">
      <c r="A868" s="68">
        <v>46097.0</v>
      </c>
      <c r="B868" s="62" t="s">
        <v>26</v>
      </c>
      <c r="C868" s="62" t="s">
        <v>178</v>
      </c>
      <c r="D868" s="62">
        <v>0.0</v>
      </c>
      <c r="E868" s="62">
        <v>10.0</v>
      </c>
      <c r="F868" s="62">
        <v>0.0</v>
      </c>
      <c r="G868" s="62">
        <v>3.0</v>
      </c>
      <c r="H868" s="62">
        <v>3.0</v>
      </c>
      <c r="I868" s="62">
        <v>0.0</v>
      </c>
      <c r="J868" s="62">
        <v>5.0</v>
      </c>
      <c r="K868" s="62">
        <v>0.0</v>
      </c>
      <c r="L868" s="62">
        <v>0.0</v>
      </c>
      <c r="M868" s="62">
        <v>15.0</v>
      </c>
      <c r="N868" s="62">
        <v>6.0</v>
      </c>
      <c r="O868" s="62">
        <v>1.0</v>
      </c>
      <c r="P868" s="62">
        <v>6.0</v>
      </c>
      <c r="Q868" s="62">
        <v>0.0</v>
      </c>
      <c r="R868" s="62">
        <v>0.0</v>
      </c>
      <c r="S868" s="62">
        <v>24019.0</v>
      </c>
      <c r="T868" s="62">
        <v>4.14611111111111</v>
      </c>
      <c r="U868" s="62">
        <v>0.0</v>
      </c>
      <c r="V868" s="62">
        <v>0.5925</v>
      </c>
      <c r="W868" s="62">
        <v>0.5925</v>
      </c>
      <c r="X868" s="62">
        <v>0.0</v>
      </c>
      <c r="Y868" s="62">
        <v>0.972777777777777</v>
      </c>
      <c r="Z868" s="62">
        <v>0.0</v>
      </c>
      <c r="AA868" s="62">
        <v>0.0</v>
      </c>
      <c r="AB868" s="62">
        <v>3.05527777777777</v>
      </c>
      <c r="AC868" s="62">
        <v>1.32472222222222</v>
      </c>
      <c r="AD868" s="62">
        <v>0.209166666666666</v>
      </c>
      <c r="AE868" s="62">
        <v>1.32472222222222</v>
      </c>
      <c r="AF868" s="62">
        <v>20.0</v>
      </c>
    </row>
    <row r="869">
      <c r="A869" s="68">
        <v>46097.0</v>
      </c>
      <c r="B869" s="62" t="s">
        <v>62</v>
      </c>
      <c r="C869" s="62" t="s">
        <v>63</v>
      </c>
      <c r="D869" s="62">
        <v>0.0</v>
      </c>
      <c r="E869" s="62">
        <v>0.0</v>
      </c>
      <c r="F869" s="62">
        <v>0.0</v>
      </c>
      <c r="G869" s="62">
        <v>0.0</v>
      </c>
      <c r="H869" s="62">
        <v>2.0</v>
      </c>
      <c r="I869" s="62">
        <v>2.0</v>
      </c>
      <c r="J869" s="62">
        <v>2.0</v>
      </c>
      <c r="K869" s="62">
        <v>0.0</v>
      </c>
      <c r="L869" s="62">
        <v>0.0</v>
      </c>
      <c r="M869" s="62">
        <v>0.0</v>
      </c>
      <c r="N869" s="62">
        <v>0.0</v>
      </c>
      <c r="O869" s="62">
        <v>1.0</v>
      </c>
      <c r="P869" s="62">
        <v>0.0</v>
      </c>
      <c r="Q869" s="62">
        <v>0.0</v>
      </c>
      <c r="R869" s="62">
        <v>0.0</v>
      </c>
      <c r="S869" s="62">
        <v>0.0</v>
      </c>
      <c r="T869" s="62">
        <v>0.0</v>
      </c>
      <c r="U869" s="62">
        <v>0.0</v>
      </c>
      <c r="V869" s="62">
        <v>0.0</v>
      </c>
      <c r="W869" s="62">
        <v>0.409722222222222</v>
      </c>
      <c r="X869" s="62">
        <v>0.409722222222222</v>
      </c>
      <c r="Y869" s="62">
        <v>0.406944444444444</v>
      </c>
      <c r="Z869" s="62">
        <v>0.0</v>
      </c>
      <c r="AA869" s="62">
        <v>0.0</v>
      </c>
      <c r="AB869" s="62">
        <v>0.0</v>
      </c>
      <c r="AC869" s="62">
        <v>0.0</v>
      </c>
      <c r="AD869" s="62">
        <v>0.257777777777777</v>
      </c>
      <c r="AE869" s="62">
        <v>0.0</v>
      </c>
      <c r="AF869" s="62">
        <v>0.0</v>
      </c>
    </row>
    <row r="870">
      <c r="A870" s="68">
        <v>46096.0</v>
      </c>
      <c r="B870" s="62" t="s">
        <v>79</v>
      </c>
      <c r="C870" s="62" t="s">
        <v>162</v>
      </c>
      <c r="D870" s="62">
        <v>0.0</v>
      </c>
      <c r="E870" s="62">
        <v>0.0</v>
      </c>
      <c r="F870" s="62">
        <v>0.0</v>
      </c>
      <c r="G870" s="62">
        <v>0.0</v>
      </c>
      <c r="H870" s="62">
        <v>0.0</v>
      </c>
      <c r="I870" s="62">
        <v>0.0</v>
      </c>
      <c r="J870" s="62">
        <v>2.0</v>
      </c>
      <c r="K870" s="62">
        <v>0.0</v>
      </c>
      <c r="L870" s="62">
        <v>4.0</v>
      </c>
      <c r="M870" s="62">
        <v>6.0</v>
      </c>
      <c r="N870" s="62">
        <v>10.0</v>
      </c>
      <c r="O870" s="62">
        <v>1.0</v>
      </c>
      <c r="P870" s="62">
        <v>10.0</v>
      </c>
      <c r="Q870" s="62">
        <v>0.0</v>
      </c>
      <c r="R870" s="62">
        <v>0.0</v>
      </c>
      <c r="S870" s="62">
        <v>0.0</v>
      </c>
      <c r="T870" s="62">
        <v>0.0</v>
      </c>
      <c r="U870" s="62">
        <v>0.0</v>
      </c>
      <c r="V870" s="62">
        <v>0.0</v>
      </c>
      <c r="W870" s="62">
        <v>0.0</v>
      </c>
      <c r="X870" s="62">
        <v>0.0</v>
      </c>
      <c r="Y870" s="62">
        <v>0.376388888888888</v>
      </c>
      <c r="Z870" s="62">
        <v>0.0</v>
      </c>
      <c r="AA870" s="62">
        <v>0.806944444444444</v>
      </c>
      <c r="AB870" s="62">
        <v>1.15944444444444</v>
      </c>
      <c r="AC870" s="62">
        <v>1.89527777777777</v>
      </c>
      <c r="AD870" s="62">
        <v>0.198333333333333</v>
      </c>
      <c r="AE870" s="62">
        <v>1.89527777777777</v>
      </c>
      <c r="AF870" s="62">
        <v>0.0</v>
      </c>
    </row>
    <row r="871">
      <c r="A871" s="68">
        <v>46096.0</v>
      </c>
      <c r="B871" s="62" t="s">
        <v>104</v>
      </c>
      <c r="C871" s="62" t="s">
        <v>166</v>
      </c>
      <c r="D871" s="62">
        <v>11.0</v>
      </c>
      <c r="E871" s="62">
        <v>0.0</v>
      </c>
      <c r="F871" s="62">
        <v>0.0</v>
      </c>
      <c r="G871" s="62">
        <v>0.0</v>
      </c>
      <c r="H871" s="62">
        <v>0.0</v>
      </c>
      <c r="I871" s="62">
        <v>0.0</v>
      </c>
      <c r="J871" s="62">
        <v>0.0</v>
      </c>
      <c r="K871" s="62">
        <v>0.0</v>
      </c>
      <c r="L871" s="62">
        <v>0.0</v>
      </c>
      <c r="M871" s="62">
        <v>0.0</v>
      </c>
      <c r="N871" s="62">
        <v>0.0</v>
      </c>
      <c r="O871" s="62">
        <v>0.0</v>
      </c>
      <c r="P871" s="62">
        <v>0.0</v>
      </c>
      <c r="Q871" s="62">
        <v>0.0</v>
      </c>
      <c r="R871" s="62">
        <v>26829.0</v>
      </c>
      <c r="S871" s="62">
        <v>0.0</v>
      </c>
      <c r="T871" s="62">
        <v>0.0</v>
      </c>
      <c r="U871" s="62">
        <v>0.0</v>
      </c>
      <c r="V871" s="62">
        <v>0.0</v>
      </c>
      <c r="W871" s="62">
        <v>0.0</v>
      </c>
      <c r="X871" s="62">
        <v>0.0</v>
      </c>
      <c r="Y871" s="62">
        <v>0.0</v>
      </c>
      <c r="Z871" s="62">
        <v>0.0</v>
      </c>
      <c r="AA871" s="62">
        <v>0.0</v>
      </c>
      <c r="AB871" s="62">
        <v>0.0</v>
      </c>
      <c r="AC871" s="62">
        <v>0.0</v>
      </c>
      <c r="AD871" s="62">
        <v>0.0</v>
      </c>
      <c r="AE871" s="62">
        <v>0.0</v>
      </c>
      <c r="AF871" s="62">
        <v>0.0</v>
      </c>
    </row>
    <row r="872">
      <c r="A872" s="68">
        <v>46096.0</v>
      </c>
      <c r="B872" s="62" t="s">
        <v>93</v>
      </c>
      <c r="C872" s="62" t="s">
        <v>182</v>
      </c>
      <c r="D872" s="62">
        <v>2.0</v>
      </c>
      <c r="E872" s="62">
        <v>0.0</v>
      </c>
      <c r="F872" s="62">
        <v>0.0</v>
      </c>
      <c r="G872" s="62">
        <v>0.0</v>
      </c>
      <c r="H872" s="62">
        <v>0.0</v>
      </c>
      <c r="I872" s="62">
        <v>0.0</v>
      </c>
      <c r="J872" s="62">
        <v>0.0</v>
      </c>
      <c r="K872" s="62">
        <v>0.0</v>
      </c>
      <c r="L872" s="62">
        <v>0.0</v>
      </c>
      <c r="M872" s="62">
        <v>0.0</v>
      </c>
      <c r="N872" s="62">
        <v>0.0</v>
      </c>
      <c r="O872" s="62">
        <v>0.0</v>
      </c>
      <c r="P872" s="62">
        <v>0.0</v>
      </c>
      <c r="Q872" s="62">
        <v>0.0</v>
      </c>
      <c r="R872" s="62">
        <v>5075.0</v>
      </c>
      <c r="S872" s="62">
        <v>0.0</v>
      </c>
      <c r="T872" s="62">
        <v>0.0</v>
      </c>
      <c r="U872" s="62">
        <v>0.0</v>
      </c>
      <c r="V872" s="62">
        <v>0.0</v>
      </c>
      <c r="W872" s="62">
        <v>0.0</v>
      </c>
      <c r="X872" s="62">
        <v>0.0</v>
      </c>
      <c r="Y872" s="62">
        <v>0.0</v>
      </c>
      <c r="Z872" s="62">
        <v>0.0</v>
      </c>
      <c r="AA872" s="62">
        <v>0.0</v>
      </c>
      <c r="AB872" s="62">
        <v>0.0</v>
      </c>
      <c r="AC872" s="62">
        <v>0.0</v>
      </c>
      <c r="AD872" s="62">
        <v>0.0</v>
      </c>
      <c r="AE872" s="62">
        <v>0.0</v>
      </c>
      <c r="AF872" s="62">
        <v>0.0</v>
      </c>
    </row>
    <row r="873">
      <c r="A873" s="68">
        <v>46096.0</v>
      </c>
      <c r="B873" s="62" t="s">
        <v>37</v>
      </c>
      <c r="C873" s="62" t="s">
        <v>174</v>
      </c>
      <c r="D873" s="62">
        <v>0.0</v>
      </c>
      <c r="E873" s="62">
        <v>0.0</v>
      </c>
      <c r="F873" s="62">
        <v>0.0</v>
      </c>
      <c r="G873" s="62">
        <v>0.0</v>
      </c>
      <c r="H873" s="62">
        <v>0.0</v>
      </c>
      <c r="I873" s="62">
        <v>0.0</v>
      </c>
      <c r="J873" s="62">
        <v>0.0</v>
      </c>
      <c r="K873" s="62">
        <v>0.0</v>
      </c>
      <c r="L873" s="62">
        <v>0.0</v>
      </c>
      <c r="M873" s="62">
        <v>0.0</v>
      </c>
      <c r="N873" s="62">
        <v>2.0</v>
      </c>
      <c r="O873" s="62">
        <v>1.0</v>
      </c>
      <c r="P873" s="62">
        <v>2.0</v>
      </c>
      <c r="Q873" s="62">
        <v>0.0</v>
      </c>
      <c r="R873" s="62">
        <v>0.0</v>
      </c>
      <c r="S873" s="62">
        <v>0.0</v>
      </c>
      <c r="T873" s="62">
        <v>0.0</v>
      </c>
      <c r="U873" s="62">
        <v>0.0</v>
      </c>
      <c r="V873" s="62">
        <v>0.0</v>
      </c>
      <c r="W873" s="62">
        <v>0.0</v>
      </c>
      <c r="X873" s="62">
        <v>0.0</v>
      </c>
      <c r="Y873" s="62">
        <v>0.0</v>
      </c>
      <c r="Z873" s="62">
        <v>0.0</v>
      </c>
      <c r="AA873" s="62">
        <v>0.0</v>
      </c>
      <c r="AB873" s="62">
        <v>0.0</v>
      </c>
      <c r="AC873" s="62">
        <v>0.592222222222222</v>
      </c>
      <c r="AD873" s="62">
        <v>0.284166666666666</v>
      </c>
      <c r="AE873" s="62">
        <v>0.592222222222222</v>
      </c>
      <c r="AF873" s="62">
        <v>0.0</v>
      </c>
    </row>
    <row r="874">
      <c r="A874" s="68">
        <v>46096.0</v>
      </c>
      <c r="B874" s="62" t="s">
        <v>84</v>
      </c>
      <c r="C874" s="62" t="s">
        <v>186</v>
      </c>
      <c r="D874" s="62">
        <v>0.0</v>
      </c>
      <c r="E874" s="62">
        <v>2.0</v>
      </c>
      <c r="F874" s="62">
        <v>0.0</v>
      </c>
      <c r="G874" s="62">
        <v>0.0</v>
      </c>
      <c r="H874" s="62">
        <v>0.0</v>
      </c>
      <c r="I874" s="62">
        <v>0.0</v>
      </c>
      <c r="J874" s="62">
        <v>1.0</v>
      </c>
      <c r="K874" s="62">
        <v>0.0</v>
      </c>
      <c r="L874" s="62">
        <v>0.0</v>
      </c>
      <c r="M874" s="62">
        <v>0.0</v>
      </c>
      <c r="N874" s="62">
        <v>0.0</v>
      </c>
      <c r="O874" s="62">
        <v>0.0</v>
      </c>
      <c r="P874" s="62">
        <v>0.0</v>
      </c>
      <c r="Q874" s="62">
        <v>0.0</v>
      </c>
      <c r="R874" s="62">
        <v>0.0</v>
      </c>
      <c r="S874" s="62">
        <v>4684.0</v>
      </c>
      <c r="T874" s="62">
        <v>1.72055555555555</v>
      </c>
      <c r="U874" s="62">
        <v>0.0</v>
      </c>
      <c r="V874" s="62">
        <v>0.0</v>
      </c>
      <c r="W874" s="62">
        <v>0.0</v>
      </c>
      <c r="X874" s="62">
        <v>0.0</v>
      </c>
      <c r="Y874" s="62">
        <v>0.242777777777777</v>
      </c>
      <c r="Z874" s="62">
        <v>0.0</v>
      </c>
      <c r="AA874" s="62">
        <v>0.0</v>
      </c>
      <c r="AB874" s="62">
        <v>0.0</v>
      </c>
      <c r="AC874" s="62">
        <v>0.0</v>
      </c>
      <c r="AD874" s="62">
        <v>0.0</v>
      </c>
      <c r="AE874" s="62">
        <v>0.0</v>
      </c>
      <c r="AF874" s="62">
        <v>6.0</v>
      </c>
    </row>
    <row r="875">
      <c r="A875" s="68">
        <v>46096.0</v>
      </c>
      <c r="B875" s="62" t="s">
        <v>62</v>
      </c>
      <c r="C875" s="62" t="s">
        <v>63</v>
      </c>
      <c r="D875" s="62">
        <v>9.0</v>
      </c>
      <c r="E875" s="62">
        <v>0.0</v>
      </c>
      <c r="F875" s="62">
        <v>0.0</v>
      </c>
      <c r="G875" s="62">
        <v>0.0</v>
      </c>
      <c r="H875" s="62">
        <v>0.0</v>
      </c>
      <c r="I875" s="62">
        <v>0.0</v>
      </c>
      <c r="J875" s="62">
        <v>0.0</v>
      </c>
      <c r="K875" s="62">
        <v>0.0</v>
      </c>
      <c r="L875" s="62">
        <v>0.0</v>
      </c>
      <c r="M875" s="62">
        <v>0.0</v>
      </c>
      <c r="N875" s="62">
        <v>0.0</v>
      </c>
      <c r="O875" s="62">
        <v>1.0</v>
      </c>
      <c r="P875" s="62">
        <v>0.0</v>
      </c>
      <c r="Q875" s="62">
        <v>0.0</v>
      </c>
      <c r="R875" s="62">
        <v>21124.0</v>
      </c>
      <c r="S875" s="62">
        <v>0.0</v>
      </c>
      <c r="T875" s="62">
        <v>0.0</v>
      </c>
      <c r="U875" s="62">
        <v>0.0</v>
      </c>
      <c r="V875" s="62">
        <v>0.0</v>
      </c>
      <c r="W875" s="62">
        <v>0.0</v>
      </c>
      <c r="X875" s="62">
        <v>0.0</v>
      </c>
      <c r="Y875" s="62">
        <v>0.0</v>
      </c>
      <c r="Z875" s="62">
        <v>0.0</v>
      </c>
      <c r="AA875" s="62">
        <v>0.0</v>
      </c>
      <c r="AB875" s="62">
        <v>0.0</v>
      </c>
      <c r="AC875" s="62">
        <v>0.0</v>
      </c>
      <c r="AD875" s="62">
        <v>0.234444444444444</v>
      </c>
      <c r="AE875" s="62">
        <v>0.0</v>
      </c>
      <c r="AF875" s="62">
        <v>0.0</v>
      </c>
    </row>
    <row r="876">
      <c r="A876" s="68">
        <v>46095.0</v>
      </c>
      <c r="B876" s="62" t="s">
        <v>79</v>
      </c>
      <c r="C876" s="62" t="s">
        <v>162</v>
      </c>
      <c r="D876" s="62">
        <v>0.0</v>
      </c>
      <c r="E876" s="62">
        <v>0.0</v>
      </c>
      <c r="F876" s="62">
        <v>0.0</v>
      </c>
      <c r="G876" s="62">
        <v>2.0</v>
      </c>
      <c r="H876" s="62">
        <v>2.0</v>
      </c>
      <c r="I876" s="62">
        <v>0.0</v>
      </c>
      <c r="J876" s="62">
        <v>3.0</v>
      </c>
      <c r="K876" s="62">
        <v>0.0</v>
      </c>
      <c r="L876" s="62">
        <v>2.0</v>
      </c>
      <c r="M876" s="62">
        <v>0.0</v>
      </c>
      <c r="N876" s="62">
        <v>0.0</v>
      </c>
      <c r="O876" s="62">
        <v>1.0</v>
      </c>
      <c r="P876" s="62">
        <v>0.0</v>
      </c>
      <c r="Q876" s="62">
        <v>0.0</v>
      </c>
      <c r="R876" s="62">
        <v>0.0</v>
      </c>
      <c r="S876" s="62">
        <v>0.0</v>
      </c>
      <c r="T876" s="62">
        <v>0.0</v>
      </c>
      <c r="U876" s="62">
        <v>0.0</v>
      </c>
      <c r="V876" s="62">
        <v>0.376388888888888</v>
      </c>
      <c r="W876" s="62">
        <v>0.376388888888888</v>
      </c>
      <c r="X876" s="62">
        <v>0.0</v>
      </c>
      <c r="Y876" s="62">
        <v>0.523888888888888</v>
      </c>
      <c r="Z876" s="62">
        <v>0.0</v>
      </c>
      <c r="AA876" s="62">
        <v>0.3525</v>
      </c>
      <c r="AB876" s="62">
        <v>0.0</v>
      </c>
      <c r="AC876" s="62">
        <v>0.0</v>
      </c>
      <c r="AD876" s="62">
        <v>0.211666666666666</v>
      </c>
      <c r="AE876" s="62">
        <v>0.0</v>
      </c>
      <c r="AF876" s="62">
        <v>0.0</v>
      </c>
    </row>
    <row r="877">
      <c r="A877" s="68">
        <v>46095.0</v>
      </c>
      <c r="B877" s="62" t="s">
        <v>71</v>
      </c>
      <c r="C877" s="62" t="s">
        <v>163</v>
      </c>
      <c r="D877" s="62">
        <v>0.0</v>
      </c>
      <c r="E877" s="62">
        <v>2.0</v>
      </c>
      <c r="F877" s="62">
        <v>0.0</v>
      </c>
      <c r="G877" s="62">
        <v>0.0</v>
      </c>
      <c r="H877" s="62">
        <v>0.0</v>
      </c>
      <c r="I877" s="62">
        <v>0.0</v>
      </c>
      <c r="J877" s="62">
        <v>0.0</v>
      </c>
      <c r="K877" s="62">
        <v>0.0</v>
      </c>
      <c r="L877" s="62">
        <v>0.0</v>
      </c>
      <c r="M877" s="62">
        <v>0.0</v>
      </c>
      <c r="N877" s="62">
        <v>0.0</v>
      </c>
      <c r="O877" s="62">
        <v>1.0</v>
      </c>
      <c r="P877" s="62">
        <v>0.0</v>
      </c>
      <c r="Q877" s="62">
        <v>0.0</v>
      </c>
      <c r="R877" s="62">
        <v>0.0</v>
      </c>
      <c r="S877" s="62">
        <v>5418.0</v>
      </c>
      <c r="T877" s="62">
        <v>0.0</v>
      </c>
      <c r="U877" s="62">
        <v>0.0</v>
      </c>
      <c r="V877" s="62">
        <v>0.0</v>
      </c>
      <c r="W877" s="62">
        <v>0.0</v>
      </c>
      <c r="X877" s="62">
        <v>0.0</v>
      </c>
      <c r="Y877" s="62">
        <v>0.0</v>
      </c>
      <c r="Z877" s="62">
        <v>0.0</v>
      </c>
      <c r="AA877" s="62">
        <v>0.0</v>
      </c>
      <c r="AB877" s="62">
        <v>0.0</v>
      </c>
      <c r="AC877" s="62">
        <v>0.0</v>
      </c>
      <c r="AD877" s="62">
        <v>0.278055555555555</v>
      </c>
      <c r="AE877" s="62">
        <v>0.0</v>
      </c>
      <c r="AF877" s="62">
        <v>0.0</v>
      </c>
    </row>
    <row r="878">
      <c r="A878" s="68">
        <v>46095.0</v>
      </c>
      <c r="B878" s="62" t="s">
        <v>76</v>
      </c>
      <c r="C878" s="62" t="s">
        <v>165</v>
      </c>
      <c r="D878" s="62">
        <v>0.0</v>
      </c>
      <c r="E878" s="62">
        <v>0.0</v>
      </c>
      <c r="F878" s="62">
        <v>0.0</v>
      </c>
      <c r="G878" s="62">
        <v>2.0</v>
      </c>
      <c r="H878" s="62">
        <v>2.0</v>
      </c>
      <c r="I878" s="62">
        <v>0.0</v>
      </c>
      <c r="J878" s="62">
        <v>2.0</v>
      </c>
      <c r="K878" s="62">
        <v>0.0</v>
      </c>
      <c r="L878" s="62">
        <v>0.0</v>
      </c>
      <c r="M878" s="62">
        <v>0.0</v>
      </c>
      <c r="N878" s="62">
        <v>0.0</v>
      </c>
      <c r="O878" s="62">
        <v>1.0</v>
      </c>
      <c r="P878" s="62">
        <v>0.0</v>
      </c>
      <c r="Q878" s="62">
        <v>0.0</v>
      </c>
      <c r="R878" s="62">
        <v>0.0</v>
      </c>
      <c r="S878" s="62">
        <v>0.0</v>
      </c>
      <c r="T878" s="62">
        <v>0.0</v>
      </c>
      <c r="U878" s="62">
        <v>0.0</v>
      </c>
      <c r="V878" s="62">
        <v>0.596944444444444</v>
      </c>
      <c r="W878" s="62">
        <v>0.596944444444444</v>
      </c>
      <c r="X878" s="62">
        <v>0.0</v>
      </c>
      <c r="Y878" s="62">
        <v>0.596944444444444</v>
      </c>
      <c r="Z878" s="62">
        <v>0.0</v>
      </c>
      <c r="AA878" s="62">
        <v>0.0</v>
      </c>
      <c r="AB878" s="62">
        <v>0.0</v>
      </c>
      <c r="AC878" s="62">
        <v>0.0</v>
      </c>
      <c r="AD878" s="62">
        <v>0.277222222222222</v>
      </c>
      <c r="AE878" s="62">
        <v>0.0</v>
      </c>
      <c r="AF878" s="62">
        <v>0.0</v>
      </c>
    </row>
    <row r="879">
      <c r="A879" s="68">
        <v>46095.0</v>
      </c>
      <c r="B879" s="62" t="s">
        <v>84</v>
      </c>
      <c r="C879" s="62" t="s">
        <v>186</v>
      </c>
      <c r="D879" s="62">
        <v>0.0</v>
      </c>
      <c r="E879" s="62">
        <v>3.0</v>
      </c>
      <c r="F879" s="62">
        <v>0.0</v>
      </c>
      <c r="G879" s="62">
        <v>1.0</v>
      </c>
      <c r="H879" s="62">
        <v>1.0</v>
      </c>
      <c r="I879" s="62">
        <v>0.0</v>
      </c>
      <c r="J879" s="62">
        <v>0.0</v>
      </c>
      <c r="K879" s="62">
        <v>0.0</v>
      </c>
      <c r="L879" s="62">
        <v>0.0</v>
      </c>
      <c r="M879" s="62">
        <v>0.0</v>
      </c>
      <c r="N879" s="62">
        <v>0.0</v>
      </c>
      <c r="O879" s="62">
        <v>0.0</v>
      </c>
      <c r="P879" s="62">
        <v>0.0</v>
      </c>
      <c r="Q879" s="62">
        <v>0.0</v>
      </c>
      <c r="R879" s="62">
        <v>0.0</v>
      </c>
      <c r="S879" s="62">
        <v>6874.0</v>
      </c>
      <c r="T879" s="62">
        <v>0.0</v>
      </c>
      <c r="U879" s="62">
        <v>0.0</v>
      </c>
      <c r="V879" s="62">
        <v>0.242777777777777</v>
      </c>
      <c r="W879" s="62">
        <v>0.242777777777777</v>
      </c>
      <c r="X879" s="62">
        <v>0.0</v>
      </c>
      <c r="Y879" s="62">
        <v>0.0</v>
      </c>
      <c r="Z879" s="62">
        <v>0.0</v>
      </c>
      <c r="AA879" s="62">
        <v>0.0</v>
      </c>
      <c r="AB879" s="62">
        <v>0.0</v>
      </c>
      <c r="AC879" s="62">
        <v>0.0</v>
      </c>
      <c r="AD879" s="62">
        <v>0.0</v>
      </c>
      <c r="AE879" s="62">
        <v>0.0</v>
      </c>
      <c r="AF879" s="62">
        <v>0.0</v>
      </c>
    </row>
    <row r="880">
      <c r="A880" s="68">
        <v>46095.0</v>
      </c>
      <c r="B880" s="62" t="s">
        <v>26</v>
      </c>
      <c r="C880" s="62" t="s">
        <v>178</v>
      </c>
      <c r="D880" s="62">
        <v>30.0</v>
      </c>
      <c r="E880" s="62">
        <v>0.0</v>
      </c>
      <c r="F880" s="62">
        <v>0.0</v>
      </c>
      <c r="G880" s="62">
        <v>0.0</v>
      </c>
      <c r="H880" s="62">
        <v>0.0</v>
      </c>
      <c r="I880" s="62">
        <v>0.0</v>
      </c>
      <c r="J880" s="62">
        <v>0.0</v>
      </c>
      <c r="K880" s="62">
        <v>0.0</v>
      </c>
      <c r="L880" s="62">
        <v>0.0</v>
      </c>
      <c r="M880" s="62">
        <v>0.0</v>
      </c>
      <c r="N880" s="62">
        <v>0.0</v>
      </c>
      <c r="O880" s="62">
        <v>1.0</v>
      </c>
      <c r="P880" s="62">
        <v>0.0</v>
      </c>
      <c r="Q880" s="62">
        <v>0.0</v>
      </c>
      <c r="R880" s="62">
        <v>68719.0</v>
      </c>
      <c r="S880" s="62">
        <v>0.0</v>
      </c>
      <c r="T880" s="62">
        <v>0.0</v>
      </c>
      <c r="U880" s="62">
        <v>0.0</v>
      </c>
      <c r="V880" s="62">
        <v>0.0</v>
      </c>
      <c r="W880" s="62">
        <v>0.0</v>
      </c>
      <c r="X880" s="62">
        <v>0.0</v>
      </c>
      <c r="Y880" s="62">
        <v>0.0</v>
      </c>
      <c r="Z880" s="62">
        <v>0.0</v>
      </c>
      <c r="AA880" s="62">
        <v>0.0</v>
      </c>
      <c r="AB880" s="62">
        <v>0.0</v>
      </c>
      <c r="AC880" s="62">
        <v>0.0</v>
      </c>
      <c r="AD880" s="62">
        <v>0.205</v>
      </c>
      <c r="AE880" s="62">
        <v>0.0</v>
      </c>
      <c r="AF880" s="62">
        <v>0.0</v>
      </c>
    </row>
    <row r="881">
      <c r="A881" s="68">
        <v>46095.0</v>
      </c>
      <c r="B881" s="62" t="s">
        <v>62</v>
      </c>
      <c r="C881" s="62" t="s">
        <v>63</v>
      </c>
      <c r="D881" s="62">
        <v>0.0</v>
      </c>
      <c r="E881" s="62">
        <v>0.0</v>
      </c>
      <c r="F881" s="62">
        <v>0.0</v>
      </c>
      <c r="G881" s="62">
        <v>0.0</v>
      </c>
      <c r="H881" s="62">
        <v>0.0</v>
      </c>
      <c r="I881" s="62">
        <v>0.0</v>
      </c>
      <c r="J881" s="62">
        <v>0.0</v>
      </c>
      <c r="K881" s="62">
        <v>0.0</v>
      </c>
      <c r="L881" s="62">
        <v>0.0</v>
      </c>
      <c r="M881" s="62">
        <v>0.0</v>
      </c>
      <c r="N881" s="62">
        <v>9.0</v>
      </c>
      <c r="O881" s="62">
        <v>1.0</v>
      </c>
      <c r="P881" s="62">
        <v>9.0</v>
      </c>
      <c r="Q881" s="62">
        <v>0.0</v>
      </c>
      <c r="R881" s="62">
        <v>0.0</v>
      </c>
      <c r="S881" s="62">
        <v>0.0</v>
      </c>
      <c r="T881" s="62">
        <v>0.0</v>
      </c>
      <c r="U881" s="62">
        <v>0.0</v>
      </c>
      <c r="V881" s="62">
        <v>0.0</v>
      </c>
      <c r="W881" s="62">
        <v>0.0</v>
      </c>
      <c r="X881" s="62">
        <v>0.0</v>
      </c>
      <c r="Y881" s="62">
        <v>0.0</v>
      </c>
      <c r="Z881" s="62">
        <v>0.0</v>
      </c>
      <c r="AA881" s="62">
        <v>0.0</v>
      </c>
      <c r="AB881" s="62">
        <v>0.0</v>
      </c>
      <c r="AC881" s="62">
        <v>1.85861111111111</v>
      </c>
      <c r="AD881" s="62">
        <v>0.251944444444444</v>
      </c>
      <c r="AE881" s="62">
        <v>1.85861111111111</v>
      </c>
      <c r="AF881" s="62">
        <v>0.0</v>
      </c>
    </row>
    <row r="882">
      <c r="A882" s="68">
        <v>46094.0</v>
      </c>
      <c r="B882" s="62" t="s">
        <v>79</v>
      </c>
      <c r="C882" s="62" t="s">
        <v>162</v>
      </c>
      <c r="D882" s="62">
        <v>0.0</v>
      </c>
      <c r="E882" s="62">
        <v>0.0</v>
      </c>
      <c r="F882" s="62">
        <v>1.0</v>
      </c>
      <c r="G882" s="62">
        <v>3.0</v>
      </c>
      <c r="H882" s="62">
        <v>3.0</v>
      </c>
      <c r="I882" s="62">
        <v>0.0</v>
      </c>
      <c r="J882" s="62">
        <v>4.0</v>
      </c>
      <c r="K882" s="62">
        <v>4.0</v>
      </c>
      <c r="L882" s="62">
        <v>0.0</v>
      </c>
      <c r="M882" s="62">
        <v>0.0</v>
      </c>
      <c r="N882" s="62">
        <v>2.0</v>
      </c>
      <c r="O882" s="62">
        <v>1.0</v>
      </c>
      <c r="P882" s="62">
        <v>2.0</v>
      </c>
      <c r="Q882" s="62">
        <v>0.0</v>
      </c>
      <c r="R882" s="62">
        <v>0.0</v>
      </c>
      <c r="S882" s="62">
        <v>0.0</v>
      </c>
      <c r="T882" s="62">
        <v>0.18</v>
      </c>
      <c r="U882" s="62">
        <v>0.18</v>
      </c>
      <c r="V882" s="62">
        <v>0.596666666666666</v>
      </c>
      <c r="W882" s="62">
        <v>0.596666666666666</v>
      </c>
      <c r="X882" s="62">
        <v>0.0</v>
      </c>
      <c r="Y882" s="62">
        <v>0.7775</v>
      </c>
      <c r="Z882" s="62">
        <v>0.7775</v>
      </c>
      <c r="AA882" s="62">
        <v>0.0</v>
      </c>
      <c r="AB882" s="62">
        <v>0.0</v>
      </c>
      <c r="AC882" s="62">
        <v>0.313611111111111</v>
      </c>
      <c r="AD882" s="62">
        <v>0.196944444444444</v>
      </c>
      <c r="AE882" s="62">
        <v>0.313611111111111</v>
      </c>
      <c r="AF882" s="62">
        <v>1.0</v>
      </c>
    </row>
    <row r="883">
      <c r="A883" s="68">
        <v>46094.0</v>
      </c>
      <c r="B883" s="62" t="s">
        <v>71</v>
      </c>
      <c r="C883" s="62" t="s">
        <v>163</v>
      </c>
      <c r="D883" s="62">
        <v>0.0</v>
      </c>
      <c r="E883" s="62">
        <v>4.0</v>
      </c>
      <c r="F883" s="62">
        <v>0.0</v>
      </c>
      <c r="G883" s="62">
        <v>6.0</v>
      </c>
      <c r="H883" s="62">
        <v>5.0</v>
      </c>
      <c r="I883" s="62">
        <v>0.0</v>
      </c>
      <c r="J883" s="62">
        <v>8.0</v>
      </c>
      <c r="K883" s="62">
        <v>0.0</v>
      </c>
      <c r="L883" s="62">
        <v>0.0</v>
      </c>
      <c r="M883" s="62">
        <v>7.0</v>
      </c>
      <c r="N883" s="62">
        <v>9.0</v>
      </c>
      <c r="O883" s="62">
        <v>1.0</v>
      </c>
      <c r="P883" s="62">
        <v>9.0</v>
      </c>
      <c r="Q883" s="62">
        <v>0.0</v>
      </c>
      <c r="R883" s="62">
        <v>0.0</v>
      </c>
      <c r="S883" s="62">
        <v>10606.0</v>
      </c>
      <c r="T883" s="62">
        <v>0.0</v>
      </c>
      <c r="U883" s="62">
        <v>0.0</v>
      </c>
      <c r="V883" s="62">
        <v>1.66777777777777</v>
      </c>
      <c r="W883" s="62">
        <v>1.39472222222222</v>
      </c>
      <c r="X883" s="62">
        <v>0.0</v>
      </c>
      <c r="Y883" s="62">
        <v>2.21222222222222</v>
      </c>
      <c r="Z883" s="62">
        <v>0.0</v>
      </c>
      <c r="AA883" s="62">
        <v>0.0</v>
      </c>
      <c r="AB883" s="62">
        <v>1.94527777777777</v>
      </c>
      <c r="AC883" s="62">
        <v>2.5225</v>
      </c>
      <c r="AD883" s="62">
        <v>0.29</v>
      </c>
      <c r="AE883" s="62">
        <v>2.5225</v>
      </c>
      <c r="AF883" s="62">
        <v>0.0</v>
      </c>
    </row>
    <row r="884">
      <c r="A884" s="68">
        <v>46094.0</v>
      </c>
      <c r="B884" s="62" t="s">
        <v>76</v>
      </c>
      <c r="C884" s="62" t="s">
        <v>165</v>
      </c>
      <c r="D884" s="62">
        <v>7.0</v>
      </c>
      <c r="E884" s="62">
        <v>3.0</v>
      </c>
      <c r="F884" s="62">
        <v>2.0</v>
      </c>
      <c r="G884" s="62">
        <v>7.0</v>
      </c>
      <c r="H884" s="62">
        <v>7.0</v>
      </c>
      <c r="I884" s="62">
        <v>0.0</v>
      </c>
      <c r="J884" s="62">
        <v>10.0</v>
      </c>
      <c r="K884" s="62">
        <v>4.0</v>
      </c>
      <c r="L884" s="62">
        <v>1.0</v>
      </c>
      <c r="M884" s="62">
        <v>10.0</v>
      </c>
      <c r="N884" s="62">
        <v>10.0</v>
      </c>
      <c r="O884" s="62">
        <v>1.0</v>
      </c>
      <c r="P884" s="62">
        <v>10.0</v>
      </c>
      <c r="Q884" s="62">
        <v>0.0</v>
      </c>
      <c r="R884" s="62">
        <v>17327.0</v>
      </c>
      <c r="S884" s="62">
        <v>8367.0</v>
      </c>
      <c r="T884" s="62">
        <v>0.0</v>
      </c>
      <c r="U884" s="62">
        <v>0.595833333333333</v>
      </c>
      <c r="V884" s="62">
        <v>1.82999999999999</v>
      </c>
      <c r="W884" s="62">
        <v>1.83</v>
      </c>
      <c r="X884" s="62">
        <v>0.0</v>
      </c>
      <c r="Y884" s="62">
        <v>2.61472222222222</v>
      </c>
      <c r="Z884" s="62">
        <v>1.08638888888888</v>
      </c>
      <c r="AA884" s="62">
        <v>0.281388888888888</v>
      </c>
      <c r="AB884" s="62">
        <v>2.61472222222222</v>
      </c>
      <c r="AC884" s="62">
        <v>2.61472222222222</v>
      </c>
      <c r="AD884" s="62">
        <v>0.27</v>
      </c>
      <c r="AE884" s="62">
        <v>2.61472222222222</v>
      </c>
      <c r="AF884" s="62">
        <v>0.0</v>
      </c>
    </row>
    <row r="885">
      <c r="A885" s="68">
        <v>46094.0</v>
      </c>
      <c r="B885" s="62" t="s">
        <v>104</v>
      </c>
      <c r="C885" s="62" t="s">
        <v>166</v>
      </c>
      <c r="D885" s="62">
        <v>1.0</v>
      </c>
      <c r="E885" s="62">
        <v>4.0</v>
      </c>
      <c r="F885" s="62">
        <v>0.0</v>
      </c>
      <c r="G885" s="62">
        <v>0.0</v>
      </c>
      <c r="H885" s="62">
        <v>0.0</v>
      </c>
      <c r="I885" s="62">
        <v>0.0</v>
      </c>
      <c r="J885" s="62">
        <v>0.0</v>
      </c>
      <c r="K885" s="62">
        <v>0.0</v>
      </c>
      <c r="L885" s="62">
        <v>0.0</v>
      </c>
      <c r="M885" s="62">
        <v>0.0</v>
      </c>
      <c r="N885" s="62">
        <v>0.0</v>
      </c>
      <c r="O885" s="62">
        <v>0.0</v>
      </c>
      <c r="P885" s="62">
        <v>0.0</v>
      </c>
      <c r="Q885" s="62">
        <v>0.0</v>
      </c>
      <c r="R885" s="62">
        <v>2620.0</v>
      </c>
      <c r="S885" s="62">
        <v>9743.0</v>
      </c>
      <c r="T885" s="62">
        <v>0.0</v>
      </c>
      <c r="U885" s="62">
        <v>0.0</v>
      </c>
      <c r="V885" s="62">
        <v>0.0</v>
      </c>
      <c r="W885" s="62">
        <v>0.0</v>
      </c>
      <c r="X885" s="62">
        <v>0.0</v>
      </c>
      <c r="Y885" s="62">
        <v>0.0</v>
      </c>
      <c r="Z885" s="62">
        <v>0.0</v>
      </c>
      <c r="AA885" s="62">
        <v>0.0</v>
      </c>
      <c r="AB885" s="62">
        <v>0.0</v>
      </c>
      <c r="AC885" s="62">
        <v>0.0</v>
      </c>
      <c r="AD885" s="62">
        <v>0.0</v>
      </c>
      <c r="AE885" s="62">
        <v>0.0</v>
      </c>
      <c r="AF885" s="62">
        <v>0.0</v>
      </c>
    </row>
    <row r="886">
      <c r="A886" s="68">
        <v>46094.0</v>
      </c>
      <c r="B886" s="62" t="s">
        <v>32</v>
      </c>
      <c r="C886" s="62" t="s">
        <v>168</v>
      </c>
      <c r="D886" s="62">
        <v>14.0</v>
      </c>
      <c r="E886" s="62">
        <v>5.0</v>
      </c>
      <c r="F886" s="62">
        <v>2.0</v>
      </c>
      <c r="G886" s="62">
        <v>0.0</v>
      </c>
      <c r="H886" s="62">
        <v>6.0</v>
      </c>
      <c r="I886" s="62">
        <v>1.0</v>
      </c>
      <c r="J886" s="62">
        <v>6.0</v>
      </c>
      <c r="K886" s="62">
        <v>0.0</v>
      </c>
      <c r="L886" s="62">
        <v>0.0</v>
      </c>
      <c r="M886" s="62">
        <v>7.0</v>
      </c>
      <c r="N886" s="62">
        <v>8.0</v>
      </c>
      <c r="O886" s="62">
        <v>1.0</v>
      </c>
      <c r="P886" s="62">
        <v>8.0</v>
      </c>
      <c r="Q886" s="62">
        <v>0.0</v>
      </c>
      <c r="R886" s="62">
        <v>33881.0</v>
      </c>
      <c r="S886" s="62">
        <v>12369.0</v>
      </c>
      <c r="T886" s="62">
        <v>0.707777777777777</v>
      </c>
      <c r="U886" s="62">
        <v>0.459999999999999</v>
      </c>
      <c r="V886" s="62">
        <v>0.0</v>
      </c>
      <c r="W886" s="62">
        <v>1.41277777777777</v>
      </c>
      <c r="X886" s="62">
        <v>0.247777777777777</v>
      </c>
      <c r="Y886" s="62">
        <v>1.39888888888888</v>
      </c>
      <c r="Z886" s="62">
        <v>0.0</v>
      </c>
      <c r="AA886" s="62">
        <v>0.0</v>
      </c>
      <c r="AB886" s="62">
        <v>1.63916666666666</v>
      </c>
      <c r="AC886" s="62">
        <v>1.85833333333333</v>
      </c>
      <c r="AD886" s="62">
        <v>0.226944444444444</v>
      </c>
      <c r="AE886" s="62">
        <v>1.85833333333333</v>
      </c>
      <c r="AF886" s="62">
        <v>3.0</v>
      </c>
    </row>
    <row r="887">
      <c r="A887" s="68">
        <v>46094.0</v>
      </c>
      <c r="B887" s="62" t="s">
        <v>65</v>
      </c>
      <c r="C887" s="62" t="s">
        <v>173</v>
      </c>
      <c r="D887" s="62">
        <v>0.0</v>
      </c>
      <c r="E887" s="62">
        <v>0.0</v>
      </c>
      <c r="F887" s="62">
        <v>0.0</v>
      </c>
      <c r="G887" s="62">
        <v>0.0</v>
      </c>
      <c r="H887" s="62">
        <v>0.0</v>
      </c>
      <c r="I887" s="62">
        <v>0.0</v>
      </c>
      <c r="J887" s="62">
        <v>4.0</v>
      </c>
      <c r="K887" s="62">
        <v>3.0</v>
      </c>
      <c r="L887" s="62">
        <v>0.0</v>
      </c>
      <c r="M887" s="62">
        <v>1.0</v>
      </c>
      <c r="N887" s="62">
        <v>0.0</v>
      </c>
      <c r="O887" s="62">
        <v>0.0</v>
      </c>
      <c r="P887" s="62">
        <v>0.0</v>
      </c>
      <c r="Q887" s="62">
        <v>0.0</v>
      </c>
      <c r="R887" s="62">
        <v>0.0</v>
      </c>
      <c r="S887" s="62">
        <v>0.0</v>
      </c>
      <c r="T887" s="62">
        <v>0.0</v>
      </c>
      <c r="U887" s="62">
        <v>0.0</v>
      </c>
      <c r="V887" s="62">
        <v>0.0</v>
      </c>
      <c r="W887" s="62">
        <v>0.0</v>
      </c>
      <c r="X887" s="62">
        <v>0.0</v>
      </c>
      <c r="Y887" s="62">
        <v>1.12555555555555</v>
      </c>
      <c r="Z887" s="62">
        <v>0.845277777777777</v>
      </c>
      <c r="AA887" s="62">
        <v>0.0</v>
      </c>
      <c r="AB887" s="62">
        <v>0.280277777777777</v>
      </c>
      <c r="AC887" s="62">
        <v>0.0</v>
      </c>
      <c r="AD887" s="62">
        <v>0.0</v>
      </c>
      <c r="AE887" s="62">
        <v>0.0</v>
      </c>
      <c r="AF887" s="62">
        <v>0.0</v>
      </c>
    </row>
    <row r="888">
      <c r="A888" s="68">
        <v>46094.0</v>
      </c>
      <c r="B888" s="62" t="s">
        <v>37</v>
      </c>
      <c r="C888" s="62" t="s">
        <v>174</v>
      </c>
      <c r="D888" s="62">
        <v>3.0</v>
      </c>
      <c r="E888" s="62">
        <v>0.0</v>
      </c>
      <c r="F888" s="62">
        <v>0.0</v>
      </c>
      <c r="G888" s="62">
        <v>5.0</v>
      </c>
      <c r="H888" s="62">
        <v>5.0</v>
      </c>
      <c r="I888" s="62">
        <v>0.0</v>
      </c>
      <c r="J888" s="62">
        <v>5.0</v>
      </c>
      <c r="K888" s="62">
        <v>0.0</v>
      </c>
      <c r="L888" s="62">
        <v>0.0</v>
      </c>
      <c r="M888" s="62">
        <v>3.0</v>
      </c>
      <c r="N888" s="62">
        <v>5.0</v>
      </c>
      <c r="O888" s="62">
        <v>1.0</v>
      </c>
      <c r="P888" s="62">
        <v>5.0</v>
      </c>
      <c r="Q888" s="62">
        <v>0.0</v>
      </c>
      <c r="R888" s="62">
        <v>7898.0</v>
      </c>
      <c r="S888" s="62">
        <v>0.0</v>
      </c>
      <c r="T888" s="62">
        <v>0.0</v>
      </c>
      <c r="U888" s="62">
        <v>0.0</v>
      </c>
      <c r="V888" s="62">
        <v>1.51833333333333</v>
      </c>
      <c r="W888" s="62">
        <v>1.51833333333333</v>
      </c>
      <c r="X888" s="62">
        <v>0.0</v>
      </c>
      <c r="Y888" s="62">
        <v>1.52055555555555</v>
      </c>
      <c r="Z888" s="62">
        <v>0.0</v>
      </c>
      <c r="AA888" s="62">
        <v>0.0</v>
      </c>
      <c r="AB888" s="62">
        <v>0.854166666666666</v>
      </c>
      <c r="AC888" s="62">
        <v>1.40527777777777</v>
      </c>
      <c r="AD888" s="62">
        <v>0.254166666666666</v>
      </c>
      <c r="AE888" s="62">
        <v>1.40527777777777</v>
      </c>
      <c r="AF888" s="62">
        <v>0.0</v>
      </c>
    </row>
    <row r="889">
      <c r="A889" s="68">
        <v>46094.0</v>
      </c>
      <c r="B889" s="62" t="s">
        <v>81</v>
      </c>
      <c r="C889" s="62" t="s">
        <v>187</v>
      </c>
      <c r="D889" s="62">
        <v>0.0</v>
      </c>
      <c r="E889" s="62">
        <v>0.0</v>
      </c>
      <c r="F889" s="62">
        <v>0.0</v>
      </c>
      <c r="G889" s="62">
        <v>0.0</v>
      </c>
      <c r="H889" s="62">
        <v>0.0</v>
      </c>
      <c r="I889" s="62">
        <v>0.0</v>
      </c>
      <c r="J889" s="62">
        <v>0.0</v>
      </c>
      <c r="K889" s="62">
        <v>1.0</v>
      </c>
      <c r="L889" s="62">
        <v>0.0</v>
      </c>
      <c r="M889" s="62">
        <v>1.0</v>
      </c>
      <c r="N889" s="62">
        <v>2.0</v>
      </c>
      <c r="O889" s="62">
        <v>1.0</v>
      </c>
      <c r="P889" s="62">
        <v>2.0</v>
      </c>
      <c r="Q889" s="62">
        <v>0.0</v>
      </c>
      <c r="R889" s="62">
        <v>0.0</v>
      </c>
      <c r="S889" s="62">
        <v>0.0</v>
      </c>
      <c r="T889" s="62">
        <v>0.0</v>
      </c>
      <c r="U889" s="62">
        <v>0.0</v>
      </c>
      <c r="V889" s="62">
        <v>0.0</v>
      </c>
      <c r="W889" s="62">
        <v>0.0</v>
      </c>
      <c r="X889" s="62">
        <v>0.0</v>
      </c>
      <c r="Y889" s="62">
        <v>0.0</v>
      </c>
      <c r="Z889" s="62">
        <v>0.172777777777777</v>
      </c>
      <c r="AA889" s="62">
        <v>0.0</v>
      </c>
      <c r="AB889" s="62">
        <v>0.172777777777777</v>
      </c>
      <c r="AC889" s="62">
        <v>0.346388888888888</v>
      </c>
      <c r="AD889" s="62">
        <v>0.213333333333333</v>
      </c>
      <c r="AE889" s="62">
        <v>0.346388888888888</v>
      </c>
      <c r="AF889" s="62">
        <v>0.0</v>
      </c>
    </row>
    <row r="890">
      <c r="A890" s="68">
        <v>46094.0</v>
      </c>
      <c r="B890" s="62" t="s">
        <v>84</v>
      </c>
      <c r="C890" s="62" t="s">
        <v>186</v>
      </c>
      <c r="D890" s="62">
        <v>3.0</v>
      </c>
      <c r="E890" s="62">
        <v>0.0</v>
      </c>
      <c r="F890" s="62">
        <v>0.0</v>
      </c>
      <c r="G890" s="62">
        <v>3.0</v>
      </c>
      <c r="H890" s="62">
        <v>3.0</v>
      </c>
      <c r="I890" s="62">
        <v>0.0</v>
      </c>
      <c r="J890" s="62">
        <v>3.0</v>
      </c>
      <c r="K890" s="62">
        <v>0.0</v>
      </c>
      <c r="L890" s="62">
        <v>0.0</v>
      </c>
      <c r="M890" s="62">
        <v>2.0</v>
      </c>
      <c r="N890" s="62">
        <v>0.0</v>
      </c>
      <c r="O890" s="62">
        <v>0.0</v>
      </c>
      <c r="P890" s="62">
        <v>0.0</v>
      </c>
      <c r="Q890" s="62">
        <v>0.0</v>
      </c>
      <c r="R890" s="62">
        <v>6704.0</v>
      </c>
      <c r="S890" s="62">
        <v>0.0</v>
      </c>
      <c r="T890" s="62">
        <v>0.0</v>
      </c>
      <c r="U890" s="62">
        <v>0.0</v>
      </c>
      <c r="V890" s="62">
        <v>0.804722222222222</v>
      </c>
      <c r="W890" s="62">
        <v>0.804722222222222</v>
      </c>
      <c r="X890" s="62">
        <v>0.0</v>
      </c>
      <c r="Y890" s="62">
        <v>0.804722222222222</v>
      </c>
      <c r="Z890" s="62">
        <v>0.0</v>
      </c>
      <c r="AA890" s="62">
        <v>0.0</v>
      </c>
      <c r="AB890" s="62">
        <v>0.541388888888888</v>
      </c>
      <c r="AC890" s="62">
        <v>0.0</v>
      </c>
      <c r="AD890" s="62">
        <v>0.0</v>
      </c>
      <c r="AE890" s="62">
        <v>0.0</v>
      </c>
      <c r="AF890" s="62">
        <v>0.0</v>
      </c>
    </row>
    <row r="891">
      <c r="A891" s="68">
        <v>46094.0</v>
      </c>
      <c r="B891" s="62" t="s">
        <v>26</v>
      </c>
      <c r="C891" s="62" t="s">
        <v>178</v>
      </c>
      <c r="D891" s="62">
        <v>6.0</v>
      </c>
      <c r="E891" s="62">
        <v>0.0</v>
      </c>
      <c r="F891" s="62">
        <v>0.0</v>
      </c>
      <c r="G891" s="62">
        <v>0.0</v>
      </c>
      <c r="H891" s="62">
        <v>0.0</v>
      </c>
      <c r="I891" s="62">
        <v>0.0</v>
      </c>
      <c r="J891" s="62">
        <v>6.0</v>
      </c>
      <c r="K891" s="62">
        <v>0.0</v>
      </c>
      <c r="L891" s="62">
        <v>0.0</v>
      </c>
      <c r="M891" s="62">
        <v>3.0</v>
      </c>
      <c r="N891" s="62">
        <v>8.0</v>
      </c>
      <c r="O891" s="62">
        <v>1.0</v>
      </c>
      <c r="P891" s="62">
        <v>8.0</v>
      </c>
      <c r="Q891" s="62">
        <v>0.0</v>
      </c>
      <c r="R891" s="62">
        <v>14108.0</v>
      </c>
      <c r="S891" s="62">
        <v>0.0</v>
      </c>
      <c r="T891" s="62">
        <v>0.0</v>
      </c>
      <c r="U891" s="62">
        <v>0.0</v>
      </c>
      <c r="V891" s="62">
        <v>0.0</v>
      </c>
      <c r="W891" s="62">
        <v>0.0</v>
      </c>
      <c r="X891" s="62">
        <v>0.0</v>
      </c>
      <c r="Y891" s="62">
        <v>1.325</v>
      </c>
      <c r="Z891" s="62">
        <v>0.0</v>
      </c>
      <c r="AA891" s="62">
        <v>0.0</v>
      </c>
      <c r="AB891" s="62">
        <v>0.632777777777777</v>
      </c>
      <c r="AC891" s="62">
        <v>1.60277777777777</v>
      </c>
      <c r="AD891" s="62">
        <v>0.198611111111111</v>
      </c>
      <c r="AE891" s="62">
        <v>1.60277777777777</v>
      </c>
      <c r="AF891" s="62">
        <v>0.0</v>
      </c>
    </row>
    <row r="892">
      <c r="A892" s="68">
        <v>46094.0</v>
      </c>
      <c r="B892" s="62" t="s">
        <v>62</v>
      </c>
      <c r="C892" s="62" t="s">
        <v>63</v>
      </c>
      <c r="D892" s="62">
        <v>0.0</v>
      </c>
      <c r="E892" s="62">
        <v>3.0</v>
      </c>
      <c r="F892" s="62">
        <v>0.0</v>
      </c>
      <c r="G892" s="62">
        <v>0.0</v>
      </c>
      <c r="H892" s="62">
        <v>1.0</v>
      </c>
      <c r="I892" s="62">
        <v>1.0</v>
      </c>
      <c r="J892" s="62">
        <v>3.0</v>
      </c>
      <c r="K892" s="62">
        <v>3.0</v>
      </c>
      <c r="L892" s="62">
        <v>0.0</v>
      </c>
      <c r="M892" s="62">
        <v>3.0</v>
      </c>
      <c r="N892" s="62">
        <v>0.0</v>
      </c>
      <c r="O892" s="62">
        <v>1.0</v>
      </c>
      <c r="P892" s="62">
        <v>0.0</v>
      </c>
      <c r="Q892" s="62">
        <v>0.0</v>
      </c>
      <c r="R892" s="62">
        <v>0.0</v>
      </c>
      <c r="S892" s="62">
        <v>6847.0</v>
      </c>
      <c r="T892" s="62">
        <v>0.409722222222222</v>
      </c>
      <c r="U892" s="62">
        <v>0.0</v>
      </c>
      <c r="V892" s="62">
        <v>0.0</v>
      </c>
      <c r="W892" s="62">
        <v>0.238611111111111</v>
      </c>
      <c r="X892" s="62">
        <v>0.238611111111111</v>
      </c>
      <c r="Y892" s="62">
        <v>0.684444444444444</v>
      </c>
      <c r="Z892" s="62">
        <v>0.684444444444444</v>
      </c>
      <c r="AA892" s="62">
        <v>0.0</v>
      </c>
      <c r="AB892" s="62">
        <v>0.6975</v>
      </c>
      <c r="AC892" s="62">
        <v>0.0</v>
      </c>
      <c r="AD892" s="62">
        <v>0.250555555555555</v>
      </c>
      <c r="AE892" s="62">
        <v>0.0</v>
      </c>
      <c r="AF892" s="62">
        <v>2.0</v>
      </c>
    </row>
    <row r="893">
      <c r="A893" s="68">
        <v>46093.0</v>
      </c>
      <c r="B893" s="62" t="s">
        <v>79</v>
      </c>
      <c r="C893" s="62" t="s">
        <v>162</v>
      </c>
      <c r="D893" s="62">
        <v>0.0</v>
      </c>
      <c r="E893" s="62">
        <v>0.0</v>
      </c>
      <c r="F893" s="62">
        <v>2.0</v>
      </c>
      <c r="G893" s="62">
        <v>1.0</v>
      </c>
      <c r="H893" s="62">
        <v>2.0</v>
      </c>
      <c r="I893" s="62">
        <v>1.0</v>
      </c>
      <c r="J893" s="62">
        <v>2.0</v>
      </c>
      <c r="K893" s="62">
        <v>2.0</v>
      </c>
      <c r="L893" s="62">
        <v>0.0</v>
      </c>
      <c r="M893" s="62">
        <v>2.0</v>
      </c>
      <c r="N893" s="62">
        <v>0.0</v>
      </c>
      <c r="O893" s="62">
        <v>1.0</v>
      </c>
      <c r="P893" s="62">
        <v>0.0</v>
      </c>
      <c r="Q893" s="62">
        <v>0.0</v>
      </c>
      <c r="R893" s="62">
        <v>0.0</v>
      </c>
      <c r="S893" s="62">
        <v>0.0</v>
      </c>
      <c r="T893" s="62">
        <v>0.558055555555555</v>
      </c>
      <c r="U893" s="62">
        <v>0.381111111111111</v>
      </c>
      <c r="V893" s="62">
        <v>0.180833333333333</v>
      </c>
      <c r="W893" s="62">
        <v>0.357777777777777</v>
      </c>
      <c r="X893" s="62">
        <v>0.176944444444444</v>
      </c>
      <c r="Y893" s="62">
        <v>0.381944444444444</v>
      </c>
      <c r="Z893" s="62">
        <v>0.381944444444444</v>
      </c>
      <c r="AA893" s="62">
        <v>0.0</v>
      </c>
      <c r="AB893" s="62">
        <v>0.380833333333333</v>
      </c>
      <c r="AC893" s="62">
        <v>0.0</v>
      </c>
      <c r="AD893" s="62">
        <v>0.183055555555555</v>
      </c>
      <c r="AE893" s="62">
        <v>0.0</v>
      </c>
      <c r="AF893" s="62">
        <v>3.0</v>
      </c>
    </row>
    <row r="894">
      <c r="A894" s="68">
        <v>46093.0</v>
      </c>
      <c r="B894" s="62" t="s">
        <v>71</v>
      </c>
      <c r="C894" s="62" t="s">
        <v>163</v>
      </c>
      <c r="D894" s="62">
        <v>0.0</v>
      </c>
      <c r="E894" s="62">
        <v>2.0</v>
      </c>
      <c r="F894" s="62">
        <v>6.0</v>
      </c>
      <c r="G894" s="62">
        <v>2.0</v>
      </c>
      <c r="H894" s="62">
        <v>3.0</v>
      </c>
      <c r="I894" s="62">
        <v>1.0</v>
      </c>
      <c r="J894" s="62">
        <v>2.0</v>
      </c>
      <c r="K894" s="62">
        <v>0.0</v>
      </c>
      <c r="L894" s="62">
        <v>0.0</v>
      </c>
      <c r="M894" s="62">
        <v>4.0</v>
      </c>
      <c r="N894" s="62">
        <v>2.0</v>
      </c>
      <c r="O894" s="62">
        <v>1.0</v>
      </c>
      <c r="P894" s="62">
        <v>2.0</v>
      </c>
      <c r="Q894" s="62">
        <v>0.0</v>
      </c>
      <c r="R894" s="62">
        <v>0.0</v>
      </c>
      <c r="S894" s="62">
        <v>5678.0</v>
      </c>
      <c r="T894" s="62">
        <v>1.99944444444444</v>
      </c>
      <c r="U894" s="62">
        <v>1.72055555555555</v>
      </c>
      <c r="V894" s="62">
        <v>0.577222222222222</v>
      </c>
      <c r="W894" s="62">
        <v>0.856111111111111</v>
      </c>
      <c r="X894" s="62">
        <v>0.278888888888888</v>
      </c>
      <c r="Y894" s="62">
        <v>0.577222222222222</v>
      </c>
      <c r="Z894" s="62">
        <v>0.0</v>
      </c>
      <c r="AA894" s="62">
        <v>0.0</v>
      </c>
      <c r="AB894" s="62">
        <v>1.15444444444444</v>
      </c>
      <c r="AC894" s="62">
        <v>0.577222222222222</v>
      </c>
      <c r="AD894" s="62">
        <v>0.277222222222222</v>
      </c>
      <c r="AE894" s="62">
        <v>0.577222222222222</v>
      </c>
      <c r="AF894" s="62">
        <v>7.0</v>
      </c>
    </row>
    <row r="895">
      <c r="A895" s="68">
        <v>46093.0</v>
      </c>
      <c r="B895" s="62" t="s">
        <v>76</v>
      </c>
      <c r="C895" s="62" t="s">
        <v>165</v>
      </c>
      <c r="D895" s="62">
        <v>11.0</v>
      </c>
      <c r="E895" s="62">
        <v>3.0</v>
      </c>
      <c r="F895" s="62">
        <v>5.0</v>
      </c>
      <c r="G895" s="62">
        <v>2.0</v>
      </c>
      <c r="H895" s="62">
        <v>3.0</v>
      </c>
      <c r="I895" s="62">
        <v>2.0</v>
      </c>
      <c r="J895" s="62">
        <v>0.0</v>
      </c>
      <c r="K895" s="62">
        <v>0.0</v>
      </c>
      <c r="L895" s="62">
        <v>0.0</v>
      </c>
      <c r="M895" s="62">
        <v>0.0</v>
      </c>
      <c r="N895" s="62">
        <v>3.0</v>
      </c>
      <c r="O895" s="62">
        <v>1.0</v>
      </c>
      <c r="P895" s="62">
        <v>3.0</v>
      </c>
      <c r="Q895" s="62">
        <v>0.0</v>
      </c>
      <c r="R895" s="62">
        <v>34191.0</v>
      </c>
      <c r="S895" s="62">
        <v>7835.0</v>
      </c>
      <c r="T895" s="62">
        <v>1.97694444444444</v>
      </c>
      <c r="U895" s="62">
        <v>1.3875</v>
      </c>
      <c r="V895" s="62">
        <v>0.509444444444444</v>
      </c>
      <c r="W895" s="62">
        <v>0.783333333333333</v>
      </c>
      <c r="X895" s="62">
        <v>0.555277777777777</v>
      </c>
      <c r="Y895" s="62">
        <v>0.0</v>
      </c>
      <c r="Z895" s="62">
        <v>0.0</v>
      </c>
      <c r="AA895" s="62">
        <v>0.0</v>
      </c>
      <c r="AB895" s="62">
        <v>0.0</v>
      </c>
      <c r="AC895" s="62">
        <v>0.779722222222222</v>
      </c>
      <c r="AD895" s="62">
        <v>0.272777777777777</v>
      </c>
      <c r="AE895" s="62">
        <v>0.779722222222222</v>
      </c>
      <c r="AF895" s="62">
        <v>7.0</v>
      </c>
    </row>
    <row r="896">
      <c r="A896" s="68">
        <v>46093.0</v>
      </c>
      <c r="B896" s="62" t="s">
        <v>32</v>
      </c>
      <c r="C896" s="62" t="s">
        <v>168</v>
      </c>
      <c r="D896" s="62">
        <v>2.0</v>
      </c>
      <c r="E896" s="62">
        <v>2.0</v>
      </c>
      <c r="F896" s="62">
        <v>3.0</v>
      </c>
      <c r="G896" s="62">
        <v>0.0</v>
      </c>
      <c r="H896" s="62">
        <v>1.0</v>
      </c>
      <c r="I896" s="62">
        <v>1.0</v>
      </c>
      <c r="J896" s="62">
        <v>1.0</v>
      </c>
      <c r="K896" s="62">
        <v>0.0</v>
      </c>
      <c r="L896" s="62">
        <v>0.0</v>
      </c>
      <c r="M896" s="62">
        <v>3.0</v>
      </c>
      <c r="N896" s="62">
        <v>5.0</v>
      </c>
      <c r="O896" s="62">
        <v>1.0</v>
      </c>
      <c r="P896" s="62">
        <v>5.0</v>
      </c>
      <c r="Q896" s="62">
        <v>0.0</v>
      </c>
      <c r="R896" s="62">
        <v>4953.0</v>
      </c>
      <c r="S896" s="62">
        <v>4953.0</v>
      </c>
      <c r="T896" s="62">
        <v>0.938611111111111</v>
      </c>
      <c r="U896" s="62">
        <v>0.703888888888888</v>
      </c>
      <c r="V896" s="62">
        <v>0.0</v>
      </c>
      <c r="W896" s="62">
        <v>0.234722222222222</v>
      </c>
      <c r="X896" s="62">
        <v>0.234722222222222</v>
      </c>
      <c r="Y896" s="62">
        <v>0.240277777777777</v>
      </c>
      <c r="Z896" s="62">
        <v>0.0</v>
      </c>
      <c r="AA896" s="62">
        <v>0.0</v>
      </c>
      <c r="AB896" s="62">
        <v>0.694722222222222</v>
      </c>
      <c r="AC896" s="62">
        <v>1.16194444444444</v>
      </c>
      <c r="AD896" s="62">
        <v>0.2125</v>
      </c>
      <c r="AE896" s="62">
        <v>1.16194444444444</v>
      </c>
      <c r="AF896" s="62">
        <v>4.0</v>
      </c>
    </row>
    <row r="897">
      <c r="A897" s="68">
        <v>46093.0</v>
      </c>
      <c r="B897" s="62" t="s">
        <v>65</v>
      </c>
      <c r="C897" s="62" t="s">
        <v>173</v>
      </c>
      <c r="D897" s="62">
        <v>0.0</v>
      </c>
      <c r="E897" s="62">
        <v>2.0</v>
      </c>
      <c r="F897" s="62">
        <v>0.0</v>
      </c>
      <c r="G897" s="62">
        <v>2.0</v>
      </c>
      <c r="H897" s="62">
        <v>2.0</v>
      </c>
      <c r="I897" s="62">
        <v>0.0</v>
      </c>
      <c r="J897" s="62">
        <v>0.0</v>
      </c>
      <c r="K897" s="62">
        <v>1.0</v>
      </c>
      <c r="L897" s="62">
        <v>0.0</v>
      </c>
      <c r="M897" s="62">
        <v>0.0</v>
      </c>
      <c r="N897" s="62">
        <v>0.0</v>
      </c>
      <c r="O897" s="62">
        <v>0.0</v>
      </c>
      <c r="P897" s="62">
        <v>0.0</v>
      </c>
      <c r="Q897" s="62">
        <v>0.0</v>
      </c>
      <c r="R897" s="62">
        <v>0.0</v>
      </c>
      <c r="S897" s="62">
        <v>6526.0</v>
      </c>
      <c r="T897" s="62">
        <v>0.0</v>
      </c>
      <c r="U897" s="62">
        <v>0.0</v>
      </c>
      <c r="V897" s="62">
        <v>0.571944444444444</v>
      </c>
      <c r="W897" s="62">
        <v>0.571944444444444</v>
      </c>
      <c r="X897" s="62">
        <v>0.0</v>
      </c>
      <c r="Y897" s="62">
        <v>0.0</v>
      </c>
      <c r="Z897" s="62">
        <v>0.268055555555555</v>
      </c>
      <c r="AA897" s="62">
        <v>0.0</v>
      </c>
      <c r="AB897" s="62">
        <v>0.0</v>
      </c>
      <c r="AC897" s="62">
        <v>0.0</v>
      </c>
      <c r="AD897" s="62">
        <v>0.0</v>
      </c>
      <c r="AE897" s="62">
        <v>0.0</v>
      </c>
      <c r="AF897" s="62">
        <v>0.0</v>
      </c>
    </row>
    <row r="898">
      <c r="A898" s="68">
        <v>46093.0</v>
      </c>
      <c r="B898" s="62" t="s">
        <v>37</v>
      </c>
      <c r="C898" s="62" t="s">
        <v>174</v>
      </c>
      <c r="D898" s="62">
        <v>3.0</v>
      </c>
      <c r="E898" s="62">
        <v>1.0</v>
      </c>
      <c r="F898" s="62">
        <v>7.0</v>
      </c>
      <c r="G898" s="62">
        <v>1.0</v>
      </c>
      <c r="H898" s="62">
        <v>1.0</v>
      </c>
      <c r="I898" s="62">
        <v>0.0</v>
      </c>
      <c r="J898" s="62">
        <v>3.0</v>
      </c>
      <c r="K898" s="62">
        <v>1.0</v>
      </c>
      <c r="L898" s="62">
        <v>1.0</v>
      </c>
      <c r="M898" s="62">
        <v>4.0</v>
      </c>
      <c r="N898" s="62">
        <v>0.0</v>
      </c>
      <c r="O898" s="62">
        <v>1.0</v>
      </c>
      <c r="P898" s="62">
        <v>0.0</v>
      </c>
      <c r="Q898" s="62">
        <v>0.0</v>
      </c>
      <c r="R898" s="62">
        <v>7641.0</v>
      </c>
      <c r="S898" s="62">
        <v>2341.0</v>
      </c>
      <c r="T898" s="62">
        <v>0.0</v>
      </c>
      <c r="U898" s="62">
        <v>2.02222222222222</v>
      </c>
      <c r="V898" s="62">
        <v>0.304166666666666</v>
      </c>
      <c r="W898" s="62">
        <v>0.304166666666666</v>
      </c>
      <c r="X898" s="62">
        <v>0.0</v>
      </c>
      <c r="Y898" s="62">
        <v>0.847499999999999</v>
      </c>
      <c r="Z898" s="62">
        <v>0.261944444444444</v>
      </c>
      <c r="AA898" s="62">
        <v>0.261944444444444</v>
      </c>
      <c r="AB898" s="62">
        <v>1.14333333333333</v>
      </c>
      <c r="AC898" s="62">
        <v>0.0</v>
      </c>
      <c r="AD898" s="62">
        <v>0.257777777777777</v>
      </c>
      <c r="AE898" s="62">
        <v>0.0</v>
      </c>
      <c r="AF898" s="62">
        <v>0.0</v>
      </c>
    </row>
    <row r="899">
      <c r="A899" s="68">
        <v>46093.0</v>
      </c>
      <c r="B899" s="62" t="s">
        <v>81</v>
      </c>
      <c r="C899" s="62" t="s">
        <v>187</v>
      </c>
      <c r="D899" s="62">
        <v>0.0</v>
      </c>
      <c r="E899" s="62">
        <v>0.0</v>
      </c>
      <c r="F899" s="62">
        <v>0.0</v>
      </c>
      <c r="G899" s="62">
        <v>0.0</v>
      </c>
      <c r="H899" s="62">
        <v>0.0</v>
      </c>
      <c r="I899" s="62">
        <v>0.0</v>
      </c>
      <c r="J899" s="62">
        <v>2.0</v>
      </c>
      <c r="K899" s="62">
        <v>1.0</v>
      </c>
      <c r="L899" s="62">
        <v>1.0</v>
      </c>
      <c r="M899" s="62">
        <v>3.0</v>
      </c>
      <c r="N899" s="62">
        <v>2.0</v>
      </c>
      <c r="O899" s="62">
        <v>1.0</v>
      </c>
      <c r="P899" s="62">
        <v>2.0</v>
      </c>
      <c r="Q899" s="62">
        <v>0.0</v>
      </c>
      <c r="R899" s="62">
        <v>0.0</v>
      </c>
      <c r="S899" s="62">
        <v>0.0</v>
      </c>
      <c r="T899" s="62">
        <v>0.0</v>
      </c>
      <c r="U899" s="62">
        <v>0.0</v>
      </c>
      <c r="V899" s="62">
        <v>0.0</v>
      </c>
      <c r="W899" s="62">
        <v>0.0</v>
      </c>
      <c r="X899" s="62">
        <v>0.0</v>
      </c>
      <c r="Y899" s="62">
        <v>0.346388888888888</v>
      </c>
      <c r="Z899" s="62">
        <v>0.173611111111111</v>
      </c>
      <c r="AA899" s="62">
        <v>0.190833333333333</v>
      </c>
      <c r="AB899" s="62">
        <v>0.579166666666666</v>
      </c>
      <c r="AC899" s="62">
        <v>0.405555555555555</v>
      </c>
      <c r="AD899" s="62">
        <v>0.180833333333333</v>
      </c>
      <c r="AE899" s="62">
        <v>0.405555555555555</v>
      </c>
      <c r="AF899" s="62">
        <v>0.0</v>
      </c>
    </row>
    <row r="900">
      <c r="A900" s="68">
        <v>46093.0</v>
      </c>
      <c r="B900" s="62" t="s">
        <v>84</v>
      </c>
      <c r="C900" s="62" t="s">
        <v>186</v>
      </c>
      <c r="D900" s="62">
        <v>4.0</v>
      </c>
      <c r="E900" s="62">
        <v>1.0</v>
      </c>
      <c r="F900" s="62">
        <v>3.0</v>
      </c>
      <c r="G900" s="62">
        <v>0.0</v>
      </c>
      <c r="H900" s="62">
        <v>0.0</v>
      </c>
      <c r="I900" s="62">
        <v>0.0</v>
      </c>
      <c r="J900" s="62">
        <v>0.0</v>
      </c>
      <c r="K900" s="62">
        <v>0.0</v>
      </c>
      <c r="L900" s="62">
        <v>0.0</v>
      </c>
      <c r="M900" s="62">
        <v>0.0</v>
      </c>
      <c r="N900" s="62">
        <v>0.0</v>
      </c>
      <c r="O900" s="62">
        <v>0.0</v>
      </c>
      <c r="P900" s="62">
        <v>0.0</v>
      </c>
      <c r="Q900" s="62">
        <v>0.0</v>
      </c>
      <c r="R900" s="62">
        <v>9376.0</v>
      </c>
      <c r="S900" s="62">
        <v>2615.0</v>
      </c>
      <c r="T900" s="62">
        <v>0.524722222222222</v>
      </c>
      <c r="U900" s="62">
        <v>0.788611111111111</v>
      </c>
      <c r="V900" s="62">
        <v>0.0</v>
      </c>
      <c r="W900" s="62">
        <v>0.0</v>
      </c>
      <c r="X900" s="62">
        <v>0.0</v>
      </c>
      <c r="Y900" s="62">
        <v>0.0</v>
      </c>
      <c r="Z900" s="62">
        <v>0.0</v>
      </c>
      <c r="AA900" s="62">
        <v>0.0</v>
      </c>
      <c r="AB900" s="62">
        <v>0.0</v>
      </c>
      <c r="AC900" s="62">
        <v>0.0</v>
      </c>
      <c r="AD900" s="62">
        <v>0.0</v>
      </c>
      <c r="AE900" s="62">
        <v>0.0</v>
      </c>
      <c r="AF900" s="62">
        <v>2.0</v>
      </c>
    </row>
    <row r="901">
      <c r="A901" s="68">
        <v>46093.0</v>
      </c>
      <c r="B901" s="62" t="s">
        <v>26</v>
      </c>
      <c r="C901" s="62" t="s">
        <v>178</v>
      </c>
      <c r="D901" s="62">
        <v>0.0</v>
      </c>
      <c r="E901" s="62">
        <v>3.0</v>
      </c>
      <c r="F901" s="62">
        <v>0.0</v>
      </c>
      <c r="G901" s="62">
        <v>2.0</v>
      </c>
      <c r="H901" s="62">
        <v>2.0</v>
      </c>
      <c r="I901" s="62">
        <v>0.0</v>
      </c>
      <c r="J901" s="62">
        <v>12.0</v>
      </c>
      <c r="K901" s="62">
        <v>2.0</v>
      </c>
      <c r="L901" s="62">
        <v>2.0</v>
      </c>
      <c r="M901" s="62">
        <v>6.0</v>
      </c>
      <c r="N901" s="62">
        <v>4.0</v>
      </c>
      <c r="O901" s="62">
        <v>1.0</v>
      </c>
      <c r="P901" s="62">
        <v>4.0</v>
      </c>
      <c r="Q901" s="62">
        <v>0.0</v>
      </c>
      <c r="R901" s="62">
        <v>0.0</v>
      </c>
      <c r="S901" s="62">
        <v>7324.0</v>
      </c>
      <c r="T901" s="62">
        <v>0.0</v>
      </c>
      <c r="U901" s="62">
        <v>0.0</v>
      </c>
      <c r="V901" s="62">
        <v>0.401388888888888</v>
      </c>
      <c r="W901" s="62">
        <v>0.401388888888888</v>
      </c>
      <c r="X901" s="62">
        <v>0.0</v>
      </c>
      <c r="Y901" s="62">
        <v>2.43472222222222</v>
      </c>
      <c r="Z901" s="62">
        <v>0.4575</v>
      </c>
      <c r="AA901" s="62">
        <v>0.451666666666666</v>
      </c>
      <c r="AB901" s="62">
        <v>1.22194444444444</v>
      </c>
      <c r="AC901" s="62">
        <v>0.848333333333333</v>
      </c>
      <c r="AD901" s="62">
        <v>0.201111111111111</v>
      </c>
      <c r="AE901" s="62">
        <v>0.848333333333333</v>
      </c>
      <c r="AF901" s="62">
        <v>0.0</v>
      </c>
    </row>
    <row r="902">
      <c r="A902" s="68">
        <v>46093.0</v>
      </c>
      <c r="B902" s="62" t="s">
        <v>62</v>
      </c>
      <c r="C902" s="62" t="s">
        <v>63</v>
      </c>
      <c r="D902" s="62">
        <v>0.0</v>
      </c>
      <c r="E902" s="62">
        <v>3.0</v>
      </c>
      <c r="F902" s="62">
        <v>0.0</v>
      </c>
      <c r="G902" s="62">
        <v>0.0</v>
      </c>
      <c r="H902" s="62">
        <v>0.0</v>
      </c>
      <c r="I902" s="62">
        <v>0.0</v>
      </c>
      <c r="J902" s="62">
        <v>2.0</v>
      </c>
      <c r="K902" s="62">
        <v>0.0</v>
      </c>
      <c r="L902" s="62">
        <v>0.0</v>
      </c>
      <c r="M902" s="62">
        <v>4.0</v>
      </c>
      <c r="N902" s="62">
        <v>2.0</v>
      </c>
      <c r="O902" s="62">
        <v>1.0</v>
      </c>
      <c r="P902" s="62">
        <v>2.0</v>
      </c>
      <c r="Q902" s="62">
        <v>0.0</v>
      </c>
      <c r="R902" s="62">
        <v>0.0</v>
      </c>
      <c r="S902" s="62">
        <v>7223.0</v>
      </c>
      <c r="T902" s="62">
        <v>0.238611111111111</v>
      </c>
      <c r="U902" s="62">
        <v>0.0</v>
      </c>
      <c r="V902" s="62">
        <v>0.0</v>
      </c>
      <c r="W902" s="62">
        <v>0.0</v>
      </c>
      <c r="X902" s="62">
        <v>0.0</v>
      </c>
      <c r="Y902" s="62">
        <v>0.427222222222222</v>
      </c>
      <c r="Z902" s="62">
        <v>0.0</v>
      </c>
      <c r="AA902" s="62">
        <v>0.0</v>
      </c>
      <c r="AB902" s="62">
        <v>0.879722222222222</v>
      </c>
      <c r="AC902" s="62">
        <v>0.392222222222222</v>
      </c>
      <c r="AD902" s="62">
        <v>0.248888888888888</v>
      </c>
      <c r="AE902" s="62">
        <v>0.392222222222222</v>
      </c>
      <c r="AF902" s="62">
        <v>1.0</v>
      </c>
    </row>
    <row r="903">
      <c r="A903" s="68">
        <v>46092.0</v>
      </c>
      <c r="B903" s="62" t="s">
        <v>79</v>
      </c>
      <c r="C903" s="62" t="s">
        <v>162</v>
      </c>
      <c r="D903" s="62">
        <v>0.0</v>
      </c>
      <c r="E903" s="62">
        <v>0.0</v>
      </c>
      <c r="F903" s="62">
        <v>4.0</v>
      </c>
      <c r="G903" s="62">
        <v>1.0</v>
      </c>
      <c r="H903" s="62">
        <v>4.0</v>
      </c>
      <c r="I903" s="62">
        <v>3.0</v>
      </c>
      <c r="J903" s="62">
        <v>2.0</v>
      </c>
      <c r="K903" s="62">
        <v>2.0</v>
      </c>
      <c r="L903" s="62">
        <v>4.0</v>
      </c>
      <c r="M903" s="62">
        <v>2.0</v>
      </c>
      <c r="N903" s="62">
        <v>0.0</v>
      </c>
      <c r="O903" s="62">
        <v>1.0</v>
      </c>
      <c r="P903" s="62">
        <v>0.0</v>
      </c>
      <c r="Q903" s="62">
        <v>0.0</v>
      </c>
      <c r="R903" s="62">
        <v>0.0</v>
      </c>
      <c r="S903" s="62">
        <v>0.0</v>
      </c>
      <c r="T903" s="62">
        <v>0.703333333333333</v>
      </c>
      <c r="U903" s="62">
        <v>0.822222222222222</v>
      </c>
      <c r="V903" s="62">
        <v>0.210833333333333</v>
      </c>
      <c r="W903" s="62">
        <v>0.731111111111111</v>
      </c>
      <c r="X903" s="62">
        <v>0.520277777777777</v>
      </c>
      <c r="Y903" s="62">
        <v>0.380833333333333</v>
      </c>
      <c r="Z903" s="62">
        <v>0.380833333333333</v>
      </c>
      <c r="AA903" s="62">
        <v>0.735833333333333</v>
      </c>
      <c r="AB903" s="62">
        <v>0.355</v>
      </c>
      <c r="AC903" s="62">
        <v>0.0</v>
      </c>
      <c r="AD903" s="62">
        <v>0.1775</v>
      </c>
      <c r="AE903" s="62">
        <v>0.0</v>
      </c>
      <c r="AF903" s="62">
        <v>4.0</v>
      </c>
    </row>
    <row r="904">
      <c r="A904" s="68">
        <v>46092.0</v>
      </c>
      <c r="B904" s="62" t="s">
        <v>71</v>
      </c>
      <c r="C904" s="62" t="s">
        <v>163</v>
      </c>
      <c r="D904" s="62">
        <v>0.0</v>
      </c>
      <c r="E904" s="62">
        <v>4.0</v>
      </c>
      <c r="F904" s="62">
        <v>3.0</v>
      </c>
      <c r="G904" s="62">
        <v>4.0</v>
      </c>
      <c r="H904" s="62">
        <v>6.0</v>
      </c>
      <c r="I904" s="62">
        <v>2.0</v>
      </c>
      <c r="J904" s="62">
        <v>4.0</v>
      </c>
      <c r="K904" s="62">
        <v>1.0</v>
      </c>
      <c r="L904" s="62">
        <v>1.0</v>
      </c>
      <c r="M904" s="62">
        <v>2.0</v>
      </c>
      <c r="N904" s="62">
        <v>2.0</v>
      </c>
      <c r="O904" s="62">
        <v>1.0</v>
      </c>
      <c r="P904" s="62">
        <v>2.0</v>
      </c>
      <c r="Q904" s="62">
        <v>0.0</v>
      </c>
      <c r="R904" s="62">
        <v>0.0</v>
      </c>
      <c r="S904" s="62">
        <v>12584.0</v>
      </c>
      <c r="T904" s="62">
        <v>1.08999999999999</v>
      </c>
      <c r="U904" s="62">
        <v>0.826111111111111</v>
      </c>
      <c r="V904" s="62">
        <v>1.12694444444444</v>
      </c>
      <c r="W904" s="62">
        <v>1.66305555555555</v>
      </c>
      <c r="X904" s="62">
        <v>0.536111111111111</v>
      </c>
      <c r="Y904" s="62">
        <v>1.13472222222222</v>
      </c>
      <c r="Z904" s="62">
        <v>0.271111111111111</v>
      </c>
      <c r="AA904" s="62">
        <v>0.278888888888888</v>
      </c>
      <c r="AB904" s="62">
        <v>0.5575</v>
      </c>
      <c r="AC904" s="62">
        <v>0.5575</v>
      </c>
      <c r="AD904" s="62">
        <v>0.2775</v>
      </c>
      <c r="AE904" s="62">
        <v>0.5575</v>
      </c>
      <c r="AF904" s="62">
        <v>4.0</v>
      </c>
    </row>
    <row r="905">
      <c r="A905" s="68">
        <v>46092.0</v>
      </c>
      <c r="B905" s="62" t="s">
        <v>76</v>
      </c>
      <c r="C905" s="62" t="s">
        <v>165</v>
      </c>
      <c r="D905" s="62">
        <v>0.0</v>
      </c>
      <c r="E905" s="62">
        <v>5.0</v>
      </c>
      <c r="F905" s="62">
        <v>3.0</v>
      </c>
      <c r="G905" s="62">
        <v>0.0</v>
      </c>
      <c r="H905" s="62">
        <v>0.0</v>
      </c>
      <c r="I905" s="62">
        <v>0.0</v>
      </c>
      <c r="J905" s="62">
        <v>7.0</v>
      </c>
      <c r="K905" s="62">
        <v>0.0</v>
      </c>
      <c r="L905" s="62">
        <v>1.0</v>
      </c>
      <c r="M905" s="62">
        <v>8.0</v>
      </c>
      <c r="N905" s="62">
        <v>5.0</v>
      </c>
      <c r="O905" s="62">
        <v>1.0</v>
      </c>
      <c r="P905" s="62">
        <v>5.0</v>
      </c>
      <c r="Q905" s="62">
        <v>0.0</v>
      </c>
      <c r="R905" s="62">
        <v>0.0</v>
      </c>
      <c r="S905" s="62">
        <v>13463.0</v>
      </c>
      <c r="T905" s="62">
        <v>1.00666666666666</v>
      </c>
      <c r="U905" s="62">
        <v>0.725833333333333</v>
      </c>
      <c r="V905" s="62">
        <v>0.0</v>
      </c>
      <c r="W905" s="62">
        <v>0.0</v>
      </c>
      <c r="X905" s="62">
        <v>0.0</v>
      </c>
      <c r="Y905" s="62">
        <v>1.80222222222222</v>
      </c>
      <c r="Z905" s="62">
        <v>0.0</v>
      </c>
      <c r="AA905" s="62">
        <v>0.254722222222222</v>
      </c>
      <c r="AB905" s="62">
        <v>2.05694444444444</v>
      </c>
      <c r="AC905" s="62">
        <v>1.27722222222222</v>
      </c>
      <c r="AD905" s="62">
        <v>0.263055555555555</v>
      </c>
      <c r="AE905" s="62">
        <v>1.27722222222222</v>
      </c>
      <c r="AF905" s="62">
        <v>4.0</v>
      </c>
    </row>
    <row r="906">
      <c r="A906" s="68">
        <v>46092.0</v>
      </c>
      <c r="B906" s="62" t="s">
        <v>32</v>
      </c>
      <c r="C906" s="62" t="s">
        <v>168</v>
      </c>
      <c r="D906" s="62">
        <v>5.0</v>
      </c>
      <c r="E906" s="62">
        <v>5.0</v>
      </c>
      <c r="F906" s="62">
        <v>0.0</v>
      </c>
      <c r="G906" s="62">
        <v>3.0</v>
      </c>
      <c r="H906" s="62">
        <v>4.0</v>
      </c>
      <c r="I906" s="62">
        <v>1.0</v>
      </c>
      <c r="J906" s="62">
        <v>4.0</v>
      </c>
      <c r="K906" s="62">
        <v>1.0</v>
      </c>
      <c r="L906" s="62">
        <v>0.0</v>
      </c>
      <c r="M906" s="62">
        <v>1.0</v>
      </c>
      <c r="N906" s="62">
        <v>3.0</v>
      </c>
      <c r="O906" s="62">
        <v>1.0</v>
      </c>
      <c r="P906" s="62">
        <v>3.0</v>
      </c>
      <c r="Q906" s="62">
        <v>0.0</v>
      </c>
      <c r="R906" s="62">
        <v>12466.0</v>
      </c>
      <c r="S906" s="62">
        <v>12466.0</v>
      </c>
      <c r="T906" s="62">
        <v>0.0</v>
      </c>
      <c r="U906" s="62">
        <v>0.0</v>
      </c>
      <c r="V906" s="62">
        <v>0.706944444444444</v>
      </c>
      <c r="W906" s="62">
        <v>0.933888888888888</v>
      </c>
      <c r="X906" s="62">
        <v>0.218888888888888</v>
      </c>
      <c r="Y906" s="62">
        <v>0.940277777777777</v>
      </c>
      <c r="Z906" s="62">
        <v>0.228888888888888</v>
      </c>
      <c r="AA906" s="62">
        <v>0.0</v>
      </c>
      <c r="AB906" s="62">
        <v>0.245555555555555</v>
      </c>
      <c r="AC906" s="62">
        <v>0.719722222222222</v>
      </c>
      <c r="AD906" s="62">
        <v>0.218333333333333</v>
      </c>
      <c r="AE906" s="62">
        <v>0.719722222222222</v>
      </c>
      <c r="AF906" s="62">
        <v>0.0</v>
      </c>
    </row>
    <row r="907">
      <c r="A907" s="68">
        <v>46092.0</v>
      </c>
      <c r="B907" s="62" t="s">
        <v>65</v>
      </c>
      <c r="C907" s="62" t="s">
        <v>173</v>
      </c>
      <c r="D907" s="62">
        <v>1.0</v>
      </c>
      <c r="E907" s="62">
        <v>23.0</v>
      </c>
      <c r="F907" s="62">
        <v>0.0</v>
      </c>
      <c r="G907" s="62">
        <v>1.0</v>
      </c>
      <c r="H907" s="62">
        <v>1.0</v>
      </c>
      <c r="I907" s="62">
        <v>0.0</v>
      </c>
      <c r="J907" s="62">
        <v>4.0</v>
      </c>
      <c r="K907" s="62">
        <v>0.0</v>
      </c>
      <c r="L907" s="62">
        <v>0.0</v>
      </c>
      <c r="M907" s="62">
        <v>0.0</v>
      </c>
      <c r="N907" s="62">
        <v>0.0</v>
      </c>
      <c r="O907" s="62">
        <v>0.0</v>
      </c>
      <c r="P907" s="62">
        <v>0.0</v>
      </c>
      <c r="Q907" s="62">
        <v>0.0</v>
      </c>
      <c r="R907" s="62">
        <v>2168.0</v>
      </c>
      <c r="S907" s="62">
        <v>52810.0</v>
      </c>
      <c r="T907" s="62">
        <v>0.0</v>
      </c>
      <c r="U907" s="62">
        <v>0.0</v>
      </c>
      <c r="V907" s="62">
        <v>0.268055555555555</v>
      </c>
      <c r="W907" s="62">
        <v>0.268055555555555</v>
      </c>
      <c r="X907" s="62">
        <v>0.0</v>
      </c>
      <c r="Y907" s="62">
        <v>1.28111111111111</v>
      </c>
      <c r="Z907" s="62">
        <v>0.0</v>
      </c>
      <c r="AA907" s="62">
        <v>0.0</v>
      </c>
      <c r="AB907" s="62">
        <v>0.0</v>
      </c>
      <c r="AC907" s="62">
        <v>0.0</v>
      </c>
      <c r="AD907" s="62">
        <v>0.0</v>
      </c>
      <c r="AE907" s="62">
        <v>0.0</v>
      </c>
      <c r="AF907" s="62">
        <v>0.0</v>
      </c>
    </row>
    <row r="908">
      <c r="A908" s="68">
        <v>46092.0</v>
      </c>
      <c r="B908" s="62" t="s">
        <v>37</v>
      </c>
      <c r="C908" s="62" t="s">
        <v>174</v>
      </c>
      <c r="D908" s="62">
        <v>3.0</v>
      </c>
      <c r="E908" s="62">
        <v>1.0</v>
      </c>
      <c r="F908" s="62">
        <v>0.0</v>
      </c>
      <c r="G908" s="62">
        <v>4.0</v>
      </c>
      <c r="H908" s="62">
        <v>4.0</v>
      </c>
      <c r="I908" s="62">
        <v>0.0</v>
      </c>
      <c r="J908" s="62">
        <v>3.0</v>
      </c>
      <c r="K908" s="62">
        <v>0.0</v>
      </c>
      <c r="L908" s="62">
        <v>0.0</v>
      </c>
      <c r="M908" s="62">
        <v>2.0</v>
      </c>
      <c r="N908" s="62">
        <v>6.0</v>
      </c>
      <c r="O908" s="62">
        <v>1.0</v>
      </c>
      <c r="P908" s="62">
        <v>6.0</v>
      </c>
      <c r="Q908" s="62">
        <v>0.0</v>
      </c>
      <c r="R908" s="62">
        <v>7698.0</v>
      </c>
      <c r="S908" s="62">
        <v>2486.0</v>
      </c>
      <c r="T908" s="62">
        <v>2.02222222222222</v>
      </c>
      <c r="U908" s="62">
        <v>0.0</v>
      </c>
      <c r="V908" s="62">
        <v>1.10111111111111</v>
      </c>
      <c r="W908" s="62">
        <v>1.10111111111111</v>
      </c>
      <c r="X908" s="62">
        <v>0.0</v>
      </c>
      <c r="Y908" s="62">
        <v>0.848055555555555</v>
      </c>
      <c r="Z908" s="62">
        <v>0.0</v>
      </c>
      <c r="AA908" s="62">
        <v>0.0</v>
      </c>
      <c r="AB908" s="62">
        <v>0.578611111111111</v>
      </c>
      <c r="AC908" s="62">
        <v>1.71083333333333</v>
      </c>
      <c r="AD908" s="62">
        <v>0.275277777777777</v>
      </c>
      <c r="AE908" s="62">
        <v>1.71083333333333</v>
      </c>
      <c r="AF908" s="62">
        <v>7.0</v>
      </c>
    </row>
    <row r="909">
      <c r="A909" s="68">
        <v>46092.0</v>
      </c>
      <c r="B909" s="62" t="s">
        <v>81</v>
      </c>
      <c r="C909" s="62" t="s">
        <v>187</v>
      </c>
      <c r="D909" s="62">
        <v>0.0</v>
      </c>
      <c r="E909" s="62">
        <v>0.0</v>
      </c>
      <c r="F909" s="62">
        <v>0.0</v>
      </c>
      <c r="G909" s="62">
        <v>2.0</v>
      </c>
      <c r="H909" s="62">
        <v>2.0</v>
      </c>
      <c r="I909" s="62">
        <v>0.0</v>
      </c>
      <c r="J909" s="62">
        <v>5.0</v>
      </c>
      <c r="K909" s="62">
        <v>3.0</v>
      </c>
      <c r="L909" s="62">
        <v>0.0</v>
      </c>
      <c r="M909" s="62">
        <v>3.0</v>
      </c>
      <c r="N909" s="62">
        <v>4.0</v>
      </c>
      <c r="O909" s="62">
        <v>1.0</v>
      </c>
      <c r="P909" s="62">
        <v>4.0</v>
      </c>
      <c r="Q909" s="62">
        <v>0.0</v>
      </c>
      <c r="R909" s="62">
        <v>0.0</v>
      </c>
      <c r="S909" s="62">
        <v>0.0</v>
      </c>
      <c r="T909" s="62">
        <v>0.0</v>
      </c>
      <c r="U909" s="62">
        <v>0.0</v>
      </c>
      <c r="V909" s="62">
        <v>0.428055555555555</v>
      </c>
      <c r="W909" s="62">
        <v>0.428055555555555</v>
      </c>
      <c r="X909" s="62">
        <v>0.0</v>
      </c>
      <c r="Y909" s="62">
        <v>1.04694444444444</v>
      </c>
      <c r="Z909" s="62">
        <v>0.618888888888888</v>
      </c>
      <c r="AA909" s="62">
        <v>0.0</v>
      </c>
      <c r="AB909" s="62">
        <v>0.641388888888888</v>
      </c>
      <c r="AC909" s="62">
        <v>0.821111111111111</v>
      </c>
      <c r="AD909" s="62">
        <v>0.192777777777777</v>
      </c>
      <c r="AE909" s="62">
        <v>0.821111111111111</v>
      </c>
      <c r="AF909" s="62">
        <v>0.0</v>
      </c>
    </row>
    <row r="910">
      <c r="A910" s="68">
        <v>46092.0</v>
      </c>
      <c r="B910" s="62" t="s">
        <v>84</v>
      </c>
      <c r="C910" s="62" t="s">
        <v>186</v>
      </c>
      <c r="D910" s="62">
        <v>0.0</v>
      </c>
      <c r="E910" s="62">
        <v>1.0</v>
      </c>
      <c r="F910" s="62">
        <v>2.0</v>
      </c>
      <c r="G910" s="62">
        <v>1.0</v>
      </c>
      <c r="H910" s="62">
        <v>1.0</v>
      </c>
      <c r="I910" s="62">
        <v>0.0</v>
      </c>
      <c r="J910" s="62">
        <v>1.0</v>
      </c>
      <c r="K910" s="62">
        <v>0.0</v>
      </c>
      <c r="L910" s="62">
        <v>0.0</v>
      </c>
      <c r="M910" s="62">
        <v>1.0</v>
      </c>
      <c r="N910" s="62">
        <v>0.0</v>
      </c>
      <c r="O910" s="62">
        <v>0.0</v>
      </c>
      <c r="P910" s="62">
        <v>0.0</v>
      </c>
      <c r="Q910" s="62">
        <v>0.0</v>
      </c>
      <c r="R910" s="62">
        <v>0.0</v>
      </c>
      <c r="S910" s="62">
        <v>2407.0</v>
      </c>
      <c r="T910" s="62">
        <v>0.807777777777777</v>
      </c>
      <c r="U910" s="62">
        <v>0.543888888888888</v>
      </c>
      <c r="V910" s="62">
        <v>0.325277777777777</v>
      </c>
      <c r="W910" s="62">
        <v>0.325277777777777</v>
      </c>
      <c r="X910" s="62">
        <v>0.0</v>
      </c>
      <c r="Y910" s="62">
        <v>0.325277777777777</v>
      </c>
      <c r="Z910" s="62">
        <v>0.0</v>
      </c>
      <c r="AA910" s="62">
        <v>0.0</v>
      </c>
      <c r="AB910" s="62">
        <v>0.325277777777777</v>
      </c>
      <c r="AC910" s="62">
        <v>0.0</v>
      </c>
      <c r="AD910" s="62">
        <v>0.0</v>
      </c>
      <c r="AE910" s="62">
        <v>0.0</v>
      </c>
      <c r="AF910" s="62">
        <v>3.0</v>
      </c>
    </row>
    <row r="911">
      <c r="A911" s="68">
        <v>46092.0</v>
      </c>
      <c r="B911" s="62" t="s">
        <v>26</v>
      </c>
      <c r="C911" s="62" t="s">
        <v>178</v>
      </c>
      <c r="D911" s="62">
        <v>0.0</v>
      </c>
      <c r="E911" s="62">
        <v>10.0</v>
      </c>
      <c r="F911" s="62">
        <v>3.0</v>
      </c>
      <c r="G911" s="62">
        <v>3.0</v>
      </c>
      <c r="H911" s="62">
        <v>10.0</v>
      </c>
      <c r="I911" s="62">
        <v>7.0</v>
      </c>
      <c r="J911" s="62">
        <v>4.0</v>
      </c>
      <c r="K911" s="62">
        <v>0.0</v>
      </c>
      <c r="L911" s="62">
        <v>1.0</v>
      </c>
      <c r="M911" s="62">
        <v>4.0</v>
      </c>
      <c r="N911" s="62">
        <v>10.0</v>
      </c>
      <c r="O911" s="62">
        <v>1.0</v>
      </c>
      <c r="P911" s="62">
        <v>10.0</v>
      </c>
      <c r="Q911" s="62">
        <v>0.0</v>
      </c>
      <c r="R911" s="62">
        <v>0.0</v>
      </c>
      <c r="S911" s="62">
        <v>26435.0</v>
      </c>
      <c r="T911" s="62">
        <v>0.0</v>
      </c>
      <c r="U911" s="62">
        <v>0.590555555555555</v>
      </c>
      <c r="V911" s="62">
        <v>0.598611111111111</v>
      </c>
      <c r="W911" s="62">
        <v>2.12</v>
      </c>
      <c r="X911" s="62">
        <v>1.52138888888888</v>
      </c>
      <c r="Y911" s="62">
        <v>0.865277777777777</v>
      </c>
      <c r="Z911" s="62">
        <v>0.0</v>
      </c>
      <c r="AA911" s="62">
        <v>0.183333333333333</v>
      </c>
      <c r="AB911" s="62">
        <v>0.865277777777777</v>
      </c>
      <c r="AC911" s="62">
        <v>2.01611111111111</v>
      </c>
      <c r="AD911" s="62">
        <v>0.188888888888888</v>
      </c>
      <c r="AE911" s="62">
        <v>2.01611111111111</v>
      </c>
      <c r="AF911" s="62">
        <v>0.0</v>
      </c>
    </row>
    <row r="912">
      <c r="A912" s="68">
        <v>46092.0</v>
      </c>
      <c r="B912" s="62" t="s">
        <v>62</v>
      </c>
      <c r="C912" s="62" t="s">
        <v>63</v>
      </c>
      <c r="D912" s="62">
        <v>0.0</v>
      </c>
      <c r="E912" s="62">
        <v>2.0</v>
      </c>
      <c r="F912" s="62">
        <v>0.0</v>
      </c>
      <c r="G912" s="62">
        <v>0.0</v>
      </c>
      <c r="H912" s="62">
        <v>3.0</v>
      </c>
      <c r="I912" s="62">
        <v>2.0</v>
      </c>
      <c r="J912" s="62">
        <v>5.0</v>
      </c>
      <c r="K912" s="62">
        <v>1.0</v>
      </c>
      <c r="L912" s="62">
        <v>0.0</v>
      </c>
      <c r="M912" s="62">
        <v>5.0</v>
      </c>
      <c r="N912" s="62">
        <v>1.0</v>
      </c>
      <c r="O912" s="62">
        <v>1.0</v>
      </c>
      <c r="P912" s="62">
        <v>1.0</v>
      </c>
      <c r="Q912" s="62">
        <v>0.0</v>
      </c>
      <c r="R912" s="62">
        <v>0.0</v>
      </c>
      <c r="S912" s="62">
        <v>4249.0</v>
      </c>
      <c r="T912" s="62">
        <v>0.0</v>
      </c>
      <c r="U912" s="62">
        <v>0.0</v>
      </c>
      <c r="V912" s="62">
        <v>0.0</v>
      </c>
      <c r="W912" s="62">
        <v>0.634722222222222</v>
      </c>
      <c r="X912" s="62">
        <v>0.430555555555555</v>
      </c>
      <c r="Y912" s="62">
        <v>1.04083333333333</v>
      </c>
      <c r="Z912" s="62">
        <v>0.231944444444444</v>
      </c>
      <c r="AA912" s="62">
        <v>0.0</v>
      </c>
      <c r="AB912" s="62">
        <v>0.959166666666666</v>
      </c>
      <c r="AC912" s="62">
        <v>0.199444444444444</v>
      </c>
      <c r="AD912" s="62">
        <v>0.25</v>
      </c>
      <c r="AE912" s="62">
        <v>0.199444444444444</v>
      </c>
      <c r="AF912" s="62">
        <v>0.0</v>
      </c>
    </row>
    <row r="913">
      <c r="A913" s="68">
        <v>46091.0</v>
      </c>
      <c r="B913" s="62" t="s">
        <v>79</v>
      </c>
      <c r="C913" s="62" t="s">
        <v>162</v>
      </c>
      <c r="D913" s="62">
        <v>0.0</v>
      </c>
      <c r="E913" s="62">
        <v>0.0</v>
      </c>
      <c r="F913" s="62">
        <v>0.0</v>
      </c>
      <c r="G913" s="62">
        <v>1.0</v>
      </c>
      <c r="H913" s="62">
        <v>1.0</v>
      </c>
      <c r="I913" s="62">
        <v>0.0</v>
      </c>
      <c r="J913" s="62">
        <v>4.0</v>
      </c>
      <c r="K913" s="62">
        <v>2.0</v>
      </c>
      <c r="L913" s="62">
        <v>0.0</v>
      </c>
      <c r="M913" s="62">
        <v>2.0</v>
      </c>
      <c r="N913" s="62">
        <v>0.0</v>
      </c>
      <c r="O913" s="62">
        <v>1.0</v>
      </c>
      <c r="P913" s="62">
        <v>0.0</v>
      </c>
      <c r="Q913" s="62">
        <v>0.0</v>
      </c>
      <c r="R913" s="62">
        <v>0.0</v>
      </c>
      <c r="S913" s="62">
        <v>0.0</v>
      </c>
      <c r="T913" s="62">
        <v>0.639166666666666</v>
      </c>
      <c r="U913" s="62">
        <v>0.0</v>
      </c>
      <c r="V913" s="62">
        <v>0.185</v>
      </c>
      <c r="W913" s="62">
        <v>0.185</v>
      </c>
      <c r="X913" s="62">
        <v>0.0</v>
      </c>
      <c r="Y913" s="62">
        <v>0.668611111111111</v>
      </c>
      <c r="Z913" s="62">
        <v>0.355</v>
      </c>
      <c r="AA913" s="62">
        <v>0.0</v>
      </c>
      <c r="AB913" s="62">
        <v>0.313611111111111</v>
      </c>
      <c r="AC913" s="62">
        <v>0.0</v>
      </c>
      <c r="AD913" s="62">
        <v>0.184166666666666</v>
      </c>
      <c r="AE913" s="62">
        <v>0.0</v>
      </c>
      <c r="AF913" s="62">
        <v>3.0</v>
      </c>
    </row>
    <row r="914">
      <c r="A914" s="68">
        <v>46091.0</v>
      </c>
      <c r="B914" s="62" t="s">
        <v>71</v>
      </c>
      <c r="C914" s="62" t="s">
        <v>163</v>
      </c>
      <c r="D914" s="62">
        <v>0.0</v>
      </c>
      <c r="E914" s="62">
        <v>2.0</v>
      </c>
      <c r="F914" s="62">
        <v>3.0</v>
      </c>
      <c r="G914" s="62">
        <v>2.0</v>
      </c>
      <c r="H914" s="62">
        <v>2.0</v>
      </c>
      <c r="I914" s="62">
        <v>0.0</v>
      </c>
      <c r="J914" s="62">
        <v>3.0</v>
      </c>
      <c r="K914" s="62">
        <v>0.0</v>
      </c>
      <c r="L914" s="62">
        <v>0.0</v>
      </c>
      <c r="M914" s="62">
        <v>4.0</v>
      </c>
      <c r="N914" s="62">
        <v>4.0</v>
      </c>
      <c r="O914" s="62">
        <v>1.0</v>
      </c>
      <c r="P914" s="62">
        <v>4.0</v>
      </c>
      <c r="Q914" s="62">
        <v>0.0</v>
      </c>
      <c r="R914" s="62">
        <v>0.0</v>
      </c>
      <c r="S914" s="62">
        <v>6175.0</v>
      </c>
      <c r="T914" s="62">
        <v>0.851388888888889</v>
      </c>
      <c r="U914" s="62">
        <v>0.851388888888888</v>
      </c>
      <c r="V914" s="62">
        <v>0.535277777777777</v>
      </c>
      <c r="W914" s="62">
        <v>0.535277777777777</v>
      </c>
      <c r="X914" s="62">
        <v>0.0</v>
      </c>
      <c r="Y914" s="62">
        <v>0.806388888888888</v>
      </c>
      <c r="Z914" s="62">
        <v>0.0</v>
      </c>
      <c r="AA914" s="62">
        <v>0.0</v>
      </c>
      <c r="AB914" s="62">
        <v>1.07861111111111</v>
      </c>
      <c r="AC914" s="62">
        <v>1.07861111111111</v>
      </c>
      <c r="AD914" s="62">
        <v>0.257222222222222</v>
      </c>
      <c r="AE914" s="62">
        <v>1.07861111111111</v>
      </c>
      <c r="AF914" s="62">
        <v>3.0</v>
      </c>
    </row>
    <row r="915">
      <c r="A915" s="68">
        <v>46091.0</v>
      </c>
      <c r="B915" s="62" t="s">
        <v>76</v>
      </c>
      <c r="C915" s="62" t="s">
        <v>165</v>
      </c>
      <c r="D915" s="62">
        <v>0.0</v>
      </c>
      <c r="E915" s="62">
        <v>3.0</v>
      </c>
      <c r="F915" s="62">
        <v>2.0</v>
      </c>
      <c r="G915" s="62">
        <v>3.0</v>
      </c>
      <c r="H915" s="62">
        <v>3.0</v>
      </c>
      <c r="I915" s="62">
        <v>0.0</v>
      </c>
      <c r="J915" s="62">
        <v>1.0</v>
      </c>
      <c r="K915" s="62">
        <v>1.0</v>
      </c>
      <c r="L915" s="62">
        <v>0.0</v>
      </c>
      <c r="M915" s="62">
        <v>0.0</v>
      </c>
      <c r="N915" s="62">
        <v>0.0</v>
      </c>
      <c r="O915" s="62">
        <v>1.0</v>
      </c>
      <c r="P915" s="62">
        <v>0.0</v>
      </c>
      <c r="Q915" s="62">
        <v>0.0</v>
      </c>
      <c r="R915" s="62">
        <v>0.0</v>
      </c>
      <c r="S915" s="62">
        <v>8808.0</v>
      </c>
      <c r="T915" s="62">
        <v>0.496388888888888</v>
      </c>
      <c r="U915" s="62">
        <v>0.496388888888888</v>
      </c>
      <c r="V915" s="62">
        <v>0.812222222222222</v>
      </c>
      <c r="W915" s="62">
        <v>0.812222222222222</v>
      </c>
      <c r="X915" s="62">
        <v>0.0</v>
      </c>
      <c r="Y915" s="62">
        <v>0.254722222222222</v>
      </c>
      <c r="Z915" s="62">
        <v>0.254722222222222</v>
      </c>
      <c r="AA915" s="62">
        <v>0.0</v>
      </c>
      <c r="AB915" s="62">
        <v>0.0</v>
      </c>
      <c r="AC915" s="62">
        <v>0.0</v>
      </c>
      <c r="AD915" s="62">
        <v>0.265277777777777</v>
      </c>
      <c r="AE915" s="62">
        <v>0.0</v>
      </c>
      <c r="AF915" s="62">
        <v>2.0</v>
      </c>
    </row>
    <row r="916">
      <c r="A916" s="68">
        <v>46091.0</v>
      </c>
      <c r="B916" s="62" t="s">
        <v>104</v>
      </c>
      <c r="C916" s="62" t="s">
        <v>166</v>
      </c>
      <c r="D916" s="62">
        <v>0.0</v>
      </c>
      <c r="E916" s="62">
        <v>1.0</v>
      </c>
      <c r="F916" s="62">
        <v>0.0</v>
      </c>
      <c r="G916" s="62">
        <v>0.0</v>
      </c>
      <c r="H916" s="62">
        <v>0.0</v>
      </c>
      <c r="I916" s="62">
        <v>0.0</v>
      </c>
      <c r="J916" s="62">
        <v>0.0</v>
      </c>
      <c r="K916" s="62">
        <v>0.0</v>
      </c>
      <c r="L916" s="62">
        <v>0.0</v>
      </c>
      <c r="M916" s="62">
        <v>0.0</v>
      </c>
      <c r="N916" s="62">
        <v>0.0</v>
      </c>
      <c r="O916" s="62">
        <v>0.0</v>
      </c>
      <c r="P916" s="62">
        <v>0.0</v>
      </c>
      <c r="Q916" s="62">
        <v>0.0</v>
      </c>
      <c r="R916" s="62">
        <v>0.0</v>
      </c>
      <c r="S916" s="62">
        <v>2479.0</v>
      </c>
      <c r="T916" s="62">
        <v>0.0</v>
      </c>
      <c r="U916" s="62">
        <v>0.0</v>
      </c>
      <c r="V916" s="62">
        <v>0.0</v>
      </c>
      <c r="W916" s="62">
        <v>0.0</v>
      </c>
      <c r="X916" s="62">
        <v>0.0</v>
      </c>
      <c r="Y916" s="62">
        <v>0.0</v>
      </c>
      <c r="Z916" s="62">
        <v>0.0</v>
      </c>
      <c r="AA916" s="62">
        <v>0.0</v>
      </c>
      <c r="AB916" s="62">
        <v>0.0</v>
      </c>
      <c r="AC916" s="62">
        <v>0.0</v>
      </c>
      <c r="AD916" s="62">
        <v>0.0</v>
      </c>
      <c r="AE916" s="62">
        <v>0.0</v>
      </c>
      <c r="AF916" s="62">
        <v>0.0</v>
      </c>
    </row>
    <row r="917">
      <c r="A917" s="68">
        <v>46091.0</v>
      </c>
      <c r="B917" s="62" t="s">
        <v>32</v>
      </c>
      <c r="C917" s="62" t="s">
        <v>168</v>
      </c>
      <c r="D917" s="62">
        <v>3.0</v>
      </c>
      <c r="E917" s="62">
        <v>3.0</v>
      </c>
      <c r="F917" s="62">
        <v>4.0</v>
      </c>
      <c r="G917" s="62">
        <v>0.0</v>
      </c>
      <c r="H917" s="62">
        <v>3.0</v>
      </c>
      <c r="I917" s="62">
        <v>1.0</v>
      </c>
      <c r="J917" s="62">
        <v>4.0</v>
      </c>
      <c r="K917" s="62">
        <v>0.0</v>
      </c>
      <c r="L917" s="62">
        <v>0.0</v>
      </c>
      <c r="M917" s="62">
        <v>4.0</v>
      </c>
      <c r="N917" s="62">
        <v>0.0</v>
      </c>
      <c r="O917" s="62">
        <v>1.0</v>
      </c>
      <c r="P917" s="62">
        <v>0.0</v>
      </c>
      <c r="Q917" s="62">
        <v>0.0</v>
      </c>
      <c r="R917" s="62">
        <v>7498.0</v>
      </c>
      <c r="S917" s="62">
        <v>7498.0</v>
      </c>
      <c r="T917" s="62">
        <v>0.933055555555555</v>
      </c>
      <c r="U917" s="62">
        <v>0.943611111111111</v>
      </c>
      <c r="V917" s="62">
        <v>0.0</v>
      </c>
      <c r="W917" s="62">
        <v>0.705833333333333</v>
      </c>
      <c r="X917" s="62">
        <v>0.24</v>
      </c>
      <c r="Y917" s="62">
        <v>0.925</v>
      </c>
      <c r="Z917" s="62">
        <v>0.0</v>
      </c>
      <c r="AA917" s="62">
        <v>0.0</v>
      </c>
      <c r="AB917" s="62">
        <v>0.924999999999999</v>
      </c>
      <c r="AC917" s="62">
        <v>0.0</v>
      </c>
      <c r="AD917" s="62">
        <v>0.197777777777777</v>
      </c>
      <c r="AE917" s="62">
        <v>0.0</v>
      </c>
      <c r="AF917" s="62">
        <v>4.0</v>
      </c>
    </row>
    <row r="918">
      <c r="A918" s="68">
        <v>46091.0</v>
      </c>
      <c r="B918" s="62" t="s">
        <v>65</v>
      </c>
      <c r="C918" s="62" t="s">
        <v>173</v>
      </c>
      <c r="D918" s="62">
        <v>24.0</v>
      </c>
      <c r="E918" s="62">
        <v>0.0</v>
      </c>
      <c r="F918" s="62">
        <v>0.0</v>
      </c>
      <c r="G918" s="62">
        <v>0.0</v>
      </c>
      <c r="H918" s="62">
        <v>1.0</v>
      </c>
      <c r="I918" s="62">
        <v>1.0</v>
      </c>
      <c r="J918" s="62">
        <v>0.0</v>
      </c>
      <c r="K918" s="62">
        <v>0.0</v>
      </c>
      <c r="L918" s="62">
        <v>0.0</v>
      </c>
      <c r="M918" s="62">
        <v>0.0</v>
      </c>
      <c r="N918" s="62">
        <v>0.0</v>
      </c>
      <c r="O918" s="62">
        <v>0.0</v>
      </c>
      <c r="P918" s="62">
        <v>0.0</v>
      </c>
      <c r="Q918" s="62">
        <v>0.0</v>
      </c>
      <c r="R918" s="62">
        <v>60103.0</v>
      </c>
      <c r="S918" s="62">
        <v>0.0</v>
      </c>
      <c r="T918" s="62">
        <v>0.2775</v>
      </c>
      <c r="U918" s="62">
        <v>0.0</v>
      </c>
      <c r="V918" s="62">
        <v>0.0</v>
      </c>
      <c r="W918" s="62">
        <v>0.2775</v>
      </c>
      <c r="X918" s="62">
        <v>0.2775</v>
      </c>
      <c r="Y918" s="62">
        <v>0.0</v>
      </c>
      <c r="Z918" s="62">
        <v>0.0</v>
      </c>
      <c r="AA918" s="62">
        <v>0.0</v>
      </c>
      <c r="AB918" s="62">
        <v>0.0</v>
      </c>
      <c r="AC918" s="62">
        <v>0.0</v>
      </c>
      <c r="AD918" s="62">
        <v>0.0</v>
      </c>
      <c r="AE918" s="62">
        <v>0.0</v>
      </c>
      <c r="AF918" s="62">
        <v>1.0</v>
      </c>
    </row>
    <row r="919">
      <c r="A919" s="68">
        <v>46091.0</v>
      </c>
      <c r="B919" s="62" t="s">
        <v>37</v>
      </c>
      <c r="C919" s="62" t="s">
        <v>174</v>
      </c>
      <c r="D919" s="62">
        <v>3.0</v>
      </c>
      <c r="E919" s="62">
        <v>5.0</v>
      </c>
      <c r="F919" s="62">
        <v>4.0</v>
      </c>
      <c r="G919" s="62">
        <v>1.0</v>
      </c>
      <c r="H919" s="62">
        <v>1.0</v>
      </c>
      <c r="I919" s="62">
        <v>1.0</v>
      </c>
      <c r="J919" s="62">
        <v>1.0</v>
      </c>
      <c r="K919" s="62">
        <v>3.0</v>
      </c>
      <c r="L919" s="62">
        <v>0.0</v>
      </c>
      <c r="M919" s="62">
        <v>5.0</v>
      </c>
      <c r="N919" s="62">
        <v>1.0</v>
      </c>
      <c r="O919" s="62">
        <v>1.0</v>
      </c>
      <c r="P919" s="62">
        <v>1.0</v>
      </c>
      <c r="Q919" s="62">
        <v>0.0</v>
      </c>
      <c r="R919" s="62">
        <v>7269.0</v>
      </c>
      <c r="S919" s="62">
        <v>12778.0</v>
      </c>
      <c r="T919" s="62">
        <v>0.0</v>
      </c>
      <c r="U919" s="62">
        <v>1.2325</v>
      </c>
      <c r="V919" s="62">
        <v>0.290277777777777</v>
      </c>
      <c r="W919" s="62">
        <v>0.290277777777777</v>
      </c>
      <c r="X919" s="62">
        <v>0.303611111111111</v>
      </c>
      <c r="Y919" s="62">
        <v>0.288333333333333</v>
      </c>
      <c r="Z919" s="62">
        <v>0.849722222222222</v>
      </c>
      <c r="AA919" s="62">
        <v>0.0</v>
      </c>
      <c r="AB919" s="62">
        <v>1.43277777777777</v>
      </c>
      <c r="AC919" s="62">
        <v>0.300555555555555</v>
      </c>
      <c r="AD919" s="62">
        <v>0.242222222222222</v>
      </c>
      <c r="AE919" s="62">
        <v>0.300555555555555</v>
      </c>
      <c r="AF919" s="62">
        <v>0.0</v>
      </c>
    </row>
    <row r="920">
      <c r="A920" s="68">
        <v>46091.0</v>
      </c>
      <c r="B920" s="62" t="s">
        <v>81</v>
      </c>
      <c r="C920" s="62" t="s">
        <v>187</v>
      </c>
      <c r="D920" s="62">
        <v>0.0</v>
      </c>
      <c r="E920" s="62">
        <v>0.0</v>
      </c>
      <c r="F920" s="62">
        <v>0.0</v>
      </c>
      <c r="G920" s="62">
        <v>0.0</v>
      </c>
      <c r="H920" s="62">
        <v>2.0</v>
      </c>
      <c r="I920" s="62">
        <v>2.0</v>
      </c>
      <c r="J920" s="62">
        <v>0.0</v>
      </c>
      <c r="K920" s="62">
        <v>0.0</v>
      </c>
      <c r="L920" s="62">
        <v>0.0</v>
      </c>
      <c r="M920" s="62">
        <v>1.0</v>
      </c>
      <c r="N920" s="62">
        <v>2.0</v>
      </c>
      <c r="O920" s="62">
        <v>1.0</v>
      </c>
      <c r="P920" s="62">
        <v>2.0</v>
      </c>
      <c r="Q920" s="62">
        <v>0.0</v>
      </c>
      <c r="R920" s="62">
        <v>0.0</v>
      </c>
      <c r="S920" s="62">
        <v>0.0</v>
      </c>
      <c r="T920" s="62">
        <v>0.344166666666666</v>
      </c>
      <c r="U920" s="62">
        <v>0.0</v>
      </c>
      <c r="V920" s="62">
        <v>0.0</v>
      </c>
      <c r="W920" s="62">
        <v>0.344166666666666</v>
      </c>
      <c r="X920" s="62">
        <v>0.344166666666666</v>
      </c>
      <c r="Y920" s="62">
        <v>0.0</v>
      </c>
      <c r="Z920" s="62">
        <v>0.0</v>
      </c>
      <c r="AA920" s="62">
        <v>0.0</v>
      </c>
      <c r="AB920" s="62">
        <v>0.183611111111111</v>
      </c>
      <c r="AC920" s="62">
        <v>0.358888888888888</v>
      </c>
      <c r="AD920" s="62">
        <v>0.181944444444444</v>
      </c>
      <c r="AE920" s="62">
        <v>0.358888888888888</v>
      </c>
      <c r="AF920" s="62">
        <v>2.0</v>
      </c>
    </row>
    <row r="921">
      <c r="A921" s="68">
        <v>46091.0</v>
      </c>
      <c r="B921" s="62" t="s">
        <v>84</v>
      </c>
      <c r="C921" s="62" t="s">
        <v>186</v>
      </c>
      <c r="D921" s="62">
        <v>0.0</v>
      </c>
      <c r="E921" s="62">
        <v>2.0</v>
      </c>
      <c r="F921" s="62">
        <v>0.0</v>
      </c>
      <c r="G921" s="62">
        <v>0.0</v>
      </c>
      <c r="H921" s="62">
        <v>0.0</v>
      </c>
      <c r="I921" s="62">
        <v>0.0</v>
      </c>
      <c r="J921" s="62">
        <v>0.0</v>
      </c>
      <c r="K921" s="62">
        <v>0.0</v>
      </c>
      <c r="L921" s="62">
        <v>0.0</v>
      </c>
      <c r="M921" s="62">
        <v>0.0</v>
      </c>
      <c r="N921" s="62">
        <v>0.0</v>
      </c>
      <c r="O921" s="62">
        <v>0.0</v>
      </c>
      <c r="P921" s="62">
        <v>0.0</v>
      </c>
      <c r="Q921" s="62">
        <v>0.0</v>
      </c>
      <c r="R921" s="62">
        <v>0.0</v>
      </c>
      <c r="S921" s="62">
        <v>4999.0</v>
      </c>
      <c r="T921" s="62">
        <v>0.0</v>
      </c>
      <c r="U921" s="62">
        <v>0.0</v>
      </c>
      <c r="V921" s="62">
        <v>0.0</v>
      </c>
      <c r="W921" s="62">
        <v>0.0</v>
      </c>
      <c r="X921" s="62">
        <v>0.0</v>
      </c>
      <c r="Y921" s="62">
        <v>0.0</v>
      </c>
      <c r="Z921" s="62">
        <v>0.0</v>
      </c>
      <c r="AA921" s="62">
        <v>0.0</v>
      </c>
      <c r="AB921" s="62">
        <v>0.0</v>
      </c>
      <c r="AC921" s="62">
        <v>0.0</v>
      </c>
      <c r="AD921" s="62">
        <v>0.0</v>
      </c>
      <c r="AE921" s="62">
        <v>0.0</v>
      </c>
      <c r="AF921" s="62">
        <v>0.0</v>
      </c>
    </row>
    <row r="922">
      <c r="A922" s="68">
        <v>46091.0</v>
      </c>
      <c r="B922" s="62" t="s">
        <v>26</v>
      </c>
      <c r="C922" s="62" t="s">
        <v>178</v>
      </c>
      <c r="D922" s="62">
        <v>1.0</v>
      </c>
      <c r="E922" s="62">
        <v>15.0</v>
      </c>
      <c r="F922" s="62">
        <v>2.0</v>
      </c>
      <c r="G922" s="62">
        <v>0.0</v>
      </c>
      <c r="H922" s="62">
        <v>8.0</v>
      </c>
      <c r="I922" s="62">
        <v>8.0</v>
      </c>
      <c r="J922" s="62">
        <v>3.0</v>
      </c>
      <c r="K922" s="62">
        <v>3.0</v>
      </c>
      <c r="L922" s="62">
        <v>5.0</v>
      </c>
      <c r="M922" s="62">
        <v>5.0</v>
      </c>
      <c r="N922" s="62">
        <v>2.0</v>
      </c>
      <c r="O922" s="62">
        <v>1.0</v>
      </c>
      <c r="P922" s="62">
        <v>2.0</v>
      </c>
      <c r="Q922" s="62">
        <v>0.0</v>
      </c>
      <c r="R922" s="62">
        <v>2413.0</v>
      </c>
      <c r="S922" s="62">
        <v>36444.0</v>
      </c>
      <c r="T922" s="62">
        <v>2.50833333333333</v>
      </c>
      <c r="U922" s="62">
        <v>0.399166666666666</v>
      </c>
      <c r="V922" s="62">
        <v>0.0</v>
      </c>
      <c r="W922" s="62">
        <v>1.60638888888888</v>
      </c>
      <c r="X922" s="62">
        <v>1.60638888888888</v>
      </c>
      <c r="Y922" s="62">
        <v>0.638333333333333</v>
      </c>
      <c r="Z922" s="62">
        <v>0.638333333333333</v>
      </c>
      <c r="AA922" s="62">
        <v>1.07694444444444</v>
      </c>
      <c r="AB922" s="62">
        <v>1.07694444444444</v>
      </c>
      <c r="AC922" s="62">
        <v>0.422222222222222</v>
      </c>
      <c r="AD922" s="62">
        <v>0.186388888888888</v>
      </c>
      <c r="AE922" s="62">
        <v>0.422222222222222</v>
      </c>
      <c r="AF922" s="62">
        <v>12.0</v>
      </c>
    </row>
    <row r="923">
      <c r="A923" s="68">
        <v>46091.0</v>
      </c>
      <c r="B923" s="62" t="s">
        <v>62</v>
      </c>
      <c r="C923" s="62" t="s">
        <v>63</v>
      </c>
      <c r="D923" s="62">
        <v>0.0</v>
      </c>
      <c r="E923" s="62">
        <v>3.0</v>
      </c>
      <c r="F923" s="62">
        <v>0.0</v>
      </c>
      <c r="G923" s="62">
        <v>0.0</v>
      </c>
      <c r="H923" s="62">
        <v>0.0</v>
      </c>
      <c r="I923" s="62">
        <v>0.0</v>
      </c>
      <c r="J923" s="62">
        <v>3.0</v>
      </c>
      <c r="K923" s="62">
        <v>1.0</v>
      </c>
      <c r="L923" s="62">
        <v>0.0</v>
      </c>
      <c r="M923" s="62">
        <v>2.0</v>
      </c>
      <c r="N923" s="62">
        <v>0.0</v>
      </c>
      <c r="O923" s="62">
        <v>1.0</v>
      </c>
      <c r="P923" s="62">
        <v>0.0</v>
      </c>
      <c r="Q923" s="62">
        <v>0.0</v>
      </c>
      <c r="R923" s="62">
        <v>0.0</v>
      </c>
      <c r="S923" s="62">
        <v>6530.0</v>
      </c>
      <c r="T923" s="62">
        <v>0.430555555555555</v>
      </c>
      <c r="U923" s="62">
        <v>0.0</v>
      </c>
      <c r="V923" s="62">
        <v>0.0</v>
      </c>
      <c r="W923" s="62">
        <v>0.0</v>
      </c>
      <c r="X923" s="62">
        <v>0.0</v>
      </c>
      <c r="Y923" s="62">
        <v>0.558611111111111</v>
      </c>
      <c r="Z923" s="62">
        <v>0.188055555555555</v>
      </c>
      <c r="AA923" s="62">
        <v>0.0</v>
      </c>
      <c r="AB923" s="62">
        <v>0.3875</v>
      </c>
      <c r="AC923" s="62">
        <v>0.0</v>
      </c>
      <c r="AD923" s="62">
        <v>0.286111111111111</v>
      </c>
      <c r="AE923" s="62">
        <v>0.0</v>
      </c>
      <c r="AF923" s="62">
        <v>2.0</v>
      </c>
    </row>
    <row r="924">
      <c r="A924" s="68">
        <v>46090.0</v>
      </c>
      <c r="B924" s="62" t="s">
        <v>79</v>
      </c>
      <c r="C924" s="62" t="s">
        <v>162</v>
      </c>
      <c r="D924" s="62">
        <v>0.0</v>
      </c>
      <c r="E924" s="62">
        <v>2.0</v>
      </c>
      <c r="F924" s="62">
        <v>2.0</v>
      </c>
      <c r="G924" s="62">
        <v>2.0</v>
      </c>
      <c r="H924" s="62">
        <v>5.0</v>
      </c>
      <c r="I924" s="62">
        <v>3.0</v>
      </c>
      <c r="J924" s="62">
        <v>0.0</v>
      </c>
      <c r="K924" s="62">
        <v>0.0</v>
      </c>
      <c r="L924" s="62">
        <v>0.0</v>
      </c>
      <c r="M924" s="62">
        <v>0.0</v>
      </c>
      <c r="N924" s="62">
        <v>0.0</v>
      </c>
      <c r="O924" s="62">
        <v>1.0</v>
      </c>
      <c r="P924" s="62">
        <v>0.0</v>
      </c>
      <c r="Q924" s="62">
        <v>0.0</v>
      </c>
      <c r="R924" s="62">
        <v>0.0</v>
      </c>
      <c r="S924" s="62">
        <v>4052.0</v>
      </c>
      <c r="T924" s="62">
        <v>0.0</v>
      </c>
      <c r="U924" s="62">
        <v>0.368888888888888</v>
      </c>
      <c r="V924" s="62">
        <v>0.313611111111111</v>
      </c>
      <c r="W924" s="62">
        <v>0.865555555555555</v>
      </c>
      <c r="X924" s="62">
        <v>0.551944444444444</v>
      </c>
      <c r="Y924" s="62">
        <v>0.0</v>
      </c>
      <c r="Z924" s="62">
        <v>0.0</v>
      </c>
      <c r="AA924" s="62">
        <v>0.0</v>
      </c>
      <c r="AB924" s="62">
        <v>0.0</v>
      </c>
      <c r="AC924" s="62">
        <v>0.0</v>
      </c>
      <c r="AD924" s="62">
        <v>0.173611111111111</v>
      </c>
      <c r="AE924" s="62">
        <v>0.0</v>
      </c>
      <c r="AF924" s="62">
        <v>0.0</v>
      </c>
    </row>
    <row r="925">
      <c r="A925" s="68">
        <v>46090.0</v>
      </c>
      <c r="B925" s="62" t="s">
        <v>71</v>
      </c>
      <c r="C925" s="62" t="s">
        <v>163</v>
      </c>
      <c r="D925" s="62">
        <v>7.0</v>
      </c>
      <c r="E925" s="62">
        <v>0.0</v>
      </c>
      <c r="F925" s="62">
        <v>3.0</v>
      </c>
      <c r="G925" s="62">
        <v>1.0</v>
      </c>
      <c r="H925" s="62">
        <v>1.0</v>
      </c>
      <c r="I925" s="62">
        <v>0.0</v>
      </c>
      <c r="J925" s="62">
        <v>1.0</v>
      </c>
      <c r="K925" s="62">
        <v>0.0</v>
      </c>
      <c r="L925" s="62">
        <v>0.0</v>
      </c>
      <c r="M925" s="62">
        <v>0.0</v>
      </c>
      <c r="N925" s="62">
        <v>0.0</v>
      </c>
      <c r="O925" s="62">
        <v>1.0</v>
      </c>
      <c r="P925" s="62">
        <v>0.0</v>
      </c>
      <c r="Q925" s="62">
        <v>0.0</v>
      </c>
      <c r="R925" s="62">
        <v>18779.0</v>
      </c>
      <c r="S925" s="62">
        <v>0.0</v>
      </c>
      <c r="T925" s="62">
        <v>0.854444444444444</v>
      </c>
      <c r="U925" s="62">
        <v>0.854444444444444</v>
      </c>
      <c r="V925" s="62">
        <v>0.272222222222222</v>
      </c>
      <c r="W925" s="62">
        <v>0.272222222222222</v>
      </c>
      <c r="X925" s="62">
        <v>0.0</v>
      </c>
      <c r="Y925" s="62">
        <v>0.272222222222222</v>
      </c>
      <c r="Z925" s="62">
        <v>0.0</v>
      </c>
      <c r="AA925" s="62">
        <v>0.0</v>
      </c>
      <c r="AB925" s="62">
        <v>0.0</v>
      </c>
      <c r="AC925" s="62">
        <v>0.0</v>
      </c>
      <c r="AD925" s="62">
        <v>0.26</v>
      </c>
      <c r="AE925" s="62">
        <v>0.0</v>
      </c>
      <c r="AF925" s="62">
        <v>3.0</v>
      </c>
    </row>
    <row r="926">
      <c r="A926" s="68">
        <v>46090.0</v>
      </c>
      <c r="B926" s="62" t="s">
        <v>76</v>
      </c>
      <c r="C926" s="62" t="s">
        <v>165</v>
      </c>
      <c r="D926" s="62">
        <v>2.0</v>
      </c>
      <c r="E926" s="62">
        <v>4.0</v>
      </c>
      <c r="F926" s="62">
        <v>2.0</v>
      </c>
      <c r="G926" s="62">
        <v>4.0</v>
      </c>
      <c r="H926" s="62">
        <v>5.0</v>
      </c>
      <c r="I926" s="62">
        <v>1.0</v>
      </c>
      <c r="J926" s="62">
        <v>0.0</v>
      </c>
      <c r="K926" s="62">
        <v>0.0</v>
      </c>
      <c r="L926" s="62">
        <v>0.0</v>
      </c>
      <c r="M926" s="62">
        <v>0.0</v>
      </c>
      <c r="N926" s="62">
        <v>0.0</v>
      </c>
      <c r="O926" s="62">
        <v>1.0</v>
      </c>
      <c r="P926" s="62">
        <v>0.0</v>
      </c>
      <c r="Q926" s="62">
        <v>0.0</v>
      </c>
      <c r="R926" s="62">
        <v>5813.0</v>
      </c>
      <c r="S926" s="62">
        <v>13209.0</v>
      </c>
      <c r="T926" s="62">
        <v>0.792222222222222</v>
      </c>
      <c r="U926" s="62">
        <v>0.538055555555555</v>
      </c>
      <c r="V926" s="62">
        <v>0.99</v>
      </c>
      <c r="W926" s="62">
        <v>1.24416666666666</v>
      </c>
      <c r="X926" s="62">
        <v>0.254166666666666</v>
      </c>
      <c r="Y926" s="62">
        <v>0.0</v>
      </c>
      <c r="Z926" s="62">
        <v>0.0</v>
      </c>
      <c r="AA926" s="62">
        <v>0.0</v>
      </c>
      <c r="AB926" s="62">
        <v>0.0</v>
      </c>
      <c r="AC926" s="62">
        <v>0.0</v>
      </c>
      <c r="AD926" s="62">
        <v>0.2575</v>
      </c>
      <c r="AE926" s="62">
        <v>0.0</v>
      </c>
      <c r="AF926" s="62">
        <v>3.0</v>
      </c>
    </row>
    <row r="927">
      <c r="A927" s="68">
        <v>46090.0</v>
      </c>
      <c r="B927" s="62" t="s">
        <v>32</v>
      </c>
      <c r="C927" s="62" t="s">
        <v>168</v>
      </c>
      <c r="D927" s="62">
        <v>5.0</v>
      </c>
      <c r="E927" s="62">
        <v>5.0</v>
      </c>
      <c r="F927" s="62">
        <v>3.0</v>
      </c>
      <c r="G927" s="62">
        <v>0.0</v>
      </c>
      <c r="H927" s="62">
        <v>2.0</v>
      </c>
      <c r="I927" s="62">
        <v>2.0</v>
      </c>
      <c r="J927" s="62">
        <v>0.0</v>
      </c>
      <c r="K927" s="62">
        <v>0.0</v>
      </c>
      <c r="L927" s="62">
        <v>0.0</v>
      </c>
      <c r="M927" s="62">
        <v>1.0</v>
      </c>
      <c r="N927" s="62">
        <v>0.0</v>
      </c>
      <c r="O927" s="62">
        <v>1.0</v>
      </c>
      <c r="P927" s="62">
        <v>0.0</v>
      </c>
      <c r="Q927" s="62">
        <v>0.0</v>
      </c>
      <c r="R927" s="62">
        <v>12233.0</v>
      </c>
      <c r="S927" s="62">
        <v>12233.0</v>
      </c>
      <c r="T927" s="62">
        <v>1.15611111111111</v>
      </c>
      <c r="U927" s="62">
        <v>0.696666666666666</v>
      </c>
      <c r="V927" s="62">
        <v>0.0</v>
      </c>
      <c r="W927" s="62">
        <v>0.459444444444444</v>
      </c>
      <c r="X927" s="62">
        <v>0.459444444444444</v>
      </c>
      <c r="Y927" s="62">
        <v>0.0</v>
      </c>
      <c r="Z927" s="62">
        <v>0.0</v>
      </c>
      <c r="AA927" s="62">
        <v>0.0</v>
      </c>
      <c r="AB927" s="62">
        <v>0.235555555555555</v>
      </c>
      <c r="AC927" s="62">
        <v>0.0</v>
      </c>
      <c r="AD927" s="62">
        <v>0.234722222222222</v>
      </c>
      <c r="AE927" s="62">
        <v>0.0</v>
      </c>
      <c r="AF927" s="62">
        <v>5.0</v>
      </c>
    </row>
    <row r="928">
      <c r="A928" s="68">
        <v>46090.0</v>
      </c>
      <c r="B928" s="62" t="s">
        <v>65</v>
      </c>
      <c r="C928" s="62" t="s">
        <v>173</v>
      </c>
      <c r="D928" s="62">
        <v>0.0</v>
      </c>
      <c r="E928" s="62">
        <v>0.0</v>
      </c>
      <c r="F928" s="62">
        <v>4.0</v>
      </c>
      <c r="G928" s="62">
        <v>2.0</v>
      </c>
      <c r="H928" s="62">
        <v>5.0</v>
      </c>
      <c r="I928" s="62">
        <v>2.0</v>
      </c>
      <c r="J928" s="62">
        <v>3.0</v>
      </c>
      <c r="K928" s="62">
        <v>5.0</v>
      </c>
      <c r="L928" s="62">
        <v>0.0</v>
      </c>
      <c r="M928" s="62">
        <v>0.0</v>
      </c>
      <c r="N928" s="62">
        <v>0.0</v>
      </c>
      <c r="O928" s="62">
        <v>0.0</v>
      </c>
      <c r="P928" s="62">
        <v>0.0</v>
      </c>
      <c r="Q928" s="62">
        <v>0.0</v>
      </c>
      <c r="R928" s="62">
        <v>0.0</v>
      </c>
      <c r="S928" s="62">
        <v>0.0</v>
      </c>
      <c r="T928" s="62">
        <v>0.550277777777777</v>
      </c>
      <c r="U928" s="62">
        <v>1.09694444444444</v>
      </c>
      <c r="V928" s="62">
        <v>0.560277777777777</v>
      </c>
      <c r="W928" s="62">
        <v>1.37027777777777</v>
      </c>
      <c r="X928" s="62">
        <v>0.539166666666666</v>
      </c>
      <c r="Y928" s="62">
        <v>0.816388888888888</v>
      </c>
      <c r="Z928" s="62">
        <v>1.36444444444444</v>
      </c>
      <c r="AA928" s="62">
        <v>0.0</v>
      </c>
      <c r="AB928" s="62">
        <v>0.0</v>
      </c>
      <c r="AC928" s="62">
        <v>0.0</v>
      </c>
      <c r="AD928" s="62">
        <v>0.0</v>
      </c>
      <c r="AE928" s="62">
        <v>0.0</v>
      </c>
      <c r="AF928" s="62">
        <v>2.0</v>
      </c>
    </row>
    <row r="929">
      <c r="A929" s="68">
        <v>46090.0</v>
      </c>
      <c r="B929" s="62" t="s">
        <v>37</v>
      </c>
      <c r="C929" s="62" t="s">
        <v>174</v>
      </c>
      <c r="D929" s="62">
        <v>3.0</v>
      </c>
      <c r="E929" s="62">
        <v>4.0</v>
      </c>
      <c r="F929" s="62">
        <v>9.0</v>
      </c>
      <c r="G929" s="62">
        <v>4.0</v>
      </c>
      <c r="H929" s="62">
        <v>4.0</v>
      </c>
      <c r="I929" s="62">
        <v>0.0</v>
      </c>
      <c r="J929" s="62">
        <v>5.0</v>
      </c>
      <c r="K929" s="62">
        <v>3.0</v>
      </c>
      <c r="L929" s="62">
        <v>3.0</v>
      </c>
      <c r="M929" s="62">
        <v>1.0</v>
      </c>
      <c r="N929" s="62">
        <v>1.0</v>
      </c>
      <c r="O929" s="62">
        <v>1.0</v>
      </c>
      <c r="P929" s="62">
        <v>1.0</v>
      </c>
      <c r="Q929" s="62">
        <v>0.0</v>
      </c>
      <c r="R929" s="62">
        <v>7452.0</v>
      </c>
      <c r="S929" s="62">
        <v>10458.0</v>
      </c>
      <c r="T929" s="62">
        <v>1.2325</v>
      </c>
      <c r="U929" s="62">
        <v>2.62583333333333</v>
      </c>
      <c r="V929" s="62">
        <v>1.15333333333333</v>
      </c>
      <c r="W929" s="62">
        <v>1.15333333333333</v>
      </c>
      <c r="X929" s="62">
        <v>0.0</v>
      </c>
      <c r="Y929" s="62">
        <v>1.43277777777777</v>
      </c>
      <c r="Z929" s="62">
        <v>0.871388888888889</v>
      </c>
      <c r="AA929" s="62">
        <v>0.871388888888889</v>
      </c>
      <c r="AB929" s="62">
        <v>0.293611111111111</v>
      </c>
      <c r="AC929" s="62">
        <v>0.293611111111111</v>
      </c>
      <c r="AD929" s="62">
        <v>0.256388888888888</v>
      </c>
      <c r="AE929" s="62">
        <v>0.293611111111111</v>
      </c>
      <c r="AF929" s="62">
        <v>4.0</v>
      </c>
    </row>
    <row r="930">
      <c r="A930" s="68">
        <v>46090.0</v>
      </c>
      <c r="B930" s="62" t="s">
        <v>91</v>
      </c>
      <c r="C930" s="62" t="s">
        <v>184</v>
      </c>
      <c r="D930" s="62">
        <v>5.0</v>
      </c>
      <c r="E930" s="62">
        <v>0.0</v>
      </c>
      <c r="F930" s="62">
        <v>0.0</v>
      </c>
      <c r="G930" s="62">
        <v>0.0</v>
      </c>
      <c r="H930" s="62">
        <v>0.0</v>
      </c>
      <c r="I930" s="62">
        <v>0.0</v>
      </c>
      <c r="J930" s="62">
        <v>0.0</v>
      </c>
      <c r="K930" s="62">
        <v>0.0</v>
      </c>
      <c r="L930" s="62">
        <v>0.0</v>
      </c>
      <c r="M930" s="62">
        <v>0.0</v>
      </c>
      <c r="N930" s="62">
        <v>0.0</v>
      </c>
      <c r="O930" s="62">
        <v>0.0</v>
      </c>
      <c r="P930" s="62">
        <v>0.0</v>
      </c>
      <c r="Q930" s="62">
        <v>0.0</v>
      </c>
      <c r="R930" s="62">
        <v>10364.0</v>
      </c>
      <c r="S930" s="62">
        <v>0.0</v>
      </c>
      <c r="T930" s="62">
        <v>0.0</v>
      </c>
      <c r="U930" s="62">
        <v>0.0</v>
      </c>
      <c r="V930" s="62">
        <v>0.0</v>
      </c>
      <c r="W930" s="62">
        <v>0.0</v>
      </c>
      <c r="X930" s="62">
        <v>0.0</v>
      </c>
      <c r="Y930" s="62">
        <v>0.0</v>
      </c>
      <c r="Z930" s="62">
        <v>0.0</v>
      </c>
      <c r="AA930" s="62">
        <v>0.0</v>
      </c>
      <c r="AB930" s="62">
        <v>0.0</v>
      </c>
      <c r="AC930" s="62">
        <v>0.0</v>
      </c>
      <c r="AD930" s="62">
        <v>0.0</v>
      </c>
      <c r="AE930" s="62">
        <v>0.0</v>
      </c>
      <c r="AF930" s="62">
        <v>0.0</v>
      </c>
    </row>
    <row r="931">
      <c r="A931" s="68">
        <v>46090.0</v>
      </c>
      <c r="B931" s="62" t="s">
        <v>81</v>
      </c>
      <c r="C931" s="62" t="s">
        <v>187</v>
      </c>
      <c r="D931" s="62">
        <v>0.0</v>
      </c>
      <c r="E931" s="62">
        <v>0.0</v>
      </c>
      <c r="F931" s="62">
        <v>0.0</v>
      </c>
      <c r="G931" s="62">
        <v>0.0</v>
      </c>
      <c r="H931" s="62">
        <v>2.0</v>
      </c>
      <c r="I931" s="62">
        <v>2.0</v>
      </c>
      <c r="J931" s="62">
        <v>0.0</v>
      </c>
      <c r="K931" s="62">
        <v>1.0</v>
      </c>
      <c r="L931" s="62">
        <v>0.0</v>
      </c>
      <c r="M931" s="62">
        <v>2.0</v>
      </c>
      <c r="N931" s="62">
        <v>0.0</v>
      </c>
      <c r="O931" s="62">
        <v>1.0</v>
      </c>
      <c r="P931" s="62">
        <v>0.0</v>
      </c>
      <c r="Q931" s="62">
        <v>0.0</v>
      </c>
      <c r="R931" s="62">
        <v>0.0</v>
      </c>
      <c r="S931" s="62">
        <v>0.0</v>
      </c>
      <c r="T931" s="62">
        <v>0.0</v>
      </c>
      <c r="U931" s="62">
        <v>0.0</v>
      </c>
      <c r="V931" s="62">
        <v>0.0</v>
      </c>
      <c r="W931" s="62">
        <v>0.4025</v>
      </c>
      <c r="X931" s="62">
        <v>0.402499999999999</v>
      </c>
      <c r="Y931" s="62">
        <v>0.0</v>
      </c>
      <c r="Z931" s="62">
        <v>0.183611111111111</v>
      </c>
      <c r="AA931" s="62">
        <v>0.0</v>
      </c>
      <c r="AB931" s="62">
        <v>0.355</v>
      </c>
      <c r="AC931" s="62">
        <v>0.0</v>
      </c>
      <c r="AD931" s="62">
        <v>0.1825</v>
      </c>
      <c r="AE931" s="62">
        <v>0.0</v>
      </c>
      <c r="AF931" s="62">
        <v>0.0</v>
      </c>
    </row>
    <row r="932">
      <c r="A932" s="68">
        <v>46090.0</v>
      </c>
      <c r="B932" s="62" t="s">
        <v>84</v>
      </c>
      <c r="C932" s="62" t="s">
        <v>186</v>
      </c>
      <c r="D932" s="62">
        <v>1.0</v>
      </c>
      <c r="E932" s="62">
        <v>1.0</v>
      </c>
      <c r="F932" s="62">
        <v>1.0</v>
      </c>
      <c r="G932" s="62">
        <v>0.0</v>
      </c>
      <c r="H932" s="62">
        <v>0.0</v>
      </c>
      <c r="I932" s="62">
        <v>0.0</v>
      </c>
      <c r="J932" s="62">
        <v>0.0</v>
      </c>
      <c r="K932" s="62">
        <v>0.0</v>
      </c>
      <c r="L932" s="62">
        <v>0.0</v>
      </c>
      <c r="M932" s="62">
        <v>0.0</v>
      </c>
      <c r="N932" s="62">
        <v>0.0</v>
      </c>
      <c r="O932" s="62">
        <v>0.0</v>
      </c>
      <c r="P932" s="62">
        <v>0.0</v>
      </c>
      <c r="Q932" s="62">
        <v>0.0</v>
      </c>
      <c r="R932" s="62">
        <v>2074.0</v>
      </c>
      <c r="S932" s="62">
        <v>2444.0</v>
      </c>
      <c r="T932" s="62">
        <v>0.0</v>
      </c>
      <c r="U932" s="62">
        <v>0.318888888888888</v>
      </c>
      <c r="V932" s="62">
        <v>0.0</v>
      </c>
      <c r="W932" s="62">
        <v>0.0</v>
      </c>
      <c r="X932" s="62">
        <v>0.0</v>
      </c>
      <c r="Y932" s="62">
        <v>0.0</v>
      </c>
      <c r="Z932" s="62">
        <v>0.0</v>
      </c>
      <c r="AA932" s="62">
        <v>0.0</v>
      </c>
      <c r="AB932" s="62">
        <v>0.0</v>
      </c>
      <c r="AC932" s="62">
        <v>0.0</v>
      </c>
      <c r="AD932" s="62">
        <v>0.0</v>
      </c>
      <c r="AE932" s="62">
        <v>0.0</v>
      </c>
      <c r="AF932" s="62">
        <v>0.0</v>
      </c>
    </row>
    <row r="933">
      <c r="A933" s="68">
        <v>46090.0</v>
      </c>
      <c r="B933" s="62" t="s">
        <v>26</v>
      </c>
      <c r="C933" s="62" t="s">
        <v>178</v>
      </c>
      <c r="D933" s="62">
        <v>0.0</v>
      </c>
      <c r="E933" s="62">
        <v>4.0</v>
      </c>
      <c r="F933" s="62">
        <v>3.0</v>
      </c>
      <c r="G933" s="62">
        <v>0.0</v>
      </c>
      <c r="H933" s="62">
        <v>7.0</v>
      </c>
      <c r="I933" s="62">
        <v>7.0</v>
      </c>
      <c r="J933" s="62">
        <v>2.0</v>
      </c>
      <c r="K933" s="62">
        <v>3.0</v>
      </c>
      <c r="L933" s="62">
        <v>0.0</v>
      </c>
      <c r="M933" s="62">
        <v>9.0</v>
      </c>
      <c r="N933" s="62">
        <v>0.0</v>
      </c>
      <c r="O933" s="62">
        <v>1.0</v>
      </c>
      <c r="P933" s="62">
        <v>0.0</v>
      </c>
      <c r="Q933" s="62">
        <v>0.0</v>
      </c>
      <c r="R933" s="62">
        <v>0.0</v>
      </c>
      <c r="S933" s="62">
        <v>9491.0</v>
      </c>
      <c r="T933" s="62">
        <v>3.71305555555555</v>
      </c>
      <c r="U933" s="62">
        <v>0.6</v>
      </c>
      <c r="V933" s="62">
        <v>0.0</v>
      </c>
      <c r="W933" s="62">
        <v>1.50388888888888</v>
      </c>
      <c r="X933" s="62">
        <v>1.50388888888888</v>
      </c>
      <c r="Y933" s="62">
        <v>0.396944444444444</v>
      </c>
      <c r="Z933" s="62">
        <v>0.622777777777777</v>
      </c>
      <c r="AA933" s="62">
        <v>0.0</v>
      </c>
      <c r="AB933" s="62">
        <v>1.74305555555555</v>
      </c>
      <c r="AC933" s="62">
        <v>0.0</v>
      </c>
      <c r="AD933" s="62">
        <v>0.206111111111111</v>
      </c>
      <c r="AE933" s="62">
        <v>0.0</v>
      </c>
      <c r="AF933" s="62">
        <v>18.0</v>
      </c>
    </row>
    <row r="934">
      <c r="A934" s="68">
        <v>46090.0</v>
      </c>
      <c r="B934" s="62" t="s">
        <v>62</v>
      </c>
      <c r="C934" s="62" t="s">
        <v>63</v>
      </c>
      <c r="D934" s="62">
        <v>8.0</v>
      </c>
      <c r="E934" s="62">
        <v>3.0</v>
      </c>
      <c r="F934" s="62">
        <v>0.0</v>
      </c>
      <c r="G934" s="62">
        <v>0.0</v>
      </c>
      <c r="H934" s="62">
        <v>9.0</v>
      </c>
      <c r="I934" s="62">
        <v>8.0</v>
      </c>
      <c r="J934" s="62">
        <v>1.0</v>
      </c>
      <c r="K934" s="62">
        <v>0.0</v>
      </c>
      <c r="L934" s="62">
        <v>0.0</v>
      </c>
      <c r="M934" s="62">
        <v>0.0</v>
      </c>
      <c r="N934" s="62">
        <v>0.0</v>
      </c>
      <c r="O934" s="62">
        <v>1.0</v>
      </c>
      <c r="P934" s="62">
        <v>0.0</v>
      </c>
      <c r="Q934" s="62">
        <v>0.0</v>
      </c>
      <c r="R934" s="62">
        <v>20375.0</v>
      </c>
      <c r="S934" s="62">
        <v>6638.0</v>
      </c>
      <c r="T934" s="62">
        <v>0.414166666666666</v>
      </c>
      <c r="U934" s="62">
        <v>0.0</v>
      </c>
      <c r="V934" s="62">
        <v>0.0</v>
      </c>
      <c r="W934" s="62">
        <v>1.7875</v>
      </c>
      <c r="X934" s="62">
        <v>1.58805555555555</v>
      </c>
      <c r="Y934" s="62">
        <v>0.199444444444444</v>
      </c>
      <c r="Z934" s="62">
        <v>0.0</v>
      </c>
      <c r="AA934" s="62">
        <v>0.0</v>
      </c>
      <c r="AB934" s="62">
        <v>0.0</v>
      </c>
      <c r="AC934" s="62">
        <v>0.0</v>
      </c>
      <c r="AD934" s="62">
        <v>0.285555555555555</v>
      </c>
      <c r="AE934" s="62">
        <v>0.0</v>
      </c>
      <c r="AF934" s="62">
        <v>2.0</v>
      </c>
    </row>
    <row r="935">
      <c r="A935" s="68">
        <v>46089.0</v>
      </c>
      <c r="B935" s="62" t="s">
        <v>79</v>
      </c>
      <c r="C935" s="62" t="s">
        <v>162</v>
      </c>
      <c r="D935" s="62">
        <v>0.0</v>
      </c>
      <c r="E935" s="62">
        <v>0.0</v>
      </c>
      <c r="F935" s="62">
        <v>0.0</v>
      </c>
      <c r="G935" s="62">
        <v>0.0</v>
      </c>
      <c r="H935" s="62">
        <v>0.0</v>
      </c>
      <c r="I935" s="62">
        <v>0.0</v>
      </c>
      <c r="J935" s="62">
        <v>0.0</v>
      </c>
      <c r="K935" s="62">
        <v>0.0</v>
      </c>
      <c r="L935" s="62">
        <v>0.0</v>
      </c>
      <c r="M935" s="62">
        <v>0.0</v>
      </c>
      <c r="N935" s="62">
        <v>3.0</v>
      </c>
      <c r="O935" s="62">
        <v>1.0</v>
      </c>
      <c r="P935" s="62">
        <v>3.0</v>
      </c>
      <c r="Q935" s="62">
        <v>0.0</v>
      </c>
      <c r="R935" s="62">
        <v>0.0</v>
      </c>
      <c r="S935" s="62">
        <v>0.0</v>
      </c>
      <c r="T935" s="62">
        <v>0.920833333333333</v>
      </c>
      <c r="U935" s="62">
        <v>0.0</v>
      </c>
      <c r="V935" s="62">
        <v>0.0</v>
      </c>
      <c r="W935" s="62">
        <v>0.0</v>
      </c>
      <c r="X935" s="62">
        <v>0.0</v>
      </c>
      <c r="Y935" s="62">
        <v>0.0</v>
      </c>
      <c r="Z935" s="62">
        <v>0.0</v>
      </c>
      <c r="AA935" s="62">
        <v>0.0</v>
      </c>
      <c r="AB935" s="62">
        <v>0.0</v>
      </c>
      <c r="AC935" s="62">
        <v>0.563333333333333</v>
      </c>
      <c r="AD935" s="62">
        <v>0.191388888888888</v>
      </c>
      <c r="AE935" s="62">
        <v>0.563333333333333</v>
      </c>
      <c r="AF935" s="62">
        <v>5.0</v>
      </c>
    </row>
    <row r="936">
      <c r="A936" s="68">
        <v>46089.0</v>
      </c>
      <c r="B936" s="62" t="s">
        <v>104</v>
      </c>
      <c r="C936" s="62" t="s">
        <v>166</v>
      </c>
      <c r="D936" s="62">
        <v>4.0</v>
      </c>
      <c r="E936" s="62">
        <v>0.0</v>
      </c>
      <c r="F936" s="62">
        <v>0.0</v>
      </c>
      <c r="G936" s="62">
        <v>0.0</v>
      </c>
      <c r="H936" s="62">
        <v>0.0</v>
      </c>
      <c r="I936" s="62">
        <v>0.0</v>
      </c>
      <c r="J936" s="62">
        <v>0.0</v>
      </c>
      <c r="K936" s="62">
        <v>0.0</v>
      </c>
      <c r="L936" s="62">
        <v>0.0</v>
      </c>
      <c r="M936" s="62">
        <v>0.0</v>
      </c>
      <c r="N936" s="62">
        <v>0.0</v>
      </c>
      <c r="O936" s="62">
        <v>0.0</v>
      </c>
      <c r="P936" s="62">
        <v>0.0</v>
      </c>
      <c r="Q936" s="62">
        <v>0.0</v>
      </c>
      <c r="R936" s="62">
        <v>9602.0</v>
      </c>
      <c r="S936" s="62">
        <v>0.0</v>
      </c>
      <c r="T936" s="62">
        <v>0.0</v>
      </c>
      <c r="U936" s="62">
        <v>0.0</v>
      </c>
      <c r="V936" s="62">
        <v>0.0</v>
      </c>
      <c r="W936" s="62">
        <v>0.0</v>
      </c>
      <c r="X936" s="62">
        <v>0.0</v>
      </c>
      <c r="Y936" s="62">
        <v>0.0</v>
      </c>
      <c r="Z936" s="62">
        <v>0.0</v>
      </c>
      <c r="AA936" s="62">
        <v>0.0</v>
      </c>
      <c r="AB936" s="62">
        <v>0.0</v>
      </c>
      <c r="AC936" s="62">
        <v>0.0</v>
      </c>
      <c r="AD936" s="62">
        <v>0.0</v>
      </c>
      <c r="AE936" s="62">
        <v>0.0</v>
      </c>
      <c r="AF936" s="62">
        <v>0.0</v>
      </c>
    </row>
    <row r="937">
      <c r="A937" s="68">
        <v>46089.0</v>
      </c>
      <c r="B937" s="62" t="s">
        <v>65</v>
      </c>
      <c r="C937" s="62" t="s">
        <v>173</v>
      </c>
      <c r="D937" s="62">
        <v>7.0</v>
      </c>
      <c r="E937" s="62">
        <v>0.0</v>
      </c>
      <c r="F937" s="62">
        <v>0.0</v>
      </c>
      <c r="G937" s="62">
        <v>0.0</v>
      </c>
      <c r="H937" s="62">
        <v>0.0</v>
      </c>
      <c r="I937" s="62">
        <v>0.0</v>
      </c>
      <c r="J937" s="62">
        <v>0.0</v>
      </c>
      <c r="K937" s="62">
        <v>0.0</v>
      </c>
      <c r="L937" s="62">
        <v>0.0</v>
      </c>
      <c r="M937" s="62">
        <v>0.0</v>
      </c>
      <c r="N937" s="62">
        <v>0.0</v>
      </c>
      <c r="O937" s="62">
        <v>0.0</v>
      </c>
      <c r="P937" s="62">
        <v>0.0</v>
      </c>
      <c r="Q937" s="62">
        <v>0.0</v>
      </c>
      <c r="R937" s="62">
        <v>16612.0</v>
      </c>
      <c r="S937" s="62">
        <v>0.0</v>
      </c>
      <c r="T937" s="62">
        <v>0.5575</v>
      </c>
      <c r="U937" s="62">
        <v>0.0</v>
      </c>
      <c r="V937" s="62">
        <v>0.0</v>
      </c>
      <c r="W937" s="62">
        <v>0.0</v>
      </c>
      <c r="X937" s="62">
        <v>0.0</v>
      </c>
      <c r="Y937" s="62">
        <v>0.0</v>
      </c>
      <c r="Z937" s="62">
        <v>0.0</v>
      </c>
      <c r="AA937" s="62">
        <v>0.0</v>
      </c>
      <c r="AB937" s="62">
        <v>0.0</v>
      </c>
      <c r="AC937" s="62">
        <v>0.0</v>
      </c>
      <c r="AD937" s="62">
        <v>0.0</v>
      </c>
      <c r="AE937" s="62">
        <v>0.0</v>
      </c>
      <c r="AF937" s="62">
        <v>2.0</v>
      </c>
    </row>
    <row r="938">
      <c r="A938" s="68">
        <v>46089.0</v>
      </c>
      <c r="B938" s="62" t="s">
        <v>37</v>
      </c>
      <c r="C938" s="62" t="s">
        <v>174</v>
      </c>
      <c r="D938" s="62">
        <v>0.0</v>
      </c>
      <c r="E938" s="62">
        <v>0.0</v>
      </c>
      <c r="F938" s="62">
        <v>0.0</v>
      </c>
      <c r="G938" s="62">
        <v>0.0</v>
      </c>
      <c r="H938" s="62">
        <v>0.0</v>
      </c>
      <c r="I938" s="62">
        <v>0.0</v>
      </c>
      <c r="J938" s="62">
        <v>0.0</v>
      </c>
      <c r="K938" s="62">
        <v>0.0</v>
      </c>
      <c r="L938" s="62">
        <v>0.0</v>
      </c>
      <c r="M938" s="62">
        <v>0.0</v>
      </c>
      <c r="N938" s="62">
        <v>1.0</v>
      </c>
      <c r="O938" s="62">
        <v>1.0</v>
      </c>
      <c r="P938" s="62">
        <v>1.0</v>
      </c>
      <c r="Q938" s="62">
        <v>0.0</v>
      </c>
      <c r="R938" s="62">
        <v>0.0</v>
      </c>
      <c r="S938" s="62">
        <v>0.0</v>
      </c>
      <c r="T938" s="62">
        <v>0.0</v>
      </c>
      <c r="U938" s="62">
        <v>0.0</v>
      </c>
      <c r="V938" s="62">
        <v>0.0</v>
      </c>
      <c r="W938" s="62">
        <v>0.0</v>
      </c>
      <c r="X938" s="62">
        <v>0.0</v>
      </c>
      <c r="Y938" s="62">
        <v>0.0</v>
      </c>
      <c r="Z938" s="62">
        <v>0.0</v>
      </c>
      <c r="AA938" s="62">
        <v>0.0</v>
      </c>
      <c r="AB938" s="62">
        <v>0.0</v>
      </c>
      <c r="AC938" s="62">
        <v>0.278333333333333</v>
      </c>
      <c r="AD938" s="62">
        <v>0.244722222222222</v>
      </c>
      <c r="AE938" s="62">
        <v>0.278333333333333</v>
      </c>
      <c r="AF938" s="62">
        <v>0.0</v>
      </c>
    </row>
    <row r="939">
      <c r="A939" s="68">
        <v>46089.0</v>
      </c>
      <c r="B939" s="62" t="s">
        <v>81</v>
      </c>
      <c r="C939" s="62" t="s">
        <v>187</v>
      </c>
      <c r="D939" s="62">
        <v>0.0</v>
      </c>
      <c r="E939" s="62">
        <v>0.0</v>
      </c>
      <c r="F939" s="62">
        <v>0.0</v>
      </c>
      <c r="G939" s="62">
        <v>0.0</v>
      </c>
      <c r="H939" s="62">
        <v>0.0</v>
      </c>
      <c r="I939" s="62">
        <v>0.0</v>
      </c>
      <c r="J939" s="62">
        <v>0.0</v>
      </c>
      <c r="K939" s="62">
        <v>0.0</v>
      </c>
      <c r="L939" s="62">
        <v>0.0</v>
      </c>
      <c r="M939" s="62">
        <v>0.0</v>
      </c>
      <c r="N939" s="62">
        <v>0.0</v>
      </c>
      <c r="O939" s="62">
        <v>1.0</v>
      </c>
      <c r="P939" s="62">
        <v>0.0</v>
      </c>
      <c r="Q939" s="62">
        <v>0.0</v>
      </c>
      <c r="R939" s="62">
        <v>0.0</v>
      </c>
      <c r="S939" s="62">
        <v>0.0</v>
      </c>
      <c r="T939" s="62">
        <v>0.402499999999999</v>
      </c>
      <c r="U939" s="62">
        <v>0.0</v>
      </c>
      <c r="V939" s="62">
        <v>0.0</v>
      </c>
      <c r="W939" s="62">
        <v>0.0</v>
      </c>
      <c r="X939" s="62">
        <v>0.0</v>
      </c>
      <c r="Y939" s="62">
        <v>0.0</v>
      </c>
      <c r="Z939" s="62">
        <v>0.0</v>
      </c>
      <c r="AA939" s="62">
        <v>0.0</v>
      </c>
      <c r="AB939" s="62">
        <v>0.0</v>
      </c>
      <c r="AC939" s="62">
        <v>0.0</v>
      </c>
      <c r="AD939" s="62">
        <v>0.189444444444444</v>
      </c>
      <c r="AE939" s="62">
        <v>0.0</v>
      </c>
      <c r="AF939" s="62">
        <v>2.0</v>
      </c>
    </row>
    <row r="940">
      <c r="A940" s="68">
        <v>46089.0</v>
      </c>
      <c r="B940" s="62" t="s">
        <v>26</v>
      </c>
      <c r="C940" s="62" t="s">
        <v>178</v>
      </c>
      <c r="D940" s="62">
        <v>0.0</v>
      </c>
      <c r="E940" s="62">
        <v>0.0</v>
      </c>
      <c r="F940" s="62">
        <v>0.0</v>
      </c>
      <c r="G940" s="62">
        <v>2.0</v>
      </c>
      <c r="H940" s="62">
        <v>2.0</v>
      </c>
      <c r="I940" s="62">
        <v>0.0</v>
      </c>
      <c r="J940" s="62">
        <v>3.0</v>
      </c>
      <c r="K940" s="62">
        <v>0.0</v>
      </c>
      <c r="L940" s="62">
        <v>0.0</v>
      </c>
      <c r="M940" s="62">
        <v>0.0</v>
      </c>
      <c r="N940" s="62">
        <v>0.0</v>
      </c>
      <c r="O940" s="62">
        <v>1.0</v>
      </c>
      <c r="P940" s="62">
        <v>0.0</v>
      </c>
      <c r="Q940" s="62">
        <v>0.0</v>
      </c>
      <c r="R940" s="62">
        <v>0.0</v>
      </c>
      <c r="S940" s="62">
        <v>0.0</v>
      </c>
      <c r="T940" s="62">
        <v>0.0</v>
      </c>
      <c r="U940" s="62">
        <v>0.0</v>
      </c>
      <c r="V940" s="62">
        <v>0.396944444444444</v>
      </c>
      <c r="W940" s="62">
        <v>0.396944444444444</v>
      </c>
      <c r="X940" s="62">
        <v>0.0</v>
      </c>
      <c r="Y940" s="62">
        <v>0.549722222222222</v>
      </c>
      <c r="Z940" s="62">
        <v>0.0</v>
      </c>
      <c r="AA940" s="62">
        <v>0.0</v>
      </c>
      <c r="AB940" s="62">
        <v>0.0</v>
      </c>
      <c r="AC940" s="62">
        <v>0.0</v>
      </c>
      <c r="AD940" s="62">
        <v>0.183333333333333</v>
      </c>
      <c r="AE940" s="62">
        <v>0.0</v>
      </c>
      <c r="AF940" s="62">
        <v>0.0</v>
      </c>
    </row>
    <row r="941">
      <c r="A941" s="68">
        <v>46088.0</v>
      </c>
      <c r="B941" s="62" t="s">
        <v>79</v>
      </c>
      <c r="C941" s="62" t="s">
        <v>162</v>
      </c>
      <c r="D941" s="62">
        <v>0.0</v>
      </c>
      <c r="E941" s="62">
        <v>0.0</v>
      </c>
      <c r="F941" s="62">
        <v>0.0</v>
      </c>
      <c r="G941" s="62">
        <v>0.0</v>
      </c>
      <c r="H941" s="62">
        <v>0.0</v>
      </c>
      <c r="I941" s="62">
        <v>0.0</v>
      </c>
      <c r="J941" s="62">
        <v>0.0</v>
      </c>
      <c r="K941" s="62">
        <v>0.0</v>
      </c>
      <c r="L941" s="62">
        <v>2.0</v>
      </c>
      <c r="M941" s="62">
        <v>2.0</v>
      </c>
      <c r="N941" s="62">
        <v>0.0</v>
      </c>
      <c r="O941" s="62">
        <v>1.0</v>
      </c>
      <c r="P941" s="62">
        <v>0.0</v>
      </c>
      <c r="Q941" s="62">
        <v>0.0</v>
      </c>
      <c r="R941" s="62">
        <v>0.0</v>
      </c>
      <c r="S941" s="62">
        <v>0.0</v>
      </c>
      <c r="T941" s="62">
        <v>0.0</v>
      </c>
      <c r="U941" s="62">
        <v>0.0</v>
      </c>
      <c r="V941" s="62">
        <v>0.0</v>
      </c>
      <c r="W941" s="62">
        <v>0.0</v>
      </c>
      <c r="X941" s="62">
        <v>0.0</v>
      </c>
      <c r="Y941" s="62">
        <v>0.0</v>
      </c>
      <c r="Z941" s="62">
        <v>0.0</v>
      </c>
      <c r="AA941" s="62">
        <v>0.399722222222222</v>
      </c>
      <c r="AB941" s="62">
        <v>0.399722222222222</v>
      </c>
      <c r="AC941" s="62">
        <v>0.0</v>
      </c>
      <c r="AD941" s="62">
        <v>0.174166666666666</v>
      </c>
      <c r="AE941" s="62">
        <v>0.0</v>
      </c>
      <c r="AF941" s="62">
        <v>0.0</v>
      </c>
    </row>
    <row r="942">
      <c r="A942" s="68">
        <v>46088.0</v>
      </c>
      <c r="B942" s="62" t="s">
        <v>65</v>
      </c>
      <c r="C942" s="62" t="s">
        <v>173</v>
      </c>
      <c r="D942" s="62">
        <v>0.0</v>
      </c>
      <c r="E942" s="62">
        <v>0.0</v>
      </c>
      <c r="F942" s="62">
        <v>0.0</v>
      </c>
      <c r="G942" s="62">
        <v>2.0</v>
      </c>
      <c r="H942" s="62">
        <v>2.0</v>
      </c>
      <c r="I942" s="62">
        <v>0.0</v>
      </c>
      <c r="J942" s="62">
        <v>2.0</v>
      </c>
      <c r="K942" s="62">
        <v>0.0</v>
      </c>
      <c r="L942" s="62">
        <v>0.0</v>
      </c>
      <c r="M942" s="62">
        <v>0.0</v>
      </c>
      <c r="N942" s="62">
        <v>0.0</v>
      </c>
      <c r="O942" s="62">
        <v>0.0</v>
      </c>
      <c r="P942" s="62">
        <v>0.0</v>
      </c>
      <c r="Q942" s="62">
        <v>0.0</v>
      </c>
      <c r="R942" s="62">
        <v>0.0</v>
      </c>
      <c r="S942" s="62">
        <v>0.0</v>
      </c>
      <c r="T942" s="62">
        <v>0.711388888888888</v>
      </c>
      <c r="U942" s="62">
        <v>0.0</v>
      </c>
      <c r="V942" s="62">
        <v>0.545555555555555</v>
      </c>
      <c r="W942" s="62">
        <v>0.545555555555555</v>
      </c>
      <c r="X942" s="62">
        <v>0.0</v>
      </c>
      <c r="Y942" s="62">
        <v>0.548055555555555</v>
      </c>
      <c r="Z942" s="62">
        <v>0.0</v>
      </c>
      <c r="AA942" s="62">
        <v>0.0</v>
      </c>
      <c r="AB942" s="62">
        <v>0.0</v>
      </c>
      <c r="AC942" s="62">
        <v>0.0</v>
      </c>
      <c r="AD942" s="62">
        <v>0.0</v>
      </c>
      <c r="AE942" s="62">
        <v>0.0</v>
      </c>
      <c r="AF942" s="62">
        <v>2.0</v>
      </c>
    </row>
    <row r="943">
      <c r="A943" s="68">
        <v>46088.0</v>
      </c>
      <c r="B943" s="62" t="s">
        <v>37</v>
      </c>
      <c r="C943" s="62" t="s">
        <v>174</v>
      </c>
      <c r="D943" s="62">
        <v>0.0</v>
      </c>
      <c r="E943" s="62">
        <v>0.0</v>
      </c>
      <c r="F943" s="62">
        <v>0.0</v>
      </c>
      <c r="G943" s="62">
        <v>2.0</v>
      </c>
      <c r="H943" s="62">
        <v>1.0</v>
      </c>
      <c r="I943" s="62">
        <v>0.0</v>
      </c>
      <c r="J943" s="62">
        <v>0.0</v>
      </c>
      <c r="K943" s="62">
        <v>0.0</v>
      </c>
      <c r="L943" s="62">
        <v>0.0</v>
      </c>
      <c r="M943" s="62">
        <v>0.0</v>
      </c>
      <c r="N943" s="62">
        <v>0.0</v>
      </c>
      <c r="O943" s="62">
        <v>1.0</v>
      </c>
      <c r="P943" s="62">
        <v>0.0</v>
      </c>
      <c r="Q943" s="62">
        <v>0.0</v>
      </c>
      <c r="R943" s="62">
        <v>0.0</v>
      </c>
      <c r="S943" s="62">
        <v>0.0</v>
      </c>
      <c r="T943" s="62">
        <v>1.52138888888888</v>
      </c>
      <c r="U943" s="62">
        <v>0.0</v>
      </c>
      <c r="V943" s="62">
        <v>0.570833333333333</v>
      </c>
      <c r="W943" s="62">
        <v>0.281388888888888</v>
      </c>
      <c r="X943" s="62">
        <v>0.0</v>
      </c>
      <c r="Y943" s="62">
        <v>0.0</v>
      </c>
      <c r="Z943" s="62">
        <v>0.0</v>
      </c>
      <c r="AA943" s="62">
        <v>0.0</v>
      </c>
      <c r="AB943" s="62">
        <v>0.0</v>
      </c>
      <c r="AC943" s="62">
        <v>0.0</v>
      </c>
      <c r="AD943" s="62">
        <v>0.302222222222222</v>
      </c>
      <c r="AE943" s="62">
        <v>0.0</v>
      </c>
      <c r="AF943" s="62">
        <v>5.0</v>
      </c>
    </row>
    <row r="944">
      <c r="A944" s="68">
        <v>46088.0</v>
      </c>
      <c r="B944" s="62" t="s">
        <v>84</v>
      </c>
      <c r="C944" s="62" t="s">
        <v>186</v>
      </c>
      <c r="D944" s="62">
        <v>0.0</v>
      </c>
      <c r="E944" s="62">
        <v>1.0</v>
      </c>
      <c r="F944" s="62">
        <v>0.0</v>
      </c>
      <c r="G944" s="62">
        <v>0.0</v>
      </c>
      <c r="H944" s="62">
        <v>0.0</v>
      </c>
      <c r="I944" s="62">
        <v>0.0</v>
      </c>
      <c r="J944" s="62">
        <v>0.0</v>
      </c>
      <c r="K944" s="62">
        <v>0.0</v>
      </c>
      <c r="L944" s="62">
        <v>0.0</v>
      </c>
      <c r="M944" s="62">
        <v>0.0</v>
      </c>
      <c r="N944" s="62">
        <v>0.0</v>
      </c>
      <c r="O944" s="62">
        <v>0.0</v>
      </c>
      <c r="P944" s="62">
        <v>0.0</v>
      </c>
      <c r="Q944" s="62">
        <v>0.0</v>
      </c>
      <c r="R944" s="62">
        <v>0.0</v>
      </c>
      <c r="S944" s="62">
        <v>2390.0</v>
      </c>
      <c r="T944" s="62">
        <v>0.0</v>
      </c>
      <c r="U944" s="62">
        <v>0.0</v>
      </c>
      <c r="V944" s="62">
        <v>0.0</v>
      </c>
      <c r="W944" s="62">
        <v>0.0</v>
      </c>
      <c r="X944" s="62">
        <v>0.0</v>
      </c>
      <c r="Y944" s="62">
        <v>0.0</v>
      </c>
      <c r="Z944" s="62">
        <v>0.0</v>
      </c>
      <c r="AA944" s="62">
        <v>0.0</v>
      </c>
      <c r="AB944" s="62">
        <v>0.0</v>
      </c>
      <c r="AC944" s="62">
        <v>0.0</v>
      </c>
      <c r="AD944" s="62">
        <v>0.0</v>
      </c>
      <c r="AE944" s="62">
        <v>0.0</v>
      </c>
      <c r="AF944" s="62">
        <v>0.0</v>
      </c>
    </row>
    <row r="945">
      <c r="A945" s="68">
        <v>46088.0</v>
      </c>
      <c r="B945" s="62" t="s">
        <v>62</v>
      </c>
      <c r="C945" s="62" t="s">
        <v>63</v>
      </c>
      <c r="D945" s="62">
        <v>0.0</v>
      </c>
      <c r="E945" s="62">
        <v>0.0</v>
      </c>
      <c r="F945" s="62">
        <v>0.0</v>
      </c>
      <c r="G945" s="62">
        <v>0.0</v>
      </c>
      <c r="H945" s="62">
        <v>0.0</v>
      </c>
      <c r="I945" s="62">
        <v>0.0</v>
      </c>
      <c r="J945" s="62">
        <v>0.0</v>
      </c>
      <c r="K945" s="62">
        <v>0.0</v>
      </c>
      <c r="L945" s="62">
        <v>0.0</v>
      </c>
      <c r="M945" s="62">
        <v>0.0</v>
      </c>
      <c r="N945" s="62">
        <v>5.0</v>
      </c>
      <c r="O945" s="62">
        <v>1.0</v>
      </c>
      <c r="P945" s="62">
        <v>5.0</v>
      </c>
      <c r="Q945" s="62">
        <v>0.0</v>
      </c>
      <c r="R945" s="62">
        <v>0.0</v>
      </c>
      <c r="S945" s="62">
        <v>0.0</v>
      </c>
      <c r="T945" s="62">
        <v>0.0</v>
      </c>
      <c r="U945" s="62">
        <v>0.0</v>
      </c>
      <c r="V945" s="62">
        <v>0.0</v>
      </c>
      <c r="W945" s="62">
        <v>0.0</v>
      </c>
      <c r="X945" s="62">
        <v>0.0</v>
      </c>
      <c r="Y945" s="62">
        <v>0.0</v>
      </c>
      <c r="Z945" s="62">
        <v>0.0</v>
      </c>
      <c r="AA945" s="62">
        <v>0.0</v>
      </c>
      <c r="AB945" s="62">
        <v>0.0</v>
      </c>
      <c r="AC945" s="62">
        <v>1.03555555555555</v>
      </c>
      <c r="AD945" s="62">
        <v>0.25</v>
      </c>
      <c r="AE945" s="62">
        <v>1.03555555555555</v>
      </c>
      <c r="AF945" s="62">
        <v>0.0</v>
      </c>
    </row>
    <row r="946">
      <c r="A946" s="68">
        <v>46087.0</v>
      </c>
      <c r="B946" s="62" t="s">
        <v>79</v>
      </c>
      <c r="C946" s="62" t="s">
        <v>162</v>
      </c>
      <c r="D946" s="62">
        <v>0.0</v>
      </c>
      <c r="E946" s="62">
        <v>0.0</v>
      </c>
      <c r="F946" s="62">
        <v>3.0</v>
      </c>
      <c r="G946" s="62">
        <v>3.0</v>
      </c>
      <c r="H946" s="62">
        <v>3.0</v>
      </c>
      <c r="I946" s="62">
        <v>0.0</v>
      </c>
      <c r="J946" s="62">
        <v>4.0</v>
      </c>
      <c r="K946" s="62">
        <v>3.0</v>
      </c>
      <c r="L946" s="62">
        <v>3.0</v>
      </c>
      <c r="M946" s="62">
        <v>8.0</v>
      </c>
      <c r="N946" s="62">
        <v>8.0</v>
      </c>
      <c r="O946" s="62">
        <v>1.0</v>
      </c>
      <c r="P946" s="62">
        <v>8.0</v>
      </c>
      <c r="Q946" s="62">
        <v>0.0</v>
      </c>
      <c r="R946" s="62">
        <v>0.0</v>
      </c>
      <c r="S946" s="62">
        <v>0.0</v>
      </c>
      <c r="T946" s="62">
        <v>0.478333333333333</v>
      </c>
      <c r="U946" s="62">
        <v>0.478333333333333</v>
      </c>
      <c r="V946" s="62">
        <v>0.563333333333333</v>
      </c>
      <c r="W946" s="62">
        <v>0.563333333333333</v>
      </c>
      <c r="X946" s="62">
        <v>0.0</v>
      </c>
      <c r="Y946" s="62">
        <v>0.766111111111111</v>
      </c>
      <c r="Z946" s="62">
        <v>0.598611111111111</v>
      </c>
      <c r="AA946" s="62">
        <v>0.611388888888888</v>
      </c>
      <c r="AB946" s="62">
        <v>1.54777777777777</v>
      </c>
      <c r="AC946" s="62">
        <v>1.57138888888888</v>
      </c>
      <c r="AD946" s="62">
        <v>0.165833333333333</v>
      </c>
      <c r="AE946" s="62">
        <v>1.57138888888888</v>
      </c>
      <c r="AF946" s="62">
        <v>3.0</v>
      </c>
    </row>
    <row r="947">
      <c r="A947" s="68">
        <v>46087.0</v>
      </c>
      <c r="B947" s="62" t="s">
        <v>71</v>
      </c>
      <c r="C947" s="62" t="s">
        <v>163</v>
      </c>
      <c r="D947" s="62">
        <v>0.0</v>
      </c>
      <c r="E947" s="62">
        <v>4.0</v>
      </c>
      <c r="F947" s="62">
        <v>4.0</v>
      </c>
      <c r="G947" s="62">
        <v>1.0</v>
      </c>
      <c r="H947" s="62">
        <v>2.0</v>
      </c>
      <c r="I947" s="62">
        <v>1.0</v>
      </c>
      <c r="J947" s="62">
        <v>1.0</v>
      </c>
      <c r="K947" s="62">
        <v>0.0</v>
      </c>
      <c r="L947" s="62">
        <v>0.0</v>
      </c>
      <c r="M947" s="62">
        <v>1.0</v>
      </c>
      <c r="N947" s="62">
        <v>3.0</v>
      </c>
      <c r="O947" s="62">
        <v>1.0</v>
      </c>
      <c r="P947" s="62">
        <v>3.0</v>
      </c>
      <c r="Q947" s="62">
        <v>0.0</v>
      </c>
      <c r="R947" s="62">
        <v>0.0</v>
      </c>
      <c r="S947" s="62">
        <v>12792.0</v>
      </c>
      <c r="T947" s="62">
        <v>1.35944444444444</v>
      </c>
      <c r="U947" s="62">
        <v>1.08888888888888</v>
      </c>
      <c r="V947" s="62">
        <v>0.268888888888888</v>
      </c>
      <c r="W947" s="62">
        <v>0.539444444444444</v>
      </c>
      <c r="X947" s="62">
        <v>0.270555555555555</v>
      </c>
      <c r="Y947" s="62">
        <v>0.268888888888888</v>
      </c>
      <c r="Z947" s="62">
        <v>0.0</v>
      </c>
      <c r="AA947" s="62">
        <v>0.0</v>
      </c>
      <c r="AB947" s="62">
        <v>0.268888888888888</v>
      </c>
      <c r="AC947" s="62">
        <v>0.841388888888888</v>
      </c>
      <c r="AD947" s="62">
        <v>0.272222222222222</v>
      </c>
      <c r="AE947" s="62">
        <v>0.841388888888888</v>
      </c>
      <c r="AF947" s="62">
        <v>5.0</v>
      </c>
    </row>
    <row r="948">
      <c r="A948" s="68">
        <v>46087.0</v>
      </c>
      <c r="B948" s="62" t="s">
        <v>76</v>
      </c>
      <c r="C948" s="62" t="s">
        <v>165</v>
      </c>
      <c r="D948" s="62">
        <v>14.0</v>
      </c>
      <c r="E948" s="62">
        <v>4.0</v>
      </c>
      <c r="F948" s="62">
        <v>4.0</v>
      </c>
      <c r="G948" s="62">
        <v>5.0</v>
      </c>
      <c r="H948" s="62">
        <v>5.0</v>
      </c>
      <c r="I948" s="62">
        <v>0.0</v>
      </c>
      <c r="J948" s="62">
        <v>8.0</v>
      </c>
      <c r="K948" s="62">
        <v>1.0</v>
      </c>
      <c r="L948" s="62">
        <v>2.0</v>
      </c>
      <c r="M948" s="62">
        <v>9.0</v>
      </c>
      <c r="N948" s="62">
        <v>10.0</v>
      </c>
      <c r="O948" s="62">
        <v>1.0</v>
      </c>
      <c r="P948" s="62">
        <v>10.0</v>
      </c>
      <c r="Q948" s="62">
        <v>0.0</v>
      </c>
      <c r="R948" s="62">
        <v>41500.0</v>
      </c>
      <c r="S948" s="62">
        <v>11530.0</v>
      </c>
      <c r="T948" s="62">
        <v>0.9925</v>
      </c>
      <c r="U948" s="62">
        <v>0.9925</v>
      </c>
      <c r="V948" s="62">
        <v>1.34111111111111</v>
      </c>
      <c r="W948" s="62">
        <v>1.34111111111111</v>
      </c>
      <c r="X948" s="62">
        <v>0.0</v>
      </c>
      <c r="Y948" s="62">
        <v>2.16749999999999</v>
      </c>
      <c r="Z948" s="62">
        <v>0.288888888888888</v>
      </c>
      <c r="AA948" s="62">
        <v>0.553333333333333</v>
      </c>
      <c r="AB948" s="62">
        <v>2.43194444444444</v>
      </c>
      <c r="AC948" s="62">
        <v>2.68166666666666</v>
      </c>
      <c r="AD948" s="62">
        <v>0.238055555555555</v>
      </c>
      <c r="AE948" s="62">
        <v>2.68166666666666</v>
      </c>
      <c r="AF948" s="62">
        <v>4.0</v>
      </c>
    </row>
    <row r="949">
      <c r="A949" s="68">
        <v>46087.0</v>
      </c>
      <c r="B949" s="62" t="s">
        <v>32</v>
      </c>
      <c r="C949" s="62" t="s">
        <v>168</v>
      </c>
      <c r="D949" s="62">
        <v>3.0</v>
      </c>
      <c r="E949" s="62">
        <v>3.0</v>
      </c>
      <c r="F949" s="62">
        <v>2.0</v>
      </c>
      <c r="G949" s="62">
        <v>0.0</v>
      </c>
      <c r="H949" s="62">
        <v>7.0</v>
      </c>
      <c r="I949" s="62">
        <v>1.0</v>
      </c>
      <c r="J949" s="62">
        <v>10.0</v>
      </c>
      <c r="K949" s="62">
        <v>0.0</v>
      </c>
      <c r="L949" s="62">
        <v>0.0</v>
      </c>
      <c r="M949" s="62">
        <v>9.0</v>
      </c>
      <c r="N949" s="62">
        <v>14.0</v>
      </c>
      <c r="O949" s="62">
        <v>1.0</v>
      </c>
      <c r="P949" s="62">
        <v>14.0</v>
      </c>
      <c r="Q949" s="62">
        <v>0.0</v>
      </c>
      <c r="R949" s="62">
        <v>7297.0</v>
      </c>
      <c r="S949" s="62">
        <v>7375.0</v>
      </c>
      <c r="T949" s="62">
        <v>0.714166666666666</v>
      </c>
      <c r="U949" s="62">
        <v>0.466111111111111</v>
      </c>
      <c r="V949" s="62">
        <v>0.0</v>
      </c>
      <c r="W949" s="62">
        <v>1.67166666666666</v>
      </c>
      <c r="X949" s="62">
        <v>0.248055555555555</v>
      </c>
      <c r="Y949" s="62">
        <v>2.38611111111111</v>
      </c>
      <c r="Z949" s="62">
        <v>0.0</v>
      </c>
      <c r="AA949" s="62">
        <v>0.0</v>
      </c>
      <c r="AB949" s="62">
        <v>2.15055555555555</v>
      </c>
      <c r="AC949" s="62">
        <v>3.33444444444444</v>
      </c>
      <c r="AD949" s="62">
        <v>0.210833333333333</v>
      </c>
      <c r="AE949" s="62">
        <v>3.33444444444444</v>
      </c>
      <c r="AF949" s="62">
        <v>3.0</v>
      </c>
    </row>
    <row r="950">
      <c r="A950" s="68">
        <v>46087.0</v>
      </c>
      <c r="B950" s="62" t="s">
        <v>65</v>
      </c>
      <c r="C950" s="62" t="s">
        <v>173</v>
      </c>
      <c r="D950" s="62">
        <v>0.0</v>
      </c>
      <c r="E950" s="62">
        <v>0.0</v>
      </c>
      <c r="F950" s="62">
        <v>1.0</v>
      </c>
      <c r="G950" s="62">
        <v>0.0</v>
      </c>
      <c r="H950" s="62">
        <v>0.0</v>
      </c>
      <c r="I950" s="62">
        <v>0.0</v>
      </c>
      <c r="J950" s="62">
        <v>0.0</v>
      </c>
      <c r="K950" s="62">
        <v>0.0</v>
      </c>
      <c r="L950" s="62">
        <v>0.0</v>
      </c>
      <c r="M950" s="62">
        <v>0.0</v>
      </c>
      <c r="N950" s="62">
        <v>0.0</v>
      </c>
      <c r="O950" s="62">
        <v>0.0</v>
      </c>
      <c r="P950" s="62">
        <v>0.0</v>
      </c>
      <c r="Q950" s="62">
        <v>0.0</v>
      </c>
      <c r="R950" s="62">
        <v>0.0</v>
      </c>
      <c r="S950" s="62">
        <v>0.0</v>
      </c>
      <c r="T950" s="62">
        <v>0.290555555555555</v>
      </c>
      <c r="U950" s="62">
        <v>0.290555555555555</v>
      </c>
      <c r="V950" s="62">
        <v>0.0</v>
      </c>
      <c r="W950" s="62">
        <v>0.0</v>
      </c>
      <c r="X950" s="62">
        <v>0.0</v>
      </c>
      <c r="Y950" s="62">
        <v>0.0</v>
      </c>
      <c r="Z950" s="62">
        <v>0.0</v>
      </c>
      <c r="AA950" s="62">
        <v>0.0</v>
      </c>
      <c r="AB950" s="62">
        <v>0.0</v>
      </c>
      <c r="AC950" s="62">
        <v>0.0</v>
      </c>
      <c r="AD950" s="62">
        <v>0.0</v>
      </c>
      <c r="AE950" s="62">
        <v>0.0</v>
      </c>
      <c r="AF950" s="62">
        <v>1.0</v>
      </c>
    </row>
    <row r="951">
      <c r="A951" s="68">
        <v>46087.0</v>
      </c>
      <c r="B951" s="62" t="s">
        <v>37</v>
      </c>
      <c r="C951" s="62" t="s">
        <v>174</v>
      </c>
      <c r="D951" s="62">
        <v>6.0</v>
      </c>
      <c r="E951" s="62">
        <v>4.0</v>
      </c>
      <c r="F951" s="62">
        <v>0.0</v>
      </c>
      <c r="G951" s="62">
        <v>3.0</v>
      </c>
      <c r="H951" s="62">
        <v>3.0</v>
      </c>
      <c r="I951" s="62">
        <v>0.0</v>
      </c>
      <c r="J951" s="62">
        <v>3.0</v>
      </c>
      <c r="K951" s="62">
        <v>1.0</v>
      </c>
      <c r="L951" s="62">
        <v>3.0</v>
      </c>
      <c r="M951" s="62">
        <v>7.0</v>
      </c>
      <c r="N951" s="62">
        <v>10.0</v>
      </c>
      <c r="O951" s="62">
        <v>1.0</v>
      </c>
      <c r="P951" s="62">
        <v>10.0</v>
      </c>
      <c r="Q951" s="62">
        <v>0.0</v>
      </c>
      <c r="R951" s="62">
        <v>15264.0</v>
      </c>
      <c r="S951" s="62">
        <v>10628.0</v>
      </c>
      <c r="T951" s="62">
        <v>1.10333333333333</v>
      </c>
      <c r="U951" s="62">
        <v>0.0</v>
      </c>
      <c r="V951" s="62">
        <v>0.8725</v>
      </c>
      <c r="W951" s="62">
        <v>0.8725</v>
      </c>
      <c r="X951" s="62">
        <v>0.0</v>
      </c>
      <c r="Y951" s="62">
        <v>0.882222222222222</v>
      </c>
      <c r="Z951" s="62">
        <v>0.293611111111111</v>
      </c>
      <c r="AA951" s="62">
        <v>0.827222222222222</v>
      </c>
      <c r="AB951" s="62">
        <v>1.96222222222222</v>
      </c>
      <c r="AC951" s="62">
        <v>2.77666666666666</v>
      </c>
      <c r="AD951" s="62">
        <v>0.274166666666666</v>
      </c>
      <c r="AE951" s="62">
        <v>2.77666666666666</v>
      </c>
      <c r="AF951" s="62">
        <v>4.0</v>
      </c>
    </row>
    <row r="952">
      <c r="A952" s="68">
        <v>46087.0</v>
      </c>
      <c r="B952" s="62" t="s">
        <v>81</v>
      </c>
      <c r="C952" s="62" t="s">
        <v>187</v>
      </c>
      <c r="D952" s="62">
        <v>0.0</v>
      </c>
      <c r="E952" s="62">
        <v>0.0</v>
      </c>
      <c r="F952" s="62">
        <v>0.0</v>
      </c>
      <c r="G952" s="62">
        <v>2.0</v>
      </c>
      <c r="H952" s="62">
        <v>4.0</v>
      </c>
      <c r="I952" s="62">
        <v>2.0</v>
      </c>
      <c r="J952" s="62">
        <v>7.0</v>
      </c>
      <c r="K952" s="62">
        <v>4.0</v>
      </c>
      <c r="L952" s="62">
        <v>2.0</v>
      </c>
      <c r="M952" s="62">
        <v>8.0</v>
      </c>
      <c r="N952" s="62">
        <v>8.0</v>
      </c>
      <c r="O952" s="62">
        <v>1.0</v>
      </c>
      <c r="P952" s="62">
        <v>8.0</v>
      </c>
      <c r="Q952" s="62">
        <v>0.0</v>
      </c>
      <c r="R952" s="62">
        <v>0.0</v>
      </c>
      <c r="S952" s="62">
        <v>0.0</v>
      </c>
      <c r="T952" s="62">
        <v>0.0</v>
      </c>
      <c r="U952" s="62">
        <v>0.0</v>
      </c>
      <c r="V952" s="62">
        <v>0.340277777777777</v>
      </c>
      <c r="W952" s="62">
        <v>0.765833333333333</v>
      </c>
      <c r="X952" s="62">
        <v>0.425555555555555</v>
      </c>
      <c r="Y952" s="62">
        <v>1.28</v>
      </c>
      <c r="Z952" s="62">
        <v>0.771666666666666</v>
      </c>
      <c r="AA952" s="62">
        <v>0.3925</v>
      </c>
      <c r="AB952" s="62">
        <v>1.52333333333333</v>
      </c>
      <c r="AC952" s="62">
        <v>1.52333333333333</v>
      </c>
      <c r="AD952" s="62">
        <v>0.201666666666666</v>
      </c>
      <c r="AE952" s="62">
        <v>1.52333333333333</v>
      </c>
      <c r="AF952" s="62">
        <v>0.0</v>
      </c>
    </row>
    <row r="953">
      <c r="A953" s="68">
        <v>46087.0</v>
      </c>
      <c r="B953" s="62" t="s">
        <v>84</v>
      </c>
      <c r="C953" s="62" t="s">
        <v>186</v>
      </c>
      <c r="D953" s="62">
        <v>4.0</v>
      </c>
      <c r="E953" s="62">
        <v>1.0</v>
      </c>
      <c r="F953" s="62">
        <v>0.0</v>
      </c>
      <c r="G953" s="62">
        <v>0.0</v>
      </c>
      <c r="H953" s="62">
        <v>0.0</v>
      </c>
      <c r="I953" s="62">
        <v>0.0</v>
      </c>
      <c r="J953" s="62">
        <v>0.0</v>
      </c>
      <c r="K953" s="62">
        <v>0.0</v>
      </c>
      <c r="L953" s="62">
        <v>0.0</v>
      </c>
      <c r="M953" s="62">
        <v>0.0</v>
      </c>
      <c r="N953" s="62">
        <v>0.0</v>
      </c>
      <c r="O953" s="62">
        <v>0.0</v>
      </c>
      <c r="P953" s="62">
        <v>0.0</v>
      </c>
      <c r="Q953" s="62">
        <v>0.0</v>
      </c>
      <c r="R953" s="62">
        <v>9120.0</v>
      </c>
      <c r="S953" s="62">
        <v>2603.0</v>
      </c>
      <c r="T953" s="62">
        <v>0.318888888888888</v>
      </c>
      <c r="U953" s="62">
        <v>0.0</v>
      </c>
      <c r="V953" s="62">
        <v>0.0</v>
      </c>
      <c r="W953" s="62">
        <v>0.0</v>
      </c>
      <c r="X953" s="62">
        <v>0.0</v>
      </c>
      <c r="Y953" s="62">
        <v>0.0</v>
      </c>
      <c r="Z953" s="62">
        <v>0.0</v>
      </c>
      <c r="AA953" s="62">
        <v>0.0</v>
      </c>
      <c r="AB953" s="62">
        <v>0.0</v>
      </c>
      <c r="AC953" s="62">
        <v>0.0</v>
      </c>
      <c r="AD953" s="62">
        <v>0.0</v>
      </c>
      <c r="AE953" s="62">
        <v>0.0</v>
      </c>
      <c r="AF953" s="62">
        <v>1.0</v>
      </c>
    </row>
    <row r="954">
      <c r="A954" s="68">
        <v>46087.0</v>
      </c>
      <c r="B954" s="62" t="s">
        <v>26</v>
      </c>
      <c r="C954" s="62" t="s">
        <v>178</v>
      </c>
      <c r="D954" s="62">
        <v>11.0</v>
      </c>
      <c r="E954" s="62">
        <v>0.0</v>
      </c>
      <c r="F954" s="62">
        <v>0.0</v>
      </c>
      <c r="G954" s="62">
        <v>3.0</v>
      </c>
      <c r="H954" s="62">
        <v>3.0</v>
      </c>
      <c r="I954" s="62">
        <v>0.0</v>
      </c>
      <c r="J954" s="62">
        <v>7.0</v>
      </c>
      <c r="K954" s="62">
        <v>0.0</v>
      </c>
      <c r="L954" s="62">
        <v>1.0</v>
      </c>
      <c r="M954" s="62">
        <v>3.0</v>
      </c>
      <c r="N954" s="62">
        <v>6.0</v>
      </c>
      <c r="O954" s="62">
        <v>1.0</v>
      </c>
      <c r="P954" s="62">
        <v>6.0</v>
      </c>
      <c r="Q954" s="62">
        <v>0.0</v>
      </c>
      <c r="R954" s="62">
        <v>23512.0</v>
      </c>
      <c r="S954" s="62">
        <v>0.0</v>
      </c>
      <c r="T954" s="62">
        <v>0.0</v>
      </c>
      <c r="U954" s="62">
        <v>0.0</v>
      </c>
      <c r="V954" s="62">
        <v>0.603333333333333</v>
      </c>
      <c r="W954" s="62">
        <v>0.603333333333333</v>
      </c>
      <c r="X954" s="62">
        <v>0.0</v>
      </c>
      <c r="Y954" s="62">
        <v>1.41916666666666</v>
      </c>
      <c r="Z954" s="62">
        <v>0.0</v>
      </c>
      <c r="AA954" s="62">
        <v>0.188333333333333</v>
      </c>
      <c r="AB954" s="62">
        <v>0.665833333333333</v>
      </c>
      <c r="AC954" s="62">
        <v>1.36888888888888</v>
      </c>
      <c r="AD954" s="62">
        <v>0.1925</v>
      </c>
      <c r="AE954" s="62">
        <v>1.36888888888888</v>
      </c>
      <c r="AF954" s="62">
        <v>0.0</v>
      </c>
    </row>
    <row r="955">
      <c r="A955" s="68">
        <v>46087.0</v>
      </c>
      <c r="B955" s="62" t="s">
        <v>62</v>
      </c>
      <c r="C955" s="62" t="s">
        <v>63</v>
      </c>
      <c r="D955" s="62">
        <v>0.0</v>
      </c>
      <c r="E955" s="62">
        <v>2.0</v>
      </c>
      <c r="F955" s="62">
        <v>0.0</v>
      </c>
      <c r="G955" s="62">
        <v>0.0</v>
      </c>
      <c r="H955" s="62">
        <v>3.0</v>
      </c>
      <c r="I955" s="62">
        <v>0.0</v>
      </c>
      <c r="J955" s="62">
        <v>3.0</v>
      </c>
      <c r="K955" s="62">
        <v>4.0</v>
      </c>
      <c r="L955" s="62">
        <v>0.0</v>
      </c>
      <c r="M955" s="62">
        <v>5.0</v>
      </c>
      <c r="N955" s="62">
        <v>6.0</v>
      </c>
      <c r="O955" s="62">
        <v>1.0</v>
      </c>
      <c r="P955" s="62">
        <v>6.0</v>
      </c>
      <c r="Q955" s="62">
        <v>0.0</v>
      </c>
      <c r="R955" s="62">
        <v>0.0</v>
      </c>
      <c r="S955" s="62">
        <v>4623.0</v>
      </c>
      <c r="T955" s="62">
        <v>1.17388888888888</v>
      </c>
      <c r="U955" s="62">
        <v>0.0</v>
      </c>
      <c r="V955" s="62">
        <v>0.0</v>
      </c>
      <c r="W955" s="62">
        <v>0.625555555555555</v>
      </c>
      <c r="X955" s="62">
        <v>0.0</v>
      </c>
      <c r="Y955" s="62">
        <v>0.625555555555555</v>
      </c>
      <c r="Z955" s="62">
        <v>0.835277777777777</v>
      </c>
      <c r="AA955" s="62">
        <v>0.0</v>
      </c>
      <c r="AB955" s="62">
        <v>1.03555555555555</v>
      </c>
      <c r="AC955" s="62">
        <v>1.32722222222222</v>
      </c>
      <c r="AD955" s="62">
        <v>0.245555555555555</v>
      </c>
      <c r="AE955" s="62">
        <v>1.32722222222222</v>
      </c>
      <c r="AF955" s="62">
        <v>6.0</v>
      </c>
    </row>
    <row r="956">
      <c r="A956" s="68">
        <v>46086.0</v>
      </c>
      <c r="B956" s="62" t="s">
        <v>79</v>
      </c>
      <c r="C956" s="62" t="s">
        <v>162</v>
      </c>
      <c r="D956" s="62">
        <v>0.0</v>
      </c>
      <c r="E956" s="62">
        <v>0.0</v>
      </c>
      <c r="F956" s="62">
        <v>2.0</v>
      </c>
      <c r="G956" s="62">
        <v>1.0</v>
      </c>
      <c r="H956" s="62">
        <v>2.0</v>
      </c>
      <c r="I956" s="62">
        <v>1.0</v>
      </c>
      <c r="J956" s="62">
        <v>3.0</v>
      </c>
      <c r="K956" s="62">
        <v>2.0</v>
      </c>
      <c r="L956" s="62">
        <v>1.0</v>
      </c>
      <c r="M956" s="62">
        <v>0.0</v>
      </c>
      <c r="N956" s="62">
        <v>0.0</v>
      </c>
      <c r="O956" s="62">
        <v>1.0</v>
      </c>
      <c r="P956" s="62">
        <v>0.0</v>
      </c>
      <c r="Q956" s="62">
        <v>0.0</v>
      </c>
      <c r="R956" s="62">
        <v>0.0</v>
      </c>
      <c r="S956" s="62">
        <v>0.0</v>
      </c>
      <c r="T956" s="62">
        <v>0.583888888888888</v>
      </c>
      <c r="U956" s="62">
        <v>0.401666666666666</v>
      </c>
      <c r="V956" s="62">
        <v>0.202777777777777</v>
      </c>
      <c r="W956" s="62">
        <v>0.385</v>
      </c>
      <c r="X956" s="62">
        <v>0.182222222222222</v>
      </c>
      <c r="Y956" s="62">
        <v>0.578888888888888</v>
      </c>
      <c r="Z956" s="62">
        <v>0.4125</v>
      </c>
      <c r="AA956" s="62">
        <v>0.19</v>
      </c>
      <c r="AB956" s="62">
        <v>0.0</v>
      </c>
      <c r="AC956" s="62">
        <v>0.0</v>
      </c>
      <c r="AD956" s="62">
        <v>0.170555555555555</v>
      </c>
      <c r="AE956" s="62">
        <v>0.0</v>
      </c>
      <c r="AF956" s="62">
        <v>3.0</v>
      </c>
    </row>
    <row r="957">
      <c r="A957" s="68">
        <v>46086.0</v>
      </c>
      <c r="B957" s="62" t="s">
        <v>71</v>
      </c>
      <c r="C957" s="62" t="s">
        <v>163</v>
      </c>
      <c r="D957" s="62">
        <v>0.0</v>
      </c>
      <c r="E957" s="62">
        <v>4.0</v>
      </c>
      <c r="F957" s="62">
        <v>0.0</v>
      </c>
      <c r="G957" s="62">
        <v>2.0</v>
      </c>
      <c r="H957" s="62">
        <v>2.0</v>
      </c>
      <c r="I957" s="62">
        <v>0.0</v>
      </c>
      <c r="J957" s="62">
        <v>2.0</v>
      </c>
      <c r="K957" s="62">
        <v>0.0</v>
      </c>
      <c r="L957" s="62">
        <v>0.0</v>
      </c>
      <c r="M957" s="62">
        <v>2.0</v>
      </c>
      <c r="N957" s="62">
        <v>1.0</v>
      </c>
      <c r="O957" s="62">
        <v>1.0</v>
      </c>
      <c r="P957" s="62">
        <v>1.0</v>
      </c>
      <c r="Q957" s="62">
        <v>0.0</v>
      </c>
      <c r="R957" s="62">
        <v>0.0</v>
      </c>
      <c r="S957" s="62">
        <v>12443.0</v>
      </c>
      <c r="T957" s="62">
        <v>0.0</v>
      </c>
      <c r="U957" s="62">
        <v>0.0</v>
      </c>
      <c r="V957" s="62">
        <v>0.5725</v>
      </c>
      <c r="W957" s="62">
        <v>0.5725</v>
      </c>
      <c r="X957" s="62">
        <v>0.0</v>
      </c>
      <c r="Y957" s="62">
        <v>0.5725</v>
      </c>
      <c r="Z957" s="62">
        <v>0.0</v>
      </c>
      <c r="AA957" s="62">
        <v>0.0</v>
      </c>
      <c r="AB957" s="62">
        <v>0.5725</v>
      </c>
      <c r="AC957" s="62">
        <v>0.277777777777777</v>
      </c>
      <c r="AD957" s="62">
        <v>0.258888888888888</v>
      </c>
      <c r="AE957" s="62">
        <v>0.277777777777777</v>
      </c>
      <c r="AF957" s="62">
        <v>0.0</v>
      </c>
    </row>
    <row r="958">
      <c r="A958" s="68">
        <v>46086.0</v>
      </c>
      <c r="B958" s="62" t="s">
        <v>76</v>
      </c>
      <c r="C958" s="62" t="s">
        <v>165</v>
      </c>
      <c r="D958" s="62">
        <v>0.0</v>
      </c>
      <c r="E958" s="62">
        <v>6.0</v>
      </c>
      <c r="F958" s="62">
        <v>0.0</v>
      </c>
      <c r="G958" s="62">
        <v>3.0</v>
      </c>
      <c r="H958" s="62">
        <v>3.0</v>
      </c>
      <c r="I958" s="62">
        <v>0.0</v>
      </c>
      <c r="J958" s="62">
        <v>0.0</v>
      </c>
      <c r="K958" s="62">
        <v>0.0</v>
      </c>
      <c r="L958" s="62">
        <v>0.0</v>
      </c>
      <c r="M958" s="62">
        <v>0.0</v>
      </c>
      <c r="N958" s="62">
        <v>0.0</v>
      </c>
      <c r="O958" s="62">
        <v>1.0</v>
      </c>
      <c r="P958" s="62">
        <v>0.0</v>
      </c>
      <c r="Q958" s="62">
        <v>0.0</v>
      </c>
      <c r="R958" s="62">
        <v>0.0</v>
      </c>
      <c r="S958" s="62">
        <v>16435.0</v>
      </c>
      <c r="T958" s="62">
        <v>0.0</v>
      </c>
      <c r="U958" s="62">
        <v>0.0</v>
      </c>
      <c r="V958" s="62">
        <v>0.826388888888888</v>
      </c>
      <c r="W958" s="62">
        <v>0.826388888888888</v>
      </c>
      <c r="X958" s="62">
        <v>0.0</v>
      </c>
      <c r="Y958" s="62">
        <v>0.0</v>
      </c>
      <c r="Z958" s="62">
        <v>0.0</v>
      </c>
      <c r="AA958" s="62">
        <v>0.0</v>
      </c>
      <c r="AB958" s="62">
        <v>0.0</v>
      </c>
      <c r="AC958" s="62">
        <v>0.0</v>
      </c>
      <c r="AD958" s="62">
        <v>0.247222222222222</v>
      </c>
      <c r="AE958" s="62">
        <v>0.0</v>
      </c>
      <c r="AF958" s="62">
        <v>0.0</v>
      </c>
    </row>
    <row r="959">
      <c r="A959" s="68">
        <v>46086.0</v>
      </c>
      <c r="B959" s="62" t="s">
        <v>32</v>
      </c>
      <c r="C959" s="62" t="s">
        <v>168</v>
      </c>
      <c r="D959" s="62">
        <v>1.0</v>
      </c>
      <c r="E959" s="62">
        <v>2.0</v>
      </c>
      <c r="F959" s="62">
        <v>2.0</v>
      </c>
      <c r="G959" s="62">
        <v>0.0</v>
      </c>
      <c r="H959" s="62">
        <v>3.0</v>
      </c>
      <c r="I959" s="62">
        <v>3.0</v>
      </c>
      <c r="J959" s="62">
        <v>0.0</v>
      </c>
      <c r="K959" s="62">
        <v>0.0</v>
      </c>
      <c r="L959" s="62">
        <v>0.0</v>
      </c>
      <c r="M959" s="62">
        <v>5.0</v>
      </c>
      <c r="N959" s="62">
        <v>0.0</v>
      </c>
      <c r="O959" s="62">
        <v>1.0</v>
      </c>
      <c r="P959" s="62">
        <v>0.0</v>
      </c>
      <c r="Q959" s="62">
        <v>0.0</v>
      </c>
      <c r="R959" s="62">
        <v>2473.0</v>
      </c>
      <c r="S959" s="62">
        <v>4985.0</v>
      </c>
      <c r="T959" s="62">
        <v>0.967499999999999</v>
      </c>
      <c r="U959" s="62">
        <v>0.4775</v>
      </c>
      <c r="V959" s="62">
        <v>0.0</v>
      </c>
      <c r="W959" s="62">
        <v>0.714722222222222</v>
      </c>
      <c r="X959" s="62">
        <v>0.714722222222222</v>
      </c>
      <c r="Y959" s="62">
        <v>0.0</v>
      </c>
      <c r="Z959" s="62">
        <v>0.0</v>
      </c>
      <c r="AA959" s="62">
        <v>0.0</v>
      </c>
      <c r="AB959" s="62">
        <v>1.18388888888888</v>
      </c>
      <c r="AC959" s="62">
        <v>0.0</v>
      </c>
      <c r="AD959" s="62">
        <v>0.214166666666666</v>
      </c>
      <c r="AE959" s="62">
        <v>0.0</v>
      </c>
      <c r="AF959" s="62">
        <v>4.0</v>
      </c>
    </row>
    <row r="960">
      <c r="A960" s="68">
        <v>46086.0</v>
      </c>
      <c r="B960" s="62" t="s">
        <v>65</v>
      </c>
      <c r="C960" s="62" t="s">
        <v>173</v>
      </c>
      <c r="D960" s="62">
        <v>0.0</v>
      </c>
      <c r="E960" s="62">
        <v>0.0</v>
      </c>
      <c r="F960" s="62">
        <v>3.0</v>
      </c>
      <c r="G960" s="62">
        <v>0.0</v>
      </c>
      <c r="H960" s="62">
        <v>2.0</v>
      </c>
      <c r="I960" s="62">
        <v>2.0</v>
      </c>
      <c r="J960" s="62">
        <v>0.0</v>
      </c>
      <c r="K960" s="62">
        <v>0.0</v>
      </c>
      <c r="L960" s="62">
        <v>0.0</v>
      </c>
      <c r="M960" s="62">
        <v>0.0</v>
      </c>
      <c r="N960" s="62">
        <v>0.0</v>
      </c>
      <c r="O960" s="62">
        <v>0.0</v>
      </c>
      <c r="P960" s="62">
        <v>0.0</v>
      </c>
      <c r="Q960" s="62">
        <v>0.0</v>
      </c>
      <c r="R960" s="62">
        <v>0.0</v>
      </c>
      <c r="S960" s="62">
        <v>0.0</v>
      </c>
      <c r="T960" s="62">
        <v>0.542222222222222</v>
      </c>
      <c r="U960" s="62">
        <v>0.81</v>
      </c>
      <c r="V960" s="62">
        <v>0.0</v>
      </c>
      <c r="W960" s="62">
        <v>0.543333333333333</v>
      </c>
      <c r="X960" s="62">
        <v>0.543333333333333</v>
      </c>
      <c r="Y960" s="62">
        <v>0.0</v>
      </c>
      <c r="Z960" s="62">
        <v>0.0</v>
      </c>
      <c r="AA960" s="62">
        <v>0.0</v>
      </c>
      <c r="AB960" s="62">
        <v>0.0</v>
      </c>
      <c r="AC960" s="62">
        <v>0.0</v>
      </c>
      <c r="AD960" s="62">
        <v>0.0</v>
      </c>
      <c r="AE960" s="62">
        <v>0.0</v>
      </c>
      <c r="AF960" s="62">
        <v>2.0</v>
      </c>
    </row>
    <row r="961">
      <c r="A961" s="68">
        <v>46086.0</v>
      </c>
      <c r="B961" s="62" t="s">
        <v>37</v>
      </c>
      <c r="C961" s="62" t="s">
        <v>174</v>
      </c>
      <c r="D961" s="62">
        <v>2.0</v>
      </c>
      <c r="E961" s="62">
        <v>5.0</v>
      </c>
      <c r="F961" s="62">
        <v>6.0</v>
      </c>
      <c r="G961" s="62">
        <v>3.0</v>
      </c>
      <c r="H961" s="62">
        <v>4.0</v>
      </c>
      <c r="I961" s="62">
        <v>1.0</v>
      </c>
      <c r="J961" s="62">
        <v>3.0</v>
      </c>
      <c r="K961" s="62">
        <v>2.0</v>
      </c>
      <c r="L961" s="62">
        <v>1.0</v>
      </c>
      <c r="M961" s="62">
        <v>1.0</v>
      </c>
      <c r="N961" s="62">
        <v>0.0</v>
      </c>
      <c r="O961" s="62">
        <v>1.0</v>
      </c>
      <c r="P961" s="62">
        <v>0.0</v>
      </c>
      <c r="Q961" s="62">
        <v>0.0</v>
      </c>
      <c r="R961" s="62">
        <v>5157.0</v>
      </c>
      <c r="S961" s="62">
        <v>13169.0</v>
      </c>
      <c r="T961" s="62">
        <v>0.0</v>
      </c>
      <c r="U961" s="62">
        <v>1.7125</v>
      </c>
      <c r="V961" s="62">
        <v>0.861388888888888</v>
      </c>
      <c r="W961" s="62">
        <v>1.15138888888888</v>
      </c>
      <c r="X961" s="62">
        <v>0.29</v>
      </c>
      <c r="Y961" s="62">
        <v>0.817222222222222</v>
      </c>
      <c r="Z961" s="62">
        <v>0.533611111111111</v>
      </c>
      <c r="AA961" s="62">
        <v>0.271111111111111</v>
      </c>
      <c r="AB961" s="62">
        <v>0.283611111111111</v>
      </c>
      <c r="AC961" s="62">
        <v>0.0</v>
      </c>
      <c r="AD961" s="62">
        <v>0.245</v>
      </c>
      <c r="AE961" s="62">
        <v>0.0</v>
      </c>
      <c r="AF961" s="62">
        <v>0.0</v>
      </c>
    </row>
    <row r="962">
      <c r="A962" s="68">
        <v>46086.0</v>
      </c>
      <c r="B962" s="62" t="s">
        <v>81</v>
      </c>
      <c r="C962" s="62" t="s">
        <v>187</v>
      </c>
      <c r="D962" s="62">
        <v>0.0</v>
      </c>
      <c r="E962" s="62">
        <v>0.0</v>
      </c>
      <c r="F962" s="62">
        <v>5.0</v>
      </c>
      <c r="G962" s="62">
        <v>1.0</v>
      </c>
      <c r="H962" s="62">
        <v>7.0</v>
      </c>
      <c r="I962" s="62">
        <v>6.0</v>
      </c>
      <c r="J962" s="62">
        <v>4.0</v>
      </c>
      <c r="K962" s="62">
        <v>1.0</v>
      </c>
      <c r="L962" s="62">
        <v>0.0</v>
      </c>
      <c r="M962" s="62">
        <v>1.0</v>
      </c>
      <c r="N962" s="62">
        <v>1.0</v>
      </c>
      <c r="O962" s="62">
        <v>1.0</v>
      </c>
      <c r="P962" s="62">
        <v>1.0</v>
      </c>
      <c r="Q962" s="62">
        <v>0.0</v>
      </c>
      <c r="R962" s="62">
        <v>0.0</v>
      </c>
      <c r="S962" s="62">
        <v>0.0</v>
      </c>
      <c r="T962" s="62">
        <v>0.212777777777777</v>
      </c>
      <c r="U962" s="62">
        <v>0.944444444444444</v>
      </c>
      <c r="V962" s="62">
        <v>0.183611111111111</v>
      </c>
      <c r="W962" s="62">
        <v>1.27472222222222</v>
      </c>
      <c r="X962" s="62">
        <v>1.09111111111111</v>
      </c>
      <c r="Y962" s="62">
        <v>0.781944444444444</v>
      </c>
      <c r="Z962" s="62">
        <v>0.214722222222222</v>
      </c>
      <c r="AA962" s="62">
        <v>0.0</v>
      </c>
      <c r="AB962" s="62">
        <v>0.225277777777777</v>
      </c>
      <c r="AC962" s="62">
        <v>0.225277777777777</v>
      </c>
      <c r="AD962" s="62">
        <v>0.181666666666666</v>
      </c>
      <c r="AE962" s="62">
        <v>0.225277777777777</v>
      </c>
      <c r="AF962" s="62">
        <v>1.0</v>
      </c>
    </row>
    <row r="963">
      <c r="A963" s="68">
        <v>46086.0</v>
      </c>
      <c r="B963" s="62" t="s">
        <v>84</v>
      </c>
      <c r="C963" s="62" t="s">
        <v>186</v>
      </c>
      <c r="D963" s="62">
        <v>1.0</v>
      </c>
      <c r="E963" s="62">
        <v>4.0</v>
      </c>
      <c r="F963" s="62">
        <v>0.0</v>
      </c>
      <c r="G963" s="62">
        <v>0.0</v>
      </c>
      <c r="H963" s="62">
        <v>0.0</v>
      </c>
      <c r="I963" s="62">
        <v>0.0</v>
      </c>
      <c r="J963" s="62">
        <v>0.0</v>
      </c>
      <c r="K963" s="62">
        <v>0.0</v>
      </c>
      <c r="L963" s="62">
        <v>0.0</v>
      </c>
      <c r="M963" s="62">
        <v>0.0</v>
      </c>
      <c r="N963" s="62">
        <v>0.0</v>
      </c>
      <c r="O963" s="62">
        <v>0.0</v>
      </c>
      <c r="P963" s="62">
        <v>0.0</v>
      </c>
      <c r="Q963" s="62">
        <v>0.0</v>
      </c>
      <c r="R963" s="62">
        <v>3120.0</v>
      </c>
      <c r="S963" s="62">
        <v>11066.0</v>
      </c>
      <c r="T963" s="62">
        <v>0.0</v>
      </c>
      <c r="U963" s="62">
        <v>0.0</v>
      </c>
      <c r="V963" s="62">
        <v>0.0</v>
      </c>
      <c r="W963" s="62">
        <v>0.0</v>
      </c>
      <c r="X963" s="62">
        <v>0.0</v>
      </c>
      <c r="Y963" s="62">
        <v>0.0</v>
      </c>
      <c r="Z963" s="62">
        <v>0.0</v>
      </c>
      <c r="AA963" s="62">
        <v>0.0</v>
      </c>
      <c r="AB963" s="62">
        <v>0.0</v>
      </c>
      <c r="AC963" s="62">
        <v>0.0</v>
      </c>
      <c r="AD963" s="62">
        <v>0.0</v>
      </c>
      <c r="AE963" s="62">
        <v>0.0</v>
      </c>
      <c r="AF963" s="62">
        <v>0.0</v>
      </c>
    </row>
    <row r="964">
      <c r="A964" s="68">
        <v>46086.0</v>
      </c>
      <c r="B964" s="62" t="s">
        <v>26</v>
      </c>
      <c r="C964" s="62" t="s">
        <v>178</v>
      </c>
      <c r="D964" s="62">
        <v>0.0</v>
      </c>
      <c r="E964" s="62">
        <v>6.0</v>
      </c>
      <c r="F964" s="62">
        <v>5.0</v>
      </c>
      <c r="G964" s="62">
        <v>2.0</v>
      </c>
      <c r="H964" s="62">
        <v>7.0</v>
      </c>
      <c r="I964" s="62">
        <v>5.0</v>
      </c>
      <c r="J964" s="62">
        <v>6.0</v>
      </c>
      <c r="K964" s="62">
        <v>3.0</v>
      </c>
      <c r="L964" s="62">
        <v>2.0</v>
      </c>
      <c r="M964" s="62">
        <v>8.0</v>
      </c>
      <c r="N964" s="62">
        <v>7.0</v>
      </c>
      <c r="O964" s="62">
        <v>1.0</v>
      </c>
      <c r="P964" s="62">
        <v>7.0</v>
      </c>
      <c r="Q964" s="62">
        <v>0.0</v>
      </c>
      <c r="R964" s="62">
        <v>0.0</v>
      </c>
      <c r="S964" s="62">
        <v>14973.0</v>
      </c>
      <c r="T964" s="62">
        <v>0.0</v>
      </c>
      <c r="U964" s="62">
        <v>0.998333333333333</v>
      </c>
      <c r="V964" s="62">
        <v>0.466944444444444</v>
      </c>
      <c r="W964" s="62">
        <v>1.36444444444444</v>
      </c>
      <c r="X964" s="62">
        <v>0.8975</v>
      </c>
      <c r="Y964" s="62">
        <v>1.40666666666666</v>
      </c>
      <c r="Z964" s="62">
        <v>0.666388888888888</v>
      </c>
      <c r="AA964" s="62">
        <v>0.4775</v>
      </c>
      <c r="AB964" s="62">
        <v>1.74611111111111</v>
      </c>
      <c r="AC964" s="62">
        <v>1.43083333333333</v>
      </c>
      <c r="AD964" s="62">
        <v>0.200555555555555</v>
      </c>
      <c r="AE964" s="62">
        <v>1.43083333333333</v>
      </c>
      <c r="AF964" s="62">
        <v>0.0</v>
      </c>
    </row>
    <row r="965">
      <c r="A965" s="68">
        <v>46086.0</v>
      </c>
      <c r="B965" s="62" t="s">
        <v>62</v>
      </c>
      <c r="C965" s="62" t="s">
        <v>63</v>
      </c>
      <c r="D965" s="62">
        <v>9.0</v>
      </c>
      <c r="E965" s="62">
        <v>0.0</v>
      </c>
      <c r="F965" s="62">
        <v>3.0</v>
      </c>
      <c r="G965" s="62">
        <v>0.0</v>
      </c>
      <c r="H965" s="62">
        <v>6.0</v>
      </c>
      <c r="I965" s="62">
        <v>1.0</v>
      </c>
      <c r="J965" s="62">
        <v>5.0</v>
      </c>
      <c r="K965" s="62">
        <v>2.0</v>
      </c>
      <c r="L965" s="62">
        <v>0.0</v>
      </c>
      <c r="M965" s="62">
        <v>6.0</v>
      </c>
      <c r="N965" s="62">
        <v>0.0</v>
      </c>
      <c r="O965" s="62">
        <v>1.0</v>
      </c>
      <c r="P965" s="62">
        <v>0.0</v>
      </c>
      <c r="Q965" s="62">
        <v>0.0</v>
      </c>
      <c r="R965" s="62">
        <v>20705.0</v>
      </c>
      <c r="S965" s="62">
        <v>0.0</v>
      </c>
      <c r="T965" s="62">
        <v>0.181944444444444</v>
      </c>
      <c r="U965" s="62">
        <v>0.597222222222222</v>
      </c>
      <c r="V965" s="62">
        <v>0.0</v>
      </c>
      <c r="W965" s="62">
        <v>1.2325</v>
      </c>
      <c r="X965" s="62">
        <v>0.181944444444444</v>
      </c>
      <c r="Y965" s="62">
        <v>1.05055555555555</v>
      </c>
      <c r="Z965" s="62">
        <v>0.466666666666666</v>
      </c>
      <c r="AA965" s="62">
        <v>0.0</v>
      </c>
      <c r="AB965" s="62">
        <v>1.32722222222222</v>
      </c>
      <c r="AC965" s="62">
        <v>0.0</v>
      </c>
      <c r="AD965" s="62">
        <v>0.225555555555555</v>
      </c>
      <c r="AE965" s="62">
        <v>0.0</v>
      </c>
      <c r="AF965" s="62">
        <v>1.0</v>
      </c>
    </row>
    <row r="966">
      <c r="A966" s="68">
        <v>46085.0</v>
      </c>
      <c r="B966" s="62" t="s">
        <v>79</v>
      </c>
      <c r="C966" s="62" t="s">
        <v>162</v>
      </c>
      <c r="D966" s="62">
        <v>0.0</v>
      </c>
      <c r="E966" s="62">
        <v>0.0</v>
      </c>
      <c r="F966" s="62">
        <v>0.0</v>
      </c>
      <c r="G966" s="62">
        <v>0.0</v>
      </c>
      <c r="H966" s="62">
        <v>0.0</v>
      </c>
      <c r="I966" s="62">
        <v>0.0</v>
      </c>
      <c r="J966" s="62">
        <v>1.0</v>
      </c>
      <c r="K966" s="62">
        <v>0.0</v>
      </c>
      <c r="L966" s="62">
        <v>0.0</v>
      </c>
      <c r="M966" s="62">
        <v>0.0</v>
      </c>
      <c r="N966" s="62">
        <v>0.0</v>
      </c>
      <c r="O966" s="62">
        <v>1.0</v>
      </c>
      <c r="P966" s="62">
        <v>0.0</v>
      </c>
      <c r="Q966" s="62">
        <v>0.0</v>
      </c>
      <c r="R966" s="62">
        <v>0.0</v>
      </c>
      <c r="S966" s="62">
        <v>0.0</v>
      </c>
      <c r="T966" s="62">
        <v>0.0</v>
      </c>
      <c r="U966" s="62">
        <v>0.0</v>
      </c>
      <c r="V966" s="62">
        <v>0.0</v>
      </c>
      <c r="W966" s="62">
        <v>0.0</v>
      </c>
      <c r="X966" s="62">
        <v>0.0</v>
      </c>
      <c r="Y966" s="62">
        <v>0.208888888888888</v>
      </c>
      <c r="Z966" s="62">
        <v>0.0</v>
      </c>
      <c r="AA966" s="62">
        <v>0.0</v>
      </c>
      <c r="AB966" s="62">
        <v>0.0</v>
      </c>
      <c r="AC966" s="62">
        <v>0.0</v>
      </c>
      <c r="AD966" s="62">
        <v>0.166111111111111</v>
      </c>
      <c r="AE966" s="62">
        <v>0.0</v>
      </c>
      <c r="AF966" s="62">
        <v>0.0</v>
      </c>
    </row>
    <row r="967">
      <c r="A967" s="68">
        <v>46085.0</v>
      </c>
      <c r="B967" s="62" t="s">
        <v>71</v>
      </c>
      <c r="C967" s="62" t="s">
        <v>163</v>
      </c>
      <c r="D967" s="62">
        <v>0.0</v>
      </c>
      <c r="E967" s="62">
        <v>0.0</v>
      </c>
      <c r="F967" s="62">
        <v>0.0</v>
      </c>
      <c r="G967" s="62">
        <v>0.0</v>
      </c>
      <c r="H967" s="62">
        <v>0.0</v>
      </c>
      <c r="I967" s="62">
        <v>0.0</v>
      </c>
      <c r="J967" s="62">
        <v>0.0</v>
      </c>
      <c r="K967" s="62">
        <v>0.0</v>
      </c>
      <c r="L967" s="62">
        <v>0.0</v>
      </c>
      <c r="M967" s="62">
        <v>0.0</v>
      </c>
      <c r="N967" s="62">
        <v>2.0</v>
      </c>
      <c r="O967" s="62">
        <v>1.0</v>
      </c>
      <c r="P967" s="62">
        <v>2.0</v>
      </c>
      <c r="Q967" s="62">
        <v>0.0</v>
      </c>
      <c r="R967" s="62">
        <v>0.0</v>
      </c>
      <c r="S967" s="62">
        <v>0.0</v>
      </c>
      <c r="T967" s="62">
        <v>0.0</v>
      </c>
      <c r="U967" s="62">
        <v>0.0</v>
      </c>
      <c r="V967" s="62">
        <v>0.0</v>
      </c>
      <c r="W967" s="62">
        <v>0.0</v>
      </c>
      <c r="X967" s="62">
        <v>0.0</v>
      </c>
      <c r="Y967" s="62">
        <v>0.0</v>
      </c>
      <c r="Z967" s="62">
        <v>0.0</v>
      </c>
      <c r="AA967" s="62">
        <v>0.0</v>
      </c>
      <c r="AB967" s="62">
        <v>0.0</v>
      </c>
      <c r="AC967" s="62">
        <v>0.558055555555555</v>
      </c>
      <c r="AD967" s="62">
        <v>0.268333333333333</v>
      </c>
      <c r="AE967" s="62">
        <v>0.558055555555555</v>
      </c>
      <c r="AF967" s="62">
        <v>0.0</v>
      </c>
    </row>
    <row r="968">
      <c r="A968" s="68">
        <v>46085.0</v>
      </c>
      <c r="B968" s="62" t="s">
        <v>76</v>
      </c>
      <c r="C968" s="62" t="s">
        <v>165</v>
      </c>
      <c r="D968" s="62">
        <v>0.0</v>
      </c>
      <c r="E968" s="62">
        <v>0.0</v>
      </c>
      <c r="F968" s="62">
        <v>0.0</v>
      </c>
      <c r="G968" s="62">
        <v>0.0</v>
      </c>
      <c r="H968" s="62">
        <v>0.0</v>
      </c>
      <c r="I968" s="62">
        <v>0.0</v>
      </c>
      <c r="J968" s="62">
        <v>0.0</v>
      </c>
      <c r="K968" s="62">
        <v>0.0</v>
      </c>
      <c r="L968" s="62">
        <v>0.0</v>
      </c>
      <c r="M968" s="62">
        <v>0.0</v>
      </c>
      <c r="N968" s="62">
        <v>3.0</v>
      </c>
      <c r="O968" s="62">
        <v>1.0</v>
      </c>
      <c r="P968" s="62">
        <v>3.0</v>
      </c>
      <c r="Q968" s="62">
        <v>0.0</v>
      </c>
      <c r="R968" s="62">
        <v>0.0</v>
      </c>
      <c r="S968" s="62">
        <v>0.0</v>
      </c>
      <c r="T968" s="62">
        <v>0.0</v>
      </c>
      <c r="U968" s="62">
        <v>0.0</v>
      </c>
      <c r="V968" s="62">
        <v>0.0</v>
      </c>
      <c r="W968" s="62">
        <v>0.0</v>
      </c>
      <c r="X968" s="62">
        <v>0.0</v>
      </c>
      <c r="Y968" s="62">
        <v>0.0</v>
      </c>
      <c r="Z968" s="62">
        <v>0.0</v>
      </c>
      <c r="AA968" s="62">
        <v>0.0</v>
      </c>
      <c r="AB968" s="62">
        <v>0.0</v>
      </c>
      <c r="AC968" s="62">
        <v>0.813888888888888</v>
      </c>
      <c r="AD968" s="62">
        <v>0.243333333333333</v>
      </c>
      <c r="AE968" s="62">
        <v>0.813888888888888</v>
      </c>
      <c r="AF968" s="62">
        <v>0.0</v>
      </c>
    </row>
    <row r="969">
      <c r="A969" s="68">
        <v>46085.0</v>
      </c>
      <c r="B969" s="62" t="s">
        <v>32</v>
      </c>
      <c r="C969" s="62" t="s">
        <v>168</v>
      </c>
      <c r="D969" s="62">
        <v>0.0</v>
      </c>
      <c r="E969" s="62">
        <v>0.0</v>
      </c>
      <c r="F969" s="62">
        <v>0.0</v>
      </c>
      <c r="G969" s="62">
        <v>0.0</v>
      </c>
      <c r="H969" s="62">
        <v>1.0</v>
      </c>
      <c r="I969" s="62">
        <v>0.0</v>
      </c>
      <c r="J969" s="62">
        <v>4.0</v>
      </c>
      <c r="K969" s="62">
        <v>0.0</v>
      </c>
      <c r="L969" s="62">
        <v>0.0</v>
      </c>
      <c r="M969" s="62">
        <v>0.0</v>
      </c>
      <c r="N969" s="62">
        <v>0.0</v>
      </c>
      <c r="O969" s="62">
        <v>1.0</v>
      </c>
      <c r="P969" s="62">
        <v>0.0</v>
      </c>
      <c r="Q969" s="62">
        <v>0.0</v>
      </c>
      <c r="R969" s="62">
        <v>0.0</v>
      </c>
      <c r="S969" s="62">
        <v>0.0</v>
      </c>
      <c r="T969" s="62">
        <v>0.0</v>
      </c>
      <c r="U969" s="62">
        <v>0.0</v>
      </c>
      <c r="V969" s="62">
        <v>0.0</v>
      </c>
      <c r="W969" s="62">
        <v>0.235277777777777</v>
      </c>
      <c r="X969" s="62">
        <v>0.0</v>
      </c>
      <c r="Y969" s="62">
        <v>0.945</v>
      </c>
      <c r="Z969" s="62">
        <v>0.0</v>
      </c>
      <c r="AA969" s="62">
        <v>0.0</v>
      </c>
      <c r="AB969" s="62">
        <v>0.0</v>
      </c>
      <c r="AC969" s="62">
        <v>0.0</v>
      </c>
      <c r="AD969" s="62">
        <v>0.224444444444444</v>
      </c>
      <c r="AE969" s="62">
        <v>0.0</v>
      </c>
      <c r="AF969" s="62">
        <v>0.0</v>
      </c>
    </row>
    <row r="970">
      <c r="A970" s="68">
        <v>46085.0</v>
      </c>
      <c r="B970" s="62" t="s">
        <v>65</v>
      </c>
      <c r="C970" s="62" t="s">
        <v>173</v>
      </c>
      <c r="D970" s="62">
        <v>0.0</v>
      </c>
      <c r="E970" s="62">
        <v>0.0</v>
      </c>
      <c r="F970" s="62">
        <v>0.0</v>
      </c>
      <c r="G970" s="62">
        <v>0.0</v>
      </c>
      <c r="H970" s="62">
        <v>0.0</v>
      </c>
      <c r="I970" s="62">
        <v>0.0</v>
      </c>
      <c r="J970" s="62">
        <v>0.0</v>
      </c>
      <c r="K970" s="62">
        <v>0.0</v>
      </c>
      <c r="L970" s="62">
        <v>0.0</v>
      </c>
      <c r="M970" s="62">
        <v>0.0</v>
      </c>
      <c r="N970" s="62">
        <v>0.0</v>
      </c>
      <c r="O970" s="62">
        <v>0.0</v>
      </c>
      <c r="P970" s="62">
        <v>0.0</v>
      </c>
      <c r="Q970" s="62">
        <v>0.0</v>
      </c>
      <c r="R970" s="62">
        <v>0.0</v>
      </c>
      <c r="S970" s="62">
        <v>0.0</v>
      </c>
      <c r="T970" s="62">
        <v>0.542222222222222</v>
      </c>
      <c r="U970" s="62">
        <v>0.0</v>
      </c>
      <c r="V970" s="62">
        <v>0.0</v>
      </c>
      <c r="W970" s="62">
        <v>0.0</v>
      </c>
      <c r="X970" s="62">
        <v>0.0</v>
      </c>
      <c r="Y970" s="62">
        <v>0.0</v>
      </c>
      <c r="Z970" s="62">
        <v>0.0</v>
      </c>
      <c r="AA970" s="62">
        <v>0.0</v>
      </c>
      <c r="AB970" s="62">
        <v>0.0</v>
      </c>
      <c r="AC970" s="62">
        <v>0.0</v>
      </c>
      <c r="AD970" s="62">
        <v>0.0</v>
      </c>
      <c r="AE970" s="62">
        <v>0.0</v>
      </c>
      <c r="AF970" s="62">
        <v>2.0</v>
      </c>
    </row>
    <row r="971">
      <c r="A971" s="68">
        <v>46085.0</v>
      </c>
      <c r="B971" s="62" t="s">
        <v>37</v>
      </c>
      <c r="C971" s="62" t="s">
        <v>174</v>
      </c>
      <c r="D971" s="62">
        <v>0.0</v>
      </c>
      <c r="E971" s="62">
        <v>0.0</v>
      </c>
      <c r="F971" s="62">
        <v>0.0</v>
      </c>
      <c r="G971" s="62">
        <v>1.0</v>
      </c>
      <c r="H971" s="62">
        <v>1.0</v>
      </c>
      <c r="I971" s="62">
        <v>0.0</v>
      </c>
      <c r="J971" s="62">
        <v>0.0</v>
      </c>
      <c r="K971" s="62">
        <v>0.0</v>
      </c>
      <c r="L971" s="62">
        <v>3.0</v>
      </c>
      <c r="M971" s="62">
        <v>2.0</v>
      </c>
      <c r="N971" s="62">
        <v>0.0</v>
      </c>
      <c r="O971" s="62">
        <v>1.0</v>
      </c>
      <c r="P971" s="62">
        <v>0.0</v>
      </c>
      <c r="Q971" s="62">
        <v>0.0</v>
      </c>
      <c r="R971" s="62">
        <v>0.0</v>
      </c>
      <c r="S971" s="62">
        <v>0.0</v>
      </c>
      <c r="T971" s="62">
        <v>1.7125</v>
      </c>
      <c r="U971" s="62">
        <v>0.0</v>
      </c>
      <c r="V971" s="62">
        <v>0.266111111111111</v>
      </c>
      <c r="W971" s="62">
        <v>0.266111111111111</v>
      </c>
      <c r="X971" s="62">
        <v>0.0</v>
      </c>
      <c r="Y971" s="62">
        <v>0.0</v>
      </c>
      <c r="Z971" s="62">
        <v>0.0</v>
      </c>
      <c r="AA971" s="62">
        <v>0.827499999999999</v>
      </c>
      <c r="AB971" s="62">
        <v>0.550833333333333</v>
      </c>
      <c r="AC971" s="62">
        <v>0.0</v>
      </c>
      <c r="AD971" s="62">
        <v>0.260833333333333</v>
      </c>
      <c r="AE971" s="62">
        <v>0.0</v>
      </c>
      <c r="AF971" s="62">
        <v>6.0</v>
      </c>
    </row>
    <row r="972">
      <c r="A972" s="68">
        <v>46085.0</v>
      </c>
      <c r="B972" s="62" t="s">
        <v>81</v>
      </c>
      <c r="C972" s="62" t="s">
        <v>187</v>
      </c>
      <c r="D972" s="62">
        <v>0.0</v>
      </c>
      <c r="E972" s="62">
        <v>0.0</v>
      </c>
      <c r="F972" s="62">
        <v>0.0</v>
      </c>
      <c r="G972" s="62">
        <v>1.0</v>
      </c>
      <c r="H972" s="62">
        <v>1.0</v>
      </c>
      <c r="I972" s="62">
        <v>0.0</v>
      </c>
      <c r="J972" s="62">
        <v>1.0</v>
      </c>
      <c r="K972" s="62">
        <v>0.0</v>
      </c>
      <c r="L972" s="62">
        <v>0.0</v>
      </c>
      <c r="M972" s="62">
        <v>0.0</v>
      </c>
      <c r="N972" s="62">
        <v>1.0</v>
      </c>
      <c r="O972" s="62">
        <v>1.0</v>
      </c>
      <c r="P972" s="62">
        <v>1.0</v>
      </c>
      <c r="Q972" s="62">
        <v>0.0</v>
      </c>
      <c r="R972" s="62">
        <v>0.0</v>
      </c>
      <c r="S972" s="62">
        <v>0.0</v>
      </c>
      <c r="T972" s="62">
        <v>0.772222222222222</v>
      </c>
      <c r="U972" s="62">
        <v>0.0</v>
      </c>
      <c r="V972" s="62">
        <v>0.214722222222222</v>
      </c>
      <c r="W972" s="62">
        <v>0.214722222222222</v>
      </c>
      <c r="X972" s="62">
        <v>0.0</v>
      </c>
      <c r="Y972" s="62">
        <v>0.225277777777777</v>
      </c>
      <c r="Z972" s="62">
        <v>0.0</v>
      </c>
      <c r="AA972" s="62">
        <v>0.0</v>
      </c>
      <c r="AB972" s="62">
        <v>0.0</v>
      </c>
      <c r="AC972" s="62">
        <v>0.2</v>
      </c>
      <c r="AD972" s="62">
        <v>0.181666666666666</v>
      </c>
      <c r="AE972" s="62">
        <v>0.2</v>
      </c>
      <c r="AF972" s="62">
        <v>4.0</v>
      </c>
    </row>
    <row r="973">
      <c r="A973" s="68">
        <v>46085.0</v>
      </c>
      <c r="B973" s="62" t="s">
        <v>26</v>
      </c>
      <c r="C973" s="62" t="s">
        <v>178</v>
      </c>
      <c r="D973" s="62">
        <v>10.0</v>
      </c>
      <c r="E973" s="62">
        <v>0.0</v>
      </c>
      <c r="F973" s="62">
        <v>0.0</v>
      </c>
      <c r="G973" s="62">
        <v>4.0</v>
      </c>
      <c r="H973" s="62">
        <v>4.0</v>
      </c>
      <c r="I973" s="62">
        <v>0.0</v>
      </c>
      <c r="J973" s="62">
        <v>3.0</v>
      </c>
      <c r="K973" s="62">
        <v>0.0</v>
      </c>
      <c r="L973" s="62">
        <v>1.0</v>
      </c>
      <c r="M973" s="62">
        <v>1.0</v>
      </c>
      <c r="N973" s="62">
        <v>3.0</v>
      </c>
      <c r="O973" s="62">
        <v>1.0</v>
      </c>
      <c r="P973" s="62">
        <v>3.0</v>
      </c>
      <c r="Q973" s="62">
        <v>0.0</v>
      </c>
      <c r="R973" s="62">
        <v>22666.0</v>
      </c>
      <c r="S973" s="62">
        <v>0.0</v>
      </c>
      <c r="T973" s="62">
        <v>1.89583333333333</v>
      </c>
      <c r="U973" s="62">
        <v>0.0</v>
      </c>
      <c r="V973" s="62">
        <v>0.931388888888888</v>
      </c>
      <c r="W973" s="62">
        <v>0.931388888888888</v>
      </c>
      <c r="X973" s="62">
        <v>0.0</v>
      </c>
      <c r="Y973" s="62">
        <v>0.578055555555555</v>
      </c>
      <c r="Z973" s="62">
        <v>0.0</v>
      </c>
      <c r="AA973" s="62">
        <v>0.210833333333333</v>
      </c>
      <c r="AB973" s="62">
        <v>0.210833333333333</v>
      </c>
      <c r="AC973" s="62">
        <v>0.597777777777777</v>
      </c>
      <c r="AD973" s="62">
        <v>0.198055555555555</v>
      </c>
      <c r="AE973" s="62">
        <v>0.597777777777777</v>
      </c>
      <c r="AF973" s="62">
        <v>10.0</v>
      </c>
    </row>
    <row r="974">
      <c r="A974" s="68">
        <v>46085.0</v>
      </c>
      <c r="B974" s="62" t="s">
        <v>62</v>
      </c>
      <c r="C974" s="62" t="s">
        <v>63</v>
      </c>
      <c r="D974" s="62">
        <v>0.0</v>
      </c>
      <c r="E974" s="62">
        <v>0.0</v>
      </c>
      <c r="F974" s="62">
        <v>0.0</v>
      </c>
      <c r="G974" s="62">
        <v>0.0</v>
      </c>
      <c r="H974" s="62">
        <v>1.0</v>
      </c>
      <c r="I974" s="62">
        <v>0.0</v>
      </c>
      <c r="J974" s="62">
        <v>2.0</v>
      </c>
      <c r="K974" s="62">
        <v>0.0</v>
      </c>
      <c r="L974" s="62">
        <v>0.0</v>
      </c>
      <c r="M974" s="62">
        <v>0.0</v>
      </c>
      <c r="N974" s="62">
        <v>4.0</v>
      </c>
      <c r="O974" s="62">
        <v>0.0</v>
      </c>
      <c r="P974" s="62">
        <v>4.0</v>
      </c>
      <c r="Q974" s="62">
        <v>0.0</v>
      </c>
      <c r="R974" s="62">
        <v>0.0</v>
      </c>
      <c r="S974" s="62">
        <v>0.0</v>
      </c>
      <c r="T974" s="62">
        <v>0.597222222222222</v>
      </c>
      <c r="U974" s="62">
        <v>0.0</v>
      </c>
      <c r="V974" s="62">
        <v>0.0</v>
      </c>
      <c r="W974" s="62">
        <v>0.223055555555555</v>
      </c>
      <c r="X974" s="62">
        <v>0.0</v>
      </c>
      <c r="Y974" s="62">
        <v>0.443055555555555</v>
      </c>
      <c r="Z974" s="62">
        <v>0.0</v>
      </c>
      <c r="AA974" s="62">
        <v>0.0</v>
      </c>
      <c r="AB974" s="62">
        <v>0.0</v>
      </c>
      <c r="AC974" s="62">
        <v>0.961666666666666</v>
      </c>
      <c r="AD974" s="62">
        <v>0.0</v>
      </c>
      <c r="AE974" s="62">
        <v>0.961666666666666</v>
      </c>
      <c r="AF974" s="62">
        <v>3.0</v>
      </c>
    </row>
    <row r="975">
      <c r="A975" s="68">
        <v>46084.0</v>
      </c>
      <c r="B975" s="62" t="s">
        <v>79</v>
      </c>
      <c r="C975" s="62" t="s">
        <v>162</v>
      </c>
      <c r="D975" s="62">
        <v>0.0</v>
      </c>
      <c r="E975" s="62">
        <v>5.0</v>
      </c>
      <c r="F975" s="62">
        <v>0.0</v>
      </c>
      <c r="G975" s="62">
        <v>1.0</v>
      </c>
      <c r="H975" s="62">
        <v>4.0</v>
      </c>
      <c r="I975" s="62">
        <v>3.0</v>
      </c>
      <c r="J975" s="62">
        <v>2.0</v>
      </c>
      <c r="K975" s="62">
        <v>1.0</v>
      </c>
      <c r="L975" s="62">
        <v>0.0</v>
      </c>
      <c r="M975" s="62">
        <v>1.0</v>
      </c>
      <c r="N975" s="62">
        <v>0.0</v>
      </c>
      <c r="O975" s="62">
        <v>1.0</v>
      </c>
      <c r="P975" s="62">
        <v>0.0</v>
      </c>
      <c r="Q975" s="62">
        <v>0.0</v>
      </c>
      <c r="R975" s="62">
        <v>0.0</v>
      </c>
      <c r="S975" s="62">
        <v>10695.0</v>
      </c>
      <c r="T975" s="62">
        <v>0.401111111111111</v>
      </c>
      <c r="U975" s="62">
        <v>0.0</v>
      </c>
      <c r="V975" s="62">
        <v>0.208888888888888</v>
      </c>
      <c r="W975" s="62">
        <v>0.814722222222222</v>
      </c>
      <c r="X975" s="62">
        <v>0.605833333333333</v>
      </c>
      <c r="Y975" s="62">
        <v>0.390833333333333</v>
      </c>
      <c r="Z975" s="62">
        <v>0.19</v>
      </c>
      <c r="AA975" s="62">
        <v>0.0</v>
      </c>
      <c r="AB975" s="62">
        <v>0.187222222222222</v>
      </c>
      <c r="AC975" s="62">
        <v>0.0</v>
      </c>
      <c r="AD975" s="62">
        <v>0.156388888888888</v>
      </c>
      <c r="AE975" s="62">
        <v>0.0</v>
      </c>
      <c r="AF975" s="62">
        <v>2.0</v>
      </c>
    </row>
    <row r="976">
      <c r="A976" s="68">
        <v>46084.0</v>
      </c>
      <c r="B976" s="62" t="s">
        <v>71</v>
      </c>
      <c r="C976" s="62" t="s">
        <v>163</v>
      </c>
      <c r="D976" s="62">
        <v>2.0</v>
      </c>
      <c r="E976" s="62">
        <v>5.0</v>
      </c>
      <c r="F976" s="62">
        <v>0.0</v>
      </c>
      <c r="G976" s="62">
        <v>3.0</v>
      </c>
      <c r="H976" s="62">
        <v>3.0</v>
      </c>
      <c r="I976" s="62">
        <v>0.0</v>
      </c>
      <c r="J976" s="62">
        <v>3.0</v>
      </c>
      <c r="K976" s="62">
        <v>1.0</v>
      </c>
      <c r="L976" s="62">
        <v>0.0</v>
      </c>
      <c r="M976" s="62">
        <v>3.0</v>
      </c>
      <c r="N976" s="62">
        <v>0.0</v>
      </c>
      <c r="O976" s="62">
        <v>1.0</v>
      </c>
      <c r="P976" s="62">
        <v>0.0</v>
      </c>
      <c r="Q976" s="62">
        <v>0.0</v>
      </c>
      <c r="R976" s="62">
        <v>5398.0</v>
      </c>
      <c r="S976" s="62">
        <v>15695.0</v>
      </c>
      <c r="T976" s="62">
        <v>0.0</v>
      </c>
      <c r="U976" s="62">
        <v>0.0</v>
      </c>
      <c r="V976" s="62">
        <v>0.835833333333333</v>
      </c>
      <c r="W976" s="62">
        <v>0.835833333333333</v>
      </c>
      <c r="X976" s="62">
        <v>0.0</v>
      </c>
      <c r="Y976" s="62">
        <v>0.835833333333333</v>
      </c>
      <c r="Z976" s="62">
        <v>0.277777777777777</v>
      </c>
      <c r="AA976" s="62">
        <v>0.0</v>
      </c>
      <c r="AB976" s="62">
        <v>0.835833333333333</v>
      </c>
      <c r="AC976" s="62">
        <v>0.0</v>
      </c>
      <c r="AD976" s="62">
        <v>0.250833333333333</v>
      </c>
      <c r="AE976" s="62">
        <v>0.0</v>
      </c>
      <c r="AF976" s="62">
        <v>0.0</v>
      </c>
    </row>
    <row r="977">
      <c r="A977" s="68">
        <v>46084.0</v>
      </c>
      <c r="B977" s="62" t="s">
        <v>76</v>
      </c>
      <c r="C977" s="62" t="s">
        <v>165</v>
      </c>
      <c r="D977" s="62">
        <v>0.0</v>
      </c>
      <c r="E977" s="62">
        <v>3.0</v>
      </c>
      <c r="F977" s="62">
        <v>0.0</v>
      </c>
      <c r="G977" s="62">
        <v>0.0</v>
      </c>
      <c r="H977" s="62">
        <v>0.0</v>
      </c>
      <c r="I977" s="62">
        <v>0.0</v>
      </c>
      <c r="J977" s="62">
        <v>3.0</v>
      </c>
      <c r="K977" s="62">
        <v>1.0</v>
      </c>
      <c r="L977" s="62">
        <v>0.0</v>
      </c>
      <c r="M977" s="62">
        <v>2.0</v>
      </c>
      <c r="N977" s="62">
        <v>0.0</v>
      </c>
      <c r="O977" s="62">
        <v>1.0</v>
      </c>
      <c r="P977" s="62">
        <v>0.0</v>
      </c>
      <c r="Q977" s="62">
        <v>0.0</v>
      </c>
      <c r="R977" s="62">
        <v>0.0</v>
      </c>
      <c r="S977" s="62">
        <v>7416.0</v>
      </c>
      <c r="T977" s="62">
        <v>0.0</v>
      </c>
      <c r="U977" s="62">
        <v>0.0</v>
      </c>
      <c r="V977" s="62">
        <v>0.0</v>
      </c>
      <c r="W977" s="62">
        <v>0.0</v>
      </c>
      <c r="X977" s="62">
        <v>0.0</v>
      </c>
      <c r="Y977" s="62">
        <v>0.813611111111111</v>
      </c>
      <c r="Z977" s="62">
        <v>0.264444444444444</v>
      </c>
      <c r="AA977" s="62">
        <v>0.0</v>
      </c>
      <c r="AB977" s="62">
        <v>0.549166666666666</v>
      </c>
      <c r="AC977" s="62">
        <v>0.0</v>
      </c>
      <c r="AD977" s="62">
        <v>0.239166666666666</v>
      </c>
      <c r="AE977" s="62">
        <v>0.0</v>
      </c>
      <c r="AF977" s="62">
        <v>0.0</v>
      </c>
    </row>
    <row r="978">
      <c r="A978" s="68">
        <v>46084.0</v>
      </c>
      <c r="B978" s="62" t="s">
        <v>32</v>
      </c>
      <c r="C978" s="62" t="s">
        <v>168</v>
      </c>
      <c r="D978" s="62">
        <v>2.0</v>
      </c>
      <c r="E978" s="62">
        <v>3.0</v>
      </c>
      <c r="F978" s="62">
        <v>2.0</v>
      </c>
      <c r="G978" s="62">
        <v>0.0</v>
      </c>
      <c r="H978" s="62">
        <v>2.0</v>
      </c>
      <c r="I978" s="62">
        <v>2.0</v>
      </c>
      <c r="J978" s="62">
        <v>1.0</v>
      </c>
      <c r="K978" s="62">
        <v>0.0</v>
      </c>
      <c r="L978" s="62">
        <v>0.0</v>
      </c>
      <c r="M978" s="62">
        <v>0.0</v>
      </c>
      <c r="N978" s="62">
        <v>3.0</v>
      </c>
      <c r="O978" s="62">
        <v>1.0</v>
      </c>
      <c r="P978" s="62">
        <v>3.0</v>
      </c>
      <c r="Q978" s="62">
        <v>0.0</v>
      </c>
      <c r="R978" s="62">
        <v>5116.0</v>
      </c>
      <c r="S978" s="62">
        <v>7635.0</v>
      </c>
      <c r="T978" s="62">
        <v>1.16305555555555</v>
      </c>
      <c r="U978" s="62">
        <v>0.475</v>
      </c>
      <c r="V978" s="62">
        <v>0.0</v>
      </c>
      <c r="W978" s="62">
        <v>0.463333333333333</v>
      </c>
      <c r="X978" s="62">
        <v>0.463333333333333</v>
      </c>
      <c r="Y978" s="62">
        <v>0.238888888888888</v>
      </c>
      <c r="Z978" s="62">
        <v>0.0</v>
      </c>
      <c r="AA978" s="62">
        <v>0.0</v>
      </c>
      <c r="AB978" s="62">
        <v>0.0</v>
      </c>
      <c r="AC978" s="62">
        <v>0.699444444444444</v>
      </c>
      <c r="AD978" s="62">
        <v>0.202222222222222</v>
      </c>
      <c r="AE978" s="62">
        <v>0.699444444444444</v>
      </c>
      <c r="AF978" s="62">
        <v>5.0</v>
      </c>
    </row>
    <row r="979">
      <c r="A979" s="68">
        <v>46084.0</v>
      </c>
      <c r="B979" s="62" t="s">
        <v>37</v>
      </c>
      <c r="C979" s="62" t="s">
        <v>174</v>
      </c>
      <c r="D979" s="62">
        <v>2.0</v>
      </c>
      <c r="E979" s="62">
        <v>2.0</v>
      </c>
      <c r="F979" s="62">
        <v>5.0</v>
      </c>
      <c r="G979" s="62">
        <v>0.0</v>
      </c>
      <c r="H979" s="62">
        <v>0.0</v>
      </c>
      <c r="I979" s="62">
        <v>0.0</v>
      </c>
      <c r="J979" s="62">
        <v>4.0</v>
      </c>
      <c r="K979" s="62">
        <v>4.0</v>
      </c>
      <c r="L979" s="62">
        <v>0.0</v>
      </c>
      <c r="M979" s="62">
        <v>0.0</v>
      </c>
      <c r="N979" s="62">
        <v>0.0</v>
      </c>
      <c r="O979" s="62">
        <v>1.0</v>
      </c>
      <c r="P979" s="62">
        <v>0.0</v>
      </c>
      <c r="Q979" s="62">
        <v>0.0</v>
      </c>
      <c r="R979" s="62">
        <v>5301.0</v>
      </c>
      <c r="S979" s="62">
        <v>4844.0</v>
      </c>
      <c r="T979" s="62">
        <v>1.47805555555555</v>
      </c>
      <c r="U979" s="62">
        <v>1.47805555555555</v>
      </c>
      <c r="V979" s="62">
        <v>0.0</v>
      </c>
      <c r="W979" s="62">
        <v>0.0</v>
      </c>
      <c r="X979" s="62">
        <v>0.0</v>
      </c>
      <c r="Y979" s="62">
        <v>1.10666666666666</v>
      </c>
      <c r="Z979" s="62">
        <v>1.10666666666666</v>
      </c>
      <c r="AA979" s="62">
        <v>0.0</v>
      </c>
      <c r="AB979" s="62">
        <v>0.0</v>
      </c>
      <c r="AC979" s="62">
        <v>0.0</v>
      </c>
      <c r="AD979" s="62">
        <v>0.285</v>
      </c>
      <c r="AE979" s="62">
        <v>0.0</v>
      </c>
      <c r="AF979" s="62">
        <v>5.0</v>
      </c>
    </row>
    <row r="980">
      <c r="A980" s="68">
        <v>46084.0</v>
      </c>
      <c r="B980" s="62" t="s">
        <v>81</v>
      </c>
      <c r="C980" s="62" t="s">
        <v>187</v>
      </c>
      <c r="D980" s="62">
        <v>0.0</v>
      </c>
      <c r="E980" s="62">
        <v>1.0</v>
      </c>
      <c r="F980" s="62">
        <v>0.0</v>
      </c>
      <c r="G980" s="62">
        <v>0.0</v>
      </c>
      <c r="H980" s="62">
        <v>0.0</v>
      </c>
      <c r="I980" s="62">
        <v>0.0</v>
      </c>
      <c r="J980" s="62">
        <v>0.0</v>
      </c>
      <c r="K980" s="62">
        <v>0.0</v>
      </c>
      <c r="L980" s="62">
        <v>0.0</v>
      </c>
      <c r="M980" s="62">
        <v>0.0</v>
      </c>
      <c r="N980" s="62">
        <v>0.0</v>
      </c>
      <c r="O980" s="62">
        <v>1.0</v>
      </c>
      <c r="P980" s="62">
        <v>0.0</v>
      </c>
      <c r="Q980" s="62">
        <v>0.0</v>
      </c>
      <c r="R980" s="62">
        <v>0.0</v>
      </c>
      <c r="S980" s="62">
        <v>1923.0</v>
      </c>
      <c r="T980" s="62">
        <v>1.26333333333333</v>
      </c>
      <c r="U980" s="62">
        <v>0.0</v>
      </c>
      <c r="V980" s="62">
        <v>0.0</v>
      </c>
      <c r="W980" s="62">
        <v>0.0</v>
      </c>
      <c r="X980" s="62">
        <v>0.0</v>
      </c>
      <c r="Y980" s="62">
        <v>0.0</v>
      </c>
      <c r="Z980" s="62">
        <v>0.0</v>
      </c>
      <c r="AA980" s="62">
        <v>0.0</v>
      </c>
      <c r="AB980" s="62">
        <v>0.0</v>
      </c>
      <c r="AC980" s="62">
        <v>0.0</v>
      </c>
      <c r="AD980" s="62">
        <v>0.191388888888888</v>
      </c>
      <c r="AE980" s="62">
        <v>0.0</v>
      </c>
      <c r="AF980" s="62">
        <v>7.0</v>
      </c>
    </row>
    <row r="981">
      <c r="A981" s="68">
        <v>46084.0</v>
      </c>
      <c r="B981" s="62" t="s">
        <v>84</v>
      </c>
      <c r="C981" s="62" t="s">
        <v>186</v>
      </c>
      <c r="D981" s="62">
        <v>0.0</v>
      </c>
      <c r="E981" s="62">
        <v>1.0</v>
      </c>
      <c r="F981" s="62">
        <v>0.0</v>
      </c>
      <c r="G981" s="62">
        <v>0.0</v>
      </c>
      <c r="H981" s="62">
        <v>0.0</v>
      </c>
      <c r="I981" s="62">
        <v>0.0</v>
      </c>
      <c r="J981" s="62">
        <v>0.0</v>
      </c>
      <c r="K981" s="62">
        <v>0.0</v>
      </c>
      <c r="L981" s="62">
        <v>0.0</v>
      </c>
      <c r="M981" s="62">
        <v>0.0</v>
      </c>
      <c r="N981" s="62">
        <v>0.0</v>
      </c>
      <c r="O981" s="62">
        <v>0.0</v>
      </c>
      <c r="P981" s="62">
        <v>0.0</v>
      </c>
      <c r="Q981" s="62">
        <v>0.0</v>
      </c>
      <c r="R981" s="62">
        <v>0.0</v>
      </c>
      <c r="S981" s="62">
        <v>2531.0</v>
      </c>
      <c r="T981" s="62">
        <v>0.0</v>
      </c>
      <c r="U981" s="62">
        <v>0.0</v>
      </c>
      <c r="V981" s="62">
        <v>0.0</v>
      </c>
      <c r="W981" s="62">
        <v>0.0</v>
      </c>
      <c r="X981" s="62">
        <v>0.0</v>
      </c>
      <c r="Y981" s="62">
        <v>0.0</v>
      </c>
      <c r="Z981" s="62">
        <v>0.0</v>
      </c>
      <c r="AA981" s="62">
        <v>0.0</v>
      </c>
      <c r="AB981" s="62">
        <v>0.0</v>
      </c>
      <c r="AC981" s="62">
        <v>0.0</v>
      </c>
      <c r="AD981" s="62">
        <v>0.0</v>
      </c>
      <c r="AE981" s="62">
        <v>0.0</v>
      </c>
      <c r="AF981" s="62">
        <v>0.0</v>
      </c>
    </row>
    <row r="982">
      <c r="A982" s="68">
        <v>46084.0</v>
      </c>
      <c r="B982" s="62" t="s">
        <v>26</v>
      </c>
      <c r="C982" s="62" t="s">
        <v>178</v>
      </c>
      <c r="D982" s="62">
        <v>0.0</v>
      </c>
      <c r="E982" s="62">
        <v>12.0</v>
      </c>
      <c r="F982" s="62">
        <v>5.0</v>
      </c>
      <c r="G982" s="62">
        <v>0.0</v>
      </c>
      <c r="H982" s="62">
        <v>5.0</v>
      </c>
      <c r="I982" s="62">
        <v>5.0</v>
      </c>
      <c r="J982" s="62">
        <v>9.0</v>
      </c>
      <c r="K982" s="62">
        <v>1.0</v>
      </c>
      <c r="L982" s="62">
        <v>0.0</v>
      </c>
      <c r="M982" s="62">
        <v>7.0</v>
      </c>
      <c r="N982" s="62">
        <v>0.0</v>
      </c>
      <c r="O982" s="62">
        <v>1.0</v>
      </c>
      <c r="P982" s="62">
        <v>0.0</v>
      </c>
      <c r="Q982" s="62">
        <v>0.0</v>
      </c>
      <c r="R982" s="62">
        <v>0.0</v>
      </c>
      <c r="S982" s="62">
        <v>28726.0</v>
      </c>
      <c r="T982" s="62">
        <v>0.0</v>
      </c>
      <c r="U982" s="62">
        <v>1.19944444444444</v>
      </c>
      <c r="V982" s="62">
        <v>0.0</v>
      </c>
      <c r="W982" s="62">
        <v>1.05027777777777</v>
      </c>
      <c r="X982" s="62">
        <v>1.05027777777777</v>
      </c>
      <c r="Y982" s="62">
        <v>1.87777777777777</v>
      </c>
      <c r="Z982" s="62">
        <v>0.209722222222222</v>
      </c>
      <c r="AA982" s="62">
        <v>0.0</v>
      </c>
      <c r="AB982" s="62">
        <v>1.44833333333333</v>
      </c>
      <c r="AC982" s="62">
        <v>0.0</v>
      </c>
      <c r="AD982" s="62">
        <v>0.193055555555555</v>
      </c>
      <c r="AE982" s="62">
        <v>0.0</v>
      </c>
      <c r="AF982" s="62">
        <v>0.0</v>
      </c>
    </row>
    <row r="983">
      <c r="A983" s="68">
        <v>46084.0</v>
      </c>
      <c r="B983" s="62" t="s">
        <v>62</v>
      </c>
      <c r="C983" s="62" t="s">
        <v>63</v>
      </c>
      <c r="D983" s="62">
        <v>0.0</v>
      </c>
      <c r="E983" s="62">
        <v>0.0</v>
      </c>
      <c r="F983" s="62">
        <v>3.0</v>
      </c>
      <c r="G983" s="62">
        <v>0.0</v>
      </c>
      <c r="H983" s="62">
        <v>2.0</v>
      </c>
      <c r="I983" s="62">
        <v>0.0</v>
      </c>
      <c r="J983" s="62">
        <v>4.0</v>
      </c>
      <c r="K983" s="62">
        <v>2.0</v>
      </c>
      <c r="L983" s="62">
        <v>0.0</v>
      </c>
      <c r="M983" s="62">
        <v>3.0</v>
      </c>
      <c r="N983" s="62">
        <v>1.0</v>
      </c>
      <c r="O983" s="62">
        <v>1.0</v>
      </c>
      <c r="P983" s="62">
        <v>1.0</v>
      </c>
      <c r="Q983" s="62">
        <v>0.0</v>
      </c>
      <c r="R983" s="62">
        <v>0.0</v>
      </c>
      <c r="S983" s="62">
        <v>0.0</v>
      </c>
      <c r="T983" s="62">
        <v>0.595277777777777</v>
      </c>
      <c r="U983" s="62">
        <v>0.595277777777777</v>
      </c>
      <c r="V983" s="62">
        <v>0.0</v>
      </c>
      <c r="W983" s="62">
        <v>0.472222222222222</v>
      </c>
      <c r="X983" s="62">
        <v>0.0</v>
      </c>
      <c r="Y983" s="62">
        <v>0.946388888888888</v>
      </c>
      <c r="Z983" s="62">
        <v>0.465277777777777</v>
      </c>
      <c r="AA983" s="62">
        <v>0.0</v>
      </c>
      <c r="AB983" s="62">
        <v>0.703055555555555</v>
      </c>
      <c r="AC983" s="62">
        <v>0.261111111111111</v>
      </c>
      <c r="AD983" s="62">
        <v>0.259444444444444</v>
      </c>
      <c r="AE983" s="62">
        <v>0.261111111111111</v>
      </c>
      <c r="AF983" s="62">
        <v>3.0</v>
      </c>
    </row>
    <row r="984">
      <c r="A984" s="68">
        <v>46083.0</v>
      </c>
      <c r="B984" s="62" t="s">
        <v>79</v>
      </c>
      <c r="C984" s="62" t="s">
        <v>162</v>
      </c>
      <c r="D984" s="62">
        <v>0.0</v>
      </c>
      <c r="E984" s="62">
        <v>0.0</v>
      </c>
      <c r="F984" s="62">
        <v>2.0</v>
      </c>
      <c r="G984" s="62">
        <v>1.0</v>
      </c>
      <c r="H984" s="62">
        <v>1.0</v>
      </c>
      <c r="I984" s="62">
        <v>0.0</v>
      </c>
      <c r="J984" s="62">
        <v>1.0</v>
      </c>
      <c r="K984" s="62">
        <v>0.0</v>
      </c>
      <c r="L984" s="62">
        <v>0.0</v>
      </c>
      <c r="M984" s="62">
        <v>1.0</v>
      </c>
      <c r="N984" s="62">
        <v>1.0</v>
      </c>
      <c r="O984" s="62">
        <v>1.0</v>
      </c>
      <c r="P984" s="62">
        <v>1.0</v>
      </c>
      <c r="Q984" s="62">
        <v>0.0</v>
      </c>
      <c r="R984" s="62">
        <v>0.0</v>
      </c>
      <c r="S984" s="62">
        <v>0.0</v>
      </c>
      <c r="T984" s="62">
        <v>0.621944444444444</v>
      </c>
      <c r="U984" s="62">
        <v>0.417222222222222</v>
      </c>
      <c r="V984" s="62">
        <v>0.187222222222222</v>
      </c>
      <c r="W984" s="62">
        <v>0.187222222222222</v>
      </c>
      <c r="X984" s="62">
        <v>0.0</v>
      </c>
      <c r="Y984" s="62">
        <v>0.19</v>
      </c>
      <c r="Z984" s="62">
        <v>0.0</v>
      </c>
      <c r="AA984" s="62">
        <v>0.0</v>
      </c>
      <c r="AB984" s="62">
        <v>0.180277777777777</v>
      </c>
      <c r="AC984" s="62">
        <v>0.180277777777777</v>
      </c>
      <c r="AD984" s="62">
        <v>0.167222222222222</v>
      </c>
      <c r="AE984" s="62">
        <v>0.180277777777777</v>
      </c>
      <c r="AF984" s="62">
        <v>3.0</v>
      </c>
    </row>
    <row r="985">
      <c r="A985" s="68">
        <v>46083.0</v>
      </c>
      <c r="B985" s="62" t="s">
        <v>71</v>
      </c>
      <c r="C985" s="62" t="s">
        <v>163</v>
      </c>
      <c r="D985" s="62">
        <v>6.0</v>
      </c>
      <c r="E985" s="62">
        <v>0.0</v>
      </c>
      <c r="F985" s="62">
        <v>2.0</v>
      </c>
      <c r="G985" s="62">
        <v>0.0</v>
      </c>
      <c r="H985" s="62">
        <v>0.0</v>
      </c>
      <c r="I985" s="62">
        <v>0.0</v>
      </c>
      <c r="J985" s="62">
        <v>0.0</v>
      </c>
      <c r="K985" s="62">
        <v>0.0</v>
      </c>
      <c r="L985" s="62">
        <v>0.0</v>
      </c>
      <c r="M985" s="62">
        <v>4.0</v>
      </c>
      <c r="N985" s="62">
        <v>4.0</v>
      </c>
      <c r="O985" s="62">
        <v>1.0</v>
      </c>
      <c r="P985" s="62">
        <v>4.0</v>
      </c>
      <c r="Q985" s="62">
        <v>0.0</v>
      </c>
      <c r="R985" s="62">
        <v>15998.0</v>
      </c>
      <c r="S985" s="62">
        <v>0.0</v>
      </c>
      <c r="T985" s="62">
        <v>0.566111111111111</v>
      </c>
      <c r="U985" s="62">
        <v>0.566111111111111</v>
      </c>
      <c r="V985" s="62">
        <v>0.0</v>
      </c>
      <c r="W985" s="62">
        <v>0.0</v>
      </c>
      <c r="X985" s="62">
        <v>0.0</v>
      </c>
      <c r="Y985" s="62">
        <v>0.0</v>
      </c>
      <c r="Z985" s="62">
        <v>0.0</v>
      </c>
      <c r="AA985" s="62">
        <v>0.0</v>
      </c>
      <c r="AB985" s="62">
        <v>1.11833333333333</v>
      </c>
      <c r="AC985" s="62">
        <v>1.11833333333333</v>
      </c>
      <c r="AD985" s="62">
        <v>0.256388888888888</v>
      </c>
      <c r="AE985" s="62">
        <v>1.11833333333333</v>
      </c>
      <c r="AF985" s="62">
        <v>2.0</v>
      </c>
    </row>
    <row r="986">
      <c r="A986" s="68">
        <v>46083.0</v>
      </c>
      <c r="B986" s="62" t="s">
        <v>76</v>
      </c>
      <c r="C986" s="62" t="s">
        <v>165</v>
      </c>
      <c r="D986" s="62">
        <v>0.0</v>
      </c>
      <c r="E986" s="62">
        <v>3.0</v>
      </c>
      <c r="F986" s="62">
        <v>2.0</v>
      </c>
      <c r="G986" s="62">
        <v>1.0</v>
      </c>
      <c r="H986" s="62">
        <v>1.0</v>
      </c>
      <c r="I986" s="62">
        <v>0.0</v>
      </c>
      <c r="J986" s="62">
        <v>2.0</v>
      </c>
      <c r="K986" s="62">
        <v>0.0</v>
      </c>
      <c r="L986" s="62">
        <v>0.0</v>
      </c>
      <c r="M986" s="62">
        <v>2.0</v>
      </c>
      <c r="N986" s="62">
        <v>0.0</v>
      </c>
      <c r="O986" s="62">
        <v>1.0</v>
      </c>
      <c r="P986" s="62">
        <v>0.0</v>
      </c>
      <c r="Q986" s="62">
        <v>0.0</v>
      </c>
      <c r="R986" s="62">
        <v>0.0</v>
      </c>
      <c r="S986" s="62">
        <v>7872.0</v>
      </c>
      <c r="T986" s="62">
        <v>0.526111111111111</v>
      </c>
      <c r="U986" s="62">
        <v>0.526111111111111</v>
      </c>
      <c r="V986" s="62">
        <v>0.299444444444444</v>
      </c>
      <c r="W986" s="62">
        <v>0.299444444444444</v>
      </c>
      <c r="X986" s="62">
        <v>0.0</v>
      </c>
      <c r="Y986" s="62">
        <v>0.514444444444444</v>
      </c>
      <c r="Z986" s="62">
        <v>0.0</v>
      </c>
      <c r="AA986" s="62">
        <v>0.0</v>
      </c>
      <c r="AB986" s="62">
        <v>0.514444444444444</v>
      </c>
      <c r="AC986" s="62">
        <v>0.0</v>
      </c>
      <c r="AD986" s="62">
        <v>0.236388888888888</v>
      </c>
      <c r="AE986" s="62">
        <v>0.0</v>
      </c>
      <c r="AF986" s="62">
        <v>2.0</v>
      </c>
    </row>
    <row r="987">
      <c r="A987" s="68">
        <v>46083.0</v>
      </c>
      <c r="B987" s="62" t="s">
        <v>32</v>
      </c>
      <c r="C987" s="62" t="s">
        <v>168</v>
      </c>
      <c r="D987" s="62">
        <v>4.0</v>
      </c>
      <c r="E987" s="62">
        <v>4.0</v>
      </c>
      <c r="F987" s="62">
        <v>1.0</v>
      </c>
      <c r="G987" s="62">
        <v>0.0</v>
      </c>
      <c r="H987" s="62">
        <v>3.0</v>
      </c>
      <c r="I987" s="62">
        <v>2.0</v>
      </c>
      <c r="J987" s="62">
        <v>3.0</v>
      </c>
      <c r="K987" s="62">
        <v>0.0</v>
      </c>
      <c r="L987" s="62">
        <v>0.0</v>
      </c>
      <c r="M987" s="62">
        <v>3.0</v>
      </c>
      <c r="N987" s="62">
        <v>0.0</v>
      </c>
      <c r="O987" s="62">
        <v>1.0</v>
      </c>
      <c r="P987" s="62">
        <v>0.0</v>
      </c>
      <c r="Q987" s="62">
        <v>0.0</v>
      </c>
      <c r="R987" s="62">
        <v>10312.0</v>
      </c>
      <c r="S987" s="62">
        <v>10312.0</v>
      </c>
      <c r="T987" s="62">
        <v>0.729444444444444</v>
      </c>
      <c r="U987" s="62">
        <v>0.245833333333333</v>
      </c>
      <c r="V987" s="62">
        <v>0.0</v>
      </c>
      <c r="W987" s="62">
        <v>0.733333333333333</v>
      </c>
      <c r="X987" s="62">
        <v>0.483611111111111</v>
      </c>
      <c r="Y987" s="62">
        <v>0.699444444444444</v>
      </c>
      <c r="Z987" s="62">
        <v>0.0</v>
      </c>
      <c r="AA987" s="62">
        <v>0.0</v>
      </c>
      <c r="AB987" s="62">
        <v>0.699444444444444</v>
      </c>
      <c r="AC987" s="62">
        <v>0.0</v>
      </c>
      <c r="AD987" s="62">
        <v>0.201111111111111</v>
      </c>
      <c r="AE987" s="62">
        <v>0.0</v>
      </c>
      <c r="AF987" s="62">
        <v>3.0</v>
      </c>
    </row>
    <row r="988">
      <c r="A988" s="68">
        <v>46083.0</v>
      </c>
      <c r="B988" s="62" t="s">
        <v>37</v>
      </c>
      <c r="C988" s="62" t="s">
        <v>174</v>
      </c>
      <c r="D988" s="62">
        <v>7.0</v>
      </c>
      <c r="E988" s="62">
        <v>2.0</v>
      </c>
      <c r="F988" s="62">
        <v>5.0</v>
      </c>
      <c r="G988" s="62">
        <v>5.0</v>
      </c>
      <c r="H988" s="62">
        <v>5.0</v>
      </c>
      <c r="I988" s="62">
        <v>0.0</v>
      </c>
      <c r="J988" s="62">
        <v>1.0</v>
      </c>
      <c r="K988" s="62">
        <v>1.0</v>
      </c>
      <c r="L988" s="62">
        <v>0.0</v>
      </c>
      <c r="M988" s="62">
        <v>1.0</v>
      </c>
      <c r="N988" s="62">
        <v>1.0</v>
      </c>
      <c r="O988" s="62">
        <v>1.0</v>
      </c>
      <c r="P988" s="62">
        <v>1.0</v>
      </c>
      <c r="Q988" s="62">
        <v>0.0</v>
      </c>
      <c r="R988" s="62">
        <v>18579.0</v>
      </c>
      <c r="S988" s="62">
        <v>4594.0</v>
      </c>
      <c r="T988" s="62">
        <v>1.38305555555555</v>
      </c>
      <c r="U988" s="62">
        <v>1.38305555555555</v>
      </c>
      <c r="V988" s="62">
        <v>1.39111111111111</v>
      </c>
      <c r="W988" s="62">
        <v>1.39111111111111</v>
      </c>
      <c r="X988" s="62">
        <v>0.0</v>
      </c>
      <c r="Y988" s="62">
        <v>0.284444444444444</v>
      </c>
      <c r="Z988" s="62">
        <v>0.284444444444444</v>
      </c>
      <c r="AA988" s="62">
        <v>0.0</v>
      </c>
      <c r="AB988" s="62">
        <v>0.258333333333333</v>
      </c>
      <c r="AC988" s="62">
        <v>0.235277777777777</v>
      </c>
      <c r="AD988" s="62">
        <v>0.238611111111111</v>
      </c>
      <c r="AE988" s="62">
        <v>0.235277777777777</v>
      </c>
      <c r="AF988" s="62">
        <v>5.0</v>
      </c>
    </row>
    <row r="989">
      <c r="A989" s="68">
        <v>46083.0</v>
      </c>
      <c r="B989" s="62" t="s">
        <v>81</v>
      </c>
      <c r="C989" s="62" t="s">
        <v>187</v>
      </c>
      <c r="D989" s="62">
        <v>0.0</v>
      </c>
      <c r="E989" s="62">
        <v>4.0</v>
      </c>
      <c r="F989" s="62">
        <v>2.0</v>
      </c>
      <c r="G989" s="62">
        <v>1.0</v>
      </c>
      <c r="H989" s="62">
        <v>2.0</v>
      </c>
      <c r="I989" s="62">
        <v>1.0</v>
      </c>
      <c r="J989" s="62">
        <v>1.0</v>
      </c>
      <c r="K989" s="62">
        <v>0.0</v>
      </c>
      <c r="L989" s="62">
        <v>0.0</v>
      </c>
      <c r="M989" s="62">
        <v>1.0</v>
      </c>
      <c r="N989" s="62">
        <v>0.0</v>
      </c>
      <c r="O989" s="62">
        <v>1.0</v>
      </c>
      <c r="P989" s="62">
        <v>0.0</v>
      </c>
      <c r="Q989" s="62">
        <v>0.0</v>
      </c>
      <c r="R989" s="62">
        <v>0.0</v>
      </c>
      <c r="S989" s="62">
        <v>8439.0</v>
      </c>
      <c r="T989" s="62">
        <v>0.691666666666666</v>
      </c>
      <c r="U989" s="62">
        <v>0.407777777777777</v>
      </c>
      <c r="V989" s="62">
        <v>0.2</v>
      </c>
      <c r="W989" s="62">
        <v>0.423333333333333</v>
      </c>
      <c r="X989" s="62">
        <v>0.223333333333333</v>
      </c>
      <c r="Y989" s="62">
        <v>0.2</v>
      </c>
      <c r="Z989" s="62">
        <v>0.0</v>
      </c>
      <c r="AA989" s="62">
        <v>0.0</v>
      </c>
      <c r="AB989" s="62">
        <v>0.2</v>
      </c>
      <c r="AC989" s="62">
        <v>0.0</v>
      </c>
      <c r="AD989" s="62">
        <v>0.2175</v>
      </c>
      <c r="AE989" s="62">
        <v>0.0</v>
      </c>
      <c r="AF989" s="62">
        <v>3.0</v>
      </c>
    </row>
    <row r="990">
      <c r="A990" s="68">
        <v>46083.0</v>
      </c>
      <c r="B990" s="62" t="s">
        <v>84</v>
      </c>
      <c r="C990" s="62" t="s">
        <v>186</v>
      </c>
      <c r="D990" s="62">
        <v>0.0</v>
      </c>
      <c r="E990" s="62">
        <v>2.0</v>
      </c>
      <c r="F990" s="62">
        <v>0.0</v>
      </c>
      <c r="G990" s="62">
        <v>0.0</v>
      </c>
      <c r="H990" s="62">
        <v>0.0</v>
      </c>
      <c r="I990" s="62">
        <v>0.0</v>
      </c>
      <c r="J990" s="62">
        <v>0.0</v>
      </c>
      <c r="K990" s="62">
        <v>0.0</v>
      </c>
      <c r="L990" s="62">
        <v>0.0</v>
      </c>
      <c r="M990" s="62">
        <v>0.0</v>
      </c>
      <c r="N990" s="62">
        <v>0.0</v>
      </c>
      <c r="O990" s="62">
        <v>0.0</v>
      </c>
      <c r="P990" s="62">
        <v>0.0</v>
      </c>
      <c r="Q990" s="62">
        <v>0.0</v>
      </c>
      <c r="R990" s="62">
        <v>0.0</v>
      </c>
      <c r="S990" s="62">
        <v>4949.0</v>
      </c>
      <c r="T990" s="62">
        <v>0.0</v>
      </c>
      <c r="U990" s="62">
        <v>0.0</v>
      </c>
      <c r="V990" s="62">
        <v>0.0</v>
      </c>
      <c r="W990" s="62">
        <v>0.0</v>
      </c>
      <c r="X990" s="62">
        <v>0.0</v>
      </c>
      <c r="Y990" s="62">
        <v>0.0</v>
      </c>
      <c r="Z990" s="62">
        <v>0.0</v>
      </c>
      <c r="AA990" s="62">
        <v>0.0</v>
      </c>
      <c r="AB990" s="62">
        <v>0.0</v>
      </c>
      <c r="AC990" s="62">
        <v>0.0</v>
      </c>
      <c r="AD990" s="62">
        <v>0.0</v>
      </c>
      <c r="AE990" s="62">
        <v>0.0</v>
      </c>
      <c r="AF990" s="62">
        <v>0.0</v>
      </c>
    </row>
    <row r="991">
      <c r="A991" s="68">
        <v>46083.0</v>
      </c>
      <c r="B991" s="62" t="s">
        <v>26</v>
      </c>
      <c r="C991" s="62" t="s">
        <v>178</v>
      </c>
      <c r="D991" s="62">
        <v>0.0</v>
      </c>
      <c r="E991" s="62">
        <v>10.0</v>
      </c>
      <c r="F991" s="62">
        <v>1.0</v>
      </c>
      <c r="G991" s="62">
        <v>1.0</v>
      </c>
      <c r="H991" s="62">
        <v>10.0</v>
      </c>
      <c r="I991" s="62">
        <v>9.0</v>
      </c>
      <c r="J991" s="62">
        <v>1.0</v>
      </c>
      <c r="K991" s="62">
        <v>0.0</v>
      </c>
      <c r="L991" s="62">
        <v>7.0</v>
      </c>
      <c r="M991" s="62">
        <v>9.0</v>
      </c>
      <c r="N991" s="62">
        <v>9.0</v>
      </c>
      <c r="O991" s="62">
        <v>1.0</v>
      </c>
      <c r="P991" s="62">
        <v>9.0</v>
      </c>
      <c r="Q991" s="62">
        <v>0.0</v>
      </c>
      <c r="R991" s="62">
        <v>0.0</v>
      </c>
      <c r="S991" s="62">
        <v>24368.0</v>
      </c>
      <c r="T991" s="62">
        <v>4.32722222222222</v>
      </c>
      <c r="U991" s="62">
        <v>0.198333333333333</v>
      </c>
      <c r="V991" s="62">
        <v>0.208333333333333</v>
      </c>
      <c r="W991" s="62">
        <v>2.0875</v>
      </c>
      <c r="X991" s="62">
        <v>1.87916666666666</v>
      </c>
      <c r="Y991" s="62">
        <v>0.208333333333333</v>
      </c>
      <c r="Z991" s="62">
        <v>0.0</v>
      </c>
      <c r="AA991" s="62">
        <v>1.41416666666666</v>
      </c>
      <c r="AB991" s="62">
        <v>1.82083333333333</v>
      </c>
      <c r="AC991" s="62">
        <v>1.82083333333333</v>
      </c>
      <c r="AD991" s="62">
        <v>0.189444444444444</v>
      </c>
      <c r="AE991" s="62">
        <v>1.82083333333333</v>
      </c>
      <c r="AF991" s="62">
        <v>20.0</v>
      </c>
    </row>
    <row r="992">
      <c r="A992" s="68">
        <v>46083.0</v>
      </c>
      <c r="B992" s="62" t="s">
        <v>62</v>
      </c>
      <c r="C992" s="62" t="s">
        <v>63</v>
      </c>
      <c r="D992" s="62">
        <v>0.0</v>
      </c>
      <c r="E992" s="62">
        <v>0.0</v>
      </c>
      <c r="F992" s="62">
        <v>0.0</v>
      </c>
      <c r="G992" s="62">
        <v>0.0</v>
      </c>
      <c r="H992" s="62">
        <v>0.0</v>
      </c>
      <c r="I992" s="62">
        <v>0.0</v>
      </c>
      <c r="J992" s="62">
        <v>0.0</v>
      </c>
      <c r="K992" s="62">
        <v>0.0</v>
      </c>
      <c r="L992" s="62">
        <v>0.0</v>
      </c>
      <c r="M992" s="62">
        <v>2.0</v>
      </c>
      <c r="N992" s="62">
        <v>0.0</v>
      </c>
      <c r="O992" s="62">
        <v>1.0</v>
      </c>
      <c r="P992" s="62">
        <v>0.0</v>
      </c>
      <c r="Q992" s="62">
        <v>0.0</v>
      </c>
      <c r="R992" s="62">
        <v>0.0</v>
      </c>
      <c r="S992" s="62">
        <v>0.0</v>
      </c>
      <c r="T992" s="62">
        <v>0.0</v>
      </c>
      <c r="U992" s="62">
        <v>0.0</v>
      </c>
      <c r="V992" s="62">
        <v>0.0</v>
      </c>
      <c r="W992" s="62">
        <v>0.0</v>
      </c>
      <c r="X992" s="62">
        <v>0.0</v>
      </c>
      <c r="Y992" s="62">
        <v>0.0</v>
      </c>
      <c r="Z992" s="62">
        <v>0.0</v>
      </c>
      <c r="AA992" s="62">
        <v>0.0</v>
      </c>
      <c r="AB992" s="62">
        <v>0.519722222222222</v>
      </c>
      <c r="AC992" s="62">
        <v>0.0</v>
      </c>
      <c r="AD992" s="62">
        <v>0.218333333333333</v>
      </c>
      <c r="AE992" s="62">
        <v>0.0</v>
      </c>
      <c r="AF992" s="62">
        <v>0.0</v>
      </c>
    </row>
    <row r="993">
      <c r="A993" s="68">
        <v>46082.0</v>
      </c>
      <c r="B993" s="62" t="s">
        <v>76</v>
      </c>
      <c r="C993" s="62" t="s">
        <v>165</v>
      </c>
      <c r="D993" s="62">
        <v>20.0</v>
      </c>
      <c r="E993" s="62">
        <v>0.0</v>
      </c>
      <c r="F993" s="62">
        <v>0.0</v>
      </c>
      <c r="G993" s="62">
        <v>0.0</v>
      </c>
      <c r="H993" s="62">
        <v>0.0</v>
      </c>
      <c r="I993" s="62">
        <v>0.0</v>
      </c>
      <c r="J993" s="62">
        <v>0.0</v>
      </c>
      <c r="K993" s="62">
        <v>0.0</v>
      </c>
      <c r="L993" s="62">
        <v>0.0</v>
      </c>
      <c r="M993" s="62">
        <v>0.0</v>
      </c>
      <c r="N993" s="62">
        <v>0.0</v>
      </c>
      <c r="O993" s="62">
        <v>1.0</v>
      </c>
      <c r="P993" s="62">
        <v>0.0</v>
      </c>
      <c r="Q993" s="62">
        <v>0.0</v>
      </c>
      <c r="R993" s="62">
        <v>60312.0</v>
      </c>
      <c r="S993" s="62">
        <v>0.0</v>
      </c>
      <c r="T993" s="62">
        <v>0.0</v>
      </c>
      <c r="U993" s="62">
        <v>0.0</v>
      </c>
      <c r="V993" s="62">
        <v>0.0</v>
      </c>
      <c r="W993" s="62">
        <v>0.0</v>
      </c>
      <c r="X993" s="62">
        <v>0.0</v>
      </c>
      <c r="Y993" s="62">
        <v>0.0</v>
      </c>
      <c r="Z993" s="62">
        <v>0.0</v>
      </c>
      <c r="AA993" s="62">
        <v>0.0</v>
      </c>
      <c r="AB993" s="62">
        <v>0.0</v>
      </c>
      <c r="AC993" s="62">
        <v>0.0</v>
      </c>
      <c r="AD993" s="62">
        <v>0.233611111111111</v>
      </c>
      <c r="AE993" s="62">
        <v>0.0</v>
      </c>
      <c r="AF993" s="62">
        <v>0.0</v>
      </c>
    </row>
    <row r="994">
      <c r="A994" s="68">
        <v>46082.0</v>
      </c>
      <c r="B994" s="62" t="s">
        <v>84</v>
      </c>
      <c r="C994" s="62" t="s">
        <v>186</v>
      </c>
      <c r="D994" s="62">
        <v>2.0</v>
      </c>
      <c r="E994" s="62">
        <v>0.0</v>
      </c>
      <c r="F994" s="62">
        <v>0.0</v>
      </c>
      <c r="G994" s="62">
        <v>0.0</v>
      </c>
      <c r="H994" s="62">
        <v>0.0</v>
      </c>
      <c r="I994" s="62">
        <v>0.0</v>
      </c>
      <c r="J994" s="62">
        <v>0.0</v>
      </c>
      <c r="K994" s="62">
        <v>0.0</v>
      </c>
      <c r="L994" s="62">
        <v>0.0</v>
      </c>
      <c r="M994" s="62">
        <v>0.0</v>
      </c>
      <c r="N994" s="62">
        <v>0.0</v>
      </c>
      <c r="O994" s="62">
        <v>0.0</v>
      </c>
      <c r="P994" s="62">
        <v>0.0</v>
      </c>
      <c r="Q994" s="62">
        <v>0.0</v>
      </c>
      <c r="R994" s="62">
        <v>5053.0</v>
      </c>
      <c r="S994" s="62">
        <v>0.0</v>
      </c>
      <c r="T994" s="62">
        <v>0.0</v>
      </c>
      <c r="U994" s="62">
        <v>0.0</v>
      </c>
      <c r="V994" s="62">
        <v>0.0</v>
      </c>
      <c r="W994" s="62">
        <v>0.0</v>
      </c>
      <c r="X994" s="62">
        <v>0.0</v>
      </c>
      <c r="Y994" s="62">
        <v>0.0</v>
      </c>
      <c r="Z994" s="62">
        <v>0.0</v>
      </c>
      <c r="AA994" s="62">
        <v>0.0</v>
      </c>
      <c r="AB994" s="62">
        <v>0.0</v>
      </c>
      <c r="AC994" s="62">
        <v>0.0</v>
      </c>
      <c r="AD994" s="62">
        <v>0.0</v>
      </c>
      <c r="AE994" s="62">
        <v>0.0</v>
      </c>
      <c r="AF994" s="62">
        <v>0.0</v>
      </c>
    </row>
    <row r="995">
      <c r="A995" s="68">
        <v>46081.0</v>
      </c>
      <c r="B995" s="62" t="s">
        <v>79</v>
      </c>
      <c r="C995" s="62" t="s">
        <v>162</v>
      </c>
      <c r="D995" s="62">
        <v>0.0</v>
      </c>
      <c r="E995" s="62">
        <v>0.0</v>
      </c>
      <c r="F995" s="62">
        <v>0.0</v>
      </c>
      <c r="G995" s="62">
        <v>0.0</v>
      </c>
      <c r="H995" s="62">
        <v>0.0</v>
      </c>
      <c r="I995" s="62">
        <v>0.0</v>
      </c>
      <c r="J995" s="62">
        <v>0.0</v>
      </c>
      <c r="K995" s="62">
        <v>0.0</v>
      </c>
      <c r="L995" s="62">
        <v>6.0</v>
      </c>
      <c r="M995" s="62">
        <v>2.0</v>
      </c>
      <c r="N995" s="62">
        <v>11.0</v>
      </c>
      <c r="O995" s="62">
        <v>1.0</v>
      </c>
      <c r="P995" s="62">
        <v>11.0</v>
      </c>
      <c r="Q995" s="62">
        <v>0.0</v>
      </c>
      <c r="R995" s="62">
        <v>0.0</v>
      </c>
      <c r="S995" s="62">
        <v>0.0</v>
      </c>
      <c r="T995" s="62">
        <v>0.0</v>
      </c>
      <c r="U995" s="62">
        <v>0.0</v>
      </c>
      <c r="V995" s="62">
        <v>0.0</v>
      </c>
      <c r="W995" s="62">
        <v>0.0</v>
      </c>
      <c r="X995" s="62">
        <v>0.0</v>
      </c>
      <c r="Y995" s="62">
        <v>0.0</v>
      </c>
      <c r="Z995" s="62">
        <v>0.0</v>
      </c>
      <c r="AA995" s="62">
        <v>1.15249999999999</v>
      </c>
      <c r="AB995" s="62">
        <v>0.36</v>
      </c>
      <c r="AC995" s="62">
        <v>2.07888888888888</v>
      </c>
      <c r="AD995" s="62">
        <v>0.150555555555555</v>
      </c>
      <c r="AE995" s="62">
        <v>2.07888888888888</v>
      </c>
      <c r="AF995" s="62">
        <v>0.0</v>
      </c>
    </row>
    <row r="996">
      <c r="A996" s="68">
        <v>46081.0</v>
      </c>
      <c r="B996" s="62" t="s">
        <v>71</v>
      </c>
      <c r="C996" s="62" t="s">
        <v>163</v>
      </c>
      <c r="D996" s="62">
        <v>0.0</v>
      </c>
      <c r="E996" s="62">
        <v>1.0</v>
      </c>
      <c r="F996" s="62">
        <v>0.0</v>
      </c>
      <c r="G996" s="62">
        <v>0.0</v>
      </c>
      <c r="H996" s="62">
        <v>0.0</v>
      </c>
      <c r="I996" s="62">
        <v>0.0</v>
      </c>
      <c r="J996" s="62">
        <v>0.0</v>
      </c>
      <c r="K996" s="62">
        <v>0.0</v>
      </c>
      <c r="L996" s="62">
        <v>1.0</v>
      </c>
      <c r="M996" s="62">
        <v>0.0</v>
      </c>
      <c r="N996" s="62">
        <v>0.0</v>
      </c>
      <c r="O996" s="62">
        <v>1.0</v>
      </c>
      <c r="P996" s="62">
        <v>0.0</v>
      </c>
      <c r="Q996" s="62">
        <v>0.0</v>
      </c>
      <c r="R996" s="62">
        <v>0.0</v>
      </c>
      <c r="S996" s="62">
        <v>3080.0</v>
      </c>
      <c r="T996" s="62">
        <v>0.0</v>
      </c>
      <c r="U996" s="62">
        <v>0.0</v>
      </c>
      <c r="V996" s="62">
        <v>0.0</v>
      </c>
      <c r="W996" s="62">
        <v>0.0</v>
      </c>
      <c r="X996" s="62">
        <v>0.0</v>
      </c>
      <c r="Y996" s="62">
        <v>0.0</v>
      </c>
      <c r="Z996" s="62">
        <v>0.0</v>
      </c>
      <c r="AA996" s="62">
        <v>0.281944444444444</v>
      </c>
      <c r="AB996" s="62">
        <v>0.0</v>
      </c>
      <c r="AC996" s="62">
        <v>0.0</v>
      </c>
      <c r="AD996" s="62">
        <v>0.284444444444444</v>
      </c>
      <c r="AE996" s="62">
        <v>0.0</v>
      </c>
      <c r="AF996" s="62">
        <v>0.0</v>
      </c>
    </row>
    <row r="997">
      <c r="A997" s="68">
        <v>46081.0</v>
      </c>
      <c r="B997" s="62" t="s">
        <v>76</v>
      </c>
      <c r="C997" s="62" t="s">
        <v>165</v>
      </c>
      <c r="D997" s="62">
        <v>0.0</v>
      </c>
      <c r="E997" s="62">
        <v>0.0</v>
      </c>
      <c r="F997" s="62">
        <v>0.0</v>
      </c>
      <c r="G997" s="62">
        <v>0.0</v>
      </c>
      <c r="H997" s="62">
        <v>0.0</v>
      </c>
      <c r="I997" s="62">
        <v>0.0</v>
      </c>
      <c r="J997" s="62">
        <v>0.0</v>
      </c>
      <c r="K997" s="62">
        <v>0.0</v>
      </c>
      <c r="L997" s="62">
        <v>0.0</v>
      </c>
      <c r="M997" s="62">
        <v>0.0</v>
      </c>
      <c r="N997" s="62">
        <v>1.0</v>
      </c>
      <c r="O997" s="62">
        <v>1.0</v>
      </c>
      <c r="P997" s="62">
        <v>1.0</v>
      </c>
      <c r="Q997" s="62">
        <v>0.0</v>
      </c>
      <c r="R997" s="62">
        <v>0.0</v>
      </c>
      <c r="S997" s="62">
        <v>0.0</v>
      </c>
      <c r="T997" s="62">
        <v>0.0</v>
      </c>
      <c r="U997" s="62">
        <v>0.0</v>
      </c>
      <c r="V997" s="62">
        <v>0.0</v>
      </c>
      <c r="W997" s="62">
        <v>0.0</v>
      </c>
      <c r="X997" s="62">
        <v>0.0</v>
      </c>
      <c r="Y997" s="62">
        <v>0.0</v>
      </c>
      <c r="Z997" s="62">
        <v>0.0</v>
      </c>
      <c r="AA997" s="62">
        <v>0.0</v>
      </c>
      <c r="AB997" s="62">
        <v>0.0</v>
      </c>
      <c r="AC997" s="62">
        <v>0.28</v>
      </c>
      <c r="AD997" s="62">
        <v>0.248611111111111</v>
      </c>
      <c r="AE997" s="62">
        <v>0.28</v>
      </c>
      <c r="AF997" s="62">
        <v>0.0</v>
      </c>
    </row>
    <row r="998">
      <c r="A998" s="68">
        <v>46081.0</v>
      </c>
      <c r="B998" s="62" t="s">
        <v>81</v>
      </c>
      <c r="C998" s="62" t="s">
        <v>187</v>
      </c>
      <c r="D998" s="62">
        <v>0.0</v>
      </c>
      <c r="E998" s="62">
        <v>4.0</v>
      </c>
      <c r="F998" s="62">
        <v>0.0</v>
      </c>
      <c r="G998" s="62">
        <v>0.0</v>
      </c>
      <c r="H998" s="62">
        <v>0.0</v>
      </c>
      <c r="I998" s="62">
        <v>0.0</v>
      </c>
      <c r="J998" s="62">
        <v>0.0</v>
      </c>
      <c r="K998" s="62">
        <v>0.0</v>
      </c>
      <c r="L998" s="62">
        <v>0.0</v>
      </c>
      <c r="M998" s="62">
        <v>0.0</v>
      </c>
      <c r="N998" s="62">
        <v>2.0</v>
      </c>
      <c r="O998" s="62">
        <v>1.0</v>
      </c>
      <c r="P998" s="62">
        <v>2.0</v>
      </c>
      <c r="Q998" s="62">
        <v>0.0</v>
      </c>
      <c r="R998" s="62">
        <v>0.0</v>
      </c>
      <c r="S998" s="62">
        <v>8777.0</v>
      </c>
      <c r="T998" s="62">
        <v>0.0</v>
      </c>
      <c r="U998" s="62">
        <v>0.0</v>
      </c>
      <c r="V998" s="62">
        <v>0.0</v>
      </c>
      <c r="W998" s="62">
        <v>0.0</v>
      </c>
      <c r="X998" s="62">
        <v>0.0</v>
      </c>
      <c r="Y998" s="62">
        <v>0.0</v>
      </c>
      <c r="Z998" s="62">
        <v>0.0</v>
      </c>
      <c r="AA998" s="62">
        <v>0.0</v>
      </c>
      <c r="AB998" s="62">
        <v>0.0</v>
      </c>
      <c r="AC998" s="62">
        <v>0.464722222222222</v>
      </c>
      <c r="AD998" s="62">
        <v>0.217777777777777</v>
      </c>
      <c r="AE998" s="62">
        <v>0.464722222222222</v>
      </c>
      <c r="AF998" s="62">
        <v>0.0</v>
      </c>
    </row>
    <row r="999">
      <c r="A999" s="68">
        <v>46081.0</v>
      </c>
      <c r="B999" s="62" t="s">
        <v>62</v>
      </c>
      <c r="C999" s="62" t="s">
        <v>63</v>
      </c>
      <c r="D999" s="62">
        <v>0.0</v>
      </c>
      <c r="E999" s="62">
        <v>0.0</v>
      </c>
      <c r="F999" s="62">
        <v>0.0</v>
      </c>
      <c r="G999" s="62">
        <v>0.0</v>
      </c>
      <c r="H999" s="62">
        <v>0.0</v>
      </c>
      <c r="I999" s="62">
        <v>0.0</v>
      </c>
      <c r="J999" s="62">
        <v>0.0</v>
      </c>
      <c r="K999" s="62">
        <v>0.0</v>
      </c>
      <c r="L999" s="62">
        <v>0.0</v>
      </c>
      <c r="M999" s="62">
        <v>0.0</v>
      </c>
      <c r="N999" s="62">
        <v>4.0</v>
      </c>
      <c r="O999" s="62">
        <v>1.0</v>
      </c>
      <c r="P999" s="62">
        <v>4.0</v>
      </c>
      <c r="Q999" s="62">
        <v>0.0</v>
      </c>
      <c r="R999" s="62">
        <v>0.0</v>
      </c>
      <c r="S999" s="62">
        <v>0.0</v>
      </c>
      <c r="T999" s="62">
        <v>0.0</v>
      </c>
      <c r="U999" s="62">
        <v>0.0</v>
      </c>
      <c r="V999" s="62">
        <v>0.0</v>
      </c>
      <c r="W999" s="62">
        <v>0.0</v>
      </c>
      <c r="X999" s="62">
        <v>0.0</v>
      </c>
      <c r="Y999" s="62">
        <v>0.0</v>
      </c>
      <c r="Z999" s="62">
        <v>0.0</v>
      </c>
      <c r="AA999" s="62">
        <v>0.0</v>
      </c>
      <c r="AB999" s="62">
        <v>0.0</v>
      </c>
      <c r="AC999" s="62">
        <v>0.972222222222222</v>
      </c>
      <c r="AD999" s="62">
        <v>0.216666666666666</v>
      </c>
      <c r="AE999" s="62">
        <v>0.972222222222222</v>
      </c>
      <c r="AF999" s="62">
        <v>0.0</v>
      </c>
    </row>
    <row r="1000">
      <c r="A1000" s="68">
        <v>46080.0</v>
      </c>
      <c r="B1000" s="62" t="s">
        <v>79</v>
      </c>
      <c r="C1000" s="62" t="s">
        <v>162</v>
      </c>
      <c r="D1000" s="62">
        <v>0.0</v>
      </c>
      <c r="E1000" s="62">
        <v>0.0</v>
      </c>
      <c r="F1000" s="62">
        <v>1.0</v>
      </c>
      <c r="G1000" s="62">
        <v>1.0</v>
      </c>
      <c r="H1000" s="62">
        <v>3.0</v>
      </c>
      <c r="I1000" s="62">
        <v>2.0</v>
      </c>
      <c r="J1000" s="62">
        <v>6.0</v>
      </c>
      <c r="K1000" s="62">
        <v>6.0</v>
      </c>
      <c r="L1000" s="62">
        <v>3.0</v>
      </c>
      <c r="M1000" s="62">
        <v>8.0</v>
      </c>
      <c r="N1000" s="62">
        <v>3.0</v>
      </c>
      <c r="O1000" s="62">
        <v>1.0</v>
      </c>
      <c r="P1000" s="62">
        <v>3.0</v>
      </c>
      <c r="Q1000" s="62">
        <v>0.0</v>
      </c>
      <c r="R1000" s="62">
        <v>0.0</v>
      </c>
      <c r="S1000" s="62">
        <v>0.0</v>
      </c>
      <c r="T1000" s="62">
        <v>0.559722222222222</v>
      </c>
      <c r="U1000" s="62">
        <v>0.188333333333333</v>
      </c>
      <c r="V1000" s="62">
        <v>0.184166666666666</v>
      </c>
      <c r="W1000" s="62">
        <v>0.555555555555555</v>
      </c>
      <c r="X1000" s="62">
        <v>0.371388888888888</v>
      </c>
      <c r="Y1000" s="62">
        <v>1.15361111111111</v>
      </c>
      <c r="Z1000" s="62">
        <v>1.15361111111111</v>
      </c>
      <c r="AA1000" s="62">
        <v>0.548611111111111</v>
      </c>
      <c r="AB1000" s="62">
        <v>1.44666666666666</v>
      </c>
      <c r="AC1000" s="62">
        <v>0.510555555555555</v>
      </c>
      <c r="AD1000" s="62">
        <v>0.151388888888888</v>
      </c>
      <c r="AE1000" s="62">
        <v>0.510555555555555</v>
      </c>
      <c r="AF1000" s="62">
        <v>3.0</v>
      </c>
    </row>
    <row r="1001">
      <c r="A1001" s="68">
        <v>46080.0</v>
      </c>
      <c r="B1001" s="62" t="s">
        <v>71</v>
      </c>
      <c r="C1001" s="62" t="s">
        <v>163</v>
      </c>
      <c r="D1001" s="62">
        <v>0.0</v>
      </c>
      <c r="E1001" s="62">
        <v>3.0</v>
      </c>
      <c r="F1001" s="62">
        <v>3.0</v>
      </c>
      <c r="G1001" s="62">
        <v>5.0</v>
      </c>
      <c r="H1001" s="62">
        <v>5.0</v>
      </c>
      <c r="I1001" s="62">
        <v>0.0</v>
      </c>
      <c r="J1001" s="62">
        <v>6.0</v>
      </c>
      <c r="K1001" s="62">
        <v>1.0</v>
      </c>
      <c r="L1001" s="62">
        <v>0.0</v>
      </c>
      <c r="M1001" s="62">
        <v>2.0</v>
      </c>
      <c r="N1001" s="62">
        <v>2.0</v>
      </c>
      <c r="O1001" s="62">
        <v>1.0</v>
      </c>
      <c r="P1001" s="62">
        <v>2.0</v>
      </c>
      <c r="Q1001" s="62">
        <v>0.0</v>
      </c>
      <c r="R1001" s="62">
        <v>0.0</v>
      </c>
      <c r="S1001" s="62">
        <v>9198.0</v>
      </c>
      <c r="T1001" s="62">
        <v>0.823333333333333</v>
      </c>
      <c r="U1001" s="62">
        <v>0.823333333333333</v>
      </c>
      <c r="V1001" s="62">
        <v>1.41111111111111</v>
      </c>
      <c r="W1001" s="62">
        <v>1.41111111111111</v>
      </c>
      <c r="X1001" s="62">
        <v>0.0</v>
      </c>
      <c r="Y1001" s="62">
        <v>1.68027777777777</v>
      </c>
      <c r="Z1001" s="62">
        <v>0.2825</v>
      </c>
      <c r="AA1001" s="62">
        <v>0.0</v>
      </c>
      <c r="AB1001" s="62">
        <v>0.561388888888888</v>
      </c>
      <c r="AC1001" s="62">
        <v>0.561388888888888</v>
      </c>
      <c r="AD1001" s="62">
        <v>0.287777777777777</v>
      </c>
      <c r="AE1001" s="62">
        <v>0.561388888888888</v>
      </c>
      <c r="AF1001" s="62">
        <v>3.0</v>
      </c>
    </row>
    <row r="1002">
      <c r="A1002" s="68">
        <v>46080.0</v>
      </c>
      <c r="B1002" s="62" t="s">
        <v>76</v>
      </c>
      <c r="C1002" s="62" t="s">
        <v>165</v>
      </c>
      <c r="D1002" s="62">
        <v>0.0</v>
      </c>
      <c r="E1002" s="62">
        <v>0.0</v>
      </c>
      <c r="F1002" s="62">
        <v>5.0</v>
      </c>
      <c r="G1002" s="62">
        <v>5.0</v>
      </c>
      <c r="H1002" s="62">
        <v>7.0</v>
      </c>
      <c r="I1002" s="62">
        <v>2.0</v>
      </c>
      <c r="J1002" s="62">
        <v>5.0</v>
      </c>
      <c r="K1002" s="62">
        <v>1.0</v>
      </c>
      <c r="L1002" s="62">
        <v>1.0</v>
      </c>
      <c r="M1002" s="62">
        <v>6.0</v>
      </c>
      <c r="N1002" s="62">
        <v>12.0</v>
      </c>
      <c r="O1002" s="62">
        <v>1.0</v>
      </c>
      <c r="P1002" s="62">
        <v>12.0</v>
      </c>
      <c r="Q1002" s="62">
        <v>0.0</v>
      </c>
      <c r="R1002" s="62">
        <v>0.0</v>
      </c>
      <c r="S1002" s="62">
        <v>0.0</v>
      </c>
      <c r="T1002" s="62">
        <v>0.256666666666666</v>
      </c>
      <c r="U1002" s="62">
        <v>1.38777777777777</v>
      </c>
      <c r="V1002" s="62">
        <v>1.35027777777777</v>
      </c>
      <c r="W1002" s="62">
        <v>1.86305555555555</v>
      </c>
      <c r="X1002" s="62">
        <v>0.512777777777777</v>
      </c>
      <c r="Y1002" s="62">
        <v>1.35027777777777</v>
      </c>
      <c r="Z1002" s="62">
        <v>0.284166666666666</v>
      </c>
      <c r="AA1002" s="62">
        <v>0.238888888888888</v>
      </c>
      <c r="AB1002" s="62">
        <v>1.58916666666666</v>
      </c>
      <c r="AC1002" s="62">
        <v>3.265</v>
      </c>
      <c r="AD1002" s="62">
        <v>0.256944444444444</v>
      </c>
      <c r="AE1002" s="62">
        <v>3.265</v>
      </c>
      <c r="AF1002" s="62">
        <v>1.0</v>
      </c>
    </row>
    <row r="1003">
      <c r="A1003" s="68">
        <v>46080.0</v>
      </c>
      <c r="B1003" s="62" t="s">
        <v>32</v>
      </c>
      <c r="C1003" s="62" t="s">
        <v>168</v>
      </c>
      <c r="D1003" s="62">
        <v>5.0</v>
      </c>
      <c r="E1003" s="62">
        <v>5.0</v>
      </c>
      <c r="F1003" s="62">
        <v>0.0</v>
      </c>
      <c r="G1003" s="62">
        <v>0.0</v>
      </c>
      <c r="H1003" s="62">
        <v>0.0</v>
      </c>
      <c r="I1003" s="62">
        <v>0.0</v>
      </c>
      <c r="J1003" s="62">
        <v>5.0</v>
      </c>
      <c r="K1003" s="62">
        <v>1.0</v>
      </c>
      <c r="L1003" s="62">
        <v>0.0</v>
      </c>
      <c r="M1003" s="62">
        <v>8.0</v>
      </c>
      <c r="N1003" s="62">
        <v>10.0</v>
      </c>
      <c r="O1003" s="62">
        <v>1.0</v>
      </c>
      <c r="P1003" s="62">
        <v>10.0</v>
      </c>
      <c r="Q1003" s="62">
        <v>0.0</v>
      </c>
      <c r="R1003" s="62">
        <v>12690.0</v>
      </c>
      <c r="S1003" s="62">
        <v>12690.0</v>
      </c>
      <c r="T1003" s="62">
        <v>0.0</v>
      </c>
      <c r="U1003" s="62">
        <v>0.0</v>
      </c>
      <c r="V1003" s="62">
        <v>0.0</v>
      </c>
      <c r="W1003" s="62">
        <v>0.0</v>
      </c>
      <c r="X1003" s="62">
        <v>0.0</v>
      </c>
      <c r="Y1003" s="62">
        <v>1.26666666666666</v>
      </c>
      <c r="Z1003" s="62">
        <v>0.260555555555555</v>
      </c>
      <c r="AA1003" s="62">
        <v>0.0</v>
      </c>
      <c r="AB1003" s="62">
        <v>2.02777777777777</v>
      </c>
      <c r="AC1003" s="62">
        <v>2.52805555555555</v>
      </c>
      <c r="AD1003" s="62">
        <v>0.216388888888888</v>
      </c>
      <c r="AE1003" s="62">
        <v>2.52805555555555</v>
      </c>
      <c r="AF1003" s="62">
        <v>0.0</v>
      </c>
    </row>
    <row r="1004">
      <c r="A1004" s="68">
        <v>46080.0</v>
      </c>
      <c r="B1004" s="62" t="s">
        <v>65</v>
      </c>
      <c r="C1004" s="62" t="s">
        <v>173</v>
      </c>
      <c r="D1004" s="62">
        <v>5.0</v>
      </c>
      <c r="E1004" s="62">
        <v>0.0</v>
      </c>
      <c r="F1004" s="62">
        <v>0.0</v>
      </c>
      <c r="G1004" s="62">
        <v>0.0</v>
      </c>
      <c r="H1004" s="62">
        <v>0.0</v>
      </c>
      <c r="I1004" s="62">
        <v>0.0</v>
      </c>
      <c r="J1004" s="62">
        <v>0.0</v>
      </c>
      <c r="K1004" s="62">
        <v>0.0</v>
      </c>
      <c r="L1004" s="62">
        <v>0.0</v>
      </c>
      <c r="M1004" s="62">
        <v>0.0</v>
      </c>
      <c r="N1004" s="62">
        <v>0.0</v>
      </c>
      <c r="O1004" s="62">
        <v>0.0</v>
      </c>
      <c r="P1004" s="62">
        <v>0.0</v>
      </c>
      <c r="Q1004" s="62">
        <v>0.0</v>
      </c>
      <c r="R1004" s="62">
        <v>12537.0</v>
      </c>
      <c r="S1004" s="62">
        <v>0.0</v>
      </c>
      <c r="T1004" s="62">
        <v>0.0</v>
      </c>
      <c r="U1004" s="62">
        <v>0.0</v>
      </c>
      <c r="V1004" s="62">
        <v>0.0</v>
      </c>
      <c r="W1004" s="62">
        <v>0.0</v>
      </c>
      <c r="X1004" s="62">
        <v>0.0</v>
      </c>
      <c r="Y1004" s="62">
        <v>0.0</v>
      </c>
      <c r="Z1004" s="62">
        <v>0.0</v>
      </c>
      <c r="AA1004" s="62">
        <v>0.0</v>
      </c>
      <c r="AB1004" s="62">
        <v>0.0</v>
      </c>
      <c r="AC1004" s="62">
        <v>0.0</v>
      </c>
      <c r="AD1004" s="62">
        <v>0.0</v>
      </c>
      <c r="AE1004" s="62">
        <v>0.0</v>
      </c>
      <c r="AF1004" s="62">
        <v>0.0</v>
      </c>
    </row>
    <row r="1005">
      <c r="A1005" s="68">
        <v>46080.0</v>
      </c>
      <c r="B1005" s="62" t="s">
        <v>37</v>
      </c>
      <c r="C1005" s="62" t="s">
        <v>174</v>
      </c>
      <c r="D1005" s="62">
        <v>3.0</v>
      </c>
      <c r="E1005" s="62">
        <v>0.0</v>
      </c>
      <c r="F1005" s="62">
        <v>0.0</v>
      </c>
      <c r="G1005" s="62">
        <v>0.0</v>
      </c>
      <c r="H1005" s="62">
        <v>1.0</v>
      </c>
      <c r="I1005" s="62">
        <v>0.0</v>
      </c>
      <c r="J1005" s="62">
        <v>3.0</v>
      </c>
      <c r="K1005" s="62">
        <v>0.0</v>
      </c>
      <c r="L1005" s="62">
        <v>0.0</v>
      </c>
      <c r="M1005" s="62">
        <v>3.0</v>
      </c>
      <c r="N1005" s="62">
        <v>7.0</v>
      </c>
      <c r="O1005" s="62">
        <v>1.0</v>
      </c>
      <c r="P1005" s="62">
        <v>7.0</v>
      </c>
      <c r="Q1005" s="62">
        <v>0.0</v>
      </c>
      <c r="R1005" s="62">
        <v>7630.0</v>
      </c>
      <c r="S1005" s="62">
        <v>0.0</v>
      </c>
      <c r="T1005" s="62">
        <v>0.0</v>
      </c>
      <c r="U1005" s="62">
        <v>0.0</v>
      </c>
      <c r="V1005" s="62">
        <v>0.0</v>
      </c>
      <c r="W1005" s="62">
        <v>0.235277777777777</v>
      </c>
      <c r="X1005" s="62">
        <v>0.0</v>
      </c>
      <c r="Y1005" s="62">
        <v>0.789166666666666</v>
      </c>
      <c r="Z1005" s="62">
        <v>0.0</v>
      </c>
      <c r="AA1005" s="62">
        <v>0.0</v>
      </c>
      <c r="AB1005" s="62">
        <v>0.826666666666666</v>
      </c>
      <c r="AC1005" s="62">
        <v>1.96555555555555</v>
      </c>
      <c r="AD1005" s="62">
        <v>0.268611111111111</v>
      </c>
      <c r="AE1005" s="62">
        <v>1.96555555555555</v>
      </c>
      <c r="AF1005" s="62">
        <v>0.0</v>
      </c>
    </row>
    <row r="1006">
      <c r="A1006" s="68">
        <v>46080.0</v>
      </c>
      <c r="B1006" s="62" t="s">
        <v>81</v>
      </c>
      <c r="C1006" s="62" t="s">
        <v>187</v>
      </c>
      <c r="D1006" s="62">
        <v>0.0</v>
      </c>
      <c r="E1006" s="62">
        <v>1.0</v>
      </c>
      <c r="F1006" s="62">
        <v>0.0</v>
      </c>
      <c r="G1006" s="62">
        <v>1.0</v>
      </c>
      <c r="H1006" s="62">
        <v>1.0</v>
      </c>
      <c r="I1006" s="62">
        <v>0.0</v>
      </c>
      <c r="J1006" s="62">
        <v>1.0</v>
      </c>
      <c r="K1006" s="62">
        <v>0.0</v>
      </c>
      <c r="L1006" s="62">
        <v>1.0</v>
      </c>
      <c r="M1006" s="62">
        <v>2.0</v>
      </c>
      <c r="N1006" s="62">
        <v>5.0</v>
      </c>
      <c r="O1006" s="62">
        <v>1.0</v>
      </c>
      <c r="P1006" s="62">
        <v>5.0</v>
      </c>
      <c r="Q1006" s="62">
        <v>0.0</v>
      </c>
      <c r="R1006" s="62">
        <v>0.0</v>
      </c>
      <c r="S1006" s="62">
        <v>1989.0</v>
      </c>
      <c r="T1006" s="62">
        <v>0.0</v>
      </c>
      <c r="U1006" s="62">
        <v>0.0</v>
      </c>
      <c r="V1006" s="62">
        <v>0.23</v>
      </c>
      <c r="W1006" s="62">
        <v>0.23</v>
      </c>
      <c r="X1006" s="62">
        <v>0.0</v>
      </c>
      <c r="Y1006" s="62">
        <v>0.23</v>
      </c>
      <c r="Z1006" s="62">
        <v>0.0</v>
      </c>
      <c r="AA1006" s="62">
        <v>0.22</v>
      </c>
      <c r="AB1006" s="62">
        <v>0.45</v>
      </c>
      <c r="AC1006" s="62">
        <v>1.09722222222222</v>
      </c>
      <c r="AD1006" s="62">
        <v>0.215</v>
      </c>
      <c r="AE1006" s="62">
        <v>1.09722222222222</v>
      </c>
      <c r="AF1006" s="62">
        <v>0.0</v>
      </c>
    </row>
    <row r="1007">
      <c r="A1007" s="68">
        <v>46080.0</v>
      </c>
      <c r="B1007" s="62" t="s">
        <v>84</v>
      </c>
      <c r="C1007" s="62" t="s">
        <v>186</v>
      </c>
      <c r="D1007" s="62">
        <v>3.0</v>
      </c>
      <c r="E1007" s="62">
        <v>2.0</v>
      </c>
      <c r="F1007" s="62">
        <v>0.0</v>
      </c>
      <c r="G1007" s="62">
        <v>0.0</v>
      </c>
      <c r="H1007" s="62">
        <v>0.0</v>
      </c>
      <c r="I1007" s="62">
        <v>0.0</v>
      </c>
      <c r="J1007" s="62">
        <v>0.0</v>
      </c>
      <c r="K1007" s="62">
        <v>0.0</v>
      </c>
      <c r="L1007" s="62">
        <v>0.0</v>
      </c>
      <c r="M1007" s="62">
        <v>0.0</v>
      </c>
      <c r="N1007" s="62">
        <v>0.0</v>
      </c>
      <c r="O1007" s="62">
        <v>0.0</v>
      </c>
      <c r="P1007" s="62">
        <v>0.0</v>
      </c>
      <c r="Q1007" s="62">
        <v>0.0</v>
      </c>
      <c r="R1007" s="62">
        <v>7406.0</v>
      </c>
      <c r="S1007" s="62">
        <v>5129.0</v>
      </c>
      <c r="T1007" s="62">
        <v>0.0</v>
      </c>
      <c r="U1007" s="62">
        <v>0.0</v>
      </c>
      <c r="V1007" s="62">
        <v>0.0</v>
      </c>
      <c r="W1007" s="62">
        <v>0.0</v>
      </c>
      <c r="X1007" s="62">
        <v>0.0</v>
      </c>
      <c r="Y1007" s="62">
        <v>0.0</v>
      </c>
      <c r="Z1007" s="62">
        <v>0.0</v>
      </c>
      <c r="AA1007" s="62">
        <v>0.0</v>
      </c>
      <c r="AB1007" s="62">
        <v>0.0</v>
      </c>
      <c r="AC1007" s="62">
        <v>0.0</v>
      </c>
      <c r="AD1007" s="62">
        <v>0.0</v>
      </c>
      <c r="AE1007" s="62">
        <v>0.0</v>
      </c>
      <c r="AF1007" s="62">
        <v>0.0</v>
      </c>
    </row>
    <row r="1008">
      <c r="A1008" s="68">
        <v>46080.0</v>
      </c>
      <c r="B1008" s="62" t="s">
        <v>26</v>
      </c>
      <c r="C1008" s="62" t="s">
        <v>178</v>
      </c>
      <c r="D1008" s="62">
        <v>20.0</v>
      </c>
      <c r="E1008" s="62">
        <v>0.0</v>
      </c>
      <c r="F1008" s="62">
        <v>0.0</v>
      </c>
      <c r="G1008" s="62">
        <v>4.0</v>
      </c>
      <c r="H1008" s="62">
        <v>4.0</v>
      </c>
      <c r="I1008" s="62">
        <v>0.0</v>
      </c>
      <c r="J1008" s="62">
        <v>9.0</v>
      </c>
      <c r="K1008" s="62">
        <v>8.0</v>
      </c>
      <c r="L1008" s="62">
        <v>1.0</v>
      </c>
      <c r="M1008" s="62">
        <v>0.0</v>
      </c>
      <c r="N1008" s="62">
        <v>16.0</v>
      </c>
      <c r="O1008" s="62">
        <v>1.0</v>
      </c>
      <c r="P1008" s="62">
        <v>16.0</v>
      </c>
      <c r="Q1008" s="62">
        <v>0.0</v>
      </c>
      <c r="R1008" s="62">
        <v>43563.0</v>
      </c>
      <c r="S1008" s="62">
        <v>0.0</v>
      </c>
      <c r="T1008" s="62">
        <v>0.0</v>
      </c>
      <c r="U1008" s="62">
        <v>0.0</v>
      </c>
      <c r="V1008" s="62">
        <v>0.785833333333333</v>
      </c>
      <c r="W1008" s="62">
        <v>0.785833333333333</v>
      </c>
      <c r="X1008" s="62">
        <v>0.0</v>
      </c>
      <c r="Y1008" s="62">
        <v>1.82083333333333</v>
      </c>
      <c r="Z1008" s="62">
        <v>1.61166666666666</v>
      </c>
      <c r="AA1008" s="62">
        <v>0.1975</v>
      </c>
      <c r="AB1008" s="62">
        <v>0.0</v>
      </c>
      <c r="AC1008" s="62">
        <v>3.08194444444444</v>
      </c>
      <c r="AD1008" s="62">
        <v>0.200833333333333</v>
      </c>
      <c r="AE1008" s="62">
        <v>3.08194444444444</v>
      </c>
      <c r="AF1008" s="62">
        <v>0.0</v>
      </c>
    </row>
    <row r="1009">
      <c r="A1009" s="68">
        <v>46080.0</v>
      </c>
      <c r="B1009" s="62" t="s">
        <v>62</v>
      </c>
      <c r="C1009" s="62" t="s">
        <v>63</v>
      </c>
      <c r="D1009" s="62">
        <v>0.0</v>
      </c>
      <c r="E1009" s="62">
        <v>5.0</v>
      </c>
      <c r="F1009" s="62">
        <v>5.0</v>
      </c>
      <c r="G1009" s="62">
        <v>0.0</v>
      </c>
      <c r="H1009" s="62">
        <v>3.0</v>
      </c>
      <c r="I1009" s="62">
        <v>1.0</v>
      </c>
      <c r="J1009" s="62">
        <v>5.0</v>
      </c>
      <c r="K1009" s="62">
        <v>1.0</v>
      </c>
      <c r="L1009" s="62">
        <v>0.0</v>
      </c>
      <c r="M1009" s="62">
        <v>5.0</v>
      </c>
      <c r="N1009" s="62">
        <v>5.0</v>
      </c>
      <c r="O1009" s="62">
        <v>1.0</v>
      </c>
      <c r="P1009" s="62">
        <v>5.0</v>
      </c>
      <c r="Q1009" s="62">
        <v>0.0</v>
      </c>
      <c r="R1009" s="62">
        <v>0.0</v>
      </c>
      <c r="S1009" s="62">
        <v>11896.0</v>
      </c>
      <c r="T1009" s="62">
        <v>1.24916666666666</v>
      </c>
      <c r="U1009" s="62">
        <v>1.035</v>
      </c>
      <c r="V1009" s="62">
        <v>0.0</v>
      </c>
      <c r="W1009" s="62">
        <v>0.733888888888888</v>
      </c>
      <c r="X1009" s="62">
        <v>0.214166666666666</v>
      </c>
      <c r="Y1009" s="62">
        <v>1.23972222222222</v>
      </c>
      <c r="Z1009" s="62">
        <v>0.231944444444444</v>
      </c>
      <c r="AA1009" s="62">
        <v>0.0</v>
      </c>
      <c r="AB1009" s="62">
        <v>1.20805555555555</v>
      </c>
      <c r="AC1009" s="62">
        <v>1.15444444444444</v>
      </c>
      <c r="AD1009" s="62">
        <v>0.244722222222222</v>
      </c>
      <c r="AE1009" s="62">
        <v>1.15444444444444</v>
      </c>
      <c r="AF1009" s="62">
        <v>6.0</v>
      </c>
    </row>
    <row r="1010">
      <c r="A1010" s="68">
        <v>46079.0</v>
      </c>
      <c r="B1010" s="62" t="s">
        <v>79</v>
      </c>
      <c r="C1010" s="62" t="s">
        <v>162</v>
      </c>
      <c r="D1010" s="62">
        <v>0.0</v>
      </c>
      <c r="E1010" s="62">
        <v>0.0</v>
      </c>
      <c r="F1010" s="62">
        <v>1.0</v>
      </c>
      <c r="G1010" s="62">
        <v>3.0</v>
      </c>
      <c r="H1010" s="62">
        <v>5.0</v>
      </c>
      <c r="I1010" s="62">
        <v>2.0</v>
      </c>
      <c r="J1010" s="62">
        <v>4.0</v>
      </c>
      <c r="K1010" s="62">
        <v>5.0</v>
      </c>
      <c r="L1010" s="62">
        <v>5.0</v>
      </c>
      <c r="M1010" s="62">
        <v>0.0</v>
      </c>
      <c r="N1010" s="62">
        <v>0.0</v>
      </c>
      <c r="O1010" s="62">
        <v>1.0</v>
      </c>
      <c r="P1010" s="62">
        <v>0.0</v>
      </c>
      <c r="Q1010" s="62">
        <v>0.0</v>
      </c>
      <c r="R1010" s="62">
        <v>0.0</v>
      </c>
      <c r="S1010" s="62">
        <v>0.0</v>
      </c>
      <c r="T1010" s="62">
        <v>0.5625</v>
      </c>
      <c r="U1010" s="62">
        <v>0.184722222222222</v>
      </c>
      <c r="V1010" s="62">
        <v>0.585277777777777</v>
      </c>
      <c r="W1010" s="62">
        <v>0.963055555555555</v>
      </c>
      <c r="X1010" s="62">
        <v>0.377777777777777</v>
      </c>
      <c r="Y1010" s="62">
        <v>0.733333333333333</v>
      </c>
      <c r="Z1010" s="62">
        <v>0.916388888888888</v>
      </c>
      <c r="AA1010" s="62">
        <v>0.898055555555555</v>
      </c>
      <c r="AB1010" s="62">
        <v>0.0</v>
      </c>
      <c r="AC1010" s="62">
        <v>0.0</v>
      </c>
      <c r="AD1010" s="62">
        <v>0.163333333333333</v>
      </c>
      <c r="AE1010" s="62">
        <v>0.0</v>
      </c>
      <c r="AF1010" s="62">
        <v>3.0</v>
      </c>
    </row>
    <row r="1011">
      <c r="A1011" s="68">
        <v>46079.0</v>
      </c>
      <c r="B1011" s="62" t="s">
        <v>71</v>
      </c>
      <c r="C1011" s="62" t="s">
        <v>163</v>
      </c>
      <c r="D1011" s="62">
        <v>0.0</v>
      </c>
      <c r="E1011" s="62">
        <v>4.0</v>
      </c>
      <c r="F1011" s="62">
        <v>3.0</v>
      </c>
      <c r="G1011" s="62">
        <v>1.0</v>
      </c>
      <c r="H1011" s="62">
        <v>1.0</v>
      </c>
      <c r="I1011" s="62">
        <v>0.0</v>
      </c>
      <c r="J1011" s="62">
        <v>1.0</v>
      </c>
      <c r="K1011" s="62">
        <v>0.0</v>
      </c>
      <c r="L1011" s="62">
        <v>0.0</v>
      </c>
      <c r="M1011" s="62">
        <v>1.0</v>
      </c>
      <c r="N1011" s="62">
        <v>1.0</v>
      </c>
      <c r="O1011" s="62">
        <v>1.0</v>
      </c>
      <c r="P1011" s="62">
        <v>1.0</v>
      </c>
      <c r="Q1011" s="62">
        <v>0.0</v>
      </c>
      <c r="R1011" s="62">
        <v>0.0</v>
      </c>
      <c r="S1011" s="62">
        <v>12485.0</v>
      </c>
      <c r="T1011" s="62">
        <v>0.852222222222222</v>
      </c>
      <c r="U1011" s="62">
        <v>0.852222222222222</v>
      </c>
      <c r="V1011" s="62">
        <v>0.284166666666666</v>
      </c>
      <c r="W1011" s="62">
        <v>0.284166666666666</v>
      </c>
      <c r="X1011" s="62">
        <v>0.0</v>
      </c>
      <c r="Y1011" s="62">
        <v>0.284166666666666</v>
      </c>
      <c r="Z1011" s="62">
        <v>0.0</v>
      </c>
      <c r="AA1011" s="62">
        <v>0.0</v>
      </c>
      <c r="AB1011" s="62">
        <v>0.284166666666666</v>
      </c>
      <c r="AC1011" s="62">
        <v>0.284166666666666</v>
      </c>
      <c r="AD1011" s="62">
        <v>0.273333333333333</v>
      </c>
      <c r="AE1011" s="62">
        <v>0.284166666666666</v>
      </c>
      <c r="AF1011" s="62">
        <v>3.0</v>
      </c>
    </row>
    <row r="1012">
      <c r="A1012" s="68">
        <v>46079.0</v>
      </c>
      <c r="B1012" s="62" t="s">
        <v>76</v>
      </c>
      <c r="C1012" s="62" t="s">
        <v>165</v>
      </c>
      <c r="D1012" s="62">
        <v>0.0</v>
      </c>
      <c r="E1012" s="62">
        <v>4.0</v>
      </c>
      <c r="F1012" s="62">
        <v>3.0</v>
      </c>
      <c r="G1012" s="62">
        <v>0.0</v>
      </c>
      <c r="H1012" s="62">
        <v>2.0</v>
      </c>
      <c r="I1012" s="62">
        <v>2.0</v>
      </c>
      <c r="J1012" s="62">
        <v>1.0</v>
      </c>
      <c r="K1012" s="62">
        <v>1.0</v>
      </c>
      <c r="L1012" s="62">
        <v>0.0</v>
      </c>
      <c r="M1012" s="62">
        <v>5.0</v>
      </c>
      <c r="N1012" s="62">
        <v>0.0</v>
      </c>
      <c r="O1012" s="62">
        <v>1.0</v>
      </c>
      <c r="P1012" s="62">
        <v>0.0</v>
      </c>
      <c r="Q1012" s="62">
        <v>0.0</v>
      </c>
      <c r="R1012" s="62">
        <v>0.0</v>
      </c>
      <c r="S1012" s="62">
        <v>10290.0</v>
      </c>
      <c r="T1012" s="62">
        <v>2.97833333333333</v>
      </c>
      <c r="U1012" s="62">
        <v>0.821666666666666</v>
      </c>
      <c r="V1012" s="62">
        <v>0.0</v>
      </c>
      <c r="W1012" s="62">
        <v>0.512777777777777</v>
      </c>
      <c r="X1012" s="62">
        <v>0.512777777777777</v>
      </c>
      <c r="Y1012" s="62">
        <v>0.297222222222222</v>
      </c>
      <c r="Z1012" s="62">
        <v>0.238888888888888</v>
      </c>
      <c r="AA1012" s="62">
        <v>0.0</v>
      </c>
      <c r="AB1012" s="62">
        <v>1.45277777777777</v>
      </c>
      <c r="AC1012" s="62">
        <v>0.0</v>
      </c>
      <c r="AD1012" s="62">
        <v>0.241666666666666</v>
      </c>
      <c r="AE1012" s="62">
        <v>0.0</v>
      </c>
      <c r="AF1012" s="62">
        <v>11.0</v>
      </c>
    </row>
    <row r="1013">
      <c r="A1013" s="68">
        <v>46079.0</v>
      </c>
      <c r="B1013" s="62" t="s">
        <v>32</v>
      </c>
      <c r="C1013" s="62" t="s">
        <v>168</v>
      </c>
      <c r="D1013" s="62">
        <v>5.0</v>
      </c>
      <c r="E1013" s="62">
        <v>5.0</v>
      </c>
      <c r="F1013" s="62">
        <v>1.0</v>
      </c>
      <c r="G1013" s="62">
        <v>0.0</v>
      </c>
      <c r="H1013" s="62">
        <v>3.0</v>
      </c>
      <c r="I1013" s="62">
        <v>2.0</v>
      </c>
      <c r="J1013" s="62">
        <v>3.0</v>
      </c>
      <c r="K1013" s="62">
        <v>1.0</v>
      </c>
      <c r="L1013" s="62">
        <v>0.0</v>
      </c>
      <c r="M1013" s="62">
        <v>2.0</v>
      </c>
      <c r="N1013" s="62">
        <v>0.0</v>
      </c>
      <c r="O1013" s="62">
        <v>1.0</v>
      </c>
      <c r="P1013" s="62">
        <v>0.0</v>
      </c>
      <c r="Q1013" s="62">
        <v>0.0</v>
      </c>
      <c r="R1013" s="62">
        <v>12662.0</v>
      </c>
      <c r="S1013" s="62">
        <v>12662.0</v>
      </c>
      <c r="T1013" s="62">
        <v>0.700277777777777</v>
      </c>
      <c r="U1013" s="62">
        <v>0.250277777777777</v>
      </c>
      <c r="V1013" s="62">
        <v>0.0</v>
      </c>
      <c r="W1013" s="62">
        <v>0.701388888888888</v>
      </c>
      <c r="X1013" s="62">
        <v>0.45</v>
      </c>
      <c r="Y1013" s="62">
        <v>0.749722222222222</v>
      </c>
      <c r="Z1013" s="62">
        <v>0.262777777777777</v>
      </c>
      <c r="AA1013" s="62">
        <v>0.0</v>
      </c>
      <c r="AB1013" s="62">
        <v>0.500277777777777</v>
      </c>
      <c r="AC1013" s="62">
        <v>0.0</v>
      </c>
      <c r="AD1013" s="62">
        <v>0.226111111111111</v>
      </c>
      <c r="AE1013" s="62">
        <v>0.0</v>
      </c>
      <c r="AF1013" s="62">
        <v>3.0</v>
      </c>
    </row>
    <row r="1014">
      <c r="A1014" s="68">
        <v>46079.0</v>
      </c>
      <c r="B1014" s="62" t="s">
        <v>37</v>
      </c>
      <c r="C1014" s="62" t="s">
        <v>174</v>
      </c>
      <c r="D1014" s="62">
        <v>3.0</v>
      </c>
      <c r="E1014" s="62">
        <v>7.0</v>
      </c>
      <c r="F1014" s="62">
        <v>0.0</v>
      </c>
      <c r="G1014" s="62">
        <v>3.0</v>
      </c>
      <c r="H1014" s="62">
        <v>3.0</v>
      </c>
      <c r="I1014" s="62">
        <v>0.0</v>
      </c>
      <c r="J1014" s="62">
        <v>2.0</v>
      </c>
      <c r="K1014" s="62">
        <v>0.0</v>
      </c>
      <c r="L1014" s="62">
        <v>0.0</v>
      </c>
      <c r="M1014" s="62">
        <v>1.0</v>
      </c>
      <c r="N1014" s="62">
        <v>1.0</v>
      </c>
      <c r="O1014" s="62">
        <v>1.0</v>
      </c>
      <c r="P1014" s="62">
        <v>1.0</v>
      </c>
      <c r="Q1014" s="62">
        <v>0.0</v>
      </c>
      <c r="R1014" s="62">
        <v>7026.0</v>
      </c>
      <c r="S1014" s="62">
        <v>18080.0</v>
      </c>
      <c r="T1014" s="62">
        <v>0.0</v>
      </c>
      <c r="U1014" s="62">
        <v>0.0</v>
      </c>
      <c r="V1014" s="62">
        <v>0.88</v>
      </c>
      <c r="W1014" s="62">
        <v>0.88</v>
      </c>
      <c r="X1014" s="62">
        <v>0.0</v>
      </c>
      <c r="Y1014" s="62">
        <v>0.584444444444444</v>
      </c>
      <c r="Z1014" s="62">
        <v>0.0</v>
      </c>
      <c r="AA1014" s="62">
        <v>0.0</v>
      </c>
      <c r="AB1014" s="62">
        <v>0.288611111111111</v>
      </c>
      <c r="AC1014" s="62">
        <v>0.284166666666666</v>
      </c>
      <c r="AD1014" s="62">
        <v>0.292222222222222</v>
      </c>
      <c r="AE1014" s="62">
        <v>0.284166666666666</v>
      </c>
      <c r="AF1014" s="62">
        <v>0.0</v>
      </c>
    </row>
    <row r="1015">
      <c r="A1015" s="68">
        <v>46079.0</v>
      </c>
      <c r="B1015" s="62" t="s">
        <v>81</v>
      </c>
      <c r="C1015" s="62" t="s">
        <v>187</v>
      </c>
      <c r="D1015" s="62">
        <v>0.0</v>
      </c>
      <c r="E1015" s="62">
        <v>0.0</v>
      </c>
      <c r="F1015" s="62">
        <v>0.0</v>
      </c>
      <c r="G1015" s="62">
        <v>2.0</v>
      </c>
      <c r="H1015" s="62">
        <v>2.0</v>
      </c>
      <c r="I1015" s="62">
        <v>0.0</v>
      </c>
      <c r="J1015" s="62">
        <v>6.0</v>
      </c>
      <c r="K1015" s="62">
        <v>2.0</v>
      </c>
      <c r="L1015" s="62">
        <v>1.0</v>
      </c>
      <c r="M1015" s="62">
        <v>8.0</v>
      </c>
      <c r="N1015" s="62">
        <v>7.0</v>
      </c>
      <c r="O1015" s="62">
        <v>1.0</v>
      </c>
      <c r="P1015" s="62">
        <v>7.0</v>
      </c>
      <c r="Q1015" s="62">
        <v>0.0</v>
      </c>
      <c r="R1015" s="62">
        <v>0.0</v>
      </c>
      <c r="S1015" s="62">
        <v>0.0</v>
      </c>
      <c r="T1015" s="62">
        <v>0.0</v>
      </c>
      <c r="U1015" s="62">
        <v>0.0</v>
      </c>
      <c r="V1015" s="62">
        <v>0.435</v>
      </c>
      <c r="W1015" s="62">
        <v>0.435</v>
      </c>
      <c r="X1015" s="62">
        <v>0.0</v>
      </c>
      <c r="Y1015" s="62">
        <v>1.33194444444444</v>
      </c>
      <c r="Z1015" s="62">
        <v>0.434444444444444</v>
      </c>
      <c r="AA1015" s="62">
        <v>0.214444444444444</v>
      </c>
      <c r="AB1015" s="62">
        <v>1.75805555555555</v>
      </c>
      <c r="AC1015" s="62">
        <v>1.48388888888888</v>
      </c>
      <c r="AD1015" s="62">
        <v>0.217222222222222</v>
      </c>
      <c r="AE1015" s="62">
        <v>1.48388888888888</v>
      </c>
      <c r="AF1015" s="62">
        <v>0.0</v>
      </c>
    </row>
    <row r="1016">
      <c r="A1016" s="68">
        <v>46079.0</v>
      </c>
      <c r="B1016" s="62" t="s">
        <v>26</v>
      </c>
      <c r="C1016" s="62" t="s">
        <v>178</v>
      </c>
      <c r="D1016" s="62">
        <v>0.0</v>
      </c>
      <c r="E1016" s="62">
        <v>8.0</v>
      </c>
      <c r="F1016" s="62">
        <v>0.0</v>
      </c>
      <c r="G1016" s="62">
        <v>2.0</v>
      </c>
      <c r="H1016" s="62">
        <v>2.0</v>
      </c>
      <c r="I1016" s="62">
        <v>0.0</v>
      </c>
      <c r="J1016" s="62">
        <v>5.0</v>
      </c>
      <c r="K1016" s="62">
        <v>1.0</v>
      </c>
      <c r="L1016" s="62">
        <v>1.0</v>
      </c>
      <c r="M1016" s="62">
        <v>6.0</v>
      </c>
      <c r="N1016" s="62">
        <v>2.0</v>
      </c>
      <c r="O1016" s="62">
        <v>1.0</v>
      </c>
      <c r="P1016" s="62">
        <v>2.0</v>
      </c>
      <c r="Q1016" s="62">
        <v>0.0</v>
      </c>
      <c r="R1016" s="62">
        <v>0.0</v>
      </c>
      <c r="S1016" s="62">
        <v>19178.0</v>
      </c>
      <c r="T1016" s="62">
        <v>0.0</v>
      </c>
      <c r="U1016" s="62">
        <v>0.0</v>
      </c>
      <c r="V1016" s="62">
        <v>0.395</v>
      </c>
      <c r="W1016" s="62">
        <v>0.395</v>
      </c>
      <c r="X1016" s="62">
        <v>0.0</v>
      </c>
      <c r="Y1016" s="62">
        <v>0.999166666666666</v>
      </c>
      <c r="Z1016" s="62">
        <v>0.1975</v>
      </c>
      <c r="AA1016" s="62">
        <v>0.2325</v>
      </c>
      <c r="AB1016" s="62">
        <v>1.2025</v>
      </c>
      <c r="AC1016" s="62">
        <v>0.463055555555555</v>
      </c>
      <c r="AD1016" s="62">
        <v>0.214444444444444</v>
      </c>
      <c r="AE1016" s="62">
        <v>0.463055555555555</v>
      </c>
      <c r="AF1016" s="62">
        <v>0.0</v>
      </c>
    </row>
    <row r="1017">
      <c r="A1017" s="68">
        <v>46079.0</v>
      </c>
      <c r="B1017" s="62" t="s">
        <v>62</v>
      </c>
      <c r="C1017" s="62" t="s">
        <v>63</v>
      </c>
      <c r="D1017" s="62">
        <v>0.0</v>
      </c>
      <c r="E1017" s="62">
        <v>0.0</v>
      </c>
      <c r="F1017" s="62">
        <v>4.0</v>
      </c>
      <c r="G1017" s="62">
        <v>0.0</v>
      </c>
      <c r="H1017" s="62">
        <v>5.0</v>
      </c>
      <c r="I1017" s="62">
        <v>2.0</v>
      </c>
      <c r="J1017" s="62">
        <v>3.0</v>
      </c>
      <c r="K1017" s="62">
        <v>1.0</v>
      </c>
      <c r="L1017" s="62">
        <v>0.0</v>
      </c>
      <c r="M1017" s="62">
        <v>4.0</v>
      </c>
      <c r="N1017" s="62">
        <v>1.0</v>
      </c>
      <c r="O1017" s="62">
        <v>1.0</v>
      </c>
      <c r="P1017" s="62">
        <v>1.0</v>
      </c>
      <c r="Q1017" s="62">
        <v>0.0</v>
      </c>
      <c r="R1017" s="62">
        <v>0.0</v>
      </c>
      <c r="S1017" s="62">
        <v>0.0</v>
      </c>
      <c r="T1017" s="62">
        <v>1.16861111111111</v>
      </c>
      <c r="U1017" s="62">
        <v>0.944444444444444</v>
      </c>
      <c r="V1017" s="62">
        <v>0.0</v>
      </c>
      <c r="W1017" s="62">
        <v>1.16027777777777</v>
      </c>
      <c r="X1017" s="62">
        <v>0.460277777777777</v>
      </c>
      <c r="Y1017" s="62">
        <v>0.7</v>
      </c>
      <c r="Z1017" s="62">
        <v>0.231111111111111</v>
      </c>
      <c r="AA1017" s="62">
        <v>0.0</v>
      </c>
      <c r="AB1017" s="62">
        <v>0.918888888888888</v>
      </c>
      <c r="AC1017" s="62">
        <v>0.241666666666666</v>
      </c>
      <c r="AD1017" s="62">
        <v>0.226388888888888</v>
      </c>
      <c r="AE1017" s="62">
        <v>0.241666666666666</v>
      </c>
      <c r="AF1017" s="62">
        <v>5.0</v>
      </c>
    </row>
    <row r="1018">
      <c r="A1018" s="68">
        <v>46078.0</v>
      </c>
      <c r="B1018" s="62" t="s">
        <v>79</v>
      </c>
      <c r="C1018" s="62" t="s">
        <v>162</v>
      </c>
      <c r="D1018" s="62">
        <v>0.0</v>
      </c>
      <c r="E1018" s="62">
        <v>0.0</v>
      </c>
      <c r="F1018" s="62">
        <v>3.0</v>
      </c>
      <c r="G1018" s="62">
        <v>3.0</v>
      </c>
      <c r="H1018" s="62">
        <v>3.0</v>
      </c>
      <c r="I1018" s="62">
        <v>0.0</v>
      </c>
      <c r="J1018" s="62">
        <v>1.0</v>
      </c>
      <c r="K1018" s="62">
        <v>3.0</v>
      </c>
      <c r="L1018" s="62">
        <v>0.0</v>
      </c>
      <c r="M1018" s="62">
        <v>0.0</v>
      </c>
      <c r="N1018" s="62">
        <v>4.0</v>
      </c>
      <c r="O1018" s="62">
        <v>1.0</v>
      </c>
      <c r="P1018" s="62">
        <v>4.0</v>
      </c>
      <c r="Q1018" s="62">
        <v>0.0</v>
      </c>
      <c r="R1018" s="62">
        <v>0.0</v>
      </c>
      <c r="S1018" s="62">
        <v>0.0</v>
      </c>
      <c r="T1018" s="62">
        <v>0.613333333333333</v>
      </c>
      <c r="U1018" s="62">
        <v>0.613333333333333</v>
      </c>
      <c r="V1018" s="62">
        <v>0.559166666666666</v>
      </c>
      <c r="W1018" s="62">
        <v>0.559166666666666</v>
      </c>
      <c r="X1018" s="62">
        <v>0.0</v>
      </c>
      <c r="Y1018" s="62">
        <v>0.183055555555555</v>
      </c>
      <c r="Z1018" s="62">
        <v>0.530833333333333</v>
      </c>
      <c r="AA1018" s="62">
        <v>0.0</v>
      </c>
      <c r="AB1018" s="62">
        <v>0.0</v>
      </c>
      <c r="AC1018" s="62">
        <v>0.668055555555555</v>
      </c>
      <c r="AD1018" s="62">
        <v>0.194722222222222</v>
      </c>
      <c r="AE1018" s="62">
        <v>0.668055555555555</v>
      </c>
      <c r="AF1018" s="62">
        <v>3.0</v>
      </c>
    </row>
    <row r="1019">
      <c r="A1019" s="68">
        <v>46078.0</v>
      </c>
      <c r="B1019" s="62" t="s">
        <v>71</v>
      </c>
      <c r="C1019" s="62" t="s">
        <v>163</v>
      </c>
      <c r="D1019" s="62">
        <v>0.0</v>
      </c>
      <c r="E1019" s="62">
        <v>3.0</v>
      </c>
      <c r="F1019" s="62">
        <v>3.0</v>
      </c>
      <c r="G1019" s="62">
        <v>0.0</v>
      </c>
      <c r="H1019" s="62">
        <v>1.0</v>
      </c>
      <c r="I1019" s="62">
        <v>1.0</v>
      </c>
      <c r="J1019" s="62">
        <v>0.0</v>
      </c>
      <c r="K1019" s="62">
        <v>0.0</v>
      </c>
      <c r="L1019" s="62">
        <v>0.0</v>
      </c>
      <c r="M1019" s="62">
        <v>2.0</v>
      </c>
      <c r="N1019" s="62">
        <v>3.0</v>
      </c>
      <c r="O1019" s="62">
        <v>1.0</v>
      </c>
      <c r="P1019" s="62">
        <v>3.0</v>
      </c>
      <c r="Q1019" s="62">
        <v>0.0</v>
      </c>
      <c r="R1019" s="62">
        <v>0.0</v>
      </c>
      <c r="S1019" s="62">
        <v>9445.0</v>
      </c>
      <c r="T1019" s="62">
        <v>1.11</v>
      </c>
      <c r="U1019" s="62">
        <v>0.841388888888888</v>
      </c>
      <c r="V1019" s="62">
        <v>0.0</v>
      </c>
      <c r="W1019" s="62">
        <v>0.268611111111111</v>
      </c>
      <c r="X1019" s="62">
        <v>0.268611111111111</v>
      </c>
      <c r="Y1019" s="62">
        <v>0.0</v>
      </c>
      <c r="Z1019" s="62">
        <v>0.0</v>
      </c>
      <c r="AA1019" s="62">
        <v>0.0</v>
      </c>
      <c r="AB1019" s="62">
        <v>0.552222222222222</v>
      </c>
      <c r="AC1019" s="62">
        <v>0.805555555555555</v>
      </c>
      <c r="AD1019" s="62">
        <v>0.245833333333333</v>
      </c>
      <c r="AE1019" s="62">
        <v>0.805555555555555</v>
      </c>
      <c r="AF1019" s="62">
        <v>4.0</v>
      </c>
    </row>
    <row r="1020">
      <c r="A1020" s="68">
        <v>46078.0</v>
      </c>
      <c r="B1020" s="62" t="s">
        <v>76</v>
      </c>
      <c r="C1020" s="62" t="s">
        <v>165</v>
      </c>
      <c r="D1020" s="62">
        <v>0.0</v>
      </c>
      <c r="E1020" s="62">
        <v>5.0</v>
      </c>
      <c r="F1020" s="62">
        <v>4.0</v>
      </c>
      <c r="G1020" s="62">
        <v>6.0</v>
      </c>
      <c r="H1020" s="62">
        <v>7.0</v>
      </c>
      <c r="I1020" s="62">
        <v>1.0</v>
      </c>
      <c r="J1020" s="62">
        <v>8.0</v>
      </c>
      <c r="K1020" s="62">
        <v>0.0</v>
      </c>
      <c r="L1020" s="62">
        <v>0.0</v>
      </c>
      <c r="M1020" s="62">
        <v>3.0</v>
      </c>
      <c r="N1020" s="62">
        <v>5.0</v>
      </c>
      <c r="O1020" s="62">
        <v>1.0</v>
      </c>
      <c r="P1020" s="62">
        <v>5.0</v>
      </c>
      <c r="Q1020" s="62">
        <v>0.0</v>
      </c>
      <c r="R1020" s="62">
        <v>0.0</v>
      </c>
      <c r="S1020" s="62">
        <v>12698.0</v>
      </c>
      <c r="T1020" s="62">
        <v>0.805555555555555</v>
      </c>
      <c r="U1020" s="62">
        <v>1.06972222222222</v>
      </c>
      <c r="V1020" s="62">
        <v>1.64222222222222</v>
      </c>
      <c r="W1020" s="62">
        <v>1.93888888888888</v>
      </c>
      <c r="X1020" s="62">
        <v>0.296666666666666</v>
      </c>
      <c r="Y1020" s="62">
        <v>2.13944444444444</v>
      </c>
      <c r="Z1020" s="62">
        <v>0.0</v>
      </c>
      <c r="AA1020" s="62">
        <v>0.0</v>
      </c>
      <c r="AB1020" s="62">
        <v>0.745</v>
      </c>
      <c r="AC1020" s="62">
        <v>1.34944444444444</v>
      </c>
      <c r="AD1020" s="62">
        <v>0.253055555555555</v>
      </c>
      <c r="AE1020" s="62">
        <v>1.34944444444444</v>
      </c>
      <c r="AF1020" s="62">
        <v>3.0</v>
      </c>
    </row>
    <row r="1021">
      <c r="A1021" s="68">
        <v>46078.0</v>
      </c>
      <c r="B1021" s="62" t="s">
        <v>32</v>
      </c>
      <c r="C1021" s="62" t="s">
        <v>168</v>
      </c>
      <c r="D1021" s="62">
        <v>3.0</v>
      </c>
      <c r="E1021" s="62">
        <v>3.0</v>
      </c>
      <c r="F1021" s="62">
        <v>0.0</v>
      </c>
      <c r="G1021" s="62">
        <v>0.0</v>
      </c>
      <c r="H1021" s="62">
        <v>4.0</v>
      </c>
      <c r="I1021" s="62">
        <v>4.0</v>
      </c>
      <c r="J1021" s="62">
        <v>2.0</v>
      </c>
      <c r="K1021" s="62">
        <v>0.0</v>
      </c>
      <c r="L1021" s="62">
        <v>0.0</v>
      </c>
      <c r="M1021" s="62">
        <v>3.0</v>
      </c>
      <c r="N1021" s="62">
        <v>7.0</v>
      </c>
      <c r="O1021" s="62">
        <v>1.0</v>
      </c>
      <c r="P1021" s="62">
        <v>7.0</v>
      </c>
      <c r="Q1021" s="62">
        <v>0.0</v>
      </c>
      <c r="R1021" s="62">
        <v>7549.0</v>
      </c>
      <c r="S1021" s="62">
        <v>7549.0</v>
      </c>
      <c r="T1021" s="62">
        <v>1.00416666666666</v>
      </c>
      <c r="U1021" s="62">
        <v>0.0</v>
      </c>
      <c r="V1021" s="62">
        <v>0.0</v>
      </c>
      <c r="W1021" s="62">
        <v>1.00416666666666</v>
      </c>
      <c r="X1021" s="62">
        <v>1.00416666666666</v>
      </c>
      <c r="Y1021" s="62">
        <v>0.511666666666666</v>
      </c>
      <c r="Z1021" s="62">
        <v>0.0</v>
      </c>
      <c r="AA1021" s="62">
        <v>0.0</v>
      </c>
      <c r="AB1021" s="62">
        <v>0.771111111111111</v>
      </c>
      <c r="AC1021" s="62">
        <v>1.79944444444444</v>
      </c>
      <c r="AD1021" s="62">
        <v>0.229166666666666</v>
      </c>
      <c r="AE1021" s="62">
        <v>1.79944444444444</v>
      </c>
      <c r="AF1021" s="62">
        <v>4.0</v>
      </c>
    </row>
    <row r="1022">
      <c r="A1022" s="68">
        <v>46078.0</v>
      </c>
      <c r="B1022" s="62" t="s">
        <v>65</v>
      </c>
      <c r="C1022" s="62" t="s">
        <v>173</v>
      </c>
      <c r="D1022" s="62">
        <v>3.0</v>
      </c>
      <c r="E1022" s="62">
        <v>0.0</v>
      </c>
      <c r="F1022" s="62">
        <v>0.0</v>
      </c>
      <c r="G1022" s="62">
        <v>0.0</v>
      </c>
      <c r="H1022" s="62">
        <v>0.0</v>
      </c>
      <c r="I1022" s="62">
        <v>0.0</v>
      </c>
      <c r="J1022" s="62">
        <v>0.0</v>
      </c>
      <c r="K1022" s="62">
        <v>0.0</v>
      </c>
      <c r="L1022" s="62">
        <v>0.0</v>
      </c>
      <c r="M1022" s="62">
        <v>0.0</v>
      </c>
      <c r="N1022" s="62">
        <v>0.0</v>
      </c>
      <c r="O1022" s="62">
        <v>0.0</v>
      </c>
      <c r="P1022" s="62">
        <v>0.0</v>
      </c>
      <c r="Q1022" s="62">
        <v>0.0</v>
      </c>
      <c r="R1022" s="62">
        <v>6765.0</v>
      </c>
      <c r="S1022" s="62">
        <v>0.0</v>
      </c>
      <c r="T1022" s="62">
        <v>0.268888888888888</v>
      </c>
      <c r="U1022" s="62">
        <v>0.0</v>
      </c>
      <c r="V1022" s="62">
        <v>0.0</v>
      </c>
      <c r="W1022" s="62">
        <v>0.0</v>
      </c>
      <c r="X1022" s="62">
        <v>0.0</v>
      </c>
      <c r="Y1022" s="62">
        <v>0.0</v>
      </c>
      <c r="Z1022" s="62">
        <v>0.0</v>
      </c>
      <c r="AA1022" s="62">
        <v>0.0</v>
      </c>
      <c r="AB1022" s="62">
        <v>0.0</v>
      </c>
      <c r="AC1022" s="62">
        <v>0.0</v>
      </c>
      <c r="AD1022" s="62">
        <v>0.0</v>
      </c>
      <c r="AE1022" s="62">
        <v>0.0</v>
      </c>
      <c r="AF1022" s="62">
        <v>1.0</v>
      </c>
    </row>
    <row r="1023">
      <c r="A1023" s="68">
        <v>46078.0</v>
      </c>
      <c r="B1023" s="62" t="s">
        <v>37</v>
      </c>
      <c r="C1023" s="62" t="s">
        <v>174</v>
      </c>
      <c r="D1023" s="62">
        <v>3.0</v>
      </c>
      <c r="E1023" s="62">
        <v>2.0</v>
      </c>
      <c r="F1023" s="62">
        <v>3.0</v>
      </c>
      <c r="G1023" s="62">
        <v>3.0</v>
      </c>
      <c r="H1023" s="62">
        <v>4.0</v>
      </c>
      <c r="I1023" s="62">
        <v>1.0</v>
      </c>
      <c r="J1023" s="62">
        <v>4.0</v>
      </c>
      <c r="K1023" s="62">
        <v>0.0</v>
      </c>
      <c r="L1023" s="62">
        <v>0.0</v>
      </c>
      <c r="M1023" s="62">
        <v>4.0</v>
      </c>
      <c r="N1023" s="62">
        <v>0.0</v>
      </c>
      <c r="O1023" s="62">
        <v>1.0</v>
      </c>
      <c r="P1023" s="62">
        <v>0.0</v>
      </c>
      <c r="Q1023" s="62">
        <v>0.0</v>
      </c>
      <c r="R1023" s="62">
        <v>7722.0</v>
      </c>
      <c r="S1023" s="62">
        <v>4798.0</v>
      </c>
      <c r="T1023" s="62">
        <v>0.0</v>
      </c>
      <c r="U1023" s="62">
        <v>0.801111111111111</v>
      </c>
      <c r="V1023" s="62">
        <v>0.868611111111111</v>
      </c>
      <c r="W1023" s="62">
        <v>1.13305555555555</v>
      </c>
      <c r="X1023" s="62">
        <v>0.264444444444444</v>
      </c>
      <c r="Y1023" s="62">
        <v>1.11416666666666</v>
      </c>
      <c r="Z1023" s="62">
        <v>0.0</v>
      </c>
      <c r="AA1023" s="62">
        <v>0.0</v>
      </c>
      <c r="AB1023" s="62">
        <v>1.11416666666666</v>
      </c>
      <c r="AC1023" s="62">
        <v>0.0</v>
      </c>
      <c r="AD1023" s="62">
        <v>0.284722222222222</v>
      </c>
      <c r="AE1023" s="62">
        <v>0.0</v>
      </c>
      <c r="AF1023" s="62">
        <v>0.0</v>
      </c>
    </row>
    <row r="1024">
      <c r="A1024" s="68">
        <v>46078.0</v>
      </c>
      <c r="B1024" s="62" t="s">
        <v>81</v>
      </c>
      <c r="C1024" s="62" t="s">
        <v>187</v>
      </c>
      <c r="D1024" s="62">
        <v>0.0</v>
      </c>
      <c r="E1024" s="62">
        <v>3.0</v>
      </c>
      <c r="F1024" s="62">
        <v>2.0</v>
      </c>
      <c r="G1024" s="62">
        <v>1.0</v>
      </c>
      <c r="H1024" s="62">
        <v>3.0</v>
      </c>
      <c r="I1024" s="62">
        <v>2.0</v>
      </c>
      <c r="J1024" s="62">
        <v>1.0</v>
      </c>
      <c r="K1024" s="62">
        <v>1.0</v>
      </c>
      <c r="L1024" s="62">
        <v>0.0</v>
      </c>
      <c r="M1024" s="62">
        <v>4.0</v>
      </c>
      <c r="N1024" s="62">
        <v>18.0</v>
      </c>
      <c r="O1024" s="62">
        <v>1.0</v>
      </c>
      <c r="P1024" s="62">
        <v>18.0</v>
      </c>
      <c r="Q1024" s="62">
        <v>0.0</v>
      </c>
      <c r="R1024" s="62">
        <v>0.0</v>
      </c>
      <c r="S1024" s="62">
        <v>5923.0</v>
      </c>
      <c r="T1024" s="62">
        <v>0.0</v>
      </c>
      <c r="U1024" s="62">
        <v>0.422222222222222</v>
      </c>
      <c r="V1024" s="62">
        <v>0.214444444444444</v>
      </c>
      <c r="W1024" s="62">
        <v>0.674166666666666</v>
      </c>
      <c r="X1024" s="62">
        <v>0.459722222222222</v>
      </c>
      <c r="Y1024" s="62">
        <v>0.226944444444444</v>
      </c>
      <c r="Z1024" s="62">
        <v>0.2075</v>
      </c>
      <c r="AA1024" s="62">
        <v>0.0</v>
      </c>
      <c r="AB1024" s="62">
        <v>0.848055555555555</v>
      </c>
      <c r="AC1024" s="62">
        <v>3.59444444444444</v>
      </c>
      <c r="AD1024" s="62">
        <v>0.214166666666666</v>
      </c>
      <c r="AE1024" s="62">
        <v>3.59444444444444</v>
      </c>
      <c r="AF1024" s="62">
        <v>0.0</v>
      </c>
    </row>
    <row r="1025">
      <c r="A1025" s="68">
        <v>46078.0</v>
      </c>
      <c r="B1025" s="62" t="s">
        <v>26</v>
      </c>
      <c r="C1025" s="62" t="s">
        <v>178</v>
      </c>
      <c r="D1025" s="62">
        <v>9.0</v>
      </c>
      <c r="E1025" s="62">
        <v>7.0</v>
      </c>
      <c r="F1025" s="62">
        <v>5.0</v>
      </c>
      <c r="G1025" s="62">
        <v>4.0</v>
      </c>
      <c r="H1025" s="62">
        <v>9.0</v>
      </c>
      <c r="I1025" s="62">
        <v>5.0</v>
      </c>
      <c r="J1025" s="62">
        <v>8.0</v>
      </c>
      <c r="K1025" s="62">
        <v>0.0</v>
      </c>
      <c r="L1025" s="62">
        <v>0.0</v>
      </c>
      <c r="M1025" s="62">
        <v>7.0</v>
      </c>
      <c r="N1025" s="62">
        <v>2.0</v>
      </c>
      <c r="O1025" s="62">
        <v>1.0</v>
      </c>
      <c r="P1025" s="62">
        <v>2.0</v>
      </c>
      <c r="Q1025" s="62">
        <v>0.0</v>
      </c>
      <c r="R1025" s="62">
        <v>19448.0</v>
      </c>
      <c r="S1025" s="62">
        <v>15334.0</v>
      </c>
      <c r="T1025" s="62">
        <v>2.02583333333333</v>
      </c>
      <c r="U1025" s="62">
        <v>0.991388888888888</v>
      </c>
      <c r="V1025" s="62">
        <v>0.793888888888888</v>
      </c>
      <c r="W1025" s="62">
        <v>1.82833333333333</v>
      </c>
      <c r="X1025" s="62">
        <v>1.03444444444444</v>
      </c>
      <c r="Y1025" s="62">
        <v>1.57277777777777</v>
      </c>
      <c r="Z1025" s="62">
        <v>0.0</v>
      </c>
      <c r="AA1025" s="62">
        <v>0.0</v>
      </c>
      <c r="AB1025" s="62">
        <v>1.36944444444444</v>
      </c>
      <c r="AC1025" s="62">
        <v>0.386944444444444</v>
      </c>
      <c r="AD1025" s="62">
        <v>0.217777777777777</v>
      </c>
      <c r="AE1025" s="62">
        <v>0.386944444444444</v>
      </c>
      <c r="AF1025" s="62">
        <v>10.0</v>
      </c>
    </row>
    <row r="1026">
      <c r="A1026" s="68">
        <v>46078.0</v>
      </c>
      <c r="B1026" s="62" t="s">
        <v>62</v>
      </c>
      <c r="C1026" s="62" t="s">
        <v>63</v>
      </c>
      <c r="D1026" s="62">
        <v>0.0</v>
      </c>
      <c r="E1026" s="62">
        <v>4.0</v>
      </c>
      <c r="F1026" s="62">
        <v>3.0</v>
      </c>
      <c r="G1026" s="62">
        <v>0.0</v>
      </c>
      <c r="H1026" s="62">
        <v>5.0</v>
      </c>
      <c r="I1026" s="62">
        <v>3.0</v>
      </c>
      <c r="J1026" s="62">
        <v>3.0</v>
      </c>
      <c r="K1026" s="62">
        <v>0.0</v>
      </c>
      <c r="L1026" s="62">
        <v>0.0</v>
      </c>
      <c r="M1026" s="62">
        <v>1.0</v>
      </c>
      <c r="N1026" s="62">
        <v>4.0</v>
      </c>
      <c r="O1026" s="62">
        <v>1.0</v>
      </c>
      <c r="P1026" s="62">
        <v>4.0</v>
      </c>
      <c r="Q1026" s="62">
        <v>0.0</v>
      </c>
      <c r="R1026" s="62">
        <v>0.0</v>
      </c>
      <c r="S1026" s="62">
        <v>9310.0</v>
      </c>
      <c r="T1026" s="62">
        <v>0.720833333333333</v>
      </c>
      <c r="U1026" s="62">
        <v>0.734444444444444</v>
      </c>
      <c r="V1026" s="62">
        <v>0.0</v>
      </c>
      <c r="W1026" s="62">
        <v>1.17916666666666</v>
      </c>
      <c r="X1026" s="62">
        <v>0.709444444444444</v>
      </c>
      <c r="Y1026" s="62">
        <v>0.706944444444444</v>
      </c>
      <c r="Z1026" s="62">
        <v>0.0</v>
      </c>
      <c r="AA1026" s="62">
        <v>0.0</v>
      </c>
      <c r="AB1026" s="62">
        <v>0.241666666666666</v>
      </c>
      <c r="AC1026" s="62">
        <v>0.901666666666666</v>
      </c>
      <c r="AD1026" s="62">
        <v>0.225</v>
      </c>
      <c r="AE1026" s="62">
        <v>0.901666666666666</v>
      </c>
      <c r="AF1026" s="62">
        <v>3.0</v>
      </c>
    </row>
    <row r="1027">
      <c r="A1027" s="68">
        <v>46077.0</v>
      </c>
      <c r="B1027" s="62" t="s">
        <v>79</v>
      </c>
      <c r="C1027" s="62" t="s">
        <v>162</v>
      </c>
      <c r="D1027" s="62">
        <v>0.0</v>
      </c>
      <c r="E1027" s="62">
        <v>0.0</v>
      </c>
      <c r="F1027" s="62">
        <v>2.0</v>
      </c>
      <c r="G1027" s="62">
        <v>0.0</v>
      </c>
      <c r="H1027" s="62">
        <v>2.0</v>
      </c>
      <c r="I1027" s="62">
        <v>2.0</v>
      </c>
      <c r="J1027" s="62">
        <v>3.0</v>
      </c>
      <c r="K1027" s="62">
        <v>0.0</v>
      </c>
      <c r="L1027" s="62">
        <v>0.0</v>
      </c>
      <c r="M1027" s="62">
        <v>0.0</v>
      </c>
      <c r="N1027" s="62">
        <v>3.0</v>
      </c>
      <c r="O1027" s="62">
        <v>1.0</v>
      </c>
      <c r="P1027" s="62">
        <v>3.0</v>
      </c>
      <c r="Q1027" s="62">
        <v>0.0</v>
      </c>
      <c r="R1027" s="62">
        <v>0.0</v>
      </c>
      <c r="S1027" s="62">
        <v>0.0</v>
      </c>
      <c r="T1027" s="62">
        <v>0.546944444444444</v>
      </c>
      <c r="U1027" s="62">
        <v>0.363333333333333</v>
      </c>
      <c r="V1027" s="62">
        <v>0.0</v>
      </c>
      <c r="W1027" s="62">
        <v>0.350277777777777</v>
      </c>
      <c r="X1027" s="62">
        <v>0.350277777777777</v>
      </c>
      <c r="Y1027" s="62">
        <v>0.530833333333333</v>
      </c>
      <c r="Z1027" s="62">
        <v>0.0</v>
      </c>
      <c r="AA1027" s="62">
        <v>0.0</v>
      </c>
      <c r="AB1027" s="62">
        <v>0.0</v>
      </c>
      <c r="AC1027" s="62">
        <v>0.465277777777777</v>
      </c>
      <c r="AD1027" s="62">
        <v>0.2</v>
      </c>
      <c r="AE1027" s="62">
        <v>0.465277777777777</v>
      </c>
      <c r="AF1027" s="62">
        <v>3.0</v>
      </c>
    </row>
    <row r="1028">
      <c r="A1028" s="68">
        <v>46077.0</v>
      </c>
      <c r="B1028" s="62" t="s">
        <v>71</v>
      </c>
      <c r="C1028" s="62" t="s">
        <v>163</v>
      </c>
      <c r="D1028" s="62">
        <v>0.0</v>
      </c>
      <c r="E1028" s="62">
        <v>4.0</v>
      </c>
      <c r="F1028" s="62">
        <v>0.0</v>
      </c>
      <c r="G1028" s="62">
        <v>1.0</v>
      </c>
      <c r="H1028" s="62">
        <v>1.0</v>
      </c>
      <c r="I1028" s="62">
        <v>0.0</v>
      </c>
      <c r="J1028" s="62">
        <v>1.0</v>
      </c>
      <c r="K1028" s="62">
        <v>0.0</v>
      </c>
      <c r="L1028" s="62">
        <v>1.0</v>
      </c>
      <c r="M1028" s="62">
        <v>1.0</v>
      </c>
      <c r="N1028" s="62">
        <v>1.0</v>
      </c>
      <c r="O1028" s="62">
        <v>1.0</v>
      </c>
      <c r="P1028" s="62">
        <v>1.0</v>
      </c>
      <c r="Q1028" s="62">
        <v>0.0</v>
      </c>
      <c r="R1028" s="62">
        <v>0.0</v>
      </c>
      <c r="S1028" s="62">
        <v>9440.0</v>
      </c>
      <c r="T1028" s="62">
        <v>0.0</v>
      </c>
      <c r="U1028" s="62">
        <v>0.0</v>
      </c>
      <c r="V1028" s="62">
        <v>0.288611111111111</v>
      </c>
      <c r="W1028" s="62">
        <v>0.288611111111111</v>
      </c>
      <c r="X1028" s="62">
        <v>0.0</v>
      </c>
      <c r="Y1028" s="62">
        <v>0.288611111111111</v>
      </c>
      <c r="Z1028" s="62">
        <v>0.0</v>
      </c>
      <c r="AA1028" s="62">
        <v>0.263611111111111</v>
      </c>
      <c r="AB1028" s="62">
        <v>0.253333333333333</v>
      </c>
      <c r="AC1028" s="62">
        <v>0.262222222222222</v>
      </c>
      <c r="AD1028" s="62">
        <v>0.272222222222222</v>
      </c>
      <c r="AE1028" s="62">
        <v>0.262222222222222</v>
      </c>
      <c r="AF1028" s="62">
        <v>0.0</v>
      </c>
    </row>
    <row r="1029">
      <c r="A1029" s="68">
        <v>46077.0</v>
      </c>
      <c r="B1029" s="62" t="s">
        <v>76</v>
      </c>
      <c r="C1029" s="62" t="s">
        <v>165</v>
      </c>
      <c r="D1029" s="62">
        <v>0.0</v>
      </c>
      <c r="E1029" s="62">
        <v>3.0</v>
      </c>
      <c r="F1029" s="62">
        <v>0.0</v>
      </c>
      <c r="G1029" s="62">
        <v>2.0</v>
      </c>
      <c r="H1029" s="62">
        <v>2.0</v>
      </c>
      <c r="I1029" s="62">
        <v>0.0</v>
      </c>
      <c r="J1029" s="62">
        <v>4.0</v>
      </c>
      <c r="K1029" s="62">
        <v>0.0</v>
      </c>
      <c r="L1029" s="62">
        <v>0.0</v>
      </c>
      <c r="M1029" s="62">
        <v>4.0</v>
      </c>
      <c r="N1029" s="62">
        <v>0.0</v>
      </c>
      <c r="O1029" s="62">
        <v>1.0</v>
      </c>
      <c r="P1029" s="62">
        <v>0.0</v>
      </c>
      <c r="Q1029" s="62">
        <v>0.0</v>
      </c>
      <c r="R1029" s="62">
        <v>0.0</v>
      </c>
      <c r="S1029" s="62">
        <v>8395.0</v>
      </c>
      <c r="T1029" s="62">
        <v>0.560833333333333</v>
      </c>
      <c r="U1029" s="62">
        <v>0.0</v>
      </c>
      <c r="V1029" s="62">
        <v>0.497222222222222</v>
      </c>
      <c r="W1029" s="62">
        <v>0.497222222222222</v>
      </c>
      <c r="X1029" s="62">
        <v>0.0</v>
      </c>
      <c r="Y1029" s="62">
        <v>1.1075</v>
      </c>
      <c r="Z1029" s="62">
        <v>0.0</v>
      </c>
      <c r="AA1029" s="62">
        <v>0.0</v>
      </c>
      <c r="AB1029" s="62">
        <v>1.1075</v>
      </c>
      <c r="AC1029" s="62">
        <v>0.0</v>
      </c>
      <c r="AD1029" s="62">
        <v>0.241944444444444</v>
      </c>
      <c r="AE1029" s="62">
        <v>0.0</v>
      </c>
      <c r="AF1029" s="62">
        <v>2.0</v>
      </c>
    </row>
    <row r="1030">
      <c r="A1030" s="68">
        <v>46077.0</v>
      </c>
      <c r="B1030" s="62" t="s">
        <v>32</v>
      </c>
      <c r="C1030" s="62" t="s">
        <v>168</v>
      </c>
      <c r="D1030" s="62">
        <v>4.0</v>
      </c>
      <c r="E1030" s="62">
        <v>4.0</v>
      </c>
      <c r="F1030" s="62">
        <v>0.0</v>
      </c>
      <c r="G1030" s="62">
        <v>0.0</v>
      </c>
      <c r="H1030" s="62">
        <v>4.0</v>
      </c>
      <c r="I1030" s="62">
        <v>3.0</v>
      </c>
      <c r="J1030" s="62">
        <v>4.0</v>
      </c>
      <c r="K1030" s="62">
        <v>0.0</v>
      </c>
      <c r="L1030" s="62">
        <v>0.0</v>
      </c>
      <c r="M1030" s="62">
        <v>4.0</v>
      </c>
      <c r="N1030" s="62">
        <v>0.0</v>
      </c>
      <c r="O1030" s="62">
        <v>1.0</v>
      </c>
      <c r="P1030" s="62">
        <v>0.0</v>
      </c>
      <c r="Q1030" s="62">
        <v>0.0</v>
      </c>
      <c r="R1030" s="62">
        <v>10482.0</v>
      </c>
      <c r="S1030" s="62">
        <v>10482.0</v>
      </c>
      <c r="T1030" s="62">
        <v>0.749166666666666</v>
      </c>
      <c r="U1030" s="62">
        <v>0.0</v>
      </c>
      <c r="V1030" s="62">
        <v>0.0</v>
      </c>
      <c r="W1030" s="62">
        <v>1.00833333333333</v>
      </c>
      <c r="X1030" s="62">
        <v>0.749166666666666</v>
      </c>
      <c r="Y1030" s="62">
        <v>1.03</v>
      </c>
      <c r="Z1030" s="62">
        <v>0.0</v>
      </c>
      <c r="AA1030" s="62">
        <v>0.0</v>
      </c>
      <c r="AB1030" s="62">
        <v>1.02833333333333</v>
      </c>
      <c r="AC1030" s="62">
        <v>0.0</v>
      </c>
      <c r="AD1030" s="62">
        <v>0.208055555555555</v>
      </c>
      <c r="AE1030" s="62">
        <v>0.0</v>
      </c>
      <c r="AF1030" s="62">
        <v>3.0</v>
      </c>
    </row>
    <row r="1031">
      <c r="A1031" s="68">
        <v>46077.0</v>
      </c>
      <c r="B1031" s="62" t="s">
        <v>37</v>
      </c>
      <c r="C1031" s="62" t="s">
        <v>174</v>
      </c>
      <c r="D1031" s="62">
        <v>3.0</v>
      </c>
      <c r="E1031" s="62">
        <v>0.0</v>
      </c>
      <c r="F1031" s="62">
        <v>2.0</v>
      </c>
      <c r="G1031" s="62">
        <v>0.0</v>
      </c>
      <c r="H1031" s="62">
        <v>0.0</v>
      </c>
      <c r="I1031" s="62">
        <v>0.0</v>
      </c>
      <c r="J1031" s="62">
        <v>0.0</v>
      </c>
      <c r="K1031" s="62">
        <v>1.0</v>
      </c>
      <c r="L1031" s="62">
        <v>0.0</v>
      </c>
      <c r="M1031" s="62">
        <v>2.0</v>
      </c>
      <c r="N1031" s="62">
        <v>1.0</v>
      </c>
      <c r="O1031" s="62">
        <v>1.0</v>
      </c>
      <c r="P1031" s="62">
        <v>1.0</v>
      </c>
      <c r="Q1031" s="62">
        <v>0.0</v>
      </c>
      <c r="R1031" s="62">
        <v>7773.0</v>
      </c>
      <c r="S1031" s="62">
        <v>0.0</v>
      </c>
      <c r="T1031" s="62">
        <v>1.06555555555555</v>
      </c>
      <c r="U1031" s="62">
        <v>0.597222222222222</v>
      </c>
      <c r="V1031" s="62">
        <v>0.0</v>
      </c>
      <c r="W1031" s="62">
        <v>0.0</v>
      </c>
      <c r="X1031" s="62">
        <v>0.0</v>
      </c>
      <c r="Y1031" s="62">
        <v>0.0</v>
      </c>
      <c r="Z1031" s="62">
        <v>0.281388888888888</v>
      </c>
      <c r="AA1031" s="62">
        <v>0.0</v>
      </c>
      <c r="AB1031" s="62">
        <v>0.536944444444444</v>
      </c>
      <c r="AC1031" s="62">
        <v>0.281388888888888</v>
      </c>
      <c r="AD1031" s="62">
        <v>0.273611111111111</v>
      </c>
      <c r="AE1031" s="62">
        <v>0.281388888888888</v>
      </c>
      <c r="AF1031" s="62">
        <v>4.0</v>
      </c>
    </row>
    <row r="1032">
      <c r="A1032" s="68">
        <v>46077.0</v>
      </c>
      <c r="B1032" s="62" t="s">
        <v>81</v>
      </c>
      <c r="C1032" s="62" t="s">
        <v>187</v>
      </c>
      <c r="D1032" s="62">
        <v>3.0</v>
      </c>
      <c r="E1032" s="62">
        <v>5.0</v>
      </c>
      <c r="F1032" s="62">
        <v>3.0</v>
      </c>
      <c r="G1032" s="62">
        <v>2.0</v>
      </c>
      <c r="H1032" s="62">
        <v>3.0</v>
      </c>
      <c r="I1032" s="62">
        <v>1.0</v>
      </c>
      <c r="J1032" s="62">
        <v>5.0</v>
      </c>
      <c r="K1032" s="62">
        <v>1.0</v>
      </c>
      <c r="L1032" s="62">
        <v>0.0</v>
      </c>
      <c r="M1032" s="62">
        <v>1.0</v>
      </c>
      <c r="N1032" s="62">
        <v>0.0</v>
      </c>
      <c r="O1032" s="62">
        <v>1.0</v>
      </c>
      <c r="P1032" s="62">
        <v>0.0</v>
      </c>
      <c r="Q1032" s="62">
        <v>0.0</v>
      </c>
      <c r="R1032" s="62">
        <v>5974.0</v>
      </c>
      <c r="S1032" s="62">
        <v>11018.0</v>
      </c>
      <c r="T1032" s="62">
        <v>1.73666666666666</v>
      </c>
      <c r="U1032" s="62">
        <v>0.643333333333333</v>
      </c>
      <c r="V1032" s="62">
        <v>0.397499999999999</v>
      </c>
      <c r="W1032" s="62">
        <v>0.608888888888888</v>
      </c>
      <c r="X1032" s="62">
        <v>0.211388888888888</v>
      </c>
      <c r="Y1032" s="62">
        <v>1.05611111111111</v>
      </c>
      <c r="Z1032" s="62">
        <v>0.2275</v>
      </c>
      <c r="AA1032" s="62">
        <v>0.0</v>
      </c>
      <c r="AB1032" s="62">
        <v>0.213333333333333</v>
      </c>
      <c r="AC1032" s="62">
        <v>0.0</v>
      </c>
      <c r="AD1032" s="62">
        <v>0.200555555555555</v>
      </c>
      <c r="AE1032" s="62">
        <v>0.0</v>
      </c>
      <c r="AF1032" s="62">
        <v>8.0</v>
      </c>
    </row>
    <row r="1033">
      <c r="A1033" s="68">
        <v>46077.0</v>
      </c>
      <c r="B1033" s="62" t="s">
        <v>26</v>
      </c>
      <c r="C1033" s="62" t="s">
        <v>178</v>
      </c>
      <c r="D1033" s="62">
        <v>0.0</v>
      </c>
      <c r="E1033" s="62">
        <v>10.0</v>
      </c>
      <c r="F1033" s="62">
        <v>5.0</v>
      </c>
      <c r="G1033" s="62">
        <v>2.0</v>
      </c>
      <c r="H1033" s="62">
        <v>6.0</v>
      </c>
      <c r="I1033" s="62">
        <v>4.0</v>
      </c>
      <c r="J1033" s="62">
        <v>3.0</v>
      </c>
      <c r="K1033" s="62">
        <v>0.0</v>
      </c>
      <c r="L1033" s="62">
        <v>0.0</v>
      </c>
      <c r="M1033" s="62">
        <v>5.0</v>
      </c>
      <c r="N1033" s="62">
        <v>1.0</v>
      </c>
      <c r="O1033" s="62">
        <v>1.0</v>
      </c>
      <c r="P1033" s="62">
        <v>1.0</v>
      </c>
      <c r="Q1033" s="62">
        <v>0.0</v>
      </c>
      <c r="R1033" s="62">
        <v>0.0</v>
      </c>
      <c r="S1033" s="62">
        <v>25742.0</v>
      </c>
      <c r="T1033" s="62">
        <v>1.79305555555555</v>
      </c>
      <c r="U1033" s="62">
        <v>0.983611111111111</v>
      </c>
      <c r="V1033" s="62">
        <v>0.381666666666666</v>
      </c>
      <c r="W1033" s="62">
        <v>1.19111111111111</v>
      </c>
      <c r="X1033" s="62">
        <v>0.809444444444444</v>
      </c>
      <c r="Y1033" s="62">
        <v>0.534722222222222</v>
      </c>
      <c r="Z1033" s="62">
        <v>0.0</v>
      </c>
      <c r="AA1033" s="62">
        <v>0.0</v>
      </c>
      <c r="AB1033" s="62">
        <v>0.973055555555555</v>
      </c>
      <c r="AC1033" s="62">
        <v>0.223888888888888</v>
      </c>
      <c r="AD1033" s="62">
        <v>0.193055555555555</v>
      </c>
      <c r="AE1033" s="62">
        <v>0.223888888888888</v>
      </c>
      <c r="AF1033" s="62">
        <v>9.0</v>
      </c>
    </row>
    <row r="1034">
      <c r="A1034" s="68">
        <v>46077.0</v>
      </c>
      <c r="B1034" s="62" t="s">
        <v>62</v>
      </c>
      <c r="C1034" s="62" t="s">
        <v>63</v>
      </c>
      <c r="D1034" s="62">
        <v>0.0</v>
      </c>
      <c r="E1034" s="62">
        <v>4.0</v>
      </c>
      <c r="F1034" s="62">
        <v>0.0</v>
      </c>
      <c r="G1034" s="62">
        <v>0.0</v>
      </c>
      <c r="H1034" s="62">
        <v>3.0</v>
      </c>
      <c r="I1034" s="62">
        <v>0.0</v>
      </c>
      <c r="J1034" s="62">
        <v>4.0</v>
      </c>
      <c r="K1034" s="62">
        <v>0.0</v>
      </c>
      <c r="L1034" s="62">
        <v>0.0</v>
      </c>
      <c r="M1034" s="62">
        <v>4.0</v>
      </c>
      <c r="N1034" s="62">
        <v>1.0</v>
      </c>
      <c r="O1034" s="62">
        <v>1.0</v>
      </c>
      <c r="P1034" s="62">
        <v>1.0</v>
      </c>
      <c r="Q1034" s="62">
        <v>0.0</v>
      </c>
      <c r="R1034" s="62">
        <v>0.0</v>
      </c>
      <c r="S1034" s="62">
        <v>8666.0</v>
      </c>
      <c r="T1034" s="62">
        <v>0.723055555555555</v>
      </c>
      <c r="U1034" s="62">
        <v>0.0</v>
      </c>
      <c r="V1034" s="62">
        <v>0.0</v>
      </c>
      <c r="W1034" s="62">
        <v>0.707777777777777</v>
      </c>
      <c r="X1034" s="62">
        <v>0.0</v>
      </c>
      <c r="Y1034" s="62">
        <v>0.947222222222222</v>
      </c>
      <c r="Z1034" s="62">
        <v>0.0</v>
      </c>
      <c r="AA1034" s="62">
        <v>0.0</v>
      </c>
      <c r="AB1034" s="62">
        <v>0.901666666666666</v>
      </c>
      <c r="AC1034" s="62">
        <v>0.257777777777777</v>
      </c>
      <c r="AD1034" s="62">
        <v>0.226111111111111</v>
      </c>
      <c r="AE1034" s="62">
        <v>0.257777777777777</v>
      </c>
      <c r="AF1034" s="62">
        <v>3.0</v>
      </c>
    </row>
    <row r="1035">
      <c r="A1035" s="68">
        <v>46076.0</v>
      </c>
      <c r="B1035" s="62" t="s">
        <v>79</v>
      </c>
      <c r="C1035" s="62" t="s">
        <v>162</v>
      </c>
      <c r="D1035" s="62">
        <v>0.0</v>
      </c>
      <c r="E1035" s="62">
        <v>1.0</v>
      </c>
      <c r="F1035" s="62">
        <v>0.0</v>
      </c>
      <c r="G1035" s="62">
        <v>0.0</v>
      </c>
      <c r="H1035" s="62">
        <v>2.0</v>
      </c>
      <c r="I1035" s="62">
        <v>2.0</v>
      </c>
      <c r="J1035" s="62">
        <v>1.0</v>
      </c>
      <c r="K1035" s="62">
        <v>0.0</v>
      </c>
      <c r="L1035" s="62">
        <v>0.0</v>
      </c>
      <c r="M1035" s="62">
        <v>3.0</v>
      </c>
      <c r="N1035" s="62">
        <v>3.0</v>
      </c>
      <c r="O1035" s="62">
        <v>1.0</v>
      </c>
      <c r="P1035" s="62">
        <v>3.0</v>
      </c>
      <c r="Q1035" s="62">
        <v>0.0</v>
      </c>
      <c r="R1035" s="62">
        <v>0.0</v>
      </c>
      <c r="S1035" s="62">
        <v>2420.0</v>
      </c>
      <c r="T1035" s="62">
        <v>0.0</v>
      </c>
      <c r="U1035" s="62">
        <v>0.0</v>
      </c>
      <c r="V1035" s="62">
        <v>0.0</v>
      </c>
      <c r="W1035" s="62">
        <v>0.365833333333333</v>
      </c>
      <c r="X1035" s="62">
        <v>0.365833333333333</v>
      </c>
      <c r="Y1035" s="62">
        <v>0.170555555555555</v>
      </c>
      <c r="Z1035" s="62">
        <v>0.0</v>
      </c>
      <c r="AA1035" s="62">
        <v>0.0</v>
      </c>
      <c r="AB1035" s="62">
        <v>0.5</v>
      </c>
      <c r="AC1035" s="62">
        <v>0.666111111111111</v>
      </c>
      <c r="AD1035" s="62">
        <v>0.271388888888888</v>
      </c>
      <c r="AE1035" s="62">
        <v>0.666111111111111</v>
      </c>
      <c r="AF1035" s="62">
        <v>0.0</v>
      </c>
    </row>
    <row r="1036">
      <c r="A1036" s="68">
        <v>46076.0</v>
      </c>
      <c r="B1036" s="62" t="s">
        <v>71</v>
      </c>
      <c r="C1036" s="62" t="s">
        <v>163</v>
      </c>
      <c r="D1036" s="62">
        <v>3.0</v>
      </c>
      <c r="E1036" s="62">
        <v>3.0</v>
      </c>
      <c r="F1036" s="62">
        <v>1.0</v>
      </c>
      <c r="G1036" s="62">
        <v>0.0</v>
      </c>
      <c r="H1036" s="62">
        <v>0.0</v>
      </c>
      <c r="I1036" s="62">
        <v>0.0</v>
      </c>
      <c r="J1036" s="62">
        <v>4.0</v>
      </c>
      <c r="K1036" s="62">
        <v>1.0</v>
      </c>
      <c r="L1036" s="62">
        <v>0.0</v>
      </c>
      <c r="M1036" s="62">
        <v>5.0</v>
      </c>
      <c r="N1036" s="62">
        <v>5.0</v>
      </c>
      <c r="O1036" s="62">
        <v>1.0</v>
      </c>
      <c r="P1036" s="62">
        <v>5.0</v>
      </c>
      <c r="Q1036" s="62">
        <v>0.0</v>
      </c>
      <c r="R1036" s="62">
        <v>7954.0</v>
      </c>
      <c r="S1036" s="62">
        <v>9387.0</v>
      </c>
      <c r="T1036" s="62">
        <v>0.283333333333333</v>
      </c>
      <c r="U1036" s="62">
        <v>0.283333333333333</v>
      </c>
      <c r="V1036" s="62">
        <v>0.0</v>
      </c>
      <c r="W1036" s="62">
        <v>0.0</v>
      </c>
      <c r="X1036" s="62">
        <v>0.0</v>
      </c>
      <c r="Y1036" s="62">
        <v>1.07305555555555</v>
      </c>
      <c r="Z1036" s="62">
        <v>0.262222222222222</v>
      </c>
      <c r="AA1036" s="62">
        <v>0.0</v>
      </c>
      <c r="AB1036" s="62">
        <v>1.33472222222222</v>
      </c>
      <c r="AC1036" s="62">
        <v>1.33666666666666</v>
      </c>
      <c r="AD1036" s="62">
        <v>0.252222222222222</v>
      </c>
      <c r="AE1036" s="62">
        <v>1.33666666666666</v>
      </c>
      <c r="AF1036" s="62">
        <v>1.0</v>
      </c>
    </row>
    <row r="1037">
      <c r="A1037" s="68">
        <v>46076.0</v>
      </c>
      <c r="B1037" s="62" t="s">
        <v>76</v>
      </c>
      <c r="C1037" s="62" t="s">
        <v>165</v>
      </c>
      <c r="D1037" s="62">
        <v>0.0</v>
      </c>
      <c r="E1037" s="62">
        <v>3.0</v>
      </c>
      <c r="F1037" s="62">
        <v>4.0</v>
      </c>
      <c r="G1037" s="62">
        <v>4.0</v>
      </c>
      <c r="H1037" s="62">
        <v>4.0</v>
      </c>
      <c r="I1037" s="62">
        <v>0.0</v>
      </c>
      <c r="J1037" s="62">
        <v>0.0</v>
      </c>
      <c r="K1037" s="62">
        <v>0.0</v>
      </c>
      <c r="L1037" s="62">
        <v>0.0</v>
      </c>
      <c r="M1037" s="62">
        <v>0.0</v>
      </c>
      <c r="N1037" s="62">
        <v>0.0</v>
      </c>
      <c r="O1037" s="62">
        <v>1.0</v>
      </c>
      <c r="P1037" s="62">
        <v>0.0</v>
      </c>
      <c r="Q1037" s="62">
        <v>0.0</v>
      </c>
      <c r="R1037" s="62">
        <v>0.0</v>
      </c>
      <c r="S1037" s="62">
        <v>7491.0</v>
      </c>
      <c r="T1037" s="62">
        <v>0.8325</v>
      </c>
      <c r="U1037" s="62">
        <v>1.14972222222222</v>
      </c>
      <c r="V1037" s="62">
        <v>1.1075</v>
      </c>
      <c r="W1037" s="62">
        <v>1.1075</v>
      </c>
      <c r="X1037" s="62">
        <v>0.0</v>
      </c>
      <c r="Y1037" s="62">
        <v>0.0</v>
      </c>
      <c r="Z1037" s="62">
        <v>0.0</v>
      </c>
      <c r="AA1037" s="62">
        <v>0.0</v>
      </c>
      <c r="AB1037" s="62">
        <v>0.0</v>
      </c>
      <c r="AC1037" s="62">
        <v>0.0</v>
      </c>
      <c r="AD1037" s="62">
        <v>0.251388888888888</v>
      </c>
      <c r="AE1037" s="62">
        <v>0.0</v>
      </c>
      <c r="AF1037" s="62">
        <v>3.0</v>
      </c>
    </row>
    <row r="1038">
      <c r="A1038" s="68">
        <v>46076.0</v>
      </c>
      <c r="B1038" s="62" t="s">
        <v>32</v>
      </c>
      <c r="C1038" s="62" t="s">
        <v>168</v>
      </c>
      <c r="D1038" s="62">
        <v>4.0</v>
      </c>
      <c r="E1038" s="62">
        <v>4.0</v>
      </c>
      <c r="F1038" s="62">
        <v>2.0</v>
      </c>
      <c r="G1038" s="62">
        <v>0.0</v>
      </c>
      <c r="H1038" s="62">
        <v>5.0</v>
      </c>
      <c r="I1038" s="62">
        <v>5.0</v>
      </c>
      <c r="J1038" s="62">
        <v>3.0</v>
      </c>
      <c r="K1038" s="62">
        <v>0.0</v>
      </c>
      <c r="L1038" s="62">
        <v>0.0</v>
      </c>
      <c r="M1038" s="62">
        <v>2.0</v>
      </c>
      <c r="N1038" s="62">
        <v>2.0</v>
      </c>
      <c r="O1038" s="62">
        <v>1.0</v>
      </c>
      <c r="P1038" s="62">
        <v>2.0</v>
      </c>
      <c r="Q1038" s="62">
        <v>0.0</v>
      </c>
      <c r="R1038" s="62">
        <v>10408.0</v>
      </c>
      <c r="S1038" s="62">
        <v>10408.0</v>
      </c>
      <c r="T1038" s="62">
        <v>1.78555555555555</v>
      </c>
      <c r="U1038" s="62">
        <v>0.504722222222222</v>
      </c>
      <c r="V1038" s="62">
        <v>0.0</v>
      </c>
      <c r="W1038" s="62">
        <v>1.28083333333333</v>
      </c>
      <c r="X1038" s="62">
        <v>1.28083333333333</v>
      </c>
      <c r="Y1038" s="62">
        <v>0.769444444444444</v>
      </c>
      <c r="Z1038" s="62">
        <v>0.0</v>
      </c>
      <c r="AA1038" s="62">
        <v>0.0</v>
      </c>
      <c r="AB1038" s="62">
        <v>0.501111111111111</v>
      </c>
      <c r="AC1038" s="62">
        <v>0.501111111111111</v>
      </c>
      <c r="AD1038" s="62">
        <v>0.208055555555555</v>
      </c>
      <c r="AE1038" s="62">
        <v>0.501111111111111</v>
      </c>
      <c r="AF1038" s="62">
        <v>7.0</v>
      </c>
    </row>
    <row r="1039">
      <c r="A1039" s="68">
        <v>46076.0</v>
      </c>
      <c r="B1039" s="62" t="s">
        <v>37</v>
      </c>
      <c r="C1039" s="62" t="s">
        <v>174</v>
      </c>
      <c r="D1039" s="62">
        <v>3.0</v>
      </c>
      <c r="E1039" s="62">
        <v>6.0</v>
      </c>
      <c r="F1039" s="62">
        <v>3.0</v>
      </c>
      <c r="G1039" s="62">
        <v>2.0</v>
      </c>
      <c r="H1039" s="62">
        <v>3.0</v>
      </c>
      <c r="I1039" s="62">
        <v>1.0</v>
      </c>
      <c r="J1039" s="62">
        <v>2.0</v>
      </c>
      <c r="K1039" s="62">
        <v>0.0</v>
      </c>
      <c r="L1039" s="62">
        <v>0.0</v>
      </c>
      <c r="M1039" s="62">
        <v>0.0</v>
      </c>
      <c r="N1039" s="62">
        <v>0.0</v>
      </c>
      <c r="O1039" s="62">
        <v>1.0</v>
      </c>
      <c r="P1039" s="62">
        <v>0.0</v>
      </c>
      <c r="Q1039" s="62">
        <v>0.0</v>
      </c>
      <c r="R1039" s="62">
        <v>7383.0</v>
      </c>
      <c r="S1039" s="62">
        <v>14483.0</v>
      </c>
      <c r="T1039" s="62">
        <v>0.597222222222222</v>
      </c>
      <c r="U1039" s="62">
        <v>0.887777777777777</v>
      </c>
      <c r="V1039" s="62">
        <v>0.536944444444444</v>
      </c>
      <c r="W1039" s="62">
        <v>0.784166666666666</v>
      </c>
      <c r="X1039" s="62">
        <v>0.247222222222222</v>
      </c>
      <c r="Y1039" s="62">
        <v>0.536944444444444</v>
      </c>
      <c r="Z1039" s="62">
        <v>0.0</v>
      </c>
      <c r="AA1039" s="62">
        <v>0.0</v>
      </c>
      <c r="AB1039" s="62">
        <v>0.0</v>
      </c>
      <c r="AC1039" s="62">
        <v>0.0</v>
      </c>
      <c r="AD1039" s="62">
        <v>0.264166666666666</v>
      </c>
      <c r="AE1039" s="62">
        <v>0.0</v>
      </c>
      <c r="AF1039" s="62">
        <v>2.0</v>
      </c>
    </row>
    <row r="1040">
      <c r="A1040" s="68">
        <v>46076.0</v>
      </c>
      <c r="B1040" s="62" t="s">
        <v>81</v>
      </c>
      <c r="C1040" s="62" t="s">
        <v>187</v>
      </c>
      <c r="D1040" s="62">
        <v>2.0</v>
      </c>
      <c r="E1040" s="62">
        <v>6.0</v>
      </c>
      <c r="F1040" s="62">
        <v>2.0</v>
      </c>
      <c r="G1040" s="62">
        <v>2.0</v>
      </c>
      <c r="H1040" s="62">
        <v>5.0</v>
      </c>
      <c r="I1040" s="62">
        <v>3.0</v>
      </c>
      <c r="J1040" s="62">
        <v>2.0</v>
      </c>
      <c r="K1040" s="62">
        <v>2.0</v>
      </c>
      <c r="L1040" s="62">
        <v>0.0</v>
      </c>
      <c r="M1040" s="62">
        <v>0.0</v>
      </c>
      <c r="N1040" s="62">
        <v>5.0</v>
      </c>
      <c r="O1040" s="62">
        <v>1.0</v>
      </c>
      <c r="P1040" s="62">
        <v>5.0</v>
      </c>
      <c r="Q1040" s="62">
        <v>0.0</v>
      </c>
      <c r="R1040" s="62">
        <v>4388.0</v>
      </c>
      <c r="S1040" s="62">
        <v>14079.0</v>
      </c>
      <c r="T1040" s="62">
        <v>0.447777777777777</v>
      </c>
      <c r="U1040" s="62">
        <v>0.393333333333333</v>
      </c>
      <c r="V1040" s="62">
        <v>0.431111111111111</v>
      </c>
      <c r="W1040" s="62">
        <v>1.09055555555555</v>
      </c>
      <c r="X1040" s="62">
        <v>0.659444444444444</v>
      </c>
      <c r="Y1040" s="62">
        <v>0.424444444444444</v>
      </c>
      <c r="Z1040" s="62">
        <v>0.424444444444444</v>
      </c>
      <c r="AA1040" s="62">
        <v>0.0</v>
      </c>
      <c r="AB1040" s="62">
        <v>0.0</v>
      </c>
      <c r="AC1040" s="62">
        <v>1.12277777777777</v>
      </c>
      <c r="AD1040" s="62">
        <v>0.275833333333333</v>
      </c>
      <c r="AE1040" s="62">
        <v>1.12277777777777</v>
      </c>
      <c r="AF1040" s="62">
        <v>2.0</v>
      </c>
    </row>
    <row r="1041">
      <c r="A1041" s="68">
        <v>46076.0</v>
      </c>
      <c r="B1041" s="62" t="s">
        <v>84</v>
      </c>
      <c r="C1041" s="62" t="s">
        <v>186</v>
      </c>
      <c r="D1041" s="62">
        <v>2.0</v>
      </c>
      <c r="E1041" s="62">
        <v>0.0</v>
      </c>
      <c r="F1041" s="62">
        <v>0.0</v>
      </c>
      <c r="G1041" s="62">
        <v>0.0</v>
      </c>
      <c r="H1041" s="62">
        <v>0.0</v>
      </c>
      <c r="I1041" s="62">
        <v>0.0</v>
      </c>
      <c r="J1041" s="62">
        <v>0.0</v>
      </c>
      <c r="K1041" s="62">
        <v>0.0</v>
      </c>
      <c r="L1041" s="62">
        <v>0.0</v>
      </c>
      <c r="M1041" s="62">
        <v>0.0</v>
      </c>
      <c r="N1041" s="62">
        <v>0.0</v>
      </c>
      <c r="O1041" s="62">
        <v>0.0</v>
      </c>
      <c r="P1041" s="62">
        <v>0.0</v>
      </c>
      <c r="Q1041" s="62">
        <v>0.0</v>
      </c>
      <c r="R1041" s="62">
        <v>4834.0</v>
      </c>
      <c r="S1041" s="62">
        <v>0.0</v>
      </c>
      <c r="T1041" s="62">
        <v>0.0</v>
      </c>
      <c r="U1041" s="62">
        <v>0.0</v>
      </c>
      <c r="V1041" s="62">
        <v>0.0</v>
      </c>
      <c r="W1041" s="62">
        <v>0.0</v>
      </c>
      <c r="X1041" s="62">
        <v>0.0</v>
      </c>
      <c r="Y1041" s="62">
        <v>0.0</v>
      </c>
      <c r="Z1041" s="62">
        <v>0.0</v>
      </c>
      <c r="AA1041" s="62">
        <v>0.0</v>
      </c>
      <c r="AB1041" s="62">
        <v>0.0</v>
      </c>
      <c r="AC1041" s="62">
        <v>0.0</v>
      </c>
      <c r="AD1041" s="62">
        <v>0.0</v>
      </c>
      <c r="AE1041" s="62">
        <v>0.0</v>
      </c>
      <c r="AF1041" s="62">
        <v>0.0</v>
      </c>
    </row>
    <row r="1042">
      <c r="A1042" s="68">
        <v>46076.0</v>
      </c>
      <c r="B1042" s="62" t="s">
        <v>26</v>
      </c>
      <c r="C1042" s="62" t="s">
        <v>178</v>
      </c>
      <c r="D1042" s="62">
        <v>0.0</v>
      </c>
      <c r="E1042" s="62">
        <v>5.0</v>
      </c>
      <c r="F1042" s="62">
        <v>3.0</v>
      </c>
      <c r="G1042" s="62">
        <v>0.0</v>
      </c>
      <c r="H1042" s="62">
        <v>8.0</v>
      </c>
      <c r="I1042" s="62">
        <v>8.0</v>
      </c>
      <c r="J1042" s="62">
        <v>4.0</v>
      </c>
      <c r="K1042" s="62">
        <v>0.0</v>
      </c>
      <c r="L1042" s="62">
        <v>0.0</v>
      </c>
      <c r="M1042" s="62">
        <v>2.0</v>
      </c>
      <c r="N1042" s="62">
        <v>1.0</v>
      </c>
      <c r="O1042" s="62">
        <v>1.0</v>
      </c>
      <c r="P1042" s="62">
        <v>1.0</v>
      </c>
      <c r="Q1042" s="62">
        <v>0.0</v>
      </c>
      <c r="R1042" s="62">
        <v>0.0</v>
      </c>
      <c r="S1042" s="62">
        <v>12397.0</v>
      </c>
      <c r="T1042" s="62">
        <v>2.13388888888888</v>
      </c>
      <c r="U1042" s="62">
        <v>0.583055555555555</v>
      </c>
      <c r="V1042" s="62">
        <v>0.0</v>
      </c>
      <c r="W1042" s="62">
        <v>1.55083333333333</v>
      </c>
      <c r="X1042" s="62">
        <v>1.55083333333333</v>
      </c>
      <c r="Y1042" s="62">
        <v>0.825277777777777</v>
      </c>
      <c r="Z1042" s="62">
        <v>0.0</v>
      </c>
      <c r="AA1042" s="62">
        <v>0.0</v>
      </c>
      <c r="AB1042" s="62">
        <v>0.386944444444444</v>
      </c>
      <c r="AC1042" s="62">
        <v>0.184722222222222</v>
      </c>
      <c r="AD1042" s="62">
        <v>0.193055555555555</v>
      </c>
      <c r="AE1042" s="62">
        <v>0.184722222222222</v>
      </c>
      <c r="AF1042" s="62">
        <v>11.0</v>
      </c>
    </row>
    <row r="1043">
      <c r="A1043" s="68">
        <v>46076.0</v>
      </c>
      <c r="B1043" s="62" t="s">
        <v>62</v>
      </c>
      <c r="C1043" s="62" t="s">
        <v>63</v>
      </c>
      <c r="D1043" s="62">
        <v>0.0</v>
      </c>
      <c r="E1043" s="62">
        <v>2.0</v>
      </c>
      <c r="F1043" s="62">
        <v>5.0</v>
      </c>
      <c r="G1043" s="62">
        <v>0.0</v>
      </c>
      <c r="H1043" s="62">
        <v>2.0</v>
      </c>
      <c r="I1043" s="62">
        <v>2.0</v>
      </c>
      <c r="J1043" s="62">
        <v>1.0</v>
      </c>
      <c r="K1043" s="62">
        <v>1.0</v>
      </c>
      <c r="L1043" s="62">
        <v>1.0</v>
      </c>
      <c r="M1043" s="62">
        <v>1.0</v>
      </c>
      <c r="N1043" s="62">
        <v>0.0</v>
      </c>
      <c r="O1043" s="62">
        <v>1.0</v>
      </c>
      <c r="P1043" s="62">
        <v>0.0</v>
      </c>
      <c r="Q1043" s="62">
        <v>0.0</v>
      </c>
      <c r="R1043" s="62">
        <v>0.0</v>
      </c>
      <c r="S1043" s="62">
        <v>4591.0</v>
      </c>
      <c r="T1043" s="62">
        <v>0.0</v>
      </c>
      <c r="U1043" s="62">
        <v>1.13166666666666</v>
      </c>
      <c r="V1043" s="62">
        <v>0.0</v>
      </c>
      <c r="W1043" s="62">
        <v>0.460277777777777</v>
      </c>
      <c r="X1043" s="62">
        <v>0.460277777777777</v>
      </c>
      <c r="Y1043" s="62">
        <v>0.196111111111111</v>
      </c>
      <c r="Z1043" s="62">
        <v>0.257777777777777</v>
      </c>
      <c r="AA1043" s="62">
        <v>0.257777777777777</v>
      </c>
      <c r="AB1043" s="62">
        <v>0.257777777777777</v>
      </c>
      <c r="AC1043" s="62">
        <v>0.0</v>
      </c>
      <c r="AD1043" s="62">
        <v>0.201666666666666</v>
      </c>
      <c r="AE1043" s="62">
        <v>0.0</v>
      </c>
      <c r="AF1043" s="62">
        <v>0.0</v>
      </c>
    </row>
    <row r="1044">
      <c r="A1044" s="68">
        <v>46075.0</v>
      </c>
      <c r="B1044" s="62" t="s">
        <v>79</v>
      </c>
      <c r="C1044" s="62" t="s">
        <v>162</v>
      </c>
      <c r="D1044" s="62">
        <v>8.0</v>
      </c>
      <c r="E1044" s="62">
        <v>0.0</v>
      </c>
      <c r="F1044" s="62">
        <v>0.0</v>
      </c>
      <c r="G1044" s="62">
        <v>0.0</v>
      </c>
      <c r="H1044" s="62">
        <v>0.0</v>
      </c>
      <c r="I1044" s="62">
        <v>0.0</v>
      </c>
      <c r="J1044" s="62">
        <v>0.0</v>
      </c>
      <c r="K1044" s="62">
        <v>0.0</v>
      </c>
      <c r="L1044" s="62">
        <v>0.0</v>
      </c>
      <c r="M1044" s="62">
        <v>0.0</v>
      </c>
      <c r="N1044" s="62">
        <v>0.0</v>
      </c>
      <c r="O1044" s="62">
        <v>0.0</v>
      </c>
      <c r="P1044" s="62">
        <v>0.0</v>
      </c>
      <c r="Q1044" s="62">
        <v>0.0</v>
      </c>
      <c r="R1044" s="62">
        <v>16710.0</v>
      </c>
      <c r="S1044" s="62">
        <v>0.0</v>
      </c>
      <c r="T1044" s="62">
        <v>0.365833333333333</v>
      </c>
      <c r="U1044" s="62">
        <v>0.0</v>
      </c>
      <c r="V1044" s="62">
        <v>0.0</v>
      </c>
      <c r="W1044" s="62">
        <v>0.0</v>
      </c>
      <c r="X1044" s="62">
        <v>0.0</v>
      </c>
      <c r="Y1044" s="62">
        <v>0.0</v>
      </c>
      <c r="Z1044" s="62">
        <v>0.0</v>
      </c>
      <c r="AA1044" s="62">
        <v>0.0</v>
      </c>
      <c r="AB1044" s="62">
        <v>0.0</v>
      </c>
      <c r="AC1044" s="62">
        <v>0.0</v>
      </c>
      <c r="AD1044" s="62">
        <v>0.0</v>
      </c>
      <c r="AE1044" s="62">
        <v>0.0</v>
      </c>
      <c r="AF1044" s="62">
        <v>2.0</v>
      </c>
    </row>
    <row r="1045">
      <c r="A1045" s="68">
        <v>46075.0</v>
      </c>
      <c r="B1045" s="62" t="s">
        <v>37</v>
      </c>
      <c r="C1045" s="62" t="s">
        <v>174</v>
      </c>
      <c r="D1045" s="62">
        <v>0.0</v>
      </c>
      <c r="E1045" s="62">
        <v>0.0</v>
      </c>
      <c r="F1045" s="62">
        <v>0.0</v>
      </c>
      <c r="G1045" s="62">
        <v>0.0</v>
      </c>
      <c r="H1045" s="62">
        <v>0.0</v>
      </c>
      <c r="I1045" s="62">
        <v>0.0</v>
      </c>
      <c r="J1045" s="62">
        <v>0.0</v>
      </c>
      <c r="K1045" s="62">
        <v>0.0</v>
      </c>
      <c r="L1045" s="62">
        <v>0.0</v>
      </c>
      <c r="M1045" s="62">
        <v>0.0</v>
      </c>
      <c r="N1045" s="62">
        <v>1.0</v>
      </c>
      <c r="O1045" s="62">
        <v>1.0</v>
      </c>
      <c r="P1045" s="62">
        <v>1.0</v>
      </c>
      <c r="Q1045" s="62">
        <v>0.0</v>
      </c>
      <c r="R1045" s="62">
        <v>0.0</v>
      </c>
      <c r="S1045" s="62">
        <v>0.0</v>
      </c>
      <c r="T1045" s="62">
        <v>0.0</v>
      </c>
      <c r="U1045" s="62">
        <v>0.0</v>
      </c>
      <c r="V1045" s="62">
        <v>0.0</v>
      </c>
      <c r="W1045" s="62">
        <v>0.0</v>
      </c>
      <c r="X1045" s="62">
        <v>0.0</v>
      </c>
      <c r="Y1045" s="62">
        <v>0.0</v>
      </c>
      <c r="Z1045" s="62">
        <v>0.0</v>
      </c>
      <c r="AA1045" s="62">
        <v>0.0</v>
      </c>
      <c r="AB1045" s="62">
        <v>0.0</v>
      </c>
      <c r="AC1045" s="62">
        <v>0.254166666666666</v>
      </c>
      <c r="AD1045" s="62">
        <v>0.255</v>
      </c>
      <c r="AE1045" s="62">
        <v>0.254166666666666</v>
      </c>
      <c r="AF1045" s="62">
        <v>0.0</v>
      </c>
    </row>
    <row r="1046">
      <c r="A1046" s="68">
        <v>46075.0</v>
      </c>
      <c r="B1046" s="62" t="s">
        <v>81</v>
      </c>
      <c r="C1046" s="62" t="s">
        <v>187</v>
      </c>
      <c r="D1046" s="62">
        <v>0.0</v>
      </c>
      <c r="E1046" s="62">
        <v>0.0</v>
      </c>
      <c r="F1046" s="62">
        <v>0.0</v>
      </c>
      <c r="G1046" s="62">
        <v>0.0</v>
      </c>
      <c r="H1046" s="62">
        <v>0.0</v>
      </c>
      <c r="I1046" s="62">
        <v>0.0</v>
      </c>
      <c r="J1046" s="62">
        <v>0.0</v>
      </c>
      <c r="K1046" s="62">
        <v>0.0</v>
      </c>
      <c r="L1046" s="62">
        <v>0.0</v>
      </c>
      <c r="M1046" s="62">
        <v>0.0</v>
      </c>
      <c r="N1046" s="62">
        <v>0.0</v>
      </c>
      <c r="O1046" s="62">
        <v>0.0</v>
      </c>
      <c r="P1046" s="62">
        <v>0.0</v>
      </c>
      <c r="Q1046" s="62">
        <v>0.0</v>
      </c>
      <c r="R1046" s="62">
        <v>0.0</v>
      </c>
      <c r="S1046" s="62">
        <v>0.0</v>
      </c>
      <c r="T1046" s="62">
        <v>0.605</v>
      </c>
      <c r="U1046" s="62">
        <v>0.0</v>
      </c>
      <c r="V1046" s="62">
        <v>0.0</v>
      </c>
      <c r="W1046" s="62">
        <v>0.0</v>
      </c>
      <c r="X1046" s="62">
        <v>0.0</v>
      </c>
      <c r="Y1046" s="62">
        <v>0.0</v>
      </c>
      <c r="Z1046" s="62">
        <v>0.0</v>
      </c>
      <c r="AA1046" s="62">
        <v>0.0</v>
      </c>
      <c r="AB1046" s="62">
        <v>0.0</v>
      </c>
      <c r="AC1046" s="62">
        <v>0.0</v>
      </c>
      <c r="AD1046" s="62">
        <v>0.0</v>
      </c>
      <c r="AE1046" s="62">
        <v>0.0</v>
      </c>
      <c r="AF1046" s="62">
        <v>3.0</v>
      </c>
    </row>
    <row r="1047">
      <c r="A1047" s="68">
        <v>46075.0</v>
      </c>
      <c r="B1047" s="62" t="s">
        <v>62</v>
      </c>
      <c r="C1047" s="62" t="s">
        <v>63</v>
      </c>
      <c r="D1047" s="62">
        <v>8.0</v>
      </c>
      <c r="E1047" s="62">
        <v>0.0</v>
      </c>
      <c r="F1047" s="62">
        <v>0.0</v>
      </c>
      <c r="G1047" s="62">
        <v>0.0</v>
      </c>
      <c r="H1047" s="62">
        <v>0.0</v>
      </c>
      <c r="I1047" s="62">
        <v>0.0</v>
      </c>
      <c r="J1047" s="62">
        <v>0.0</v>
      </c>
      <c r="K1047" s="62">
        <v>0.0</v>
      </c>
      <c r="L1047" s="62">
        <v>0.0</v>
      </c>
      <c r="M1047" s="62">
        <v>0.0</v>
      </c>
      <c r="N1047" s="62">
        <v>3.0</v>
      </c>
      <c r="O1047" s="62">
        <v>1.0</v>
      </c>
      <c r="P1047" s="62">
        <v>3.0</v>
      </c>
      <c r="Q1047" s="62">
        <v>0.0</v>
      </c>
      <c r="R1047" s="62">
        <v>17791.0</v>
      </c>
      <c r="S1047" s="62">
        <v>0.0</v>
      </c>
      <c r="T1047" s="62">
        <v>0.0</v>
      </c>
      <c r="U1047" s="62">
        <v>0.0</v>
      </c>
      <c r="V1047" s="62">
        <v>0.0</v>
      </c>
      <c r="W1047" s="62">
        <v>0.0</v>
      </c>
      <c r="X1047" s="62">
        <v>0.0</v>
      </c>
      <c r="Y1047" s="62">
        <v>0.0</v>
      </c>
      <c r="Z1047" s="62">
        <v>0.0</v>
      </c>
      <c r="AA1047" s="62">
        <v>0.0</v>
      </c>
      <c r="AB1047" s="62">
        <v>0.0</v>
      </c>
      <c r="AC1047" s="62">
        <v>0.736944444444444</v>
      </c>
      <c r="AD1047" s="62">
        <v>0.226666666666666</v>
      </c>
      <c r="AE1047" s="62">
        <v>0.736944444444444</v>
      </c>
      <c r="AF1047" s="62">
        <v>0.0</v>
      </c>
    </row>
    <row r="1048">
      <c r="A1048" s="68">
        <v>46074.0</v>
      </c>
      <c r="B1048" s="62" t="s">
        <v>79</v>
      </c>
      <c r="C1048" s="62" t="s">
        <v>162</v>
      </c>
      <c r="D1048" s="62">
        <v>0.0</v>
      </c>
      <c r="E1048" s="62">
        <v>0.0</v>
      </c>
      <c r="F1048" s="62">
        <v>0.0</v>
      </c>
      <c r="G1048" s="62">
        <v>1.0</v>
      </c>
      <c r="H1048" s="62">
        <v>1.0</v>
      </c>
      <c r="I1048" s="62">
        <v>0.0</v>
      </c>
      <c r="J1048" s="62">
        <v>0.0</v>
      </c>
      <c r="K1048" s="62">
        <v>0.0</v>
      </c>
      <c r="L1048" s="62">
        <v>2.0</v>
      </c>
      <c r="M1048" s="62">
        <v>0.0</v>
      </c>
      <c r="N1048" s="62">
        <v>0.0</v>
      </c>
      <c r="O1048" s="62">
        <v>0.0</v>
      </c>
      <c r="P1048" s="62">
        <v>0.0</v>
      </c>
      <c r="Q1048" s="62">
        <v>0.0</v>
      </c>
      <c r="R1048" s="62">
        <v>0.0</v>
      </c>
      <c r="S1048" s="62">
        <v>0.0</v>
      </c>
      <c r="T1048" s="62">
        <v>0.0</v>
      </c>
      <c r="U1048" s="62">
        <v>0.0</v>
      </c>
      <c r="V1048" s="62">
        <v>0.170555555555555</v>
      </c>
      <c r="W1048" s="62">
        <v>0.170555555555555</v>
      </c>
      <c r="X1048" s="62">
        <v>0.0</v>
      </c>
      <c r="Y1048" s="62">
        <v>0.0</v>
      </c>
      <c r="Z1048" s="62">
        <v>0.0</v>
      </c>
      <c r="AA1048" s="62">
        <v>0.329444444444444</v>
      </c>
      <c r="AB1048" s="62">
        <v>0.0</v>
      </c>
      <c r="AC1048" s="62">
        <v>0.0</v>
      </c>
      <c r="AD1048" s="62">
        <v>0.0</v>
      </c>
      <c r="AE1048" s="62">
        <v>0.0</v>
      </c>
      <c r="AF1048" s="62">
        <v>0.0</v>
      </c>
    </row>
    <row r="1049">
      <c r="A1049" s="68">
        <v>46074.0</v>
      </c>
      <c r="B1049" s="62" t="s">
        <v>71</v>
      </c>
      <c r="C1049" s="62" t="s">
        <v>163</v>
      </c>
      <c r="D1049" s="62">
        <v>0.0</v>
      </c>
      <c r="E1049" s="62">
        <v>1.0</v>
      </c>
      <c r="F1049" s="62">
        <v>0.0</v>
      </c>
      <c r="G1049" s="62">
        <v>1.0</v>
      </c>
      <c r="H1049" s="62">
        <v>1.0</v>
      </c>
      <c r="I1049" s="62">
        <v>0.0</v>
      </c>
      <c r="J1049" s="62">
        <v>0.0</v>
      </c>
      <c r="K1049" s="62">
        <v>0.0</v>
      </c>
      <c r="L1049" s="62">
        <v>3.0</v>
      </c>
      <c r="M1049" s="62">
        <v>0.0</v>
      </c>
      <c r="N1049" s="62">
        <v>1.0</v>
      </c>
      <c r="O1049" s="62">
        <v>1.0</v>
      </c>
      <c r="P1049" s="62">
        <v>1.0</v>
      </c>
      <c r="Q1049" s="62">
        <v>0.0</v>
      </c>
      <c r="R1049" s="62">
        <v>0.0</v>
      </c>
      <c r="S1049" s="62">
        <v>3243.0</v>
      </c>
      <c r="T1049" s="62">
        <v>0.0</v>
      </c>
      <c r="U1049" s="62">
        <v>0.0</v>
      </c>
      <c r="V1049" s="62">
        <v>0.278055555555555</v>
      </c>
      <c r="W1049" s="62">
        <v>0.278055555555555</v>
      </c>
      <c r="X1049" s="62">
        <v>0.0</v>
      </c>
      <c r="Y1049" s="62">
        <v>0.0</v>
      </c>
      <c r="Z1049" s="62">
        <v>0.0</v>
      </c>
      <c r="AA1049" s="62">
        <v>0.794444444444444</v>
      </c>
      <c r="AB1049" s="62">
        <v>0.0</v>
      </c>
      <c r="AC1049" s="62">
        <v>0.278888888888888</v>
      </c>
      <c r="AD1049" s="62">
        <v>0.285</v>
      </c>
      <c r="AE1049" s="62">
        <v>0.278888888888888</v>
      </c>
      <c r="AF1049" s="62">
        <v>0.0</v>
      </c>
    </row>
    <row r="1050">
      <c r="A1050" s="68">
        <v>46074.0</v>
      </c>
      <c r="B1050" s="62" t="s">
        <v>76</v>
      </c>
      <c r="C1050" s="62" t="s">
        <v>165</v>
      </c>
      <c r="D1050" s="62">
        <v>0.0</v>
      </c>
      <c r="E1050" s="62">
        <v>0.0</v>
      </c>
      <c r="F1050" s="62">
        <v>0.0</v>
      </c>
      <c r="G1050" s="62">
        <v>0.0</v>
      </c>
      <c r="H1050" s="62">
        <v>0.0</v>
      </c>
      <c r="I1050" s="62">
        <v>0.0</v>
      </c>
      <c r="J1050" s="62">
        <v>0.0</v>
      </c>
      <c r="K1050" s="62">
        <v>0.0</v>
      </c>
      <c r="L1050" s="62">
        <v>0.0</v>
      </c>
      <c r="M1050" s="62">
        <v>0.0</v>
      </c>
      <c r="N1050" s="62">
        <v>2.0</v>
      </c>
      <c r="O1050" s="62">
        <v>1.0</v>
      </c>
      <c r="P1050" s="62">
        <v>2.0</v>
      </c>
      <c r="Q1050" s="62">
        <v>0.0</v>
      </c>
      <c r="R1050" s="62">
        <v>0.0</v>
      </c>
      <c r="S1050" s="62">
        <v>0.0</v>
      </c>
      <c r="T1050" s="62">
        <v>0.0</v>
      </c>
      <c r="U1050" s="62">
        <v>0.0</v>
      </c>
      <c r="V1050" s="62">
        <v>0.0</v>
      </c>
      <c r="W1050" s="62">
        <v>0.0</v>
      </c>
      <c r="X1050" s="62">
        <v>0.0</v>
      </c>
      <c r="Y1050" s="62">
        <v>0.0</v>
      </c>
      <c r="Z1050" s="62">
        <v>0.0</v>
      </c>
      <c r="AA1050" s="62">
        <v>0.0</v>
      </c>
      <c r="AB1050" s="62">
        <v>0.0</v>
      </c>
      <c r="AC1050" s="62">
        <v>0.716388888888889</v>
      </c>
      <c r="AD1050" s="62">
        <v>0.243333333333333</v>
      </c>
      <c r="AE1050" s="62">
        <v>0.716388888888888</v>
      </c>
      <c r="AF1050" s="62">
        <v>0.0</v>
      </c>
    </row>
    <row r="1051">
      <c r="A1051" s="68">
        <v>46074.0</v>
      </c>
      <c r="B1051" s="62" t="s">
        <v>37</v>
      </c>
      <c r="C1051" s="62" t="s">
        <v>174</v>
      </c>
      <c r="D1051" s="62">
        <v>0.0</v>
      </c>
      <c r="E1051" s="62">
        <v>0.0</v>
      </c>
      <c r="F1051" s="62">
        <v>0.0</v>
      </c>
      <c r="G1051" s="62">
        <v>0.0</v>
      </c>
      <c r="H1051" s="62">
        <v>0.0</v>
      </c>
      <c r="I1051" s="62">
        <v>0.0</v>
      </c>
      <c r="J1051" s="62">
        <v>0.0</v>
      </c>
      <c r="K1051" s="62">
        <v>0.0</v>
      </c>
      <c r="L1051" s="62">
        <v>0.0</v>
      </c>
      <c r="M1051" s="62">
        <v>0.0</v>
      </c>
      <c r="N1051" s="62">
        <v>3.0</v>
      </c>
      <c r="O1051" s="62">
        <v>1.0</v>
      </c>
      <c r="P1051" s="62">
        <v>3.0</v>
      </c>
      <c r="Q1051" s="62">
        <v>0.0</v>
      </c>
      <c r="R1051" s="62">
        <v>0.0</v>
      </c>
      <c r="S1051" s="62">
        <v>0.0</v>
      </c>
      <c r="T1051" s="62">
        <v>0.833611111111111</v>
      </c>
      <c r="U1051" s="62">
        <v>0.0</v>
      </c>
      <c r="V1051" s="62">
        <v>0.0</v>
      </c>
      <c r="W1051" s="62">
        <v>0.0</v>
      </c>
      <c r="X1051" s="62">
        <v>0.0</v>
      </c>
      <c r="Y1051" s="62">
        <v>0.0</v>
      </c>
      <c r="Z1051" s="62">
        <v>0.0</v>
      </c>
      <c r="AA1051" s="62">
        <v>0.0</v>
      </c>
      <c r="AB1051" s="62">
        <v>0.0</v>
      </c>
      <c r="AC1051" s="62">
        <v>0.775277777777777</v>
      </c>
      <c r="AD1051" s="62">
        <v>0.278611111111111</v>
      </c>
      <c r="AE1051" s="62">
        <v>0.775277777777777</v>
      </c>
      <c r="AF1051" s="62">
        <v>3.0</v>
      </c>
    </row>
    <row r="1052">
      <c r="A1052" s="68">
        <v>46074.0</v>
      </c>
      <c r="B1052" s="62" t="s">
        <v>26</v>
      </c>
      <c r="C1052" s="62" t="s">
        <v>178</v>
      </c>
      <c r="D1052" s="62">
        <v>0.0</v>
      </c>
      <c r="E1052" s="62">
        <v>1.0</v>
      </c>
      <c r="F1052" s="62">
        <v>0.0</v>
      </c>
      <c r="G1052" s="62">
        <v>0.0</v>
      </c>
      <c r="H1052" s="62">
        <v>0.0</v>
      </c>
      <c r="I1052" s="62">
        <v>0.0</v>
      </c>
      <c r="J1052" s="62">
        <v>0.0</v>
      </c>
      <c r="K1052" s="62">
        <v>0.0</v>
      </c>
      <c r="L1052" s="62">
        <v>0.0</v>
      </c>
      <c r="M1052" s="62">
        <v>0.0</v>
      </c>
      <c r="N1052" s="62">
        <v>0.0</v>
      </c>
      <c r="O1052" s="62">
        <v>1.0</v>
      </c>
      <c r="P1052" s="62">
        <v>0.0</v>
      </c>
      <c r="Q1052" s="62">
        <v>0.0</v>
      </c>
      <c r="R1052" s="62">
        <v>0.0</v>
      </c>
      <c r="S1052" s="62">
        <v>2312.0</v>
      </c>
      <c r="T1052" s="62">
        <v>0.0</v>
      </c>
      <c r="U1052" s="62">
        <v>0.0</v>
      </c>
      <c r="V1052" s="62">
        <v>0.0</v>
      </c>
      <c r="W1052" s="62">
        <v>0.0</v>
      </c>
      <c r="X1052" s="62">
        <v>0.0</v>
      </c>
      <c r="Y1052" s="62">
        <v>0.0</v>
      </c>
      <c r="Z1052" s="62">
        <v>0.0</v>
      </c>
      <c r="AA1052" s="62">
        <v>0.0</v>
      </c>
      <c r="AB1052" s="62">
        <v>0.0</v>
      </c>
      <c r="AC1052" s="62">
        <v>0.0</v>
      </c>
      <c r="AD1052" s="62">
        <v>0.206111111111111</v>
      </c>
      <c r="AE1052" s="62">
        <v>0.0</v>
      </c>
      <c r="AF1052" s="62">
        <v>0.0</v>
      </c>
    </row>
    <row r="1053">
      <c r="A1053" s="68">
        <v>46074.0</v>
      </c>
      <c r="B1053" s="62" t="s">
        <v>62</v>
      </c>
      <c r="C1053" s="62" t="s">
        <v>63</v>
      </c>
      <c r="D1053" s="62">
        <v>0.0</v>
      </c>
      <c r="E1053" s="62">
        <v>0.0</v>
      </c>
      <c r="F1053" s="62">
        <v>0.0</v>
      </c>
      <c r="G1053" s="62">
        <v>1.0</v>
      </c>
      <c r="H1053" s="62">
        <v>1.0</v>
      </c>
      <c r="I1053" s="62">
        <v>0.0</v>
      </c>
      <c r="J1053" s="62">
        <v>1.0</v>
      </c>
      <c r="K1053" s="62">
        <v>0.0</v>
      </c>
      <c r="L1053" s="62">
        <v>0.0</v>
      </c>
      <c r="M1053" s="62">
        <v>0.0</v>
      </c>
      <c r="N1053" s="62">
        <v>0.0</v>
      </c>
      <c r="O1053" s="62">
        <v>1.0</v>
      </c>
      <c r="P1053" s="62">
        <v>0.0</v>
      </c>
      <c r="Q1053" s="62">
        <v>0.0</v>
      </c>
      <c r="R1053" s="62">
        <v>0.0</v>
      </c>
      <c r="S1053" s="62">
        <v>0.0</v>
      </c>
      <c r="T1053" s="62">
        <v>0.0</v>
      </c>
      <c r="U1053" s="62">
        <v>0.0</v>
      </c>
      <c r="V1053" s="62">
        <v>0.257777777777777</v>
      </c>
      <c r="W1053" s="62">
        <v>0.257777777777777</v>
      </c>
      <c r="X1053" s="62">
        <v>0.0</v>
      </c>
      <c r="Y1053" s="62">
        <v>0.257777777777777</v>
      </c>
      <c r="Z1053" s="62">
        <v>0.0</v>
      </c>
      <c r="AA1053" s="62">
        <v>0.0</v>
      </c>
      <c r="AB1053" s="62">
        <v>0.0</v>
      </c>
      <c r="AC1053" s="62">
        <v>0.0</v>
      </c>
      <c r="AD1053" s="62">
        <v>0.2225</v>
      </c>
      <c r="AE1053" s="62">
        <v>0.0</v>
      </c>
      <c r="AF1053" s="62">
        <v>0.0</v>
      </c>
    </row>
    <row r="1054">
      <c r="A1054" s="68">
        <v>46073.0</v>
      </c>
      <c r="B1054" s="62" t="s">
        <v>79</v>
      </c>
      <c r="C1054" s="62" t="s">
        <v>162</v>
      </c>
      <c r="D1054" s="62">
        <v>0.0</v>
      </c>
      <c r="E1054" s="62">
        <v>4.0</v>
      </c>
      <c r="F1054" s="62">
        <v>1.0</v>
      </c>
      <c r="G1054" s="62">
        <v>2.0</v>
      </c>
      <c r="H1054" s="62">
        <v>2.0</v>
      </c>
      <c r="I1054" s="62">
        <v>0.0</v>
      </c>
      <c r="J1054" s="62">
        <v>2.0</v>
      </c>
      <c r="K1054" s="62">
        <v>2.0</v>
      </c>
      <c r="L1054" s="62">
        <v>1.0</v>
      </c>
      <c r="M1054" s="62">
        <v>4.0</v>
      </c>
      <c r="N1054" s="62">
        <v>0.0</v>
      </c>
      <c r="O1054" s="62">
        <v>0.0</v>
      </c>
      <c r="P1054" s="62">
        <v>0.0</v>
      </c>
      <c r="Q1054" s="62">
        <v>0.0</v>
      </c>
      <c r="R1054" s="62">
        <v>0.0</v>
      </c>
      <c r="S1054" s="62">
        <v>8984.0</v>
      </c>
      <c r="T1054" s="62">
        <v>0.173888888888888</v>
      </c>
      <c r="U1054" s="62">
        <v>0.173888888888888</v>
      </c>
      <c r="V1054" s="62">
        <v>0.329722222222222</v>
      </c>
      <c r="W1054" s="62">
        <v>0.329722222222222</v>
      </c>
      <c r="X1054" s="62">
        <v>0.0</v>
      </c>
      <c r="Y1054" s="62">
        <v>0.329722222222222</v>
      </c>
      <c r="Z1054" s="62">
        <v>0.329722222222222</v>
      </c>
      <c r="AA1054" s="62">
        <v>0.156388888888888</v>
      </c>
      <c r="AB1054" s="62">
        <v>0.625555555555555</v>
      </c>
      <c r="AC1054" s="62">
        <v>0.0</v>
      </c>
      <c r="AD1054" s="62">
        <v>0.0</v>
      </c>
      <c r="AE1054" s="62">
        <v>0.0</v>
      </c>
      <c r="AF1054" s="62">
        <v>1.0</v>
      </c>
    </row>
    <row r="1055">
      <c r="A1055" s="68">
        <v>46073.0</v>
      </c>
      <c r="B1055" s="62" t="s">
        <v>71</v>
      </c>
      <c r="C1055" s="62" t="s">
        <v>163</v>
      </c>
      <c r="D1055" s="62">
        <v>0.0</v>
      </c>
      <c r="E1055" s="62">
        <v>0.0</v>
      </c>
      <c r="F1055" s="62">
        <v>2.0</v>
      </c>
      <c r="G1055" s="62">
        <v>5.0</v>
      </c>
      <c r="H1055" s="62">
        <v>9.0</v>
      </c>
      <c r="I1055" s="62">
        <v>4.0</v>
      </c>
      <c r="J1055" s="62">
        <v>7.0</v>
      </c>
      <c r="K1055" s="62">
        <v>3.0</v>
      </c>
      <c r="L1055" s="62">
        <v>0.0</v>
      </c>
      <c r="M1055" s="62">
        <v>6.0</v>
      </c>
      <c r="N1055" s="62">
        <v>4.0</v>
      </c>
      <c r="O1055" s="62">
        <v>1.0</v>
      </c>
      <c r="P1055" s="62">
        <v>4.0</v>
      </c>
      <c r="Q1055" s="62">
        <v>0.0</v>
      </c>
      <c r="R1055" s="62">
        <v>0.0</v>
      </c>
      <c r="S1055" s="62">
        <v>0.0</v>
      </c>
      <c r="T1055" s="62">
        <v>0.0</v>
      </c>
      <c r="U1055" s="62">
        <v>0.565833333333333</v>
      </c>
      <c r="V1055" s="62">
        <v>1.34027777777777</v>
      </c>
      <c r="W1055" s="62">
        <v>2.37805555555555</v>
      </c>
      <c r="X1055" s="62">
        <v>1.03777777777777</v>
      </c>
      <c r="Y1055" s="62">
        <v>1.86527777777777</v>
      </c>
      <c r="Z1055" s="62">
        <v>0.794444444444444</v>
      </c>
      <c r="AA1055" s="62">
        <v>0.0</v>
      </c>
      <c r="AB1055" s="62">
        <v>1.55527777777777</v>
      </c>
      <c r="AC1055" s="62">
        <v>1.01222222222222</v>
      </c>
      <c r="AD1055" s="62">
        <v>0.2675</v>
      </c>
      <c r="AE1055" s="62">
        <v>1.01222222222222</v>
      </c>
      <c r="AF1055" s="62">
        <v>0.0</v>
      </c>
    </row>
    <row r="1056">
      <c r="A1056" s="68">
        <v>46073.0</v>
      </c>
      <c r="B1056" s="62" t="s">
        <v>76</v>
      </c>
      <c r="C1056" s="62" t="s">
        <v>165</v>
      </c>
      <c r="D1056" s="62">
        <v>20.0</v>
      </c>
      <c r="E1056" s="62">
        <v>7.0</v>
      </c>
      <c r="F1056" s="62">
        <v>6.0</v>
      </c>
      <c r="G1056" s="62">
        <v>4.0</v>
      </c>
      <c r="H1056" s="62">
        <v>4.0</v>
      </c>
      <c r="I1056" s="62">
        <v>0.0</v>
      </c>
      <c r="J1056" s="62">
        <v>7.0</v>
      </c>
      <c r="K1056" s="62">
        <v>2.0</v>
      </c>
      <c r="L1056" s="62">
        <v>6.0</v>
      </c>
      <c r="M1056" s="62">
        <v>11.0</v>
      </c>
      <c r="N1056" s="62">
        <v>12.0</v>
      </c>
      <c r="O1056" s="62">
        <v>1.0</v>
      </c>
      <c r="P1056" s="62">
        <v>12.0</v>
      </c>
      <c r="Q1056" s="62">
        <v>0.0</v>
      </c>
      <c r="R1056" s="62">
        <v>54205.0</v>
      </c>
      <c r="S1056" s="62">
        <v>18989.0</v>
      </c>
      <c r="T1056" s="62">
        <v>0.0</v>
      </c>
      <c r="U1056" s="62">
        <v>1.56055555555555</v>
      </c>
      <c r="V1056" s="62">
        <v>1.42166666666666</v>
      </c>
      <c r="W1056" s="62">
        <v>1.42166666666666</v>
      </c>
      <c r="X1056" s="62">
        <v>0.0</v>
      </c>
      <c r="Y1056" s="62">
        <v>2.35888888888888</v>
      </c>
      <c r="Z1056" s="62">
        <v>0.686944444444444</v>
      </c>
      <c r="AA1056" s="62">
        <v>1.97861111111111</v>
      </c>
      <c r="AB1056" s="62">
        <v>3.65055555555555</v>
      </c>
      <c r="AC1056" s="62">
        <v>3.80888888888888</v>
      </c>
      <c r="AD1056" s="62">
        <v>0.231944444444444</v>
      </c>
      <c r="AE1056" s="62">
        <v>3.80888888888888</v>
      </c>
      <c r="AF1056" s="62">
        <v>0.0</v>
      </c>
    </row>
    <row r="1057">
      <c r="A1057" s="68">
        <v>46073.0</v>
      </c>
      <c r="B1057" s="62" t="s">
        <v>32</v>
      </c>
      <c r="C1057" s="62" t="s">
        <v>168</v>
      </c>
      <c r="D1057" s="62">
        <v>6.0</v>
      </c>
      <c r="E1057" s="62">
        <v>6.0</v>
      </c>
      <c r="F1057" s="62">
        <v>0.0</v>
      </c>
      <c r="G1057" s="62">
        <v>0.0</v>
      </c>
      <c r="H1057" s="62">
        <v>6.0</v>
      </c>
      <c r="I1057" s="62">
        <v>6.0</v>
      </c>
      <c r="J1057" s="62">
        <v>4.0</v>
      </c>
      <c r="K1057" s="62">
        <v>1.0</v>
      </c>
      <c r="L1057" s="62">
        <v>0.0</v>
      </c>
      <c r="M1057" s="62">
        <v>6.0</v>
      </c>
      <c r="N1057" s="62">
        <v>7.0</v>
      </c>
      <c r="O1057" s="62">
        <v>1.0</v>
      </c>
      <c r="P1057" s="62">
        <v>7.0</v>
      </c>
      <c r="Q1057" s="62">
        <v>0.0</v>
      </c>
      <c r="R1057" s="62">
        <v>15812.0</v>
      </c>
      <c r="S1057" s="62">
        <v>15812.0</v>
      </c>
      <c r="T1057" s="62">
        <v>1.01694444444444</v>
      </c>
      <c r="U1057" s="62">
        <v>0.0</v>
      </c>
      <c r="V1057" s="62">
        <v>0.0</v>
      </c>
      <c r="W1057" s="62">
        <v>1.52888888888888</v>
      </c>
      <c r="X1057" s="62">
        <v>1.52888888888888</v>
      </c>
      <c r="Y1057" s="62">
        <v>1.0175</v>
      </c>
      <c r="Z1057" s="62">
        <v>0.264166666666666</v>
      </c>
      <c r="AA1057" s="62">
        <v>0.0</v>
      </c>
      <c r="AB1057" s="62">
        <v>1.56472222222222</v>
      </c>
      <c r="AC1057" s="62">
        <v>1.82861111111111</v>
      </c>
      <c r="AD1057" s="62">
        <v>0.200555555555555</v>
      </c>
      <c r="AE1057" s="62">
        <v>1.82861111111111</v>
      </c>
      <c r="AF1057" s="62">
        <v>4.0</v>
      </c>
    </row>
    <row r="1058">
      <c r="A1058" s="68">
        <v>46073.0</v>
      </c>
      <c r="B1058" s="62" t="s">
        <v>37</v>
      </c>
      <c r="C1058" s="62" t="s">
        <v>174</v>
      </c>
      <c r="D1058" s="62">
        <v>5.0</v>
      </c>
      <c r="E1058" s="62">
        <v>5.0</v>
      </c>
      <c r="F1058" s="62">
        <v>5.0</v>
      </c>
      <c r="G1058" s="62">
        <v>2.0</v>
      </c>
      <c r="H1058" s="62">
        <v>3.0</v>
      </c>
      <c r="I1058" s="62">
        <v>1.0</v>
      </c>
      <c r="J1058" s="62">
        <v>4.0</v>
      </c>
      <c r="K1058" s="62">
        <v>1.0</v>
      </c>
      <c r="L1058" s="62">
        <v>2.0</v>
      </c>
      <c r="M1058" s="62">
        <v>5.0</v>
      </c>
      <c r="N1058" s="62">
        <v>5.0</v>
      </c>
      <c r="O1058" s="62">
        <v>1.0</v>
      </c>
      <c r="P1058" s="62">
        <v>5.0</v>
      </c>
      <c r="Q1058" s="62">
        <v>0.0</v>
      </c>
      <c r="R1058" s="62">
        <v>12038.0</v>
      </c>
      <c r="S1058" s="62">
        <v>12120.0</v>
      </c>
      <c r="T1058" s="62">
        <v>1.13805555555555</v>
      </c>
      <c r="U1058" s="62">
        <v>1.385</v>
      </c>
      <c r="V1058" s="62">
        <v>0.529444444444444</v>
      </c>
      <c r="W1058" s="62">
        <v>0.794722222222222</v>
      </c>
      <c r="X1058" s="62">
        <v>0.265277777777777</v>
      </c>
      <c r="Y1058" s="62">
        <v>1.03277777777777</v>
      </c>
      <c r="Z1058" s="62">
        <v>0.245555555555555</v>
      </c>
      <c r="AA1058" s="62">
        <v>0.516388888888888</v>
      </c>
      <c r="AB1058" s="62">
        <v>1.30361111111111</v>
      </c>
      <c r="AC1058" s="62">
        <v>1.3225</v>
      </c>
      <c r="AD1058" s="62">
        <v>0.2525</v>
      </c>
      <c r="AE1058" s="62">
        <v>1.3225</v>
      </c>
      <c r="AF1058" s="62">
        <v>4.0</v>
      </c>
    </row>
    <row r="1059">
      <c r="A1059" s="68">
        <v>46073.0</v>
      </c>
      <c r="B1059" s="62" t="s">
        <v>81</v>
      </c>
      <c r="C1059" s="62" t="s">
        <v>187</v>
      </c>
      <c r="D1059" s="62">
        <v>4.0</v>
      </c>
      <c r="E1059" s="62">
        <v>1.0</v>
      </c>
      <c r="F1059" s="62">
        <v>2.0</v>
      </c>
      <c r="G1059" s="62">
        <v>1.0</v>
      </c>
      <c r="H1059" s="62">
        <v>2.0</v>
      </c>
      <c r="I1059" s="62">
        <v>1.0</v>
      </c>
      <c r="J1059" s="62">
        <v>5.0</v>
      </c>
      <c r="K1059" s="62">
        <v>0.0</v>
      </c>
      <c r="L1059" s="62">
        <v>0.0</v>
      </c>
      <c r="M1059" s="62">
        <v>7.0</v>
      </c>
      <c r="N1059" s="62">
        <v>0.0</v>
      </c>
      <c r="O1059" s="62">
        <v>0.0</v>
      </c>
      <c r="P1059" s="62">
        <v>0.0</v>
      </c>
      <c r="Q1059" s="62">
        <v>0.0</v>
      </c>
      <c r="R1059" s="62">
        <v>8777.0</v>
      </c>
      <c r="S1059" s="62">
        <v>2384.0</v>
      </c>
      <c r="T1059" s="62">
        <v>0.0</v>
      </c>
      <c r="U1059" s="62">
        <v>0.425277777777777</v>
      </c>
      <c r="V1059" s="62">
        <v>0.204722222222222</v>
      </c>
      <c r="W1059" s="62">
        <v>0.4125</v>
      </c>
      <c r="X1059" s="62">
        <v>0.207777777777777</v>
      </c>
      <c r="Y1059" s="62">
        <v>1.03166666666666</v>
      </c>
      <c r="Z1059" s="62">
        <v>0.0</v>
      </c>
      <c r="AA1059" s="62">
        <v>0.0</v>
      </c>
      <c r="AB1059" s="62">
        <v>1.40694444444444</v>
      </c>
      <c r="AC1059" s="62">
        <v>0.0</v>
      </c>
      <c r="AD1059" s="62">
        <v>0.0</v>
      </c>
      <c r="AE1059" s="62">
        <v>0.0</v>
      </c>
      <c r="AF1059" s="62">
        <v>0.0</v>
      </c>
    </row>
    <row r="1060">
      <c r="A1060" s="68">
        <v>46073.0</v>
      </c>
      <c r="B1060" s="62" t="s">
        <v>84</v>
      </c>
      <c r="C1060" s="62" t="s">
        <v>186</v>
      </c>
      <c r="D1060" s="62">
        <v>9.0</v>
      </c>
      <c r="E1060" s="62">
        <v>0.0</v>
      </c>
      <c r="F1060" s="62">
        <v>0.0</v>
      </c>
      <c r="G1060" s="62">
        <v>0.0</v>
      </c>
      <c r="H1060" s="62">
        <v>0.0</v>
      </c>
      <c r="I1060" s="62">
        <v>0.0</v>
      </c>
      <c r="J1060" s="62">
        <v>0.0</v>
      </c>
      <c r="K1060" s="62">
        <v>0.0</v>
      </c>
      <c r="L1060" s="62">
        <v>0.0</v>
      </c>
      <c r="M1060" s="62">
        <v>0.0</v>
      </c>
      <c r="N1060" s="62">
        <v>0.0</v>
      </c>
      <c r="O1060" s="62">
        <v>0.0</v>
      </c>
      <c r="P1060" s="62">
        <v>0.0</v>
      </c>
      <c r="Q1060" s="62">
        <v>0.0</v>
      </c>
      <c r="R1060" s="62">
        <v>23158.0</v>
      </c>
      <c r="S1060" s="62">
        <v>0.0</v>
      </c>
      <c r="T1060" s="62">
        <v>0.0</v>
      </c>
      <c r="U1060" s="62">
        <v>0.0</v>
      </c>
      <c r="V1060" s="62">
        <v>0.0</v>
      </c>
      <c r="W1060" s="62">
        <v>0.0</v>
      </c>
      <c r="X1060" s="62">
        <v>0.0</v>
      </c>
      <c r="Y1060" s="62">
        <v>0.0</v>
      </c>
      <c r="Z1060" s="62">
        <v>0.0</v>
      </c>
      <c r="AA1060" s="62">
        <v>0.0</v>
      </c>
      <c r="AB1060" s="62">
        <v>0.0</v>
      </c>
      <c r="AC1060" s="62">
        <v>0.0</v>
      </c>
      <c r="AD1060" s="62">
        <v>0.0</v>
      </c>
      <c r="AE1060" s="62">
        <v>0.0</v>
      </c>
      <c r="AF1060" s="62">
        <v>0.0</v>
      </c>
    </row>
    <row r="1061">
      <c r="A1061" s="68">
        <v>46073.0</v>
      </c>
      <c r="B1061" s="62" t="s">
        <v>26</v>
      </c>
      <c r="C1061" s="62" t="s">
        <v>178</v>
      </c>
      <c r="D1061" s="62">
        <v>12.0</v>
      </c>
      <c r="E1061" s="62">
        <v>9.0</v>
      </c>
      <c r="F1061" s="62">
        <v>0.0</v>
      </c>
      <c r="G1061" s="62">
        <v>0.0</v>
      </c>
      <c r="H1061" s="62">
        <v>0.0</v>
      </c>
      <c r="I1061" s="62">
        <v>0.0</v>
      </c>
      <c r="J1061" s="62">
        <v>0.0</v>
      </c>
      <c r="K1061" s="62">
        <v>0.0</v>
      </c>
      <c r="L1061" s="62">
        <v>0.0</v>
      </c>
      <c r="M1061" s="62">
        <v>1.0</v>
      </c>
      <c r="N1061" s="62">
        <v>16.0</v>
      </c>
      <c r="O1061" s="62">
        <v>1.0</v>
      </c>
      <c r="P1061" s="62">
        <v>16.0</v>
      </c>
      <c r="Q1061" s="62">
        <v>0.0</v>
      </c>
      <c r="R1061" s="62">
        <v>26664.0</v>
      </c>
      <c r="S1061" s="62">
        <v>20427.0</v>
      </c>
      <c r="T1061" s="62">
        <v>0.0</v>
      </c>
      <c r="U1061" s="62">
        <v>0.0</v>
      </c>
      <c r="V1061" s="62">
        <v>0.0</v>
      </c>
      <c r="W1061" s="62">
        <v>0.0</v>
      </c>
      <c r="X1061" s="62">
        <v>0.0</v>
      </c>
      <c r="Y1061" s="62">
        <v>0.0</v>
      </c>
      <c r="Z1061" s="62">
        <v>0.0</v>
      </c>
      <c r="AA1061" s="62">
        <v>0.0</v>
      </c>
      <c r="AB1061" s="62">
        <v>0.168611111111111</v>
      </c>
      <c r="AC1061" s="62">
        <v>2.82666666666666</v>
      </c>
      <c r="AD1061" s="62">
        <v>0.177777777777777</v>
      </c>
      <c r="AE1061" s="62">
        <v>2.82666666666666</v>
      </c>
      <c r="AF1061" s="62">
        <v>0.0</v>
      </c>
    </row>
    <row r="1062">
      <c r="A1062" s="68">
        <v>46073.0</v>
      </c>
      <c r="B1062" s="62" t="s">
        <v>62</v>
      </c>
      <c r="C1062" s="62" t="s">
        <v>63</v>
      </c>
      <c r="D1062" s="62">
        <v>0.0</v>
      </c>
      <c r="E1062" s="62">
        <v>2.0</v>
      </c>
      <c r="F1062" s="62">
        <v>4.0</v>
      </c>
      <c r="G1062" s="62">
        <v>0.0</v>
      </c>
      <c r="H1062" s="62">
        <v>4.0</v>
      </c>
      <c r="I1062" s="62">
        <v>2.0</v>
      </c>
      <c r="J1062" s="62">
        <v>3.0</v>
      </c>
      <c r="K1062" s="62">
        <v>0.0</v>
      </c>
      <c r="L1062" s="62">
        <v>0.0</v>
      </c>
      <c r="M1062" s="62">
        <v>3.0</v>
      </c>
      <c r="N1062" s="62">
        <v>4.0</v>
      </c>
      <c r="O1062" s="62">
        <v>1.0</v>
      </c>
      <c r="P1062" s="62">
        <v>4.0</v>
      </c>
      <c r="Q1062" s="62">
        <v>0.0</v>
      </c>
      <c r="R1062" s="62">
        <v>0.0</v>
      </c>
      <c r="S1062" s="62">
        <v>4386.0</v>
      </c>
      <c r="T1062" s="62">
        <v>1.59194444444444</v>
      </c>
      <c r="U1062" s="62">
        <v>0.946666666666666</v>
      </c>
      <c r="V1062" s="62">
        <v>0.0</v>
      </c>
      <c r="W1062" s="62">
        <v>0.921666666666666</v>
      </c>
      <c r="X1062" s="62">
        <v>0.435277777777777</v>
      </c>
      <c r="Y1062" s="62">
        <v>0.736944444444444</v>
      </c>
      <c r="Z1062" s="62">
        <v>0.0</v>
      </c>
      <c r="AA1062" s="62">
        <v>0.0</v>
      </c>
      <c r="AB1062" s="62">
        <v>0.736944444444444</v>
      </c>
      <c r="AC1062" s="62">
        <v>1.07055555555555</v>
      </c>
      <c r="AD1062" s="62">
        <v>0.224166666666666</v>
      </c>
      <c r="AE1062" s="62">
        <v>1.07055555555555</v>
      </c>
      <c r="AF1062" s="62">
        <v>7.0</v>
      </c>
    </row>
    <row r="1063">
      <c r="A1063" s="68">
        <v>46072.0</v>
      </c>
      <c r="B1063" s="62" t="s">
        <v>79</v>
      </c>
      <c r="C1063" s="62" t="s">
        <v>162</v>
      </c>
      <c r="D1063" s="62">
        <v>3.0</v>
      </c>
      <c r="E1063" s="62">
        <v>8.0</v>
      </c>
      <c r="F1063" s="62">
        <v>2.0</v>
      </c>
      <c r="G1063" s="62">
        <v>0.0</v>
      </c>
      <c r="H1063" s="62">
        <v>0.0</v>
      </c>
      <c r="I1063" s="62">
        <v>0.0</v>
      </c>
      <c r="J1063" s="62">
        <v>1.0</v>
      </c>
      <c r="K1063" s="62">
        <v>2.0</v>
      </c>
      <c r="L1063" s="62">
        <v>1.0</v>
      </c>
      <c r="M1063" s="62">
        <v>1.0</v>
      </c>
      <c r="N1063" s="62">
        <v>0.0</v>
      </c>
      <c r="O1063" s="62">
        <v>0.0</v>
      </c>
      <c r="P1063" s="62">
        <v>0.0</v>
      </c>
      <c r="Q1063" s="62">
        <v>0.0</v>
      </c>
      <c r="R1063" s="62">
        <v>6880.0</v>
      </c>
      <c r="S1063" s="62">
        <v>16561.0</v>
      </c>
      <c r="T1063" s="62">
        <v>0.338611111111111</v>
      </c>
      <c r="U1063" s="62">
        <v>0.338611111111111</v>
      </c>
      <c r="V1063" s="62">
        <v>0.0</v>
      </c>
      <c r="W1063" s="62">
        <v>0.0</v>
      </c>
      <c r="X1063" s="62">
        <v>0.0</v>
      </c>
      <c r="Y1063" s="62">
        <v>0.156388888888888</v>
      </c>
      <c r="Z1063" s="62">
        <v>0.323611111111111</v>
      </c>
      <c r="AA1063" s="62">
        <v>0.167222222222222</v>
      </c>
      <c r="AB1063" s="62">
        <v>0.178333333333333</v>
      </c>
      <c r="AC1063" s="62">
        <v>0.0</v>
      </c>
      <c r="AD1063" s="62">
        <v>0.0</v>
      </c>
      <c r="AE1063" s="62">
        <v>0.0</v>
      </c>
      <c r="AF1063" s="62">
        <v>2.0</v>
      </c>
    </row>
    <row r="1064">
      <c r="A1064" s="68">
        <v>46072.0</v>
      </c>
      <c r="B1064" s="62" t="s">
        <v>71</v>
      </c>
      <c r="C1064" s="62" t="s">
        <v>163</v>
      </c>
      <c r="D1064" s="62">
        <v>0.0</v>
      </c>
      <c r="E1064" s="62">
        <v>0.0</v>
      </c>
      <c r="F1064" s="62">
        <v>4.0</v>
      </c>
      <c r="G1064" s="62">
        <v>0.0</v>
      </c>
      <c r="H1064" s="62">
        <v>0.0</v>
      </c>
      <c r="I1064" s="62">
        <v>0.0</v>
      </c>
      <c r="J1064" s="62">
        <v>2.0</v>
      </c>
      <c r="K1064" s="62">
        <v>1.0</v>
      </c>
      <c r="L1064" s="62">
        <v>1.0</v>
      </c>
      <c r="M1064" s="62">
        <v>1.0</v>
      </c>
      <c r="N1064" s="62">
        <v>1.0</v>
      </c>
      <c r="O1064" s="62">
        <v>1.0</v>
      </c>
      <c r="P1064" s="62">
        <v>1.0</v>
      </c>
      <c r="Q1064" s="62">
        <v>0.0</v>
      </c>
      <c r="R1064" s="62">
        <v>0.0</v>
      </c>
      <c r="S1064" s="62">
        <v>0.0</v>
      </c>
      <c r="T1064" s="62">
        <v>2.67749999999999</v>
      </c>
      <c r="U1064" s="62">
        <v>1.07388888888888</v>
      </c>
      <c r="V1064" s="62">
        <v>0.0</v>
      </c>
      <c r="W1064" s="62">
        <v>0.0</v>
      </c>
      <c r="X1064" s="62">
        <v>0.0</v>
      </c>
      <c r="Y1064" s="62">
        <v>0.484444444444444</v>
      </c>
      <c r="Z1064" s="62">
        <v>0.263333333333333</v>
      </c>
      <c r="AA1064" s="62">
        <v>0.263611111111111</v>
      </c>
      <c r="AB1064" s="62">
        <v>0.263611111111111</v>
      </c>
      <c r="AC1064" s="62">
        <v>0.263611111111111</v>
      </c>
      <c r="AD1064" s="62">
        <v>0.286944444444444</v>
      </c>
      <c r="AE1064" s="62">
        <v>0.263611111111111</v>
      </c>
      <c r="AF1064" s="62">
        <v>10.0</v>
      </c>
    </row>
    <row r="1065">
      <c r="A1065" s="68">
        <v>46072.0</v>
      </c>
      <c r="B1065" s="62" t="s">
        <v>76</v>
      </c>
      <c r="C1065" s="62" t="s">
        <v>165</v>
      </c>
      <c r="D1065" s="62">
        <v>0.0</v>
      </c>
      <c r="E1065" s="62">
        <v>4.0</v>
      </c>
      <c r="F1065" s="62">
        <v>6.0</v>
      </c>
      <c r="G1065" s="62">
        <v>3.0</v>
      </c>
      <c r="H1065" s="62">
        <v>3.0</v>
      </c>
      <c r="I1065" s="62">
        <v>0.0</v>
      </c>
      <c r="J1065" s="62">
        <v>6.0</v>
      </c>
      <c r="K1065" s="62">
        <v>4.0</v>
      </c>
      <c r="L1065" s="62">
        <v>1.0</v>
      </c>
      <c r="M1065" s="62">
        <v>4.0</v>
      </c>
      <c r="N1065" s="62">
        <v>1.0</v>
      </c>
      <c r="O1065" s="62">
        <v>1.0</v>
      </c>
      <c r="P1065" s="62">
        <v>1.0</v>
      </c>
      <c r="Q1065" s="62">
        <v>0.0</v>
      </c>
      <c r="R1065" s="62">
        <v>0.0</v>
      </c>
      <c r="S1065" s="62">
        <v>11097.0</v>
      </c>
      <c r="T1065" s="62">
        <v>3.82722222222222</v>
      </c>
      <c r="U1065" s="62">
        <v>1.94944444444444</v>
      </c>
      <c r="V1065" s="62">
        <v>0.937222222222222</v>
      </c>
      <c r="W1065" s="62">
        <v>0.937222222222222</v>
      </c>
      <c r="X1065" s="62">
        <v>0.0</v>
      </c>
      <c r="Y1065" s="62">
        <v>1.85361111111111</v>
      </c>
      <c r="Z1065" s="62">
        <v>1.29305555555555</v>
      </c>
      <c r="AA1065" s="62">
        <v>0.314166666666666</v>
      </c>
      <c r="AB1065" s="62">
        <v>1.21944444444444</v>
      </c>
      <c r="AC1065" s="62">
        <v>0.344722222222222</v>
      </c>
      <c r="AD1065" s="62">
        <v>0.223611111111111</v>
      </c>
      <c r="AE1065" s="62">
        <v>0.344722222222222</v>
      </c>
      <c r="AF1065" s="62">
        <v>13.0</v>
      </c>
    </row>
    <row r="1066">
      <c r="A1066" s="68">
        <v>46072.0</v>
      </c>
      <c r="B1066" s="62" t="s">
        <v>32</v>
      </c>
      <c r="C1066" s="62" t="s">
        <v>168</v>
      </c>
      <c r="D1066" s="62">
        <v>9.0</v>
      </c>
      <c r="E1066" s="62">
        <v>9.0</v>
      </c>
      <c r="F1066" s="62">
        <v>1.0</v>
      </c>
      <c r="G1066" s="62">
        <v>1.0</v>
      </c>
      <c r="H1066" s="62">
        <v>4.0</v>
      </c>
      <c r="I1066" s="62">
        <v>3.0</v>
      </c>
      <c r="J1066" s="62">
        <v>6.0</v>
      </c>
      <c r="K1066" s="62">
        <v>1.0</v>
      </c>
      <c r="L1066" s="62">
        <v>0.0</v>
      </c>
      <c r="M1066" s="62">
        <v>2.0</v>
      </c>
      <c r="N1066" s="62">
        <v>1.0</v>
      </c>
      <c r="O1066" s="62">
        <v>1.0</v>
      </c>
      <c r="P1066" s="62">
        <v>1.0</v>
      </c>
      <c r="Q1066" s="62">
        <v>0.0</v>
      </c>
      <c r="R1066" s="62">
        <v>23772.0</v>
      </c>
      <c r="S1066" s="62">
        <v>23772.0</v>
      </c>
      <c r="T1066" s="62">
        <v>1.29527777777777</v>
      </c>
      <c r="U1066" s="62">
        <v>0.269166666666666</v>
      </c>
      <c r="V1066" s="62">
        <v>0.266666666666666</v>
      </c>
      <c r="W1066" s="62">
        <v>1.045</v>
      </c>
      <c r="X1066" s="62">
        <v>0.780833333333333</v>
      </c>
      <c r="Y1066" s="62">
        <v>1.56083333333333</v>
      </c>
      <c r="Z1066" s="62">
        <v>0.271666666666666</v>
      </c>
      <c r="AA1066" s="62">
        <v>0.0</v>
      </c>
      <c r="AB1066" s="62">
        <v>0.5125</v>
      </c>
      <c r="AC1066" s="62">
        <v>0.248611111111111</v>
      </c>
      <c r="AD1066" s="62">
        <v>0.221388888888888</v>
      </c>
      <c r="AE1066" s="62">
        <v>0.248611111111111</v>
      </c>
      <c r="AF1066" s="62">
        <v>5.0</v>
      </c>
    </row>
    <row r="1067">
      <c r="A1067" s="68">
        <v>46072.0</v>
      </c>
      <c r="B1067" s="62" t="s">
        <v>37</v>
      </c>
      <c r="C1067" s="62" t="s">
        <v>174</v>
      </c>
      <c r="D1067" s="62">
        <v>2.0</v>
      </c>
      <c r="E1067" s="62">
        <v>2.0</v>
      </c>
      <c r="F1067" s="62">
        <v>1.0</v>
      </c>
      <c r="G1067" s="62">
        <v>4.0</v>
      </c>
      <c r="H1067" s="62">
        <v>5.0</v>
      </c>
      <c r="I1067" s="62">
        <v>1.0</v>
      </c>
      <c r="J1067" s="62">
        <v>4.0</v>
      </c>
      <c r="K1067" s="62">
        <v>1.0</v>
      </c>
      <c r="L1067" s="62">
        <v>0.0</v>
      </c>
      <c r="M1067" s="62">
        <v>3.0</v>
      </c>
      <c r="N1067" s="62">
        <v>1.0</v>
      </c>
      <c r="O1067" s="62">
        <v>1.0</v>
      </c>
      <c r="P1067" s="62">
        <v>1.0</v>
      </c>
      <c r="Q1067" s="62">
        <v>0.0</v>
      </c>
      <c r="R1067" s="62">
        <v>4898.0</v>
      </c>
      <c r="S1067" s="62">
        <v>5213.0</v>
      </c>
      <c r="T1067" s="62">
        <v>0.813611111111111</v>
      </c>
      <c r="U1067" s="62">
        <v>0.254166666666666</v>
      </c>
      <c r="V1067" s="62">
        <v>1.08277777777777</v>
      </c>
      <c r="W1067" s="62">
        <v>1.34638888888888</v>
      </c>
      <c r="X1067" s="62">
        <v>0.263611111111111</v>
      </c>
      <c r="Y1067" s="62">
        <v>1.09361111111111</v>
      </c>
      <c r="Z1067" s="62">
        <v>0.274166666666666</v>
      </c>
      <c r="AA1067" s="62">
        <v>0.0</v>
      </c>
      <c r="AB1067" s="62">
        <v>0.819444444444444</v>
      </c>
      <c r="AC1067" s="62">
        <v>0.260833333333333</v>
      </c>
      <c r="AD1067" s="62">
        <v>0.268055555555555</v>
      </c>
      <c r="AE1067" s="62">
        <v>0.260833333333333</v>
      </c>
      <c r="AF1067" s="62">
        <v>3.0</v>
      </c>
    </row>
    <row r="1068">
      <c r="A1068" s="68">
        <v>46072.0</v>
      </c>
      <c r="B1068" s="62" t="s">
        <v>81</v>
      </c>
      <c r="C1068" s="62" t="s">
        <v>187</v>
      </c>
      <c r="D1068" s="62">
        <v>3.0</v>
      </c>
      <c r="E1068" s="62">
        <v>5.0</v>
      </c>
      <c r="F1068" s="62">
        <v>1.0</v>
      </c>
      <c r="G1068" s="62">
        <v>2.0</v>
      </c>
      <c r="H1068" s="62">
        <v>4.0</v>
      </c>
      <c r="I1068" s="62">
        <v>2.0</v>
      </c>
      <c r="J1068" s="62">
        <v>2.0</v>
      </c>
      <c r="K1068" s="62">
        <v>2.0</v>
      </c>
      <c r="L1068" s="62">
        <v>0.0</v>
      </c>
      <c r="M1068" s="62">
        <v>0.0</v>
      </c>
      <c r="N1068" s="62">
        <v>0.0</v>
      </c>
      <c r="O1068" s="62">
        <v>0.0</v>
      </c>
      <c r="P1068" s="62">
        <v>0.0</v>
      </c>
      <c r="Q1068" s="62">
        <v>0.0</v>
      </c>
      <c r="R1068" s="62">
        <v>5903.0</v>
      </c>
      <c r="S1068" s="62">
        <v>12191.0</v>
      </c>
      <c r="T1068" s="62">
        <v>1.26083333333333</v>
      </c>
      <c r="U1068" s="62">
        <v>0.203055555555555</v>
      </c>
      <c r="V1068" s="62">
        <v>0.394166666666666</v>
      </c>
      <c r="W1068" s="62">
        <v>0.818888888888888</v>
      </c>
      <c r="X1068" s="62">
        <v>0.424722222222222</v>
      </c>
      <c r="Y1068" s="62">
        <v>0.375277777777777</v>
      </c>
      <c r="Z1068" s="62">
        <v>0.375277777777777</v>
      </c>
      <c r="AA1068" s="62">
        <v>0.0</v>
      </c>
      <c r="AB1068" s="62">
        <v>0.0</v>
      </c>
      <c r="AC1068" s="62">
        <v>0.0</v>
      </c>
      <c r="AD1068" s="62">
        <v>0.0</v>
      </c>
      <c r="AE1068" s="62">
        <v>0.0</v>
      </c>
      <c r="AF1068" s="62">
        <v>6.0</v>
      </c>
    </row>
    <row r="1069">
      <c r="A1069" s="68">
        <v>46072.0</v>
      </c>
      <c r="B1069" s="62" t="s">
        <v>26</v>
      </c>
      <c r="C1069" s="62" t="s">
        <v>178</v>
      </c>
      <c r="D1069" s="62">
        <v>0.0</v>
      </c>
      <c r="E1069" s="62">
        <v>0.0</v>
      </c>
      <c r="F1069" s="62">
        <v>0.0</v>
      </c>
      <c r="G1069" s="62">
        <v>0.0</v>
      </c>
      <c r="H1069" s="62">
        <v>0.0</v>
      </c>
      <c r="I1069" s="62">
        <v>0.0</v>
      </c>
      <c r="J1069" s="62">
        <v>2.0</v>
      </c>
      <c r="K1069" s="62">
        <v>0.0</v>
      </c>
      <c r="L1069" s="62">
        <v>1.0</v>
      </c>
      <c r="M1069" s="62">
        <v>2.0</v>
      </c>
      <c r="N1069" s="62">
        <v>3.0</v>
      </c>
      <c r="O1069" s="62">
        <v>1.0</v>
      </c>
      <c r="P1069" s="62">
        <v>3.0</v>
      </c>
      <c r="Q1069" s="62">
        <v>0.0</v>
      </c>
      <c r="R1069" s="62">
        <v>0.0</v>
      </c>
      <c r="S1069" s="62">
        <v>0.0</v>
      </c>
      <c r="T1069" s="62">
        <v>0.0</v>
      </c>
      <c r="U1069" s="62">
        <v>0.0</v>
      </c>
      <c r="V1069" s="62">
        <v>0.0</v>
      </c>
      <c r="W1069" s="62">
        <v>0.0</v>
      </c>
      <c r="X1069" s="62">
        <v>0.0</v>
      </c>
      <c r="Y1069" s="62">
        <v>0.406388888888888</v>
      </c>
      <c r="Z1069" s="62">
        <v>0.0</v>
      </c>
      <c r="AA1069" s="62">
        <v>0.168611111111111</v>
      </c>
      <c r="AB1069" s="62">
        <v>0.406388888888888</v>
      </c>
      <c r="AC1069" s="62">
        <v>0.558611111111111</v>
      </c>
      <c r="AD1069" s="62">
        <v>0.182222222222222</v>
      </c>
      <c r="AE1069" s="62">
        <v>0.558611111111111</v>
      </c>
      <c r="AF1069" s="62">
        <v>0.0</v>
      </c>
    </row>
    <row r="1070">
      <c r="A1070" s="68">
        <v>46072.0</v>
      </c>
      <c r="B1070" s="62" t="s">
        <v>62</v>
      </c>
      <c r="C1070" s="62" t="s">
        <v>63</v>
      </c>
      <c r="D1070" s="62">
        <v>1.0</v>
      </c>
      <c r="E1070" s="62">
        <v>3.0</v>
      </c>
      <c r="F1070" s="62">
        <v>0.0</v>
      </c>
      <c r="G1070" s="62">
        <v>0.0</v>
      </c>
      <c r="H1070" s="62">
        <v>1.0</v>
      </c>
      <c r="I1070" s="62">
        <v>0.0</v>
      </c>
      <c r="J1070" s="62">
        <v>2.0</v>
      </c>
      <c r="K1070" s="62">
        <v>1.0</v>
      </c>
      <c r="L1070" s="62">
        <v>1.0</v>
      </c>
      <c r="M1070" s="62">
        <v>3.0</v>
      </c>
      <c r="N1070" s="62">
        <v>2.0</v>
      </c>
      <c r="O1070" s="62">
        <v>1.0</v>
      </c>
      <c r="P1070" s="62">
        <v>2.0</v>
      </c>
      <c r="Q1070" s="62">
        <v>0.0</v>
      </c>
      <c r="R1070" s="62">
        <v>2423.0</v>
      </c>
      <c r="S1070" s="62">
        <v>6999.0</v>
      </c>
      <c r="T1070" s="62">
        <v>1.38194444444444</v>
      </c>
      <c r="U1070" s="62">
        <v>0.0</v>
      </c>
      <c r="V1070" s="62">
        <v>0.0</v>
      </c>
      <c r="W1070" s="62">
        <v>0.25</v>
      </c>
      <c r="X1070" s="62">
        <v>0.0</v>
      </c>
      <c r="Y1070" s="62">
        <v>0.498888888888888</v>
      </c>
      <c r="Z1070" s="62">
        <v>0.25</v>
      </c>
      <c r="AA1070" s="62">
        <v>0.25</v>
      </c>
      <c r="AB1070" s="62">
        <v>0.748888888888888</v>
      </c>
      <c r="AC1070" s="62">
        <v>0.515277777777777</v>
      </c>
      <c r="AD1070" s="62">
        <v>0.214444444444444</v>
      </c>
      <c r="AE1070" s="62">
        <v>0.515277777777777</v>
      </c>
      <c r="AF1070" s="62">
        <v>6.0</v>
      </c>
    </row>
    <row r="1071">
      <c r="A1071" s="68">
        <v>46071.0</v>
      </c>
      <c r="B1071" s="62" t="s">
        <v>79</v>
      </c>
      <c r="C1071" s="62" t="s">
        <v>162</v>
      </c>
      <c r="D1071" s="62">
        <v>2.0</v>
      </c>
      <c r="E1071" s="62">
        <v>9.0</v>
      </c>
      <c r="F1071" s="62">
        <v>1.0</v>
      </c>
      <c r="G1071" s="62">
        <v>0.0</v>
      </c>
      <c r="H1071" s="62">
        <v>3.0</v>
      </c>
      <c r="I1071" s="62">
        <v>3.0</v>
      </c>
      <c r="J1071" s="62">
        <v>2.0</v>
      </c>
      <c r="K1071" s="62">
        <v>0.0</v>
      </c>
      <c r="L1071" s="62">
        <v>2.0</v>
      </c>
      <c r="M1071" s="62">
        <v>0.0</v>
      </c>
      <c r="N1071" s="62">
        <v>0.0</v>
      </c>
      <c r="O1071" s="62">
        <v>0.0</v>
      </c>
      <c r="P1071" s="62">
        <v>0.0</v>
      </c>
      <c r="Q1071" s="62">
        <v>0.0</v>
      </c>
      <c r="R1071" s="62">
        <v>3858.0</v>
      </c>
      <c r="S1071" s="62">
        <v>19424.0</v>
      </c>
      <c r="T1071" s="62">
        <v>0.323333333333333</v>
      </c>
      <c r="U1071" s="62">
        <v>0.166944444444444</v>
      </c>
      <c r="V1071" s="62">
        <v>0.0</v>
      </c>
      <c r="W1071" s="62">
        <v>0.503055555555555</v>
      </c>
      <c r="X1071" s="62">
        <v>0.503055555555555</v>
      </c>
      <c r="Y1071" s="62">
        <v>0.345555555555555</v>
      </c>
      <c r="Z1071" s="62">
        <v>0.0</v>
      </c>
      <c r="AA1071" s="62">
        <v>0.301944444444444</v>
      </c>
      <c r="AB1071" s="62">
        <v>0.0</v>
      </c>
      <c r="AC1071" s="62">
        <v>0.0</v>
      </c>
      <c r="AD1071" s="62">
        <v>0.0</v>
      </c>
      <c r="AE1071" s="62">
        <v>0.0</v>
      </c>
      <c r="AF1071" s="62">
        <v>2.0</v>
      </c>
    </row>
    <row r="1072">
      <c r="A1072" s="68">
        <v>46071.0</v>
      </c>
      <c r="B1072" s="62" t="s">
        <v>71</v>
      </c>
      <c r="C1072" s="62" t="s">
        <v>163</v>
      </c>
      <c r="D1072" s="62">
        <v>0.0</v>
      </c>
      <c r="E1072" s="62">
        <v>0.0</v>
      </c>
      <c r="F1072" s="62">
        <v>2.0</v>
      </c>
      <c r="G1072" s="62">
        <v>3.0</v>
      </c>
      <c r="H1072" s="62">
        <v>4.0</v>
      </c>
      <c r="I1072" s="62">
        <v>1.0</v>
      </c>
      <c r="J1072" s="62">
        <v>1.0</v>
      </c>
      <c r="K1072" s="62">
        <v>1.0</v>
      </c>
      <c r="L1072" s="62">
        <v>0.0</v>
      </c>
      <c r="M1072" s="62">
        <v>1.0</v>
      </c>
      <c r="N1072" s="62">
        <v>2.0</v>
      </c>
      <c r="O1072" s="62">
        <v>1.0</v>
      </c>
      <c r="P1072" s="62">
        <v>2.0</v>
      </c>
      <c r="Q1072" s="62">
        <v>0.0</v>
      </c>
      <c r="R1072" s="62">
        <v>0.0</v>
      </c>
      <c r="S1072" s="62">
        <v>0.0</v>
      </c>
      <c r="T1072" s="62">
        <v>0.0</v>
      </c>
      <c r="U1072" s="62">
        <v>0.511111111111111</v>
      </c>
      <c r="V1072" s="62">
        <v>0.747777777777777</v>
      </c>
      <c r="W1072" s="62">
        <v>1.01083333333333</v>
      </c>
      <c r="X1072" s="62">
        <v>0.263055555555555</v>
      </c>
      <c r="Y1072" s="62">
        <v>0.263333333333333</v>
      </c>
      <c r="Z1072" s="62">
        <v>0.273888888888888</v>
      </c>
      <c r="AA1072" s="62">
        <v>0.0</v>
      </c>
      <c r="AB1072" s="62">
        <v>0.250833333333333</v>
      </c>
      <c r="AC1072" s="62">
        <v>0.524722222222222</v>
      </c>
      <c r="AD1072" s="62">
        <v>0.3</v>
      </c>
      <c r="AE1072" s="62">
        <v>0.524722222222222</v>
      </c>
      <c r="AF1072" s="62">
        <v>0.0</v>
      </c>
    </row>
    <row r="1073">
      <c r="A1073" s="68">
        <v>46071.0</v>
      </c>
      <c r="B1073" s="62" t="s">
        <v>76</v>
      </c>
      <c r="C1073" s="62" t="s">
        <v>165</v>
      </c>
      <c r="D1073" s="62">
        <v>0.0</v>
      </c>
      <c r="E1073" s="62">
        <v>4.0</v>
      </c>
      <c r="F1073" s="62">
        <v>3.0</v>
      </c>
      <c r="G1073" s="62">
        <v>6.0</v>
      </c>
      <c r="H1073" s="62">
        <v>6.0</v>
      </c>
      <c r="I1073" s="62">
        <v>0.0</v>
      </c>
      <c r="J1073" s="62">
        <v>1.0</v>
      </c>
      <c r="K1073" s="62">
        <v>1.0</v>
      </c>
      <c r="L1073" s="62">
        <v>1.0</v>
      </c>
      <c r="M1073" s="62">
        <v>0.0</v>
      </c>
      <c r="N1073" s="62">
        <v>0.0</v>
      </c>
      <c r="O1073" s="62">
        <v>1.0</v>
      </c>
      <c r="P1073" s="62">
        <v>0.0</v>
      </c>
      <c r="Q1073" s="62">
        <v>0.0</v>
      </c>
      <c r="R1073" s="62">
        <v>0.0</v>
      </c>
      <c r="S1073" s="62">
        <v>11286.0</v>
      </c>
      <c r="T1073" s="62">
        <v>0.942777777777777</v>
      </c>
      <c r="U1073" s="62">
        <v>0.942777777777777</v>
      </c>
      <c r="V1073" s="62">
        <v>1.85361111111111</v>
      </c>
      <c r="W1073" s="62">
        <v>1.85361111111111</v>
      </c>
      <c r="X1073" s="62">
        <v>0.0</v>
      </c>
      <c r="Y1073" s="62">
        <v>0.314166666666666</v>
      </c>
      <c r="Z1073" s="62">
        <v>0.314166666666666</v>
      </c>
      <c r="AA1073" s="62">
        <v>0.344722222222222</v>
      </c>
      <c r="AB1073" s="62">
        <v>0.0</v>
      </c>
      <c r="AC1073" s="62">
        <v>0.0</v>
      </c>
      <c r="AD1073" s="62">
        <v>0.245833333333333</v>
      </c>
      <c r="AE1073" s="62">
        <v>0.0</v>
      </c>
      <c r="AF1073" s="62">
        <v>3.0</v>
      </c>
    </row>
    <row r="1074">
      <c r="A1074" s="68">
        <v>46071.0</v>
      </c>
      <c r="B1074" s="62" t="s">
        <v>32</v>
      </c>
      <c r="C1074" s="62" t="s">
        <v>168</v>
      </c>
      <c r="D1074" s="62">
        <v>0.0</v>
      </c>
      <c r="E1074" s="62">
        <v>0.0</v>
      </c>
      <c r="F1074" s="62">
        <v>0.0</v>
      </c>
      <c r="G1074" s="62">
        <v>0.0</v>
      </c>
      <c r="H1074" s="62">
        <v>8.0</v>
      </c>
      <c r="I1074" s="62">
        <v>8.0</v>
      </c>
      <c r="J1074" s="62">
        <v>5.0</v>
      </c>
      <c r="K1074" s="62">
        <v>0.0</v>
      </c>
      <c r="L1074" s="62">
        <v>0.0</v>
      </c>
      <c r="M1074" s="62">
        <v>6.0</v>
      </c>
      <c r="N1074" s="62">
        <v>7.0</v>
      </c>
      <c r="O1074" s="62">
        <v>1.0</v>
      </c>
      <c r="P1074" s="62">
        <v>7.0</v>
      </c>
      <c r="Q1074" s="62">
        <v>0.0</v>
      </c>
      <c r="R1074" s="62">
        <v>0.0</v>
      </c>
      <c r="S1074" s="62">
        <v>0.0</v>
      </c>
      <c r="T1074" s="62">
        <v>1.58833333333333</v>
      </c>
      <c r="U1074" s="62">
        <v>0.0</v>
      </c>
      <c r="V1074" s="62">
        <v>0.0</v>
      </c>
      <c r="W1074" s="62">
        <v>2.09805555555555</v>
      </c>
      <c r="X1074" s="62">
        <v>2.09805555555555</v>
      </c>
      <c r="Y1074" s="62">
        <v>1.31027777777777</v>
      </c>
      <c r="Z1074" s="62">
        <v>0.0</v>
      </c>
      <c r="AA1074" s="62">
        <v>0.0</v>
      </c>
      <c r="AB1074" s="62">
        <v>1.57777777777777</v>
      </c>
      <c r="AC1074" s="62">
        <v>1.84805555555555</v>
      </c>
      <c r="AD1074" s="62">
        <v>0.220555555555555</v>
      </c>
      <c r="AE1074" s="62">
        <v>1.84805555555555</v>
      </c>
      <c r="AF1074" s="62">
        <v>6.0</v>
      </c>
    </row>
    <row r="1075">
      <c r="A1075" s="68">
        <v>46071.0</v>
      </c>
      <c r="B1075" s="62" t="s">
        <v>37</v>
      </c>
      <c r="C1075" s="62" t="s">
        <v>174</v>
      </c>
      <c r="D1075" s="62">
        <v>2.0</v>
      </c>
      <c r="E1075" s="62">
        <v>5.0</v>
      </c>
      <c r="F1075" s="62">
        <v>0.0</v>
      </c>
      <c r="G1075" s="62">
        <v>0.0</v>
      </c>
      <c r="H1075" s="62">
        <v>0.0</v>
      </c>
      <c r="I1075" s="62">
        <v>0.0</v>
      </c>
      <c r="J1075" s="62">
        <v>0.0</v>
      </c>
      <c r="K1075" s="62">
        <v>0.0</v>
      </c>
      <c r="L1075" s="62">
        <v>0.0</v>
      </c>
      <c r="M1075" s="62">
        <v>0.0</v>
      </c>
      <c r="N1075" s="62">
        <v>0.0</v>
      </c>
      <c r="O1075" s="62">
        <v>1.0</v>
      </c>
      <c r="P1075" s="62">
        <v>0.0</v>
      </c>
      <c r="Q1075" s="62">
        <v>0.0</v>
      </c>
      <c r="R1075" s="62">
        <v>4872.0</v>
      </c>
      <c r="S1075" s="62">
        <v>12097.0</v>
      </c>
      <c r="T1075" s="62">
        <v>0.517777777777777</v>
      </c>
      <c r="U1075" s="62">
        <v>0.0</v>
      </c>
      <c r="V1075" s="62">
        <v>0.0</v>
      </c>
      <c r="W1075" s="62">
        <v>0.0</v>
      </c>
      <c r="X1075" s="62">
        <v>0.0</v>
      </c>
      <c r="Y1075" s="62">
        <v>0.0</v>
      </c>
      <c r="Z1075" s="62">
        <v>0.0</v>
      </c>
      <c r="AA1075" s="62">
        <v>0.0</v>
      </c>
      <c r="AB1075" s="62">
        <v>0.0</v>
      </c>
      <c r="AC1075" s="62">
        <v>0.0</v>
      </c>
      <c r="AD1075" s="62">
        <v>0.246944444444444</v>
      </c>
      <c r="AE1075" s="62">
        <v>0.0</v>
      </c>
      <c r="AF1075" s="62">
        <v>2.0</v>
      </c>
    </row>
    <row r="1076">
      <c r="A1076" s="68">
        <v>46071.0</v>
      </c>
      <c r="B1076" s="62" t="s">
        <v>81</v>
      </c>
      <c r="C1076" s="62" t="s">
        <v>187</v>
      </c>
      <c r="D1076" s="62">
        <v>0.0</v>
      </c>
      <c r="E1076" s="62">
        <v>3.0</v>
      </c>
      <c r="F1076" s="62">
        <v>2.0</v>
      </c>
      <c r="G1076" s="62">
        <v>1.0</v>
      </c>
      <c r="H1076" s="62">
        <v>2.0</v>
      </c>
      <c r="I1076" s="62">
        <v>1.0</v>
      </c>
      <c r="J1076" s="62">
        <v>0.0</v>
      </c>
      <c r="K1076" s="62">
        <v>0.0</v>
      </c>
      <c r="L1076" s="62">
        <v>1.0</v>
      </c>
      <c r="M1076" s="62">
        <v>1.0</v>
      </c>
      <c r="N1076" s="62">
        <v>0.0</v>
      </c>
      <c r="O1076" s="62">
        <v>0.0</v>
      </c>
      <c r="P1076" s="62">
        <v>0.0</v>
      </c>
      <c r="Q1076" s="62">
        <v>0.0</v>
      </c>
      <c r="R1076" s="62">
        <v>0.0</v>
      </c>
      <c r="S1076" s="62">
        <v>6646.0</v>
      </c>
      <c r="T1076" s="62">
        <v>0.580555555555555</v>
      </c>
      <c r="U1076" s="62">
        <v>0.391388888888888</v>
      </c>
      <c r="V1076" s="62">
        <v>0.1825</v>
      </c>
      <c r="W1076" s="62">
        <v>0.371666666666666</v>
      </c>
      <c r="X1076" s="62">
        <v>0.189166666666666</v>
      </c>
      <c r="Y1076" s="62">
        <v>0.0</v>
      </c>
      <c r="Z1076" s="62">
        <v>0.0</v>
      </c>
      <c r="AA1076" s="62">
        <v>0.181944444444444</v>
      </c>
      <c r="AB1076" s="62">
        <v>0.181944444444444</v>
      </c>
      <c r="AC1076" s="62">
        <v>0.0</v>
      </c>
      <c r="AD1076" s="62">
        <v>0.0</v>
      </c>
      <c r="AE1076" s="62">
        <v>0.0</v>
      </c>
      <c r="AF1076" s="62">
        <v>3.0</v>
      </c>
    </row>
    <row r="1077">
      <c r="A1077" s="68">
        <v>46071.0</v>
      </c>
      <c r="B1077" s="62" t="s">
        <v>26</v>
      </c>
      <c r="C1077" s="62" t="s">
        <v>178</v>
      </c>
      <c r="D1077" s="62">
        <v>12.0</v>
      </c>
      <c r="E1077" s="62">
        <v>0.0</v>
      </c>
      <c r="F1077" s="62">
        <v>2.0</v>
      </c>
      <c r="G1077" s="62">
        <v>4.0</v>
      </c>
      <c r="H1077" s="62">
        <v>5.0</v>
      </c>
      <c r="I1077" s="62">
        <v>1.0</v>
      </c>
      <c r="J1077" s="62">
        <v>7.0</v>
      </c>
      <c r="K1077" s="62">
        <v>1.0</v>
      </c>
      <c r="L1077" s="62">
        <v>0.0</v>
      </c>
      <c r="M1077" s="62">
        <v>13.0</v>
      </c>
      <c r="N1077" s="62">
        <v>1.0</v>
      </c>
      <c r="O1077" s="62">
        <v>1.0</v>
      </c>
      <c r="P1077" s="62">
        <v>1.0</v>
      </c>
      <c r="Q1077" s="62">
        <v>0.0</v>
      </c>
      <c r="R1077" s="62">
        <v>27809.0</v>
      </c>
      <c r="S1077" s="62">
        <v>0.0</v>
      </c>
      <c r="T1077" s="62">
        <v>0.590555555555555</v>
      </c>
      <c r="U1077" s="62">
        <v>0.405555555555555</v>
      </c>
      <c r="V1077" s="62">
        <v>0.785833333333333</v>
      </c>
      <c r="W1077" s="62">
        <v>0.970833333333333</v>
      </c>
      <c r="X1077" s="62">
        <v>0.185</v>
      </c>
      <c r="Y1077" s="62">
        <v>1.29472222222222</v>
      </c>
      <c r="Z1077" s="62">
        <v>0.168055555555555</v>
      </c>
      <c r="AA1077" s="62">
        <v>0.0</v>
      </c>
      <c r="AB1077" s="62">
        <v>2.34305555555555</v>
      </c>
      <c r="AC1077" s="62">
        <v>0.185277777777777</v>
      </c>
      <c r="AD1077" s="62">
        <v>0.194722222222222</v>
      </c>
      <c r="AE1077" s="62">
        <v>0.185277777777777</v>
      </c>
      <c r="AF1077" s="62">
        <v>3.0</v>
      </c>
    </row>
    <row r="1078">
      <c r="A1078" s="68">
        <v>46071.0</v>
      </c>
      <c r="B1078" s="62" t="s">
        <v>62</v>
      </c>
      <c r="C1078" s="62" t="s">
        <v>63</v>
      </c>
      <c r="D1078" s="62">
        <v>0.0</v>
      </c>
      <c r="E1078" s="62">
        <v>4.0</v>
      </c>
      <c r="F1078" s="62">
        <v>0.0</v>
      </c>
      <c r="G1078" s="62">
        <v>0.0</v>
      </c>
      <c r="H1078" s="62">
        <v>2.0</v>
      </c>
      <c r="I1078" s="62">
        <v>0.0</v>
      </c>
      <c r="J1078" s="62">
        <v>2.0</v>
      </c>
      <c r="K1078" s="62">
        <v>1.0</v>
      </c>
      <c r="L1078" s="62">
        <v>0.0</v>
      </c>
      <c r="M1078" s="62">
        <v>3.0</v>
      </c>
      <c r="N1078" s="62">
        <v>0.0</v>
      </c>
      <c r="O1078" s="62">
        <v>1.0</v>
      </c>
      <c r="P1078" s="62">
        <v>0.0</v>
      </c>
      <c r="Q1078" s="62">
        <v>0.0</v>
      </c>
      <c r="R1078" s="62">
        <v>0.0</v>
      </c>
      <c r="S1078" s="62">
        <v>9397.0</v>
      </c>
      <c r="T1078" s="62">
        <v>0.0</v>
      </c>
      <c r="U1078" s="62">
        <v>0.0</v>
      </c>
      <c r="V1078" s="62">
        <v>0.0</v>
      </c>
      <c r="W1078" s="62">
        <v>0.571666666666666</v>
      </c>
      <c r="X1078" s="62">
        <v>0.0</v>
      </c>
      <c r="Y1078" s="62">
        <v>0.571666666666666</v>
      </c>
      <c r="Z1078" s="62">
        <v>0.25</v>
      </c>
      <c r="AA1078" s="62">
        <v>0.0</v>
      </c>
      <c r="AB1078" s="62">
        <v>0.836944444444444</v>
      </c>
      <c r="AC1078" s="62">
        <v>0.0</v>
      </c>
      <c r="AD1078" s="62">
        <v>0.219444444444444</v>
      </c>
      <c r="AE1078" s="62">
        <v>0.0</v>
      </c>
      <c r="AF1078" s="62">
        <v>0.0</v>
      </c>
    </row>
    <row r="1079">
      <c r="A1079" s="68">
        <v>46070.0</v>
      </c>
      <c r="B1079" s="62" t="s">
        <v>79</v>
      </c>
      <c r="C1079" s="62" t="s">
        <v>162</v>
      </c>
      <c r="D1079" s="62">
        <v>0.0</v>
      </c>
      <c r="E1079" s="62">
        <v>0.0</v>
      </c>
      <c r="F1079" s="62">
        <v>0.0</v>
      </c>
      <c r="G1079" s="62">
        <v>0.0</v>
      </c>
      <c r="H1079" s="62">
        <v>0.0</v>
      </c>
      <c r="I1079" s="62">
        <v>0.0</v>
      </c>
      <c r="J1079" s="62">
        <v>1.0</v>
      </c>
      <c r="K1079" s="62">
        <v>2.0</v>
      </c>
      <c r="L1079" s="62">
        <v>0.0</v>
      </c>
      <c r="M1079" s="62">
        <v>1.0</v>
      </c>
      <c r="N1079" s="62">
        <v>0.0</v>
      </c>
      <c r="O1079" s="62">
        <v>0.0</v>
      </c>
      <c r="P1079" s="62">
        <v>0.0</v>
      </c>
      <c r="Q1079" s="62">
        <v>0.0</v>
      </c>
      <c r="R1079" s="62">
        <v>0.0</v>
      </c>
      <c r="S1079" s="62">
        <v>0.0</v>
      </c>
      <c r="T1079" s="62">
        <v>0.346666666666666</v>
      </c>
      <c r="U1079" s="62">
        <v>0.0</v>
      </c>
      <c r="V1079" s="62">
        <v>0.0</v>
      </c>
      <c r="W1079" s="62">
        <v>0.0</v>
      </c>
      <c r="X1079" s="62">
        <v>0.0</v>
      </c>
      <c r="Y1079" s="62">
        <v>0.151388888888888</v>
      </c>
      <c r="Z1079" s="62">
        <v>0.301944444444444</v>
      </c>
      <c r="AA1079" s="62">
        <v>0.0</v>
      </c>
      <c r="AB1079" s="62">
        <v>0.194722222222222</v>
      </c>
      <c r="AC1079" s="62">
        <v>0.0</v>
      </c>
      <c r="AD1079" s="62">
        <v>0.0</v>
      </c>
      <c r="AE1079" s="62">
        <v>0.0</v>
      </c>
      <c r="AF1079" s="62">
        <v>2.0</v>
      </c>
    </row>
    <row r="1080">
      <c r="A1080" s="68">
        <v>46070.0</v>
      </c>
      <c r="B1080" s="62" t="s">
        <v>71</v>
      </c>
      <c r="C1080" s="62" t="s">
        <v>163</v>
      </c>
      <c r="D1080" s="62">
        <v>0.0</v>
      </c>
      <c r="E1080" s="62">
        <v>2.0</v>
      </c>
      <c r="F1080" s="62">
        <v>2.0</v>
      </c>
      <c r="G1080" s="62">
        <v>2.0</v>
      </c>
      <c r="H1080" s="62">
        <v>2.0</v>
      </c>
      <c r="I1080" s="62">
        <v>0.0</v>
      </c>
      <c r="J1080" s="62">
        <v>2.0</v>
      </c>
      <c r="K1080" s="62">
        <v>1.0</v>
      </c>
      <c r="L1080" s="62">
        <v>1.0</v>
      </c>
      <c r="M1080" s="62">
        <v>2.0</v>
      </c>
      <c r="N1080" s="62">
        <v>2.0</v>
      </c>
      <c r="O1080" s="62">
        <v>1.0</v>
      </c>
      <c r="P1080" s="62">
        <v>2.0</v>
      </c>
      <c r="Q1080" s="62">
        <v>0.0</v>
      </c>
      <c r="R1080" s="62">
        <v>0.0</v>
      </c>
      <c r="S1080" s="62">
        <v>6206.0</v>
      </c>
      <c r="T1080" s="62">
        <v>1.27055555555555</v>
      </c>
      <c r="U1080" s="62">
        <v>0.496388888888888</v>
      </c>
      <c r="V1080" s="62">
        <v>0.524722222222222</v>
      </c>
      <c r="W1080" s="62">
        <v>0.524722222222222</v>
      </c>
      <c r="X1080" s="62">
        <v>0.0</v>
      </c>
      <c r="Y1080" s="62">
        <v>0.524722222222222</v>
      </c>
      <c r="Z1080" s="62">
        <v>0.276666666666666</v>
      </c>
      <c r="AA1080" s="62">
        <v>0.276666666666666</v>
      </c>
      <c r="AB1080" s="62">
        <v>0.550555555555555</v>
      </c>
      <c r="AC1080" s="62">
        <v>0.534722222222222</v>
      </c>
      <c r="AD1080" s="62">
        <v>0.32</v>
      </c>
      <c r="AE1080" s="62">
        <v>0.534722222222222</v>
      </c>
      <c r="AF1080" s="62">
        <v>5.0</v>
      </c>
    </row>
    <row r="1081">
      <c r="A1081" s="68">
        <v>46070.0</v>
      </c>
      <c r="B1081" s="62" t="s">
        <v>76</v>
      </c>
      <c r="C1081" s="62" t="s">
        <v>165</v>
      </c>
      <c r="D1081" s="62">
        <v>0.0</v>
      </c>
      <c r="E1081" s="62">
        <v>4.0</v>
      </c>
      <c r="F1081" s="62">
        <v>5.0</v>
      </c>
      <c r="G1081" s="62">
        <v>1.0</v>
      </c>
      <c r="H1081" s="62">
        <v>1.0</v>
      </c>
      <c r="I1081" s="62">
        <v>0.0</v>
      </c>
      <c r="J1081" s="62">
        <v>4.0</v>
      </c>
      <c r="K1081" s="62">
        <v>1.0</v>
      </c>
      <c r="L1081" s="62">
        <v>0.0</v>
      </c>
      <c r="M1081" s="62">
        <v>3.0</v>
      </c>
      <c r="N1081" s="62">
        <v>3.0</v>
      </c>
      <c r="O1081" s="62">
        <v>1.0</v>
      </c>
      <c r="P1081" s="62">
        <v>3.0</v>
      </c>
      <c r="Q1081" s="62">
        <v>0.0</v>
      </c>
      <c r="R1081" s="62">
        <v>0.0</v>
      </c>
      <c r="S1081" s="62">
        <v>11061.0</v>
      </c>
      <c r="T1081" s="62">
        <v>0.841944444444444</v>
      </c>
      <c r="U1081" s="62">
        <v>1.55111111111111</v>
      </c>
      <c r="V1081" s="62">
        <v>0.314166666666666</v>
      </c>
      <c r="W1081" s="62">
        <v>0.314166666666666</v>
      </c>
      <c r="X1081" s="62">
        <v>0.0</v>
      </c>
      <c r="Y1081" s="62">
        <v>1.25222222222222</v>
      </c>
      <c r="Z1081" s="62">
        <v>0.344722222222222</v>
      </c>
      <c r="AA1081" s="62">
        <v>0.0</v>
      </c>
      <c r="AB1081" s="62">
        <v>0.9075</v>
      </c>
      <c r="AC1081" s="62">
        <v>0.9075</v>
      </c>
      <c r="AD1081" s="62">
        <v>0.226944444444444</v>
      </c>
      <c r="AE1081" s="62">
        <v>0.9075</v>
      </c>
      <c r="AF1081" s="62">
        <v>3.0</v>
      </c>
    </row>
    <row r="1082">
      <c r="A1082" s="68">
        <v>46070.0</v>
      </c>
      <c r="B1082" s="62" t="s">
        <v>32</v>
      </c>
      <c r="C1082" s="62" t="s">
        <v>168</v>
      </c>
      <c r="D1082" s="62">
        <v>0.0</v>
      </c>
      <c r="E1082" s="62">
        <v>0.0</v>
      </c>
      <c r="F1082" s="62">
        <v>1.0</v>
      </c>
      <c r="G1082" s="62">
        <v>0.0</v>
      </c>
      <c r="H1082" s="62">
        <v>3.0</v>
      </c>
      <c r="I1082" s="62">
        <v>3.0</v>
      </c>
      <c r="J1082" s="62">
        <v>3.0</v>
      </c>
      <c r="K1082" s="62">
        <v>1.0</v>
      </c>
      <c r="L1082" s="62">
        <v>0.0</v>
      </c>
      <c r="M1082" s="62">
        <v>2.0</v>
      </c>
      <c r="N1082" s="62">
        <v>4.0</v>
      </c>
      <c r="O1082" s="62">
        <v>1.0</v>
      </c>
      <c r="P1082" s="62">
        <v>4.0</v>
      </c>
      <c r="Q1082" s="62">
        <v>0.0</v>
      </c>
      <c r="R1082" s="62">
        <v>0.0</v>
      </c>
      <c r="S1082" s="62">
        <v>0.0</v>
      </c>
      <c r="T1082" s="62">
        <v>1.59027777777777</v>
      </c>
      <c r="U1082" s="62">
        <v>0.264722222222222</v>
      </c>
      <c r="V1082" s="62">
        <v>0.0</v>
      </c>
      <c r="W1082" s="62">
        <v>0.815833333333333</v>
      </c>
      <c r="X1082" s="62">
        <v>0.815833333333333</v>
      </c>
      <c r="Y1082" s="62">
        <v>0.820555555555555</v>
      </c>
      <c r="Z1082" s="62">
        <v>0.2675</v>
      </c>
      <c r="AA1082" s="62">
        <v>0.0</v>
      </c>
      <c r="AB1082" s="62">
        <v>0.553055555555555</v>
      </c>
      <c r="AC1082" s="62">
        <v>1.06333333333333</v>
      </c>
      <c r="AD1082" s="62">
        <v>0.205277777777777</v>
      </c>
      <c r="AE1082" s="62">
        <v>1.06333333333333</v>
      </c>
      <c r="AF1082" s="62">
        <v>6.0</v>
      </c>
    </row>
    <row r="1083">
      <c r="A1083" s="68">
        <v>46070.0</v>
      </c>
      <c r="B1083" s="62" t="s">
        <v>37</v>
      </c>
      <c r="C1083" s="62" t="s">
        <v>174</v>
      </c>
      <c r="D1083" s="62">
        <v>2.0</v>
      </c>
      <c r="E1083" s="62">
        <v>6.0</v>
      </c>
      <c r="F1083" s="62">
        <v>0.0</v>
      </c>
      <c r="G1083" s="62">
        <v>0.0</v>
      </c>
      <c r="H1083" s="62">
        <v>0.0</v>
      </c>
      <c r="I1083" s="62">
        <v>0.0</v>
      </c>
      <c r="J1083" s="62">
        <v>1.0</v>
      </c>
      <c r="K1083" s="62">
        <v>0.0</v>
      </c>
      <c r="L1083" s="62">
        <v>0.0</v>
      </c>
      <c r="M1083" s="62">
        <v>1.0</v>
      </c>
      <c r="N1083" s="62">
        <v>0.0</v>
      </c>
      <c r="O1083" s="62">
        <v>1.0</v>
      </c>
      <c r="P1083" s="62">
        <v>0.0</v>
      </c>
      <c r="Q1083" s="62">
        <v>0.0</v>
      </c>
      <c r="R1083" s="62">
        <v>4795.0</v>
      </c>
      <c r="S1083" s="62">
        <v>14273.0</v>
      </c>
      <c r="T1083" s="62">
        <v>0.0</v>
      </c>
      <c r="U1083" s="62">
        <v>0.0</v>
      </c>
      <c r="V1083" s="62">
        <v>0.0</v>
      </c>
      <c r="W1083" s="62">
        <v>0.0</v>
      </c>
      <c r="X1083" s="62">
        <v>0.0</v>
      </c>
      <c r="Y1083" s="62">
        <v>0.244722222222222</v>
      </c>
      <c r="Z1083" s="62">
        <v>0.0</v>
      </c>
      <c r="AA1083" s="62">
        <v>0.0</v>
      </c>
      <c r="AB1083" s="62">
        <v>0.244722222222222</v>
      </c>
      <c r="AC1083" s="62">
        <v>0.0</v>
      </c>
      <c r="AD1083" s="62">
        <v>0.228333333333333</v>
      </c>
      <c r="AE1083" s="62">
        <v>0.0</v>
      </c>
      <c r="AF1083" s="62">
        <v>0.0</v>
      </c>
    </row>
    <row r="1084">
      <c r="A1084" s="68">
        <v>46070.0</v>
      </c>
      <c r="B1084" s="62" t="s">
        <v>81</v>
      </c>
      <c r="C1084" s="62" t="s">
        <v>187</v>
      </c>
      <c r="D1084" s="62">
        <v>3.0</v>
      </c>
      <c r="E1084" s="62">
        <v>2.0</v>
      </c>
      <c r="F1084" s="62">
        <v>1.0</v>
      </c>
      <c r="G1084" s="62">
        <v>1.0</v>
      </c>
      <c r="H1084" s="62">
        <v>3.0</v>
      </c>
      <c r="I1084" s="62">
        <v>2.0</v>
      </c>
      <c r="J1084" s="62">
        <v>3.0</v>
      </c>
      <c r="K1084" s="62">
        <v>1.0</v>
      </c>
      <c r="L1084" s="62">
        <v>0.0</v>
      </c>
      <c r="M1084" s="62">
        <v>3.0</v>
      </c>
      <c r="N1084" s="62">
        <v>0.0</v>
      </c>
      <c r="O1084" s="62">
        <v>0.0</v>
      </c>
      <c r="P1084" s="62">
        <v>0.0</v>
      </c>
      <c r="Q1084" s="62">
        <v>0.0</v>
      </c>
      <c r="R1084" s="62">
        <v>6262.0</v>
      </c>
      <c r="S1084" s="62">
        <v>4786.0</v>
      </c>
      <c r="T1084" s="62">
        <v>0.548611111111111</v>
      </c>
      <c r="U1084" s="62">
        <v>0.181111111111111</v>
      </c>
      <c r="V1084" s="62">
        <v>0.201666666666666</v>
      </c>
      <c r="W1084" s="62">
        <v>0.569166666666666</v>
      </c>
      <c r="X1084" s="62">
        <v>0.3675</v>
      </c>
      <c r="Y1084" s="62">
        <v>0.573055555555555</v>
      </c>
      <c r="Z1084" s="62">
        <v>0.181944444444444</v>
      </c>
      <c r="AA1084" s="62">
        <v>0.0</v>
      </c>
      <c r="AB1084" s="62">
        <v>0.580277777777777</v>
      </c>
      <c r="AC1084" s="62">
        <v>0.0</v>
      </c>
      <c r="AD1084" s="62">
        <v>0.0</v>
      </c>
      <c r="AE1084" s="62">
        <v>0.0</v>
      </c>
      <c r="AF1084" s="62">
        <v>3.0</v>
      </c>
    </row>
    <row r="1085">
      <c r="A1085" s="68">
        <v>46070.0</v>
      </c>
      <c r="B1085" s="62" t="s">
        <v>26</v>
      </c>
      <c r="C1085" s="62" t="s">
        <v>178</v>
      </c>
      <c r="D1085" s="62">
        <v>6.0</v>
      </c>
      <c r="E1085" s="62">
        <v>12.0</v>
      </c>
      <c r="F1085" s="62">
        <v>3.0</v>
      </c>
      <c r="G1085" s="62">
        <v>3.0</v>
      </c>
      <c r="H1085" s="62">
        <v>5.0</v>
      </c>
      <c r="I1085" s="62">
        <v>2.0</v>
      </c>
      <c r="J1085" s="62">
        <v>9.0</v>
      </c>
      <c r="K1085" s="62">
        <v>4.0</v>
      </c>
      <c r="L1085" s="62">
        <v>4.0</v>
      </c>
      <c r="M1085" s="62">
        <v>5.0</v>
      </c>
      <c r="N1085" s="62">
        <v>0.0</v>
      </c>
      <c r="O1085" s="62">
        <v>1.0</v>
      </c>
      <c r="P1085" s="62">
        <v>0.0</v>
      </c>
      <c r="Q1085" s="62">
        <v>0.0</v>
      </c>
      <c r="R1085" s="62">
        <v>13293.0</v>
      </c>
      <c r="S1085" s="62">
        <v>27835.0</v>
      </c>
      <c r="T1085" s="62">
        <v>0.919166666666666</v>
      </c>
      <c r="U1085" s="62">
        <v>0.5625</v>
      </c>
      <c r="V1085" s="62">
        <v>0.543055555555555</v>
      </c>
      <c r="W1085" s="62">
        <v>0.899722222222222</v>
      </c>
      <c r="X1085" s="62">
        <v>0.356666666666666</v>
      </c>
      <c r="Y1085" s="62">
        <v>1.55222222222222</v>
      </c>
      <c r="Z1085" s="62">
        <v>0.7</v>
      </c>
      <c r="AA1085" s="62">
        <v>0.7</v>
      </c>
      <c r="AB1085" s="62">
        <v>0.875833333333333</v>
      </c>
      <c r="AC1085" s="62">
        <v>0.0</v>
      </c>
      <c r="AD1085" s="62">
        <v>0.181388888888888</v>
      </c>
      <c r="AE1085" s="62">
        <v>0.0</v>
      </c>
      <c r="AF1085" s="62">
        <v>5.0</v>
      </c>
    </row>
    <row r="1086">
      <c r="A1086" s="68">
        <v>46070.0</v>
      </c>
      <c r="B1086" s="62" t="s">
        <v>62</v>
      </c>
      <c r="C1086" s="62" t="s">
        <v>63</v>
      </c>
      <c r="D1086" s="62">
        <v>0.0</v>
      </c>
      <c r="E1086" s="62">
        <v>3.0</v>
      </c>
      <c r="F1086" s="62">
        <v>3.0</v>
      </c>
      <c r="G1086" s="62">
        <v>1.0</v>
      </c>
      <c r="H1086" s="62">
        <v>3.0</v>
      </c>
      <c r="I1086" s="62">
        <v>2.0</v>
      </c>
      <c r="J1086" s="62">
        <v>2.0</v>
      </c>
      <c r="K1086" s="62">
        <v>0.0</v>
      </c>
      <c r="L1086" s="62">
        <v>0.0</v>
      </c>
      <c r="M1086" s="62">
        <v>0.0</v>
      </c>
      <c r="N1086" s="62">
        <v>3.0</v>
      </c>
      <c r="O1086" s="62">
        <v>1.0</v>
      </c>
      <c r="P1086" s="62">
        <v>3.0</v>
      </c>
      <c r="Q1086" s="62">
        <v>0.0</v>
      </c>
      <c r="R1086" s="62">
        <v>0.0</v>
      </c>
      <c r="S1086" s="62">
        <v>7598.0</v>
      </c>
      <c r="T1086" s="62">
        <v>0.561111111111111</v>
      </c>
      <c r="U1086" s="62">
        <v>0.798611111111111</v>
      </c>
      <c r="V1086" s="62">
        <v>0.25</v>
      </c>
      <c r="W1086" s="62">
        <v>0.749166666666666</v>
      </c>
      <c r="X1086" s="62">
        <v>0.499166666666666</v>
      </c>
      <c r="Y1086" s="62">
        <v>0.515277777777777</v>
      </c>
      <c r="Z1086" s="62">
        <v>0.0</v>
      </c>
      <c r="AA1086" s="62">
        <v>0.0</v>
      </c>
      <c r="AB1086" s="62">
        <v>0.0</v>
      </c>
      <c r="AC1086" s="62">
        <v>0.730555555555555</v>
      </c>
      <c r="AD1086" s="62">
        <v>0.222777777777777</v>
      </c>
      <c r="AE1086" s="62">
        <v>0.730555555555555</v>
      </c>
      <c r="AF1086" s="62">
        <v>2.0</v>
      </c>
    </row>
    <row r="1087">
      <c r="A1087" s="68">
        <v>46069.0</v>
      </c>
      <c r="B1087" s="62" t="s">
        <v>79</v>
      </c>
      <c r="C1087" s="62" t="s">
        <v>162</v>
      </c>
      <c r="D1087" s="62">
        <v>1.0</v>
      </c>
      <c r="E1087" s="62">
        <v>3.0</v>
      </c>
      <c r="F1087" s="62">
        <v>1.0</v>
      </c>
      <c r="G1087" s="62">
        <v>1.0</v>
      </c>
      <c r="H1087" s="62">
        <v>2.0</v>
      </c>
      <c r="I1087" s="62">
        <v>1.0</v>
      </c>
      <c r="J1087" s="62">
        <v>1.0</v>
      </c>
      <c r="K1087" s="62">
        <v>0.0</v>
      </c>
      <c r="L1087" s="62">
        <v>1.0</v>
      </c>
      <c r="M1087" s="62">
        <v>0.0</v>
      </c>
      <c r="N1087" s="62">
        <v>0.0</v>
      </c>
      <c r="O1087" s="62">
        <v>0.0</v>
      </c>
      <c r="P1087" s="62">
        <v>0.0</v>
      </c>
      <c r="Q1087" s="62">
        <v>0.0</v>
      </c>
      <c r="R1087" s="62">
        <v>2420.0</v>
      </c>
      <c r="S1087" s="62">
        <v>5832.0</v>
      </c>
      <c r="T1087" s="62">
        <v>0.302777777777777</v>
      </c>
      <c r="U1087" s="62">
        <v>0.151944444444444</v>
      </c>
      <c r="V1087" s="62">
        <v>0.151388888888888</v>
      </c>
      <c r="W1087" s="62">
        <v>0.302222222222222</v>
      </c>
      <c r="X1087" s="62">
        <v>0.150833333333333</v>
      </c>
      <c r="Y1087" s="62">
        <v>0.150555555555555</v>
      </c>
      <c r="Z1087" s="62">
        <v>0.0</v>
      </c>
      <c r="AA1087" s="62">
        <v>0.194722222222222</v>
      </c>
      <c r="AB1087" s="62">
        <v>0.0</v>
      </c>
      <c r="AC1087" s="62">
        <v>0.0</v>
      </c>
      <c r="AD1087" s="62">
        <v>0.0</v>
      </c>
      <c r="AE1087" s="62">
        <v>0.0</v>
      </c>
      <c r="AF1087" s="62">
        <v>2.0</v>
      </c>
    </row>
    <row r="1088">
      <c r="A1088" s="68">
        <v>46069.0</v>
      </c>
      <c r="B1088" s="62" t="s">
        <v>71</v>
      </c>
      <c r="C1088" s="62" t="s">
        <v>163</v>
      </c>
      <c r="D1088" s="62">
        <v>0.0</v>
      </c>
      <c r="E1088" s="62">
        <v>3.0</v>
      </c>
      <c r="F1088" s="62">
        <v>2.0</v>
      </c>
      <c r="G1088" s="62">
        <v>2.0</v>
      </c>
      <c r="H1088" s="62">
        <v>2.0</v>
      </c>
      <c r="I1088" s="62">
        <v>0.0</v>
      </c>
      <c r="J1088" s="62">
        <v>2.0</v>
      </c>
      <c r="K1088" s="62">
        <v>0.0</v>
      </c>
      <c r="L1088" s="62">
        <v>1.0</v>
      </c>
      <c r="M1088" s="62">
        <v>2.0</v>
      </c>
      <c r="N1088" s="62">
        <v>2.0</v>
      </c>
      <c r="O1088" s="62">
        <v>1.0</v>
      </c>
      <c r="P1088" s="62">
        <v>2.0</v>
      </c>
      <c r="Q1088" s="62">
        <v>0.0</v>
      </c>
      <c r="R1088" s="62">
        <v>0.0</v>
      </c>
      <c r="S1088" s="62">
        <v>9297.0</v>
      </c>
      <c r="T1088" s="62">
        <v>0.521666666666666</v>
      </c>
      <c r="U1088" s="62">
        <v>0.521666666666666</v>
      </c>
      <c r="V1088" s="62">
        <v>0.534722222222222</v>
      </c>
      <c r="W1088" s="62">
        <v>0.534722222222222</v>
      </c>
      <c r="X1088" s="62">
        <v>0.0</v>
      </c>
      <c r="Y1088" s="62">
        <v>0.534722222222222</v>
      </c>
      <c r="Z1088" s="62">
        <v>0.0</v>
      </c>
      <c r="AA1088" s="62">
        <v>0.273888888888888</v>
      </c>
      <c r="AB1088" s="62">
        <v>0.531944444444444</v>
      </c>
      <c r="AC1088" s="62">
        <v>0.538611111111111</v>
      </c>
      <c r="AD1088" s="62">
        <v>0.274444444444444</v>
      </c>
      <c r="AE1088" s="62">
        <v>0.538611111111111</v>
      </c>
      <c r="AF1088" s="62">
        <v>2.0</v>
      </c>
    </row>
    <row r="1089">
      <c r="A1089" s="68">
        <v>46069.0</v>
      </c>
      <c r="B1089" s="62" t="s">
        <v>76</v>
      </c>
      <c r="C1089" s="62" t="s">
        <v>165</v>
      </c>
      <c r="D1089" s="62">
        <v>0.0</v>
      </c>
      <c r="E1089" s="62">
        <v>3.0</v>
      </c>
      <c r="F1089" s="62">
        <v>0.0</v>
      </c>
      <c r="G1089" s="62">
        <v>4.0</v>
      </c>
      <c r="H1089" s="62">
        <v>4.0</v>
      </c>
      <c r="I1089" s="62">
        <v>0.0</v>
      </c>
      <c r="J1089" s="62">
        <v>0.0</v>
      </c>
      <c r="K1089" s="62">
        <v>1.0</v>
      </c>
      <c r="L1089" s="62">
        <v>1.0</v>
      </c>
      <c r="M1089" s="62">
        <v>2.0</v>
      </c>
      <c r="N1089" s="62">
        <v>2.0</v>
      </c>
      <c r="O1089" s="62">
        <v>1.0</v>
      </c>
      <c r="P1089" s="62">
        <v>2.0</v>
      </c>
      <c r="Q1089" s="62">
        <v>0.0</v>
      </c>
      <c r="R1089" s="62">
        <v>0.0</v>
      </c>
      <c r="S1089" s="62">
        <v>9128.0</v>
      </c>
      <c r="T1089" s="62">
        <v>0.709166666666666</v>
      </c>
      <c r="U1089" s="62">
        <v>0.0</v>
      </c>
      <c r="V1089" s="62">
        <v>1.25222222222222</v>
      </c>
      <c r="W1089" s="62">
        <v>1.25222222222222</v>
      </c>
      <c r="X1089" s="62">
        <v>0.0</v>
      </c>
      <c r="Y1089" s="62">
        <v>0.0</v>
      </c>
      <c r="Z1089" s="62">
        <v>0.2875</v>
      </c>
      <c r="AA1089" s="62">
        <v>0.2875</v>
      </c>
      <c r="AB1089" s="62">
        <v>0.607499999999999</v>
      </c>
      <c r="AC1089" s="62">
        <v>0.607499999999999</v>
      </c>
      <c r="AD1089" s="62">
        <v>0.220277777777777</v>
      </c>
      <c r="AE1089" s="62">
        <v>0.6075</v>
      </c>
      <c r="AF1089" s="62">
        <v>2.0</v>
      </c>
    </row>
    <row r="1090">
      <c r="A1090" s="68">
        <v>46069.0</v>
      </c>
      <c r="B1090" s="62" t="s">
        <v>32</v>
      </c>
      <c r="C1090" s="62" t="s">
        <v>168</v>
      </c>
      <c r="D1090" s="62">
        <v>0.0</v>
      </c>
      <c r="E1090" s="62">
        <v>0.0</v>
      </c>
      <c r="F1090" s="62">
        <v>0.0</v>
      </c>
      <c r="G1090" s="62">
        <v>0.0</v>
      </c>
      <c r="H1090" s="62">
        <v>3.0</v>
      </c>
      <c r="I1090" s="62">
        <v>3.0</v>
      </c>
      <c r="J1090" s="62">
        <v>3.0</v>
      </c>
      <c r="K1090" s="62">
        <v>0.0</v>
      </c>
      <c r="L1090" s="62">
        <v>0.0</v>
      </c>
      <c r="M1090" s="62">
        <v>4.0</v>
      </c>
      <c r="N1090" s="62">
        <v>1.0</v>
      </c>
      <c r="O1090" s="62">
        <v>1.0</v>
      </c>
      <c r="P1090" s="62">
        <v>1.0</v>
      </c>
      <c r="Q1090" s="62">
        <v>0.0</v>
      </c>
      <c r="R1090" s="62">
        <v>0.0</v>
      </c>
      <c r="S1090" s="62">
        <v>0.0</v>
      </c>
      <c r="T1090" s="62">
        <v>0.782222222222222</v>
      </c>
      <c r="U1090" s="62">
        <v>0.0</v>
      </c>
      <c r="V1090" s="62">
        <v>0.0</v>
      </c>
      <c r="W1090" s="62">
        <v>0.782222222222222</v>
      </c>
      <c r="X1090" s="62">
        <v>0.782222222222222</v>
      </c>
      <c r="Y1090" s="62">
        <v>0.780555555555555</v>
      </c>
      <c r="Z1090" s="62">
        <v>0.0</v>
      </c>
      <c r="AA1090" s="62">
        <v>0.0</v>
      </c>
      <c r="AB1090" s="62">
        <v>1.05638888888888</v>
      </c>
      <c r="AC1090" s="62">
        <v>0.275833333333333</v>
      </c>
      <c r="AD1090" s="62">
        <v>0.231111111111111</v>
      </c>
      <c r="AE1090" s="62">
        <v>0.275833333333333</v>
      </c>
      <c r="AF1090" s="62">
        <v>3.0</v>
      </c>
    </row>
    <row r="1091">
      <c r="A1091" s="68">
        <v>46069.0</v>
      </c>
      <c r="B1091" s="62" t="s">
        <v>37</v>
      </c>
      <c r="C1091" s="62" t="s">
        <v>174</v>
      </c>
      <c r="D1091" s="62">
        <v>2.0</v>
      </c>
      <c r="E1091" s="62">
        <v>1.0</v>
      </c>
      <c r="F1091" s="62">
        <v>3.0</v>
      </c>
      <c r="G1091" s="62">
        <v>0.0</v>
      </c>
      <c r="H1091" s="62">
        <v>2.0</v>
      </c>
      <c r="I1091" s="62">
        <v>2.0</v>
      </c>
      <c r="J1091" s="62">
        <v>1.0</v>
      </c>
      <c r="K1091" s="62">
        <v>0.0</v>
      </c>
      <c r="L1091" s="62">
        <v>0.0</v>
      </c>
      <c r="M1091" s="62">
        <v>4.0</v>
      </c>
      <c r="N1091" s="62">
        <v>3.0</v>
      </c>
      <c r="O1091" s="62">
        <v>1.0</v>
      </c>
      <c r="P1091" s="62">
        <v>3.0</v>
      </c>
      <c r="Q1091" s="62">
        <v>0.0</v>
      </c>
      <c r="R1091" s="62">
        <v>5213.0</v>
      </c>
      <c r="S1091" s="62">
        <v>2258.0</v>
      </c>
      <c r="T1091" s="62">
        <v>0.0</v>
      </c>
      <c r="U1091" s="62">
        <v>0.848055555555555</v>
      </c>
      <c r="V1091" s="62">
        <v>0.0</v>
      </c>
      <c r="W1091" s="62">
        <v>0.493333333333333</v>
      </c>
      <c r="X1091" s="62">
        <v>0.493333333333333</v>
      </c>
      <c r="Y1091" s="62">
        <v>0.245</v>
      </c>
      <c r="Z1091" s="62">
        <v>0.0</v>
      </c>
      <c r="AA1091" s="62">
        <v>0.0</v>
      </c>
      <c r="AB1091" s="62">
        <v>1.00777777777777</v>
      </c>
      <c r="AC1091" s="62">
        <v>0.762777777777777</v>
      </c>
      <c r="AD1091" s="62">
        <v>0.2675</v>
      </c>
      <c r="AE1091" s="62">
        <v>0.762777777777777</v>
      </c>
      <c r="AF1091" s="62">
        <v>0.0</v>
      </c>
    </row>
    <row r="1092">
      <c r="A1092" s="68">
        <v>46069.0</v>
      </c>
      <c r="B1092" s="62" t="s">
        <v>81</v>
      </c>
      <c r="C1092" s="62" t="s">
        <v>187</v>
      </c>
      <c r="D1092" s="62">
        <v>3.0</v>
      </c>
      <c r="E1092" s="62">
        <v>2.0</v>
      </c>
      <c r="F1092" s="62">
        <v>1.0</v>
      </c>
      <c r="G1092" s="62">
        <v>0.0</v>
      </c>
      <c r="H1092" s="62">
        <v>1.0</v>
      </c>
      <c r="I1092" s="62">
        <v>1.0</v>
      </c>
      <c r="J1092" s="62">
        <v>2.0</v>
      </c>
      <c r="K1092" s="62">
        <v>0.0</v>
      </c>
      <c r="L1092" s="62">
        <v>0.0</v>
      </c>
      <c r="M1092" s="62">
        <v>2.0</v>
      </c>
      <c r="N1092" s="62">
        <v>0.0</v>
      </c>
      <c r="O1092" s="62">
        <v>0.0</v>
      </c>
      <c r="P1092" s="62">
        <v>0.0</v>
      </c>
      <c r="Q1092" s="62">
        <v>0.0</v>
      </c>
      <c r="R1092" s="62">
        <v>6765.0</v>
      </c>
      <c r="S1092" s="62">
        <v>4795.0</v>
      </c>
      <c r="T1092" s="62">
        <v>0.427222222222222</v>
      </c>
      <c r="U1092" s="62">
        <v>0.198888888888888</v>
      </c>
      <c r="V1092" s="62">
        <v>0.0</v>
      </c>
      <c r="W1092" s="62">
        <v>0.186944444444444</v>
      </c>
      <c r="X1092" s="62">
        <v>0.186944444444444</v>
      </c>
      <c r="Y1092" s="62">
        <v>0.370833333333333</v>
      </c>
      <c r="Z1092" s="62">
        <v>0.0</v>
      </c>
      <c r="AA1092" s="62">
        <v>0.0</v>
      </c>
      <c r="AB1092" s="62">
        <v>0.363333333333333</v>
      </c>
      <c r="AC1092" s="62">
        <v>0.0</v>
      </c>
      <c r="AD1092" s="62">
        <v>0.0</v>
      </c>
      <c r="AE1092" s="62">
        <v>0.0</v>
      </c>
      <c r="AF1092" s="62">
        <v>2.0</v>
      </c>
    </row>
    <row r="1093">
      <c r="A1093" s="68">
        <v>46069.0</v>
      </c>
      <c r="B1093" s="62" t="s">
        <v>26</v>
      </c>
      <c r="C1093" s="62" t="s">
        <v>178</v>
      </c>
      <c r="D1093" s="62">
        <v>1.0</v>
      </c>
      <c r="E1093" s="62">
        <v>8.0</v>
      </c>
      <c r="F1093" s="62">
        <v>3.0</v>
      </c>
      <c r="G1093" s="62">
        <v>2.0</v>
      </c>
      <c r="H1093" s="62">
        <v>11.0</v>
      </c>
      <c r="I1093" s="62">
        <v>9.0</v>
      </c>
      <c r="J1093" s="62">
        <v>3.0</v>
      </c>
      <c r="K1093" s="62">
        <v>0.0</v>
      </c>
      <c r="L1093" s="62">
        <v>0.0</v>
      </c>
      <c r="M1093" s="62">
        <v>1.0</v>
      </c>
      <c r="N1093" s="62">
        <v>0.0</v>
      </c>
      <c r="O1093" s="62">
        <v>1.0</v>
      </c>
      <c r="P1093" s="62">
        <v>0.0</v>
      </c>
      <c r="Q1093" s="62">
        <v>0.0</v>
      </c>
      <c r="R1093" s="62">
        <v>2342.0</v>
      </c>
      <c r="S1093" s="62">
        <v>17427.0</v>
      </c>
      <c r="T1093" s="62">
        <v>2.09388888888888</v>
      </c>
      <c r="U1093" s="62">
        <v>0.524166666666666</v>
      </c>
      <c r="V1093" s="62">
        <v>0.3475</v>
      </c>
      <c r="W1093" s="62">
        <v>1.91722222222222</v>
      </c>
      <c r="X1093" s="62">
        <v>1.56972222222222</v>
      </c>
      <c r="Y1093" s="62">
        <v>0.54</v>
      </c>
      <c r="Z1093" s="62">
        <v>0.0</v>
      </c>
      <c r="AA1093" s="62">
        <v>0.0</v>
      </c>
      <c r="AB1093" s="62">
        <v>0.185277777777777</v>
      </c>
      <c r="AC1093" s="62">
        <v>0.0</v>
      </c>
      <c r="AD1093" s="62">
        <v>0.174166666666666</v>
      </c>
      <c r="AE1093" s="62">
        <v>0.0</v>
      </c>
      <c r="AF1093" s="62">
        <v>12.0</v>
      </c>
    </row>
    <row r="1094">
      <c r="A1094" s="68">
        <v>46069.0</v>
      </c>
      <c r="B1094" s="62" t="s">
        <v>62</v>
      </c>
      <c r="C1094" s="62" t="s">
        <v>63</v>
      </c>
      <c r="D1094" s="62">
        <v>7.0</v>
      </c>
      <c r="E1094" s="62">
        <v>2.0</v>
      </c>
      <c r="F1094" s="62">
        <v>1.0</v>
      </c>
      <c r="G1094" s="62">
        <v>3.0</v>
      </c>
      <c r="H1094" s="62">
        <v>3.0</v>
      </c>
      <c r="I1094" s="62">
        <v>0.0</v>
      </c>
      <c r="J1094" s="62">
        <v>3.0</v>
      </c>
      <c r="K1094" s="62">
        <v>0.0</v>
      </c>
      <c r="L1094" s="62">
        <v>0.0</v>
      </c>
      <c r="M1094" s="62">
        <v>3.0</v>
      </c>
      <c r="N1094" s="62">
        <v>0.0</v>
      </c>
      <c r="O1094" s="62">
        <v>1.0</v>
      </c>
      <c r="P1094" s="62">
        <v>0.0</v>
      </c>
      <c r="Q1094" s="62">
        <v>0.0</v>
      </c>
      <c r="R1094" s="62">
        <v>16792.0</v>
      </c>
      <c r="S1094" s="62">
        <v>5038.0</v>
      </c>
      <c r="T1094" s="62">
        <v>0.814166666666666</v>
      </c>
      <c r="U1094" s="62">
        <v>0.240555555555555</v>
      </c>
      <c r="V1094" s="62">
        <v>0.730555555555555</v>
      </c>
      <c r="W1094" s="62">
        <v>0.730555555555555</v>
      </c>
      <c r="X1094" s="62">
        <v>0.0</v>
      </c>
      <c r="Y1094" s="62">
        <v>0.730555555555555</v>
      </c>
      <c r="Z1094" s="62">
        <v>0.0</v>
      </c>
      <c r="AA1094" s="62">
        <v>0.0</v>
      </c>
      <c r="AB1094" s="62">
        <v>0.730555555555555</v>
      </c>
      <c r="AC1094" s="62">
        <v>0.0</v>
      </c>
      <c r="AD1094" s="62">
        <v>0.26</v>
      </c>
      <c r="AE1094" s="62">
        <v>0.0</v>
      </c>
      <c r="AF1094" s="62">
        <v>3.0</v>
      </c>
    </row>
    <row r="1095">
      <c r="A1095" s="68">
        <v>46068.0</v>
      </c>
      <c r="B1095" s="62" t="s">
        <v>37</v>
      </c>
      <c r="C1095" s="62" t="s">
        <v>174</v>
      </c>
      <c r="D1095" s="62">
        <v>0.0</v>
      </c>
      <c r="E1095" s="62">
        <v>0.0</v>
      </c>
      <c r="F1095" s="62">
        <v>0.0</v>
      </c>
      <c r="G1095" s="62">
        <v>0.0</v>
      </c>
      <c r="H1095" s="62">
        <v>0.0</v>
      </c>
      <c r="I1095" s="62">
        <v>0.0</v>
      </c>
      <c r="J1095" s="62">
        <v>3.0</v>
      </c>
      <c r="K1095" s="62">
        <v>0.0</v>
      </c>
      <c r="L1095" s="62">
        <v>0.0</v>
      </c>
      <c r="M1095" s="62">
        <v>0.0</v>
      </c>
      <c r="N1095" s="62">
        <v>4.0</v>
      </c>
      <c r="O1095" s="62">
        <v>1.0</v>
      </c>
      <c r="P1095" s="62">
        <v>4.0</v>
      </c>
      <c r="Q1095" s="62">
        <v>0.0</v>
      </c>
      <c r="R1095" s="62">
        <v>0.0</v>
      </c>
      <c r="S1095" s="62">
        <v>0.0</v>
      </c>
      <c r="T1095" s="62">
        <v>0.0</v>
      </c>
      <c r="U1095" s="62">
        <v>0.0</v>
      </c>
      <c r="V1095" s="62">
        <v>0.0</v>
      </c>
      <c r="W1095" s="62">
        <v>0.0</v>
      </c>
      <c r="X1095" s="62">
        <v>0.0</v>
      </c>
      <c r="Y1095" s="62">
        <v>0.762777777777777</v>
      </c>
      <c r="Z1095" s="62">
        <v>0.0</v>
      </c>
      <c r="AA1095" s="62">
        <v>0.0</v>
      </c>
      <c r="AB1095" s="62">
        <v>0.0</v>
      </c>
      <c r="AC1095" s="62">
        <v>1.09083333333333</v>
      </c>
      <c r="AD1095" s="62">
        <v>0.251666666666666</v>
      </c>
      <c r="AE1095" s="62">
        <v>1.09083333333333</v>
      </c>
      <c r="AF1095" s="62">
        <v>0.0</v>
      </c>
    </row>
    <row r="1096">
      <c r="A1096" s="68">
        <v>46068.0</v>
      </c>
      <c r="B1096" s="62" t="s">
        <v>62</v>
      </c>
      <c r="C1096" s="62" t="s">
        <v>63</v>
      </c>
      <c r="D1096" s="62">
        <v>10.0</v>
      </c>
      <c r="E1096" s="62">
        <v>0.0</v>
      </c>
      <c r="F1096" s="62">
        <v>0.0</v>
      </c>
      <c r="G1096" s="62">
        <v>0.0</v>
      </c>
      <c r="H1096" s="62">
        <v>0.0</v>
      </c>
      <c r="I1096" s="62">
        <v>0.0</v>
      </c>
      <c r="J1096" s="62">
        <v>0.0</v>
      </c>
      <c r="K1096" s="62">
        <v>0.0</v>
      </c>
      <c r="L1096" s="62">
        <v>0.0</v>
      </c>
      <c r="M1096" s="62">
        <v>0.0</v>
      </c>
      <c r="N1096" s="62">
        <v>1.0</v>
      </c>
      <c r="O1096" s="62">
        <v>1.0</v>
      </c>
      <c r="P1096" s="62">
        <v>1.0</v>
      </c>
      <c r="Q1096" s="62">
        <v>0.0</v>
      </c>
      <c r="R1096" s="62">
        <v>22057.0</v>
      </c>
      <c r="S1096" s="62">
        <v>0.0</v>
      </c>
      <c r="T1096" s="62">
        <v>0.0</v>
      </c>
      <c r="U1096" s="62">
        <v>0.0</v>
      </c>
      <c r="V1096" s="62">
        <v>0.0</v>
      </c>
      <c r="W1096" s="62">
        <v>0.0</v>
      </c>
      <c r="X1096" s="62">
        <v>0.0</v>
      </c>
      <c r="Y1096" s="62">
        <v>0.0</v>
      </c>
      <c r="Z1096" s="62">
        <v>0.0</v>
      </c>
      <c r="AA1096" s="62">
        <v>0.0</v>
      </c>
      <c r="AB1096" s="62">
        <v>0.0</v>
      </c>
      <c r="AC1096" s="62">
        <v>0.218333333333333</v>
      </c>
      <c r="AD1096" s="62">
        <v>0.251388888888888</v>
      </c>
      <c r="AE1096" s="62">
        <v>0.218333333333333</v>
      </c>
      <c r="AF1096" s="62">
        <v>0.0</v>
      </c>
    </row>
    <row r="1097">
      <c r="A1097" s="68">
        <v>46067.0</v>
      </c>
      <c r="B1097" s="62" t="s">
        <v>79</v>
      </c>
      <c r="C1097" s="62" t="s">
        <v>162</v>
      </c>
      <c r="D1097" s="62">
        <v>8.0</v>
      </c>
      <c r="E1097" s="62">
        <v>0.0</v>
      </c>
      <c r="F1097" s="62">
        <v>0.0</v>
      </c>
      <c r="G1097" s="62">
        <v>0.0</v>
      </c>
      <c r="H1097" s="62">
        <v>0.0</v>
      </c>
      <c r="I1097" s="62">
        <v>0.0</v>
      </c>
      <c r="J1097" s="62">
        <v>0.0</v>
      </c>
      <c r="K1097" s="62">
        <v>0.0</v>
      </c>
      <c r="L1097" s="62">
        <v>0.0</v>
      </c>
      <c r="M1097" s="62">
        <v>0.0</v>
      </c>
      <c r="N1097" s="62">
        <v>0.0</v>
      </c>
      <c r="O1097" s="62">
        <v>0.0</v>
      </c>
      <c r="P1097" s="62">
        <v>0.0</v>
      </c>
      <c r="Q1097" s="62">
        <v>0.0</v>
      </c>
      <c r="R1097" s="62">
        <v>17284.0</v>
      </c>
      <c r="S1097" s="62">
        <v>0.0</v>
      </c>
      <c r="T1097" s="62">
        <v>0.0</v>
      </c>
      <c r="U1097" s="62">
        <v>0.0</v>
      </c>
      <c r="V1097" s="62">
        <v>0.0</v>
      </c>
      <c r="W1097" s="62">
        <v>0.0</v>
      </c>
      <c r="X1097" s="62">
        <v>0.0</v>
      </c>
      <c r="Y1097" s="62">
        <v>0.0</v>
      </c>
      <c r="Z1097" s="62">
        <v>0.0</v>
      </c>
      <c r="AA1097" s="62">
        <v>0.0</v>
      </c>
      <c r="AB1097" s="62">
        <v>0.0</v>
      </c>
      <c r="AC1097" s="62">
        <v>0.0</v>
      </c>
      <c r="AD1097" s="62">
        <v>0.0</v>
      </c>
      <c r="AE1097" s="62">
        <v>0.0</v>
      </c>
      <c r="AF1097" s="62">
        <v>0.0</v>
      </c>
    </row>
    <row r="1098">
      <c r="A1098" s="68">
        <v>46067.0</v>
      </c>
      <c r="B1098" s="62" t="s">
        <v>71</v>
      </c>
      <c r="C1098" s="62" t="s">
        <v>163</v>
      </c>
      <c r="D1098" s="62">
        <v>0.0</v>
      </c>
      <c r="E1098" s="62">
        <v>5.0</v>
      </c>
      <c r="F1098" s="62">
        <v>0.0</v>
      </c>
      <c r="G1098" s="62">
        <v>0.0</v>
      </c>
      <c r="H1098" s="62">
        <v>0.0</v>
      </c>
      <c r="I1098" s="62">
        <v>0.0</v>
      </c>
      <c r="J1098" s="62">
        <v>0.0</v>
      </c>
      <c r="K1098" s="62">
        <v>0.0</v>
      </c>
      <c r="L1098" s="62">
        <v>1.0</v>
      </c>
      <c r="M1098" s="62">
        <v>1.0</v>
      </c>
      <c r="N1098" s="62">
        <v>2.0</v>
      </c>
      <c r="O1098" s="62">
        <v>1.0</v>
      </c>
      <c r="P1098" s="62">
        <v>2.0</v>
      </c>
      <c r="Q1098" s="62">
        <v>0.0</v>
      </c>
      <c r="R1098" s="62">
        <v>0.0</v>
      </c>
      <c r="S1098" s="62">
        <v>15479.0</v>
      </c>
      <c r="T1098" s="62">
        <v>0.0</v>
      </c>
      <c r="U1098" s="62">
        <v>0.0</v>
      </c>
      <c r="V1098" s="62">
        <v>0.0</v>
      </c>
      <c r="W1098" s="62">
        <v>0.0</v>
      </c>
      <c r="X1098" s="62">
        <v>0.0</v>
      </c>
      <c r="Y1098" s="62">
        <v>0.0</v>
      </c>
      <c r="Z1098" s="62">
        <v>0.0</v>
      </c>
      <c r="AA1098" s="62">
        <v>0.282777777777777</v>
      </c>
      <c r="AB1098" s="62">
        <v>0.282777777777777</v>
      </c>
      <c r="AC1098" s="62">
        <v>0.551944444444444</v>
      </c>
      <c r="AD1098" s="62">
        <v>0.257777777777777</v>
      </c>
      <c r="AE1098" s="62">
        <v>0.551944444444444</v>
      </c>
      <c r="AF1098" s="62">
        <v>0.0</v>
      </c>
    </row>
    <row r="1099">
      <c r="A1099" s="68">
        <v>46067.0</v>
      </c>
      <c r="B1099" s="62" t="s">
        <v>76</v>
      </c>
      <c r="C1099" s="62" t="s">
        <v>165</v>
      </c>
      <c r="D1099" s="62">
        <v>0.0</v>
      </c>
      <c r="E1099" s="62">
        <v>3.0</v>
      </c>
      <c r="F1099" s="62">
        <v>1.0</v>
      </c>
      <c r="G1099" s="62">
        <v>0.0</v>
      </c>
      <c r="H1099" s="62">
        <v>0.0</v>
      </c>
      <c r="I1099" s="62">
        <v>0.0</v>
      </c>
      <c r="J1099" s="62">
        <v>2.0</v>
      </c>
      <c r="K1099" s="62">
        <v>0.0</v>
      </c>
      <c r="L1099" s="62">
        <v>0.0</v>
      </c>
      <c r="M1099" s="62">
        <v>0.0</v>
      </c>
      <c r="N1099" s="62">
        <v>0.0</v>
      </c>
      <c r="O1099" s="62">
        <v>1.0</v>
      </c>
      <c r="P1099" s="62">
        <v>0.0</v>
      </c>
      <c r="Q1099" s="62">
        <v>0.0</v>
      </c>
      <c r="R1099" s="62">
        <v>0.0</v>
      </c>
      <c r="S1099" s="62">
        <v>10904.0</v>
      </c>
      <c r="T1099" s="62">
        <v>0.0</v>
      </c>
      <c r="U1099" s="62">
        <v>0.3025</v>
      </c>
      <c r="V1099" s="62">
        <v>0.0</v>
      </c>
      <c r="W1099" s="62">
        <v>0.0</v>
      </c>
      <c r="X1099" s="62">
        <v>0.0</v>
      </c>
      <c r="Y1099" s="62">
        <v>0.607499999999999</v>
      </c>
      <c r="Z1099" s="62">
        <v>0.0</v>
      </c>
      <c r="AA1099" s="62">
        <v>0.0</v>
      </c>
      <c r="AB1099" s="62">
        <v>0.0</v>
      </c>
      <c r="AC1099" s="62">
        <v>0.0</v>
      </c>
      <c r="AD1099" s="62">
        <v>0.229722222222222</v>
      </c>
      <c r="AE1099" s="62">
        <v>0.0</v>
      </c>
      <c r="AF1099" s="62">
        <v>0.0</v>
      </c>
    </row>
    <row r="1100">
      <c r="A1100" s="68">
        <v>46067.0</v>
      </c>
      <c r="B1100" s="62" t="s">
        <v>37</v>
      </c>
      <c r="C1100" s="62" t="s">
        <v>174</v>
      </c>
      <c r="D1100" s="62">
        <v>2.0</v>
      </c>
      <c r="E1100" s="62">
        <v>0.0</v>
      </c>
      <c r="F1100" s="62">
        <v>0.0</v>
      </c>
      <c r="G1100" s="62">
        <v>0.0</v>
      </c>
      <c r="H1100" s="62">
        <v>0.0</v>
      </c>
      <c r="I1100" s="62">
        <v>0.0</v>
      </c>
      <c r="J1100" s="62">
        <v>0.0</v>
      </c>
      <c r="K1100" s="62">
        <v>0.0</v>
      </c>
      <c r="L1100" s="62">
        <v>0.0</v>
      </c>
      <c r="M1100" s="62">
        <v>0.0</v>
      </c>
      <c r="N1100" s="62">
        <v>0.0</v>
      </c>
      <c r="O1100" s="62">
        <v>1.0</v>
      </c>
      <c r="P1100" s="62">
        <v>0.0</v>
      </c>
      <c r="Q1100" s="62">
        <v>0.0</v>
      </c>
      <c r="R1100" s="62">
        <v>4698.0</v>
      </c>
      <c r="S1100" s="62">
        <v>0.0</v>
      </c>
      <c r="T1100" s="62">
        <v>0.0</v>
      </c>
      <c r="U1100" s="62">
        <v>0.0</v>
      </c>
      <c r="V1100" s="62">
        <v>0.0</v>
      </c>
      <c r="W1100" s="62">
        <v>0.0</v>
      </c>
      <c r="X1100" s="62">
        <v>0.0</v>
      </c>
      <c r="Y1100" s="62">
        <v>0.0</v>
      </c>
      <c r="Z1100" s="62">
        <v>0.0</v>
      </c>
      <c r="AA1100" s="62">
        <v>0.0</v>
      </c>
      <c r="AB1100" s="62">
        <v>0.0</v>
      </c>
      <c r="AC1100" s="62">
        <v>0.0</v>
      </c>
      <c r="AD1100" s="62">
        <v>0.257777777777777</v>
      </c>
      <c r="AE1100" s="62">
        <v>0.0</v>
      </c>
      <c r="AF1100" s="62">
        <v>0.0</v>
      </c>
    </row>
    <row r="1101">
      <c r="A1101" s="68">
        <v>46067.0</v>
      </c>
      <c r="B1101" s="62" t="s">
        <v>81</v>
      </c>
      <c r="C1101" s="62" t="s">
        <v>187</v>
      </c>
      <c r="D1101" s="62">
        <v>1.0</v>
      </c>
      <c r="E1101" s="62">
        <v>0.0</v>
      </c>
      <c r="F1101" s="62">
        <v>0.0</v>
      </c>
      <c r="G1101" s="62">
        <v>0.0</v>
      </c>
      <c r="H1101" s="62">
        <v>0.0</v>
      </c>
      <c r="I1101" s="62">
        <v>0.0</v>
      </c>
      <c r="J1101" s="62">
        <v>0.0</v>
      </c>
      <c r="K1101" s="62">
        <v>0.0</v>
      </c>
      <c r="L1101" s="62">
        <v>0.0</v>
      </c>
      <c r="M1101" s="62">
        <v>0.0</v>
      </c>
      <c r="N1101" s="62">
        <v>0.0</v>
      </c>
      <c r="O1101" s="62">
        <v>0.0</v>
      </c>
      <c r="P1101" s="62">
        <v>0.0</v>
      </c>
      <c r="Q1101" s="62">
        <v>0.0</v>
      </c>
      <c r="R1101" s="62">
        <v>2435.0</v>
      </c>
      <c r="S1101" s="62">
        <v>0.0</v>
      </c>
      <c r="T1101" s="62">
        <v>0.0</v>
      </c>
      <c r="U1101" s="62">
        <v>0.0</v>
      </c>
      <c r="V1101" s="62">
        <v>0.0</v>
      </c>
      <c r="W1101" s="62">
        <v>0.0</v>
      </c>
      <c r="X1101" s="62">
        <v>0.0</v>
      </c>
      <c r="Y1101" s="62">
        <v>0.0</v>
      </c>
      <c r="Z1101" s="62">
        <v>0.0</v>
      </c>
      <c r="AA1101" s="62">
        <v>0.0</v>
      </c>
      <c r="AB1101" s="62">
        <v>0.0</v>
      </c>
      <c r="AC1101" s="62">
        <v>0.0</v>
      </c>
      <c r="AD1101" s="62">
        <v>0.0</v>
      </c>
      <c r="AE1101" s="62">
        <v>0.0</v>
      </c>
      <c r="AF1101" s="62">
        <v>0.0</v>
      </c>
    </row>
    <row r="1102">
      <c r="A1102" s="68">
        <v>46067.0</v>
      </c>
      <c r="B1102" s="62" t="s">
        <v>26</v>
      </c>
      <c r="C1102" s="62" t="s">
        <v>178</v>
      </c>
      <c r="D1102" s="62">
        <v>0.0</v>
      </c>
      <c r="E1102" s="62">
        <v>6.0</v>
      </c>
      <c r="F1102" s="62">
        <v>0.0</v>
      </c>
      <c r="G1102" s="62">
        <v>0.0</v>
      </c>
      <c r="H1102" s="62">
        <v>0.0</v>
      </c>
      <c r="I1102" s="62">
        <v>0.0</v>
      </c>
      <c r="J1102" s="62">
        <v>0.0</v>
      </c>
      <c r="K1102" s="62">
        <v>0.0</v>
      </c>
      <c r="L1102" s="62">
        <v>0.0</v>
      </c>
      <c r="M1102" s="62">
        <v>0.0</v>
      </c>
      <c r="N1102" s="62">
        <v>9.0</v>
      </c>
      <c r="O1102" s="62">
        <v>1.0</v>
      </c>
      <c r="P1102" s="62">
        <v>9.0</v>
      </c>
      <c r="Q1102" s="62">
        <v>0.0</v>
      </c>
      <c r="R1102" s="62">
        <v>0.0</v>
      </c>
      <c r="S1102" s="62">
        <v>13471.0</v>
      </c>
      <c r="T1102" s="62">
        <v>0.0</v>
      </c>
      <c r="U1102" s="62">
        <v>0.0</v>
      </c>
      <c r="V1102" s="62">
        <v>0.0</v>
      </c>
      <c r="W1102" s="62">
        <v>0.0</v>
      </c>
      <c r="X1102" s="62">
        <v>0.0</v>
      </c>
      <c r="Y1102" s="62">
        <v>0.0</v>
      </c>
      <c r="Z1102" s="62">
        <v>0.0</v>
      </c>
      <c r="AA1102" s="62">
        <v>0.0</v>
      </c>
      <c r="AB1102" s="62">
        <v>0.0</v>
      </c>
      <c r="AC1102" s="62">
        <v>1.64305555555555</v>
      </c>
      <c r="AD1102" s="62">
        <v>0.176666666666666</v>
      </c>
      <c r="AE1102" s="62">
        <v>1.64305555555555</v>
      </c>
      <c r="AF1102" s="62">
        <v>0.0</v>
      </c>
    </row>
    <row r="1103">
      <c r="A1103" s="68">
        <v>46067.0</v>
      </c>
      <c r="B1103" s="62" t="s">
        <v>62</v>
      </c>
      <c r="C1103" s="62" t="s">
        <v>63</v>
      </c>
      <c r="D1103" s="62">
        <v>0.0</v>
      </c>
      <c r="E1103" s="62">
        <v>0.0</v>
      </c>
      <c r="F1103" s="62">
        <v>0.0</v>
      </c>
      <c r="G1103" s="62">
        <v>0.0</v>
      </c>
      <c r="H1103" s="62">
        <v>0.0</v>
      </c>
      <c r="I1103" s="62">
        <v>0.0</v>
      </c>
      <c r="J1103" s="62">
        <v>0.0</v>
      </c>
      <c r="K1103" s="62">
        <v>0.0</v>
      </c>
      <c r="L1103" s="62">
        <v>0.0</v>
      </c>
      <c r="M1103" s="62">
        <v>1.0</v>
      </c>
      <c r="N1103" s="62">
        <v>5.0</v>
      </c>
      <c r="O1103" s="62">
        <v>1.0</v>
      </c>
      <c r="P1103" s="62">
        <v>5.0</v>
      </c>
      <c r="Q1103" s="62">
        <v>0.0</v>
      </c>
      <c r="R1103" s="62">
        <v>0.0</v>
      </c>
      <c r="S1103" s="62">
        <v>0.0</v>
      </c>
      <c r="T1103" s="62">
        <v>0.0</v>
      </c>
      <c r="U1103" s="62">
        <v>0.0</v>
      </c>
      <c r="V1103" s="62">
        <v>0.0</v>
      </c>
      <c r="W1103" s="62">
        <v>0.0</v>
      </c>
      <c r="X1103" s="62">
        <v>0.0</v>
      </c>
      <c r="Y1103" s="62">
        <v>0.0</v>
      </c>
      <c r="Z1103" s="62">
        <v>0.0</v>
      </c>
      <c r="AA1103" s="62">
        <v>0.0</v>
      </c>
      <c r="AB1103" s="62">
        <v>0.218333333333333</v>
      </c>
      <c r="AC1103" s="62">
        <v>1.14444444444444</v>
      </c>
      <c r="AD1103" s="62">
        <v>0.216666666666666</v>
      </c>
      <c r="AE1103" s="62">
        <v>1.14444444444444</v>
      </c>
      <c r="AF1103" s="62">
        <v>0.0</v>
      </c>
    </row>
    <row r="1104">
      <c r="A1104" s="68">
        <v>46066.0</v>
      </c>
      <c r="B1104" s="62" t="s">
        <v>71</v>
      </c>
      <c r="C1104" s="62" t="s">
        <v>163</v>
      </c>
      <c r="D1104" s="62">
        <v>0.0</v>
      </c>
      <c r="E1104" s="62">
        <v>6.0</v>
      </c>
      <c r="F1104" s="62">
        <v>2.0</v>
      </c>
      <c r="G1104" s="62">
        <v>2.0</v>
      </c>
      <c r="H1104" s="62">
        <v>2.0</v>
      </c>
      <c r="I1104" s="62">
        <v>0.0</v>
      </c>
      <c r="J1104" s="62">
        <v>5.0</v>
      </c>
      <c r="K1104" s="62">
        <v>3.0</v>
      </c>
      <c r="L1104" s="62">
        <v>1.0</v>
      </c>
      <c r="M1104" s="62">
        <v>4.0</v>
      </c>
      <c r="N1104" s="62">
        <v>2.0</v>
      </c>
      <c r="O1104" s="62">
        <v>1.0</v>
      </c>
      <c r="P1104" s="62">
        <v>2.0</v>
      </c>
      <c r="Q1104" s="62">
        <v>0.0</v>
      </c>
      <c r="R1104" s="62">
        <v>0.0</v>
      </c>
      <c r="S1104" s="62">
        <v>18274.0</v>
      </c>
      <c r="T1104" s="62">
        <v>0.536944444444444</v>
      </c>
      <c r="U1104" s="62">
        <v>0.536944444444444</v>
      </c>
      <c r="V1104" s="62">
        <v>0.533888888888888</v>
      </c>
      <c r="W1104" s="62">
        <v>0.533888888888888</v>
      </c>
      <c r="X1104" s="62">
        <v>0.0</v>
      </c>
      <c r="Y1104" s="62">
        <v>1.37</v>
      </c>
      <c r="Z1104" s="62">
        <v>0.826111111111111</v>
      </c>
      <c r="AA1104" s="62">
        <v>0.275555555555555</v>
      </c>
      <c r="AB1104" s="62">
        <v>1.08861111111111</v>
      </c>
      <c r="AC1104" s="62">
        <v>0.554722222222222</v>
      </c>
      <c r="AD1104" s="62">
        <v>0.263055555555555</v>
      </c>
      <c r="AE1104" s="62">
        <v>0.554722222222222</v>
      </c>
      <c r="AF1104" s="62">
        <v>2.0</v>
      </c>
    </row>
    <row r="1105">
      <c r="A1105" s="68">
        <v>46066.0</v>
      </c>
      <c r="B1105" s="62" t="s">
        <v>76</v>
      </c>
      <c r="C1105" s="62" t="s">
        <v>165</v>
      </c>
      <c r="D1105" s="62">
        <v>20.0</v>
      </c>
      <c r="E1105" s="62">
        <v>5.0</v>
      </c>
      <c r="F1105" s="62">
        <v>3.0</v>
      </c>
      <c r="G1105" s="62">
        <v>9.0</v>
      </c>
      <c r="H1105" s="62">
        <v>9.0</v>
      </c>
      <c r="I1105" s="62">
        <v>0.0</v>
      </c>
      <c r="J1105" s="62">
        <v>10.0</v>
      </c>
      <c r="K1105" s="62">
        <v>2.0</v>
      </c>
      <c r="L1105" s="62">
        <v>0.0</v>
      </c>
      <c r="M1105" s="62">
        <v>10.0</v>
      </c>
      <c r="N1105" s="62">
        <v>13.0</v>
      </c>
      <c r="O1105" s="62">
        <v>1.0</v>
      </c>
      <c r="P1105" s="62">
        <v>13.0</v>
      </c>
      <c r="Q1105" s="62">
        <v>0.0</v>
      </c>
      <c r="R1105" s="62">
        <v>54643.0</v>
      </c>
      <c r="S1105" s="62">
        <v>15339.0</v>
      </c>
      <c r="T1105" s="62">
        <v>0.616944444444444</v>
      </c>
      <c r="U1105" s="62">
        <v>0.898055555555555</v>
      </c>
      <c r="V1105" s="62">
        <v>2.78055555555555</v>
      </c>
      <c r="W1105" s="62">
        <v>2.78055555555555</v>
      </c>
      <c r="X1105" s="62">
        <v>0.0</v>
      </c>
      <c r="Y1105" s="62">
        <v>3.08138888888888</v>
      </c>
      <c r="Z1105" s="62">
        <v>0.6425</v>
      </c>
      <c r="AA1105" s="62">
        <v>0.0</v>
      </c>
      <c r="AB1105" s="62">
        <v>3.08138888888888</v>
      </c>
      <c r="AC1105" s="62">
        <v>4.00833333333333</v>
      </c>
      <c r="AD1105" s="62">
        <v>0.236666666666666</v>
      </c>
      <c r="AE1105" s="62">
        <v>4.00833333333333</v>
      </c>
      <c r="AF1105" s="62">
        <v>2.0</v>
      </c>
    </row>
    <row r="1106">
      <c r="A1106" s="68">
        <v>46066.0</v>
      </c>
      <c r="B1106" s="62" t="s">
        <v>32</v>
      </c>
      <c r="C1106" s="62" t="s">
        <v>168</v>
      </c>
      <c r="D1106" s="62">
        <v>0.0</v>
      </c>
      <c r="E1106" s="62">
        <v>2.0</v>
      </c>
      <c r="F1106" s="62">
        <v>3.0</v>
      </c>
      <c r="G1106" s="62">
        <v>0.0</v>
      </c>
      <c r="H1106" s="62">
        <v>4.0</v>
      </c>
      <c r="I1106" s="62">
        <v>0.0</v>
      </c>
      <c r="J1106" s="62">
        <v>6.0</v>
      </c>
      <c r="K1106" s="62">
        <v>0.0</v>
      </c>
      <c r="L1106" s="62">
        <v>0.0</v>
      </c>
      <c r="M1106" s="62">
        <v>5.0</v>
      </c>
      <c r="N1106" s="62">
        <v>6.0</v>
      </c>
      <c r="O1106" s="62">
        <v>1.0</v>
      </c>
      <c r="P1106" s="62">
        <v>6.0</v>
      </c>
      <c r="Q1106" s="62">
        <v>0.0</v>
      </c>
      <c r="R1106" s="62">
        <v>0.0</v>
      </c>
      <c r="S1106" s="62">
        <v>5393.0</v>
      </c>
      <c r="T1106" s="62">
        <v>0.798888888888889</v>
      </c>
      <c r="U1106" s="62">
        <v>0.798888888888889</v>
      </c>
      <c r="V1106" s="62">
        <v>0.0</v>
      </c>
      <c r="W1106" s="62">
        <v>1.05805555555555</v>
      </c>
      <c r="X1106" s="62">
        <v>0.0</v>
      </c>
      <c r="Y1106" s="62">
        <v>1.58194444444444</v>
      </c>
      <c r="Z1106" s="62">
        <v>0.0</v>
      </c>
      <c r="AA1106" s="62">
        <v>0.0</v>
      </c>
      <c r="AB1106" s="62">
        <v>1.30611111111111</v>
      </c>
      <c r="AC1106" s="62">
        <v>1.56222222222222</v>
      </c>
      <c r="AD1106" s="62">
        <v>0.191111111111111</v>
      </c>
      <c r="AE1106" s="62">
        <v>1.56222222222222</v>
      </c>
      <c r="AF1106" s="62">
        <v>3.0</v>
      </c>
    </row>
    <row r="1107">
      <c r="A1107" s="68">
        <v>46066.0</v>
      </c>
      <c r="B1107" s="62" t="s">
        <v>37</v>
      </c>
      <c r="C1107" s="62" t="s">
        <v>174</v>
      </c>
      <c r="D1107" s="62">
        <v>2.0</v>
      </c>
      <c r="E1107" s="62">
        <v>0.0</v>
      </c>
      <c r="F1107" s="62">
        <v>0.0</v>
      </c>
      <c r="G1107" s="62">
        <v>3.0</v>
      </c>
      <c r="H1107" s="62">
        <v>3.0</v>
      </c>
      <c r="I1107" s="62">
        <v>0.0</v>
      </c>
      <c r="J1107" s="62">
        <v>4.0</v>
      </c>
      <c r="K1107" s="62">
        <v>0.0</v>
      </c>
      <c r="L1107" s="62">
        <v>0.0</v>
      </c>
      <c r="M1107" s="62">
        <v>4.0</v>
      </c>
      <c r="N1107" s="62">
        <v>4.0</v>
      </c>
      <c r="O1107" s="62">
        <v>1.0</v>
      </c>
      <c r="P1107" s="62">
        <v>4.0</v>
      </c>
      <c r="Q1107" s="62">
        <v>0.0</v>
      </c>
      <c r="R1107" s="62">
        <v>5180.0</v>
      </c>
      <c r="S1107" s="62">
        <v>0.0</v>
      </c>
      <c r="T1107" s="62">
        <v>1.34138888888888</v>
      </c>
      <c r="U1107" s="62">
        <v>0.0</v>
      </c>
      <c r="V1107" s="62">
        <v>0.762777777777777</v>
      </c>
      <c r="W1107" s="62">
        <v>0.762777777777777</v>
      </c>
      <c r="X1107" s="62">
        <v>0.0</v>
      </c>
      <c r="Y1107" s="62">
        <v>1.09083333333333</v>
      </c>
      <c r="Z1107" s="62">
        <v>0.0</v>
      </c>
      <c r="AA1107" s="62">
        <v>0.0</v>
      </c>
      <c r="AB1107" s="62">
        <v>1.09083333333333</v>
      </c>
      <c r="AC1107" s="62">
        <v>1.07138888888888</v>
      </c>
      <c r="AD1107" s="62">
        <v>0.236111111111111</v>
      </c>
      <c r="AE1107" s="62">
        <v>1.07138888888888</v>
      </c>
      <c r="AF1107" s="62">
        <v>5.0</v>
      </c>
    </row>
    <row r="1108">
      <c r="A1108" s="68">
        <v>46066.0</v>
      </c>
      <c r="B1108" s="62" t="s">
        <v>81</v>
      </c>
      <c r="C1108" s="62" t="s">
        <v>187</v>
      </c>
      <c r="D1108" s="62">
        <v>2.0</v>
      </c>
      <c r="E1108" s="62">
        <v>0.0</v>
      </c>
      <c r="F1108" s="62">
        <v>0.0</v>
      </c>
      <c r="G1108" s="62">
        <v>1.0</v>
      </c>
      <c r="H1108" s="62">
        <v>1.0</v>
      </c>
      <c r="I1108" s="62">
        <v>0.0</v>
      </c>
      <c r="J1108" s="62">
        <v>2.0</v>
      </c>
      <c r="K1108" s="62">
        <v>0.0</v>
      </c>
      <c r="L1108" s="62">
        <v>0.0</v>
      </c>
      <c r="M1108" s="62">
        <v>1.0</v>
      </c>
      <c r="N1108" s="62">
        <v>0.0</v>
      </c>
      <c r="O1108" s="62">
        <v>0.0</v>
      </c>
      <c r="P1108" s="62">
        <v>0.0</v>
      </c>
      <c r="Q1108" s="62">
        <v>0.0</v>
      </c>
      <c r="R1108" s="62">
        <v>4382.0</v>
      </c>
      <c r="S1108" s="62">
        <v>0.0</v>
      </c>
      <c r="T1108" s="62">
        <v>0.0</v>
      </c>
      <c r="U1108" s="62">
        <v>0.0</v>
      </c>
      <c r="V1108" s="62">
        <v>0.181666666666666</v>
      </c>
      <c r="W1108" s="62">
        <v>0.181666666666666</v>
      </c>
      <c r="X1108" s="62">
        <v>0.0</v>
      </c>
      <c r="Y1108" s="62">
        <v>0.373055555555555</v>
      </c>
      <c r="Z1108" s="62">
        <v>0.0</v>
      </c>
      <c r="AA1108" s="62">
        <v>0.0</v>
      </c>
      <c r="AB1108" s="62">
        <v>0.191388888888888</v>
      </c>
      <c r="AC1108" s="62">
        <v>0.0</v>
      </c>
      <c r="AD1108" s="62">
        <v>0.0</v>
      </c>
      <c r="AE1108" s="62">
        <v>0.0</v>
      </c>
      <c r="AF1108" s="62">
        <v>0.0</v>
      </c>
    </row>
    <row r="1109">
      <c r="A1109" s="68">
        <v>46066.0</v>
      </c>
      <c r="B1109" s="62" t="s">
        <v>26</v>
      </c>
      <c r="C1109" s="62" t="s">
        <v>178</v>
      </c>
      <c r="D1109" s="62">
        <v>7.0</v>
      </c>
      <c r="E1109" s="62">
        <v>2.0</v>
      </c>
      <c r="F1109" s="62">
        <v>1.0</v>
      </c>
      <c r="G1109" s="62">
        <v>1.0</v>
      </c>
      <c r="H1109" s="62">
        <v>4.0</v>
      </c>
      <c r="I1109" s="62">
        <v>3.0</v>
      </c>
      <c r="J1109" s="62">
        <v>8.0</v>
      </c>
      <c r="K1109" s="62">
        <v>0.0</v>
      </c>
      <c r="L1109" s="62">
        <v>0.0</v>
      </c>
      <c r="M1109" s="62">
        <v>7.0</v>
      </c>
      <c r="N1109" s="62">
        <v>5.0</v>
      </c>
      <c r="O1109" s="62">
        <v>1.0</v>
      </c>
      <c r="P1109" s="62">
        <v>5.0</v>
      </c>
      <c r="Q1109" s="62">
        <v>0.0</v>
      </c>
      <c r="R1109" s="62">
        <v>14544.0</v>
      </c>
      <c r="S1109" s="62">
        <v>5047.0</v>
      </c>
      <c r="T1109" s="62">
        <v>0.727222222222222</v>
      </c>
      <c r="U1109" s="62">
        <v>0.182222222222222</v>
      </c>
      <c r="V1109" s="62">
        <v>0.182222222222222</v>
      </c>
      <c r="W1109" s="62">
        <v>0.727222222222222</v>
      </c>
      <c r="X1109" s="62">
        <v>0.544999999999999</v>
      </c>
      <c r="Y1109" s="62">
        <v>1.48194444444444</v>
      </c>
      <c r="Z1109" s="62">
        <v>0.0</v>
      </c>
      <c r="AA1109" s="62">
        <v>0.0</v>
      </c>
      <c r="AB1109" s="62">
        <v>1.29666666666666</v>
      </c>
      <c r="AC1109" s="62">
        <v>0.916666666666666</v>
      </c>
      <c r="AD1109" s="62">
        <v>0.185277777777777</v>
      </c>
      <c r="AE1109" s="62">
        <v>0.916666666666666</v>
      </c>
      <c r="AF1109" s="62">
        <v>4.0</v>
      </c>
    </row>
    <row r="1110">
      <c r="A1110" s="68">
        <v>46066.0</v>
      </c>
      <c r="B1110" s="62" t="s">
        <v>62</v>
      </c>
      <c r="C1110" s="62" t="s">
        <v>63</v>
      </c>
      <c r="D1110" s="62">
        <v>0.0</v>
      </c>
      <c r="E1110" s="62">
        <v>4.0</v>
      </c>
      <c r="F1110" s="62">
        <v>6.0</v>
      </c>
      <c r="G1110" s="62">
        <v>0.0</v>
      </c>
      <c r="H1110" s="62">
        <v>3.0</v>
      </c>
      <c r="I1110" s="62">
        <v>0.0</v>
      </c>
      <c r="J1110" s="62">
        <v>3.0</v>
      </c>
      <c r="K1110" s="62">
        <v>2.0</v>
      </c>
      <c r="L1110" s="62">
        <v>0.0</v>
      </c>
      <c r="M1110" s="62">
        <v>5.0</v>
      </c>
      <c r="N1110" s="62">
        <v>3.0</v>
      </c>
      <c r="O1110" s="62">
        <v>1.0</v>
      </c>
      <c r="P1110" s="62">
        <v>3.0</v>
      </c>
      <c r="Q1110" s="62">
        <v>0.0</v>
      </c>
      <c r="R1110" s="62">
        <v>0.0</v>
      </c>
      <c r="S1110" s="62">
        <v>10842.0</v>
      </c>
      <c r="T1110" s="62">
        <v>0.951944444444444</v>
      </c>
      <c r="U1110" s="62">
        <v>1.3575</v>
      </c>
      <c r="V1110" s="62">
        <v>0.0</v>
      </c>
      <c r="W1110" s="62">
        <v>0.666666666666666</v>
      </c>
      <c r="X1110" s="62">
        <v>0.0</v>
      </c>
      <c r="Y1110" s="62">
        <v>0.666666666666666</v>
      </c>
      <c r="Z1110" s="62">
        <v>0.443333333333333</v>
      </c>
      <c r="AA1110" s="62">
        <v>0.0</v>
      </c>
      <c r="AB1110" s="62">
        <v>1.14444444444444</v>
      </c>
      <c r="AC1110" s="62">
        <v>0.654444444444444</v>
      </c>
      <c r="AD1110" s="62">
        <v>0.238055555555555</v>
      </c>
      <c r="AE1110" s="62">
        <v>0.654444444444444</v>
      </c>
      <c r="AF1110" s="62">
        <v>4.0</v>
      </c>
    </row>
    <row r="1111">
      <c r="A1111" s="68">
        <v>46065.0</v>
      </c>
      <c r="B1111" s="62" t="s">
        <v>79</v>
      </c>
      <c r="C1111" s="62" t="s">
        <v>162</v>
      </c>
      <c r="D1111" s="62">
        <v>7.0</v>
      </c>
      <c r="E1111" s="62">
        <v>3.0</v>
      </c>
      <c r="F1111" s="62">
        <v>0.0</v>
      </c>
      <c r="G1111" s="62">
        <v>0.0</v>
      </c>
      <c r="H1111" s="62">
        <v>0.0</v>
      </c>
      <c r="I1111" s="62">
        <v>0.0</v>
      </c>
      <c r="J1111" s="62">
        <v>0.0</v>
      </c>
      <c r="K1111" s="62">
        <v>1.0</v>
      </c>
      <c r="L1111" s="62">
        <v>0.0</v>
      </c>
      <c r="M1111" s="62">
        <v>1.0</v>
      </c>
      <c r="N1111" s="62">
        <v>0.0</v>
      </c>
      <c r="O1111" s="62">
        <v>0.0</v>
      </c>
      <c r="P1111" s="62">
        <v>0.0</v>
      </c>
      <c r="Q1111" s="62">
        <v>0.0</v>
      </c>
      <c r="R1111" s="62">
        <v>15310.0</v>
      </c>
      <c r="S1111" s="62">
        <v>6436.0</v>
      </c>
      <c r="T1111" s="62">
        <v>0.0</v>
      </c>
      <c r="U1111" s="62">
        <v>0.0</v>
      </c>
      <c r="V1111" s="62">
        <v>0.0</v>
      </c>
      <c r="W1111" s="62">
        <v>0.0</v>
      </c>
      <c r="X1111" s="62">
        <v>0.0</v>
      </c>
      <c r="Y1111" s="62">
        <v>0.0</v>
      </c>
      <c r="Z1111" s="62">
        <v>0.194722222222222</v>
      </c>
      <c r="AA1111" s="62">
        <v>0.0</v>
      </c>
      <c r="AB1111" s="62">
        <v>0.2</v>
      </c>
      <c r="AC1111" s="62">
        <v>0.0</v>
      </c>
      <c r="AD1111" s="62">
        <v>0.0</v>
      </c>
      <c r="AE1111" s="62">
        <v>0.0</v>
      </c>
      <c r="AF1111" s="62">
        <v>0.0</v>
      </c>
    </row>
    <row r="1112">
      <c r="A1112" s="68">
        <v>46065.0</v>
      </c>
      <c r="B1112" s="62" t="s">
        <v>71</v>
      </c>
      <c r="C1112" s="62" t="s">
        <v>163</v>
      </c>
      <c r="D1112" s="62">
        <v>0.0</v>
      </c>
      <c r="E1112" s="62">
        <v>3.0</v>
      </c>
      <c r="F1112" s="62">
        <v>1.0</v>
      </c>
      <c r="G1112" s="62">
        <v>0.0</v>
      </c>
      <c r="H1112" s="62">
        <v>1.0</v>
      </c>
      <c r="I1112" s="62">
        <v>1.0</v>
      </c>
      <c r="J1112" s="62">
        <v>0.0</v>
      </c>
      <c r="K1112" s="62">
        <v>1.0</v>
      </c>
      <c r="L1112" s="62">
        <v>0.0</v>
      </c>
      <c r="M1112" s="62">
        <v>1.0</v>
      </c>
      <c r="N1112" s="62">
        <v>1.0</v>
      </c>
      <c r="O1112" s="62">
        <v>1.0</v>
      </c>
      <c r="P1112" s="62">
        <v>1.0</v>
      </c>
      <c r="Q1112" s="62">
        <v>0.0</v>
      </c>
      <c r="R1112" s="62">
        <v>0.0</v>
      </c>
      <c r="S1112" s="62">
        <v>9569.0</v>
      </c>
      <c r="T1112" s="62">
        <v>0.537777777777777</v>
      </c>
      <c r="U1112" s="62">
        <v>0.264166666666666</v>
      </c>
      <c r="V1112" s="62">
        <v>0.0</v>
      </c>
      <c r="W1112" s="62">
        <v>0.273611111111111</v>
      </c>
      <c r="X1112" s="62">
        <v>0.273611111111111</v>
      </c>
      <c r="Y1112" s="62">
        <v>0.0</v>
      </c>
      <c r="Z1112" s="62">
        <v>0.276388888888888</v>
      </c>
      <c r="AA1112" s="62">
        <v>0.0</v>
      </c>
      <c r="AB1112" s="62">
        <v>0.270833333333333</v>
      </c>
      <c r="AC1112" s="62">
        <v>0.270833333333333</v>
      </c>
      <c r="AD1112" s="62">
        <v>0.294444444444444</v>
      </c>
      <c r="AE1112" s="62">
        <v>0.270833333333333</v>
      </c>
      <c r="AF1112" s="62">
        <v>2.0</v>
      </c>
    </row>
    <row r="1113">
      <c r="A1113" s="68">
        <v>46065.0</v>
      </c>
      <c r="B1113" s="62" t="s">
        <v>76</v>
      </c>
      <c r="C1113" s="62" t="s">
        <v>165</v>
      </c>
      <c r="D1113" s="62">
        <v>0.0</v>
      </c>
      <c r="E1113" s="62">
        <v>3.0</v>
      </c>
      <c r="F1113" s="62">
        <v>7.0</v>
      </c>
      <c r="G1113" s="62">
        <v>2.0</v>
      </c>
      <c r="H1113" s="62">
        <v>3.0</v>
      </c>
      <c r="I1113" s="62">
        <v>1.0</v>
      </c>
      <c r="J1113" s="62">
        <v>3.0</v>
      </c>
      <c r="K1113" s="62">
        <v>0.0</v>
      </c>
      <c r="L1113" s="62">
        <v>0.0</v>
      </c>
      <c r="M1113" s="62">
        <v>3.0</v>
      </c>
      <c r="N1113" s="62">
        <v>0.0</v>
      </c>
      <c r="O1113" s="62">
        <v>1.0</v>
      </c>
      <c r="P1113" s="62">
        <v>0.0</v>
      </c>
      <c r="Q1113" s="62">
        <v>0.0</v>
      </c>
      <c r="R1113" s="62">
        <v>0.0</v>
      </c>
      <c r="S1113" s="62">
        <v>10228.0</v>
      </c>
      <c r="T1113" s="62">
        <v>3.19444444444444</v>
      </c>
      <c r="U1113" s="62">
        <v>2.31444444444444</v>
      </c>
      <c r="V1113" s="62">
        <v>0.611111111111111</v>
      </c>
      <c r="W1113" s="62">
        <v>0.9075</v>
      </c>
      <c r="X1113" s="62">
        <v>0.296388888888888</v>
      </c>
      <c r="Y1113" s="62">
        <v>0.926944444444444</v>
      </c>
      <c r="Z1113" s="62">
        <v>0.0</v>
      </c>
      <c r="AA1113" s="62">
        <v>0.0</v>
      </c>
      <c r="AB1113" s="62">
        <v>0.926944444444444</v>
      </c>
      <c r="AC1113" s="62">
        <v>0.0</v>
      </c>
      <c r="AD1113" s="62">
        <v>0.231944444444444</v>
      </c>
      <c r="AE1113" s="62">
        <v>0.0</v>
      </c>
      <c r="AF1113" s="62">
        <v>10.0</v>
      </c>
    </row>
    <row r="1114">
      <c r="A1114" s="68">
        <v>46065.0</v>
      </c>
      <c r="B1114" s="62" t="s">
        <v>32</v>
      </c>
      <c r="C1114" s="62" t="s">
        <v>168</v>
      </c>
      <c r="D1114" s="62">
        <v>0.0</v>
      </c>
      <c r="E1114" s="62">
        <v>4.0</v>
      </c>
      <c r="F1114" s="62">
        <v>1.0</v>
      </c>
      <c r="G1114" s="62">
        <v>0.0</v>
      </c>
      <c r="H1114" s="62">
        <v>6.0</v>
      </c>
      <c r="I1114" s="62">
        <v>6.0</v>
      </c>
      <c r="J1114" s="62">
        <v>4.0</v>
      </c>
      <c r="K1114" s="62">
        <v>0.0</v>
      </c>
      <c r="L1114" s="62">
        <v>0.0</v>
      </c>
      <c r="M1114" s="62">
        <v>5.0</v>
      </c>
      <c r="N1114" s="62">
        <v>4.0</v>
      </c>
      <c r="O1114" s="62">
        <v>1.0</v>
      </c>
      <c r="P1114" s="62">
        <v>4.0</v>
      </c>
      <c r="Q1114" s="62">
        <v>0.0</v>
      </c>
      <c r="R1114" s="62">
        <v>0.0</v>
      </c>
      <c r="S1114" s="62">
        <v>10735.0</v>
      </c>
      <c r="T1114" s="62">
        <v>1.30249999999999</v>
      </c>
      <c r="U1114" s="62">
        <v>0.263611111111111</v>
      </c>
      <c r="V1114" s="62">
        <v>0.0</v>
      </c>
      <c r="W1114" s="62">
        <v>1.55805555555555</v>
      </c>
      <c r="X1114" s="62">
        <v>1.55805555555555</v>
      </c>
      <c r="Y1114" s="62">
        <v>1.03944444444444</v>
      </c>
      <c r="Z1114" s="62">
        <v>0.0</v>
      </c>
      <c r="AA1114" s="62">
        <v>0.0</v>
      </c>
      <c r="AB1114" s="62">
        <v>1.28444444444444</v>
      </c>
      <c r="AC1114" s="62">
        <v>1.02833333333333</v>
      </c>
      <c r="AD1114" s="62">
        <v>0.225</v>
      </c>
      <c r="AE1114" s="62">
        <v>1.02833333333333</v>
      </c>
      <c r="AF1114" s="62">
        <v>5.0</v>
      </c>
    </row>
    <row r="1115">
      <c r="A1115" s="68">
        <v>46065.0</v>
      </c>
      <c r="B1115" s="62" t="s">
        <v>37</v>
      </c>
      <c r="C1115" s="62" t="s">
        <v>174</v>
      </c>
      <c r="D1115" s="62">
        <v>3.0</v>
      </c>
      <c r="E1115" s="62">
        <v>1.0</v>
      </c>
      <c r="F1115" s="62">
        <v>0.0</v>
      </c>
      <c r="G1115" s="62">
        <v>3.0</v>
      </c>
      <c r="H1115" s="62">
        <v>3.0</v>
      </c>
      <c r="I1115" s="62">
        <v>0.0</v>
      </c>
      <c r="J1115" s="62">
        <v>1.0</v>
      </c>
      <c r="K1115" s="62">
        <v>0.0</v>
      </c>
      <c r="L1115" s="62">
        <v>1.0</v>
      </c>
      <c r="M1115" s="62">
        <v>4.0</v>
      </c>
      <c r="N1115" s="62">
        <v>1.0</v>
      </c>
      <c r="O1115" s="62">
        <v>1.0</v>
      </c>
      <c r="P1115" s="62">
        <v>1.0</v>
      </c>
      <c r="Q1115" s="62">
        <v>0.0</v>
      </c>
      <c r="R1115" s="62">
        <v>7063.0</v>
      </c>
      <c r="S1115" s="62">
        <v>2132.0</v>
      </c>
      <c r="T1115" s="62">
        <v>0.0</v>
      </c>
      <c r="U1115" s="62">
        <v>0.0</v>
      </c>
      <c r="V1115" s="62">
        <v>0.845555555555555</v>
      </c>
      <c r="W1115" s="62">
        <v>0.845555555555555</v>
      </c>
      <c r="X1115" s="62">
        <v>0.0</v>
      </c>
      <c r="Y1115" s="62">
        <v>0.273611111111111</v>
      </c>
      <c r="Z1115" s="62">
        <v>0.0</v>
      </c>
      <c r="AA1115" s="62">
        <v>0.2525</v>
      </c>
      <c r="AB1115" s="62">
        <v>1.04527777777777</v>
      </c>
      <c r="AC1115" s="62">
        <v>0.2525</v>
      </c>
      <c r="AD1115" s="62">
        <v>0.222777777777777</v>
      </c>
      <c r="AE1115" s="62">
        <v>0.2525</v>
      </c>
      <c r="AF1115" s="62">
        <v>0.0</v>
      </c>
    </row>
    <row r="1116">
      <c r="A1116" s="68">
        <v>46065.0</v>
      </c>
      <c r="B1116" s="62" t="s">
        <v>81</v>
      </c>
      <c r="C1116" s="62" t="s">
        <v>187</v>
      </c>
      <c r="D1116" s="62">
        <v>3.0</v>
      </c>
      <c r="E1116" s="62">
        <v>2.0</v>
      </c>
      <c r="F1116" s="62">
        <v>0.0</v>
      </c>
      <c r="G1116" s="62">
        <v>2.0</v>
      </c>
      <c r="H1116" s="62">
        <v>2.0</v>
      </c>
      <c r="I1116" s="62">
        <v>0.0</v>
      </c>
      <c r="J1116" s="62">
        <v>2.0</v>
      </c>
      <c r="K1116" s="62">
        <v>0.0</v>
      </c>
      <c r="L1116" s="62">
        <v>0.0</v>
      </c>
      <c r="M1116" s="62">
        <v>5.0</v>
      </c>
      <c r="N1116" s="62">
        <v>0.0</v>
      </c>
      <c r="O1116" s="62">
        <v>0.0</v>
      </c>
      <c r="P1116" s="62">
        <v>0.0</v>
      </c>
      <c r="Q1116" s="62">
        <v>0.0</v>
      </c>
      <c r="R1116" s="62">
        <v>7262.0</v>
      </c>
      <c r="S1116" s="62">
        <v>4603.0</v>
      </c>
      <c r="T1116" s="62">
        <v>0.0</v>
      </c>
      <c r="U1116" s="62">
        <v>0.0</v>
      </c>
      <c r="V1116" s="62">
        <v>0.429166666666666</v>
      </c>
      <c r="W1116" s="62">
        <v>0.429166666666666</v>
      </c>
      <c r="X1116" s="62">
        <v>0.0</v>
      </c>
      <c r="Y1116" s="62">
        <v>0.429166666666666</v>
      </c>
      <c r="Z1116" s="62">
        <v>0.0</v>
      </c>
      <c r="AA1116" s="62">
        <v>0.0</v>
      </c>
      <c r="AB1116" s="62">
        <v>1.0625</v>
      </c>
      <c r="AC1116" s="62">
        <v>0.0</v>
      </c>
      <c r="AD1116" s="62">
        <v>0.0</v>
      </c>
      <c r="AE1116" s="62">
        <v>0.0</v>
      </c>
      <c r="AF1116" s="62">
        <v>0.0</v>
      </c>
    </row>
    <row r="1117">
      <c r="A1117" s="68">
        <v>46065.0</v>
      </c>
      <c r="B1117" s="62" t="s">
        <v>26</v>
      </c>
      <c r="C1117" s="62" t="s">
        <v>178</v>
      </c>
      <c r="D1117" s="62">
        <v>18.0</v>
      </c>
      <c r="E1117" s="62">
        <v>10.0</v>
      </c>
      <c r="F1117" s="62">
        <v>2.0</v>
      </c>
      <c r="G1117" s="62">
        <v>3.0</v>
      </c>
      <c r="H1117" s="62">
        <v>7.0</v>
      </c>
      <c r="I1117" s="62">
        <v>4.0</v>
      </c>
      <c r="J1117" s="62">
        <v>3.0</v>
      </c>
      <c r="K1117" s="62">
        <v>0.0</v>
      </c>
      <c r="L1117" s="62">
        <v>1.0</v>
      </c>
      <c r="M1117" s="62">
        <v>4.0</v>
      </c>
      <c r="N1117" s="62">
        <v>1.0</v>
      </c>
      <c r="O1117" s="62">
        <v>1.0</v>
      </c>
      <c r="P1117" s="62">
        <v>1.0</v>
      </c>
      <c r="Q1117" s="62">
        <v>0.0</v>
      </c>
      <c r="R1117" s="62">
        <v>40026.0</v>
      </c>
      <c r="S1117" s="62">
        <v>19204.0</v>
      </c>
      <c r="T1117" s="62">
        <v>1.06694444444444</v>
      </c>
      <c r="U1117" s="62">
        <v>0.355833333333333</v>
      </c>
      <c r="V1117" s="62">
        <v>0.593055555555555</v>
      </c>
      <c r="W1117" s="62">
        <v>1.30416666666666</v>
      </c>
      <c r="X1117" s="62">
        <v>0.711111111111111</v>
      </c>
      <c r="Y1117" s="62">
        <v>0.552777777777777</v>
      </c>
      <c r="Z1117" s="62">
        <v>0.0</v>
      </c>
      <c r="AA1117" s="62">
        <v>0.183611111111111</v>
      </c>
      <c r="AB1117" s="62">
        <v>0.736388888888889</v>
      </c>
      <c r="AC1117" s="62">
        <v>0.177777777777777</v>
      </c>
      <c r="AD1117" s="62">
        <v>0.175555555555555</v>
      </c>
      <c r="AE1117" s="62">
        <v>0.177777777777777</v>
      </c>
      <c r="AF1117" s="62">
        <v>6.0</v>
      </c>
    </row>
    <row r="1118">
      <c r="A1118" s="68">
        <v>46065.0</v>
      </c>
      <c r="B1118" s="62" t="s">
        <v>62</v>
      </c>
      <c r="C1118" s="62" t="s">
        <v>63</v>
      </c>
      <c r="D1118" s="62">
        <v>0.0</v>
      </c>
      <c r="E1118" s="62">
        <v>0.0</v>
      </c>
      <c r="F1118" s="62">
        <v>0.0</v>
      </c>
      <c r="G1118" s="62">
        <v>0.0</v>
      </c>
      <c r="H1118" s="62">
        <v>3.0</v>
      </c>
      <c r="I1118" s="62">
        <v>0.0</v>
      </c>
      <c r="J1118" s="62">
        <v>6.0</v>
      </c>
      <c r="K1118" s="62">
        <v>3.0</v>
      </c>
      <c r="L1118" s="62">
        <v>3.0</v>
      </c>
      <c r="M1118" s="62">
        <v>3.0</v>
      </c>
      <c r="N1118" s="62">
        <v>3.0</v>
      </c>
      <c r="O1118" s="62">
        <v>1.0</v>
      </c>
      <c r="P1118" s="62">
        <v>3.0</v>
      </c>
      <c r="Q1118" s="62">
        <v>0.0</v>
      </c>
      <c r="R1118" s="62">
        <v>0.0</v>
      </c>
      <c r="S1118" s="62">
        <v>0.0</v>
      </c>
      <c r="T1118" s="62">
        <v>0.646111111111111</v>
      </c>
      <c r="U1118" s="62">
        <v>0.0</v>
      </c>
      <c r="V1118" s="62">
        <v>0.0</v>
      </c>
      <c r="W1118" s="62">
        <v>0.696111111111111</v>
      </c>
      <c r="X1118" s="62">
        <v>0.0</v>
      </c>
      <c r="Y1118" s="62">
        <v>1.35083333333333</v>
      </c>
      <c r="Z1118" s="62">
        <v>0.654722222222222</v>
      </c>
      <c r="AA1118" s="62">
        <v>0.654444444444444</v>
      </c>
      <c r="AB1118" s="62">
        <v>0.654444444444444</v>
      </c>
      <c r="AC1118" s="62">
        <v>0.661111111111111</v>
      </c>
      <c r="AD1118" s="62">
        <v>0.220277777777777</v>
      </c>
      <c r="AE1118" s="62">
        <v>0.661111111111111</v>
      </c>
      <c r="AF1118" s="62">
        <v>3.0</v>
      </c>
    </row>
    <row r="1119">
      <c r="A1119" s="68">
        <v>46064.0</v>
      </c>
      <c r="B1119" s="62" t="s">
        <v>79</v>
      </c>
      <c r="C1119" s="62" t="s">
        <v>162</v>
      </c>
      <c r="D1119" s="62">
        <v>0.0</v>
      </c>
      <c r="E1119" s="62">
        <v>0.0</v>
      </c>
      <c r="F1119" s="62">
        <v>1.0</v>
      </c>
      <c r="G1119" s="62">
        <v>0.0</v>
      </c>
      <c r="H1119" s="62">
        <v>0.0</v>
      </c>
      <c r="I1119" s="62">
        <v>0.0</v>
      </c>
      <c r="J1119" s="62">
        <v>1.0</v>
      </c>
      <c r="K1119" s="62">
        <v>0.0</v>
      </c>
      <c r="L1119" s="62">
        <v>1.0</v>
      </c>
      <c r="M1119" s="62">
        <v>1.0</v>
      </c>
      <c r="N1119" s="62">
        <v>0.0</v>
      </c>
      <c r="O1119" s="62">
        <v>0.0</v>
      </c>
      <c r="P1119" s="62">
        <v>0.0</v>
      </c>
      <c r="Q1119" s="62">
        <v>0.0</v>
      </c>
      <c r="R1119" s="62">
        <v>0.0</v>
      </c>
      <c r="S1119" s="62">
        <v>0.0</v>
      </c>
      <c r="T1119" s="62">
        <v>0.167222222222222</v>
      </c>
      <c r="U1119" s="62">
        <v>0.167222222222222</v>
      </c>
      <c r="V1119" s="62">
        <v>0.0</v>
      </c>
      <c r="W1119" s="62">
        <v>0.0</v>
      </c>
      <c r="X1119" s="62">
        <v>0.0</v>
      </c>
      <c r="Y1119" s="62">
        <v>0.194722222222222</v>
      </c>
      <c r="Z1119" s="62">
        <v>0.0</v>
      </c>
      <c r="AA1119" s="62">
        <v>0.2</v>
      </c>
      <c r="AB1119" s="62">
        <v>0.271944444444444</v>
      </c>
      <c r="AC1119" s="62">
        <v>0.0</v>
      </c>
      <c r="AD1119" s="62">
        <v>0.0</v>
      </c>
      <c r="AE1119" s="62">
        <v>0.0</v>
      </c>
      <c r="AF1119" s="62">
        <v>1.0</v>
      </c>
    </row>
    <row r="1120">
      <c r="A1120" s="68">
        <v>46064.0</v>
      </c>
      <c r="B1120" s="62" t="s">
        <v>71</v>
      </c>
      <c r="C1120" s="62" t="s">
        <v>163</v>
      </c>
      <c r="D1120" s="62">
        <v>0.0</v>
      </c>
      <c r="E1120" s="62">
        <v>1.0</v>
      </c>
      <c r="F1120" s="62">
        <v>2.0</v>
      </c>
      <c r="G1120" s="62">
        <v>4.0</v>
      </c>
      <c r="H1120" s="62">
        <v>5.0</v>
      </c>
      <c r="I1120" s="62">
        <v>1.0</v>
      </c>
      <c r="J1120" s="62">
        <v>4.0</v>
      </c>
      <c r="K1120" s="62">
        <v>0.0</v>
      </c>
      <c r="L1120" s="62">
        <v>0.0</v>
      </c>
      <c r="M1120" s="62">
        <v>2.0</v>
      </c>
      <c r="N1120" s="62">
        <v>2.0</v>
      </c>
      <c r="O1120" s="62">
        <v>1.0</v>
      </c>
      <c r="P1120" s="62">
        <v>2.0</v>
      </c>
      <c r="Q1120" s="62">
        <v>0.0</v>
      </c>
      <c r="R1120" s="62">
        <v>0.0</v>
      </c>
      <c r="S1120" s="62">
        <v>3228.0</v>
      </c>
      <c r="T1120" s="62">
        <v>0.815</v>
      </c>
      <c r="U1120" s="62">
        <v>0.55</v>
      </c>
      <c r="V1120" s="62">
        <v>1.14555555555555</v>
      </c>
      <c r="W1120" s="62">
        <v>1.42472222222222</v>
      </c>
      <c r="X1120" s="62">
        <v>0.279166666666666</v>
      </c>
      <c r="Y1120" s="62">
        <v>1.14416666666666</v>
      </c>
      <c r="Z1120" s="62">
        <v>0.0</v>
      </c>
      <c r="AA1120" s="62">
        <v>0.0</v>
      </c>
      <c r="AB1120" s="62">
        <v>0.596944444444444</v>
      </c>
      <c r="AC1120" s="62">
        <v>0.596944444444444</v>
      </c>
      <c r="AD1120" s="62">
        <v>0.295833333333333</v>
      </c>
      <c r="AE1120" s="62">
        <v>0.596944444444444</v>
      </c>
      <c r="AF1120" s="62">
        <v>3.0</v>
      </c>
    </row>
    <row r="1121">
      <c r="A1121" s="68">
        <v>46064.0</v>
      </c>
      <c r="B1121" s="62" t="s">
        <v>76</v>
      </c>
      <c r="C1121" s="62" t="s">
        <v>165</v>
      </c>
      <c r="D1121" s="62">
        <v>0.0</v>
      </c>
      <c r="E1121" s="62">
        <v>2.0</v>
      </c>
      <c r="F1121" s="62">
        <v>2.0</v>
      </c>
      <c r="G1121" s="62">
        <v>3.0</v>
      </c>
      <c r="H1121" s="62">
        <v>1.0</v>
      </c>
      <c r="I1121" s="62">
        <v>0.0</v>
      </c>
      <c r="J1121" s="62">
        <v>1.0</v>
      </c>
      <c r="K1121" s="62">
        <v>0.0</v>
      </c>
      <c r="L1121" s="62">
        <v>0.0</v>
      </c>
      <c r="M1121" s="62">
        <v>1.0</v>
      </c>
      <c r="N1121" s="62">
        <v>6.0</v>
      </c>
      <c r="O1121" s="62">
        <v>1.0</v>
      </c>
      <c r="P1121" s="62">
        <v>6.0</v>
      </c>
      <c r="Q1121" s="62">
        <v>0.0</v>
      </c>
      <c r="R1121" s="62">
        <v>0.0</v>
      </c>
      <c r="S1121" s="62">
        <v>6210.0</v>
      </c>
      <c r="T1121" s="62">
        <v>0.670555555555555</v>
      </c>
      <c r="U1121" s="62">
        <v>0.670555555555555</v>
      </c>
      <c r="V1121" s="62">
        <v>0.926944444444444</v>
      </c>
      <c r="W1121" s="62">
        <v>0.372222222222222</v>
      </c>
      <c r="X1121" s="62">
        <v>0.0</v>
      </c>
      <c r="Y1121" s="62">
        <v>0.335833333333333</v>
      </c>
      <c r="Z1121" s="62">
        <v>0.0</v>
      </c>
      <c r="AA1121" s="62">
        <v>0.0</v>
      </c>
      <c r="AB1121" s="62">
        <v>0.335833333333333</v>
      </c>
      <c r="AC1121" s="62">
        <v>1.69694444444444</v>
      </c>
      <c r="AD1121" s="62">
        <v>0.238611111111111</v>
      </c>
      <c r="AE1121" s="62">
        <v>1.69694444444444</v>
      </c>
      <c r="AF1121" s="62">
        <v>2.0</v>
      </c>
    </row>
    <row r="1122">
      <c r="A1122" s="68">
        <v>46064.0</v>
      </c>
      <c r="B1122" s="62" t="s">
        <v>32</v>
      </c>
      <c r="C1122" s="62" t="s">
        <v>168</v>
      </c>
      <c r="D1122" s="62">
        <v>1.0</v>
      </c>
      <c r="E1122" s="62">
        <v>3.0</v>
      </c>
      <c r="F1122" s="62">
        <v>1.0</v>
      </c>
      <c r="G1122" s="62">
        <v>0.0</v>
      </c>
      <c r="H1122" s="62">
        <v>3.0</v>
      </c>
      <c r="I1122" s="62">
        <v>2.0</v>
      </c>
      <c r="J1122" s="62">
        <v>4.0</v>
      </c>
      <c r="K1122" s="62">
        <v>0.0</v>
      </c>
      <c r="L1122" s="62">
        <v>0.0</v>
      </c>
      <c r="M1122" s="62">
        <v>9.0</v>
      </c>
      <c r="N1122" s="62">
        <v>10.0</v>
      </c>
      <c r="O1122" s="62">
        <v>1.0</v>
      </c>
      <c r="P1122" s="62">
        <v>10.0</v>
      </c>
      <c r="Q1122" s="62">
        <v>0.0</v>
      </c>
      <c r="R1122" s="62">
        <v>2686.0</v>
      </c>
      <c r="S1122" s="62">
        <v>8036.0</v>
      </c>
      <c r="T1122" s="62">
        <v>0.763055555555555</v>
      </c>
      <c r="U1122" s="62">
        <v>0.252222222222222</v>
      </c>
      <c r="V1122" s="62">
        <v>0.0</v>
      </c>
      <c r="W1122" s="62">
        <v>0.741666666666666</v>
      </c>
      <c r="X1122" s="62">
        <v>0.491388888888888</v>
      </c>
      <c r="Y1122" s="62">
        <v>0.998055555555555</v>
      </c>
      <c r="Z1122" s="62">
        <v>0.0</v>
      </c>
      <c r="AA1122" s="62">
        <v>0.0</v>
      </c>
      <c r="AB1122" s="62">
        <v>2.13222222222222</v>
      </c>
      <c r="AC1122" s="62">
        <v>2.37555555555555</v>
      </c>
      <c r="AD1122" s="62">
        <v>0.218333333333333</v>
      </c>
      <c r="AE1122" s="62">
        <v>2.37555555555555</v>
      </c>
      <c r="AF1122" s="62">
        <v>3.0</v>
      </c>
    </row>
    <row r="1123">
      <c r="A1123" s="68">
        <v>46064.0</v>
      </c>
      <c r="B1123" s="62" t="s">
        <v>37</v>
      </c>
      <c r="C1123" s="62" t="s">
        <v>174</v>
      </c>
      <c r="D1123" s="62">
        <v>0.0</v>
      </c>
      <c r="E1123" s="62">
        <v>0.0</v>
      </c>
      <c r="F1123" s="62">
        <v>0.0</v>
      </c>
      <c r="G1123" s="62">
        <v>1.0</v>
      </c>
      <c r="H1123" s="62">
        <v>1.0</v>
      </c>
      <c r="I1123" s="62">
        <v>0.0</v>
      </c>
      <c r="J1123" s="62">
        <v>3.0</v>
      </c>
      <c r="K1123" s="62">
        <v>1.0</v>
      </c>
      <c r="L1123" s="62">
        <v>0.0</v>
      </c>
      <c r="M1123" s="62">
        <v>3.0</v>
      </c>
      <c r="N1123" s="62">
        <v>9.0</v>
      </c>
      <c r="O1123" s="62">
        <v>1.0</v>
      </c>
      <c r="P1123" s="62">
        <v>9.0</v>
      </c>
      <c r="Q1123" s="62">
        <v>0.0</v>
      </c>
      <c r="R1123" s="62">
        <v>0.0</v>
      </c>
      <c r="S1123" s="62">
        <v>0.0</v>
      </c>
      <c r="T1123" s="62">
        <v>0.0</v>
      </c>
      <c r="U1123" s="62">
        <v>0.0</v>
      </c>
      <c r="V1123" s="62">
        <v>0.273611111111111</v>
      </c>
      <c r="W1123" s="62">
        <v>0.273611111111111</v>
      </c>
      <c r="X1123" s="62">
        <v>0.0</v>
      </c>
      <c r="Y1123" s="62">
        <v>0.797777777777777</v>
      </c>
      <c r="Z1123" s="62">
        <v>0.2525</v>
      </c>
      <c r="AA1123" s="62">
        <v>0.0</v>
      </c>
      <c r="AB1123" s="62">
        <v>0.793611111111111</v>
      </c>
      <c r="AC1123" s="62">
        <v>2.21333333333333</v>
      </c>
      <c r="AD1123" s="62">
        <v>0.234166666666666</v>
      </c>
      <c r="AE1123" s="62">
        <v>2.21333333333333</v>
      </c>
      <c r="AF1123" s="62">
        <v>0.0</v>
      </c>
    </row>
    <row r="1124">
      <c r="A1124" s="68">
        <v>46064.0</v>
      </c>
      <c r="B1124" s="62" t="s">
        <v>81</v>
      </c>
      <c r="C1124" s="62" t="s">
        <v>187</v>
      </c>
      <c r="D1124" s="62">
        <v>3.0</v>
      </c>
      <c r="E1124" s="62">
        <v>4.0</v>
      </c>
      <c r="F1124" s="62">
        <v>1.0</v>
      </c>
      <c r="G1124" s="62">
        <v>3.0</v>
      </c>
      <c r="H1124" s="62">
        <v>4.0</v>
      </c>
      <c r="I1124" s="62">
        <v>1.0</v>
      </c>
      <c r="J1124" s="62">
        <v>6.0</v>
      </c>
      <c r="K1124" s="62">
        <v>0.0</v>
      </c>
      <c r="L1124" s="62">
        <v>0.0</v>
      </c>
      <c r="M1124" s="62">
        <v>3.0</v>
      </c>
      <c r="N1124" s="62">
        <v>0.0</v>
      </c>
      <c r="O1124" s="62">
        <v>0.0</v>
      </c>
      <c r="P1124" s="62">
        <v>0.0</v>
      </c>
      <c r="Q1124" s="62">
        <v>0.0</v>
      </c>
      <c r="R1124" s="62">
        <v>7181.0</v>
      </c>
      <c r="S1124" s="62">
        <v>8312.0</v>
      </c>
      <c r="T1124" s="62">
        <v>0.36</v>
      </c>
      <c r="U1124" s="62">
        <v>0.179722222222222</v>
      </c>
      <c r="V1124" s="62">
        <v>0.694166666666666</v>
      </c>
      <c r="W1124" s="62">
        <v>0.874444444444444</v>
      </c>
      <c r="X1124" s="62">
        <v>0.180277777777777</v>
      </c>
      <c r="Y1124" s="62">
        <v>1.34055555555555</v>
      </c>
      <c r="Z1124" s="62">
        <v>0.0</v>
      </c>
      <c r="AA1124" s="62">
        <v>0.0</v>
      </c>
      <c r="AB1124" s="62">
        <v>0.707222222222222</v>
      </c>
      <c r="AC1124" s="62">
        <v>0.0</v>
      </c>
      <c r="AD1124" s="62">
        <v>0.0</v>
      </c>
      <c r="AE1124" s="62">
        <v>0.0</v>
      </c>
      <c r="AF1124" s="62">
        <v>2.0</v>
      </c>
    </row>
    <row r="1125">
      <c r="A1125" s="68">
        <v>46064.0</v>
      </c>
      <c r="B1125" s="62" t="s">
        <v>26</v>
      </c>
      <c r="C1125" s="62" t="s">
        <v>178</v>
      </c>
      <c r="D1125" s="62">
        <v>0.0</v>
      </c>
      <c r="E1125" s="62">
        <v>0.0</v>
      </c>
      <c r="F1125" s="62">
        <v>0.0</v>
      </c>
      <c r="G1125" s="62">
        <v>0.0</v>
      </c>
      <c r="H1125" s="62">
        <v>0.0</v>
      </c>
      <c r="I1125" s="62">
        <v>0.0</v>
      </c>
      <c r="J1125" s="62">
        <v>4.0</v>
      </c>
      <c r="K1125" s="62">
        <v>1.0</v>
      </c>
      <c r="L1125" s="62">
        <v>2.0</v>
      </c>
      <c r="M1125" s="62">
        <v>8.0</v>
      </c>
      <c r="N1125" s="62">
        <v>5.0</v>
      </c>
      <c r="O1125" s="62">
        <v>1.0</v>
      </c>
      <c r="P1125" s="62">
        <v>5.0</v>
      </c>
      <c r="Q1125" s="62">
        <v>0.0</v>
      </c>
      <c r="R1125" s="62">
        <v>0.0</v>
      </c>
      <c r="S1125" s="62">
        <v>0.0</v>
      </c>
      <c r="T1125" s="62">
        <v>0.0</v>
      </c>
      <c r="U1125" s="62">
        <v>0.0</v>
      </c>
      <c r="V1125" s="62">
        <v>0.0</v>
      </c>
      <c r="W1125" s="62">
        <v>0.0</v>
      </c>
      <c r="X1125" s="62">
        <v>0.0</v>
      </c>
      <c r="Y1125" s="62">
        <v>0.716111111111111</v>
      </c>
      <c r="Z1125" s="62">
        <v>0.183611111111111</v>
      </c>
      <c r="AA1125" s="62">
        <v>0.383611111111111</v>
      </c>
      <c r="AB1125" s="62">
        <v>1.48194444444444</v>
      </c>
      <c r="AC1125" s="62">
        <v>0.961111111111111</v>
      </c>
      <c r="AD1125" s="62">
        <v>0.178333333333333</v>
      </c>
      <c r="AE1125" s="62">
        <v>0.961111111111111</v>
      </c>
      <c r="AF1125" s="62">
        <v>0.0</v>
      </c>
    </row>
    <row r="1126">
      <c r="A1126" s="68">
        <v>46064.0</v>
      </c>
      <c r="B1126" s="62" t="s">
        <v>62</v>
      </c>
      <c r="C1126" s="62" t="s">
        <v>63</v>
      </c>
      <c r="D1126" s="62">
        <v>0.0</v>
      </c>
      <c r="E1126" s="62">
        <v>0.0</v>
      </c>
      <c r="F1126" s="62">
        <v>3.0</v>
      </c>
      <c r="G1126" s="62">
        <v>3.0</v>
      </c>
      <c r="H1126" s="62">
        <v>3.0</v>
      </c>
      <c r="I1126" s="62">
        <v>0.0</v>
      </c>
      <c r="J1126" s="62">
        <v>0.0</v>
      </c>
      <c r="K1126" s="62">
        <v>3.0</v>
      </c>
      <c r="L1126" s="62">
        <v>3.0</v>
      </c>
      <c r="M1126" s="62">
        <v>3.0</v>
      </c>
      <c r="N1126" s="62">
        <v>2.0</v>
      </c>
      <c r="O1126" s="62">
        <v>1.0</v>
      </c>
      <c r="P1126" s="62">
        <v>2.0</v>
      </c>
      <c r="Q1126" s="62">
        <v>0.0</v>
      </c>
      <c r="R1126" s="62">
        <v>0.0</v>
      </c>
      <c r="S1126" s="62">
        <v>0.0</v>
      </c>
      <c r="T1126" s="62">
        <v>0.0</v>
      </c>
      <c r="U1126" s="62">
        <v>0.685833333333333</v>
      </c>
      <c r="V1126" s="62">
        <v>0.654722222222222</v>
      </c>
      <c r="W1126" s="62">
        <v>0.654722222222222</v>
      </c>
      <c r="X1126" s="62">
        <v>0.0</v>
      </c>
      <c r="Y1126" s="62">
        <v>0.0</v>
      </c>
      <c r="Z1126" s="62">
        <v>0.661111111111111</v>
      </c>
      <c r="AA1126" s="62">
        <v>0.661111111111111</v>
      </c>
      <c r="AB1126" s="62">
        <v>0.661111111111111</v>
      </c>
      <c r="AC1126" s="62">
        <v>0.442222222222222</v>
      </c>
      <c r="AD1126" s="62">
        <v>0.234722222222222</v>
      </c>
      <c r="AE1126" s="62">
        <v>0.442222222222222</v>
      </c>
      <c r="AF1126" s="62">
        <v>0.0</v>
      </c>
    </row>
    <row r="1127">
      <c r="A1127" s="68">
        <v>46063.0</v>
      </c>
      <c r="B1127" s="62" t="s">
        <v>79</v>
      </c>
      <c r="C1127" s="62" t="s">
        <v>162</v>
      </c>
      <c r="D1127" s="62">
        <v>0.0</v>
      </c>
      <c r="E1127" s="62">
        <v>0.0</v>
      </c>
      <c r="F1127" s="62">
        <v>0.0</v>
      </c>
      <c r="G1127" s="62">
        <v>0.0</v>
      </c>
      <c r="H1127" s="62">
        <v>2.0</v>
      </c>
      <c r="I1127" s="62">
        <v>2.0</v>
      </c>
      <c r="J1127" s="62">
        <v>1.0</v>
      </c>
      <c r="K1127" s="62">
        <v>1.0</v>
      </c>
      <c r="L1127" s="62">
        <v>1.0</v>
      </c>
      <c r="M1127" s="62">
        <v>0.0</v>
      </c>
      <c r="N1127" s="62">
        <v>0.0</v>
      </c>
      <c r="O1127" s="62">
        <v>0.0</v>
      </c>
      <c r="P1127" s="62">
        <v>0.0</v>
      </c>
      <c r="Q1127" s="62">
        <v>0.0</v>
      </c>
      <c r="R1127" s="62">
        <v>0.0</v>
      </c>
      <c r="S1127" s="62">
        <v>0.0</v>
      </c>
      <c r="T1127" s="62">
        <v>0.397777777777777</v>
      </c>
      <c r="U1127" s="62">
        <v>0.0</v>
      </c>
      <c r="V1127" s="62">
        <v>0.0</v>
      </c>
      <c r="W1127" s="62">
        <v>0.397777777777777</v>
      </c>
      <c r="X1127" s="62">
        <v>0.397777777777777</v>
      </c>
      <c r="Y1127" s="62">
        <v>0.2</v>
      </c>
      <c r="Z1127" s="62">
        <v>0.2</v>
      </c>
      <c r="AA1127" s="62">
        <v>0.271944444444444</v>
      </c>
      <c r="AB1127" s="62">
        <v>0.0</v>
      </c>
      <c r="AC1127" s="62">
        <v>0.0</v>
      </c>
      <c r="AD1127" s="62">
        <v>0.0</v>
      </c>
      <c r="AE1127" s="62">
        <v>0.0</v>
      </c>
      <c r="AF1127" s="62">
        <v>2.0</v>
      </c>
    </row>
    <row r="1128">
      <c r="A1128" s="68">
        <v>46063.0</v>
      </c>
      <c r="B1128" s="62" t="s">
        <v>71</v>
      </c>
      <c r="C1128" s="62" t="s">
        <v>163</v>
      </c>
      <c r="D1128" s="62">
        <v>4.0</v>
      </c>
      <c r="E1128" s="62">
        <v>1.0</v>
      </c>
      <c r="F1128" s="62">
        <v>3.0</v>
      </c>
      <c r="G1128" s="62">
        <v>0.0</v>
      </c>
      <c r="H1128" s="62">
        <v>1.0</v>
      </c>
      <c r="I1128" s="62">
        <v>1.0</v>
      </c>
      <c r="J1128" s="62">
        <v>0.0</v>
      </c>
      <c r="K1128" s="62">
        <v>0.0</v>
      </c>
      <c r="L1128" s="62">
        <v>0.0</v>
      </c>
      <c r="M1128" s="62">
        <v>1.0</v>
      </c>
      <c r="N1128" s="62">
        <v>1.0</v>
      </c>
      <c r="O1128" s="62">
        <v>1.0</v>
      </c>
      <c r="P1128" s="62">
        <v>1.0</v>
      </c>
      <c r="Q1128" s="62">
        <v>0.0</v>
      </c>
      <c r="R1128" s="62">
        <v>12350.0</v>
      </c>
      <c r="S1128" s="62">
        <v>3219.0</v>
      </c>
      <c r="T1128" s="62">
        <v>0.547777777777777</v>
      </c>
      <c r="U1128" s="62">
        <v>0.862777777777777</v>
      </c>
      <c r="V1128" s="62">
        <v>0.0</v>
      </c>
      <c r="W1128" s="62">
        <v>0.280555555555555</v>
      </c>
      <c r="X1128" s="62">
        <v>0.280555555555555</v>
      </c>
      <c r="Y1128" s="62">
        <v>0.0</v>
      </c>
      <c r="Z1128" s="62">
        <v>0.0</v>
      </c>
      <c r="AA1128" s="62">
        <v>0.0</v>
      </c>
      <c r="AB1128" s="62">
        <v>0.281111111111111</v>
      </c>
      <c r="AC1128" s="62">
        <v>0.281111111111111</v>
      </c>
      <c r="AD1128" s="62">
        <v>0.308333333333333</v>
      </c>
      <c r="AE1128" s="62">
        <v>0.281111111111111</v>
      </c>
      <c r="AF1128" s="62">
        <v>2.0</v>
      </c>
    </row>
    <row r="1129">
      <c r="A1129" s="68">
        <v>46063.0</v>
      </c>
      <c r="B1129" s="62" t="s">
        <v>76</v>
      </c>
      <c r="C1129" s="62" t="s">
        <v>165</v>
      </c>
      <c r="D1129" s="62">
        <v>0.0</v>
      </c>
      <c r="E1129" s="62">
        <v>3.0</v>
      </c>
      <c r="F1129" s="62">
        <v>4.0</v>
      </c>
      <c r="G1129" s="62">
        <v>5.0</v>
      </c>
      <c r="H1129" s="62">
        <v>7.0</v>
      </c>
      <c r="I1129" s="62">
        <v>2.0</v>
      </c>
      <c r="J1129" s="62">
        <v>4.0</v>
      </c>
      <c r="K1129" s="62">
        <v>0.0</v>
      </c>
      <c r="L1129" s="62">
        <v>1.0</v>
      </c>
      <c r="M1129" s="62">
        <v>5.0</v>
      </c>
      <c r="N1129" s="62">
        <v>0.0</v>
      </c>
      <c r="O1129" s="62">
        <v>1.0</v>
      </c>
      <c r="P1129" s="62">
        <v>0.0</v>
      </c>
      <c r="Q1129" s="62">
        <v>0.0</v>
      </c>
      <c r="R1129" s="62">
        <v>0.0</v>
      </c>
      <c r="S1129" s="62">
        <v>9755.0</v>
      </c>
      <c r="T1129" s="62">
        <v>1.17194444444444</v>
      </c>
      <c r="U1129" s="62">
        <v>1.17194444444444</v>
      </c>
      <c r="V1129" s="62">
        <v>1.43</v>
      </c>
      <c r="W1129" s="62">
        <v>1.98305555555555</v>
      </c>
      <c r="X1129" s="62">
        <v>0.553055555555555</v>
      </c>
      <c r="Y1129" s="62">
        <v>1.09416666666666</v>
      </c>
      <c r="Z1129" s="62">
        <v>0.0</v>
      </c>
      <c r="AA1129" s="62">
        <v>0.266944444444444</v>
      </c>
      <c r="AB1129" s="62">
        <v>1.36111111111111</v>
      </c>
      <c r="AC1129" s="62">
        <v>0.0</v>
      </c>
      <c r="AD1129" s="62">
        <v>0.251666666666666</v>
      </c>
      <c r="AE1129" s="62">
        <v>0.0</v>
      </c>
      <c r="AF1129" s="62">
        <v>4.0</v>
      </c>
    </row>
    <row r="1130">
      <c r="A1130" s="68">
        <v>46063.0</v>
      </c>
      <c r="B1130" s="62" t="s">
        <v>32</v>
      </c>
      <c r="C1130" s="62" t="s">
        <v>168</v>
      </c>
      <c r="D1130" s="62">
        <v>0.0</v>
      </c>
      <c r="E1130" s="62">
        <v>4.0</v>
      </c>
      <c r="F1130" s="62">
        <v>0.0</v>
      </c>
      <c r="G1130" s="62">
        <v>0.0</v>
      </c>
      <c r="H1130" s="62">
        <v>7.0</v>
      </c>
      <c r="I1130" s="62">
        <v>4.0</v>
      </c>
      <c r="J1130" s="62">
        <v>7.0</v>
      </c>
      <c r="K1130" s="62">
        <v>0.0</v>
      </c>
      <c r="L1130" s="62">
        <v>0.0</v>
      </c>
      <c r="M1130" s="62">
        <v>1.0</v>
      </c>
      <c r="N1130" s="62">
        <v>0.0</v>
      </c>
      <c r="O1130" s="62">
        <v>1.0</v>
      </c>
      <c r="P1130" s="62">
        <v>0.0</v>
      </c>
      <c r="Q1130" s="62">
        <v>0.0</v>
      </c>
      <c r="R1130" s="62">
        <v>0.0</v>
      </c>
      <c r="S1130" s="62">
        <v>10640.0</v>
      </c>
      <c r="T1130" s="62">
        <v>0.995</v>
      </c>
      <c r="U1130" s="62">
        <v>0.0</v>
      </c>
      <c r="V1130" s="62">
        <v>0.0</v>
      </c>
      <c r="W1130" s="62">
        <v>1.65805555555555</v>
      </c>
      <c r="X1130" s="62">
        <v>0.946944444444444</v>
      </c>
      <c r="Y1130" s="62">
        <v>1.6225</v>
      </c>
      <c r="Z1130" s="62">
        <v>0.0</v>
      </c>
      <c r="AA1130" s="62">
        <v>0.0</v>
      </c>
      <c r="AB1130" s="62">
        <v>0.243333333333333</v>
      </c>
      <c r="AC1130" s="62">
        <v>0.0</v>
      </c>
      <c r="AD1130" s="62">
        <v>0.233055555555555</v>
      </c>
      <c r="AE1130" s="62">
        <v>0.0</v>
      </c>
      <c r="AF1130" s="62">
        <v>4.0</v>
      </c>
    </row>
    <row r="1131">
      <c r="A1131" s="68">
        <v>46063.0</v>
      </c>
      <c r="B1131" s="62" t="s">
        <v>37</v>
      </c>
      <c r="C1131" s="62" t="s">
        <v>174</v>
      </c>
      <c r="D1131" s="62">
        <v>0.0</v>
      </c>
      <c r="E1131" s="62">
        <v>4.0</v>
      </c>
      <c r="F1131" s="62">
        <v>3.0</v>
      </c>
      <c r="G1131" s="62">
        <v>4.0</v>
      </c>
      <c r="H1131" s="62">
        <v>5.0</v>
      </c>
      <c r="I1131" s="62">
        <v>1.0</v>
      </c>
      <c r="J1131" s="62">
        <v>4.0</v>
      </c>
      <c r="K1131" s="62">
        <v>0.0</v>
      </c>
      <c r="L1131" s="62">
        <v>0.0</v>
      </c>
      <c r="M1131" s="62">
        <v>4.0</v>
      </c>
      <c r="N1131" s="62">
        <v>0.0</v>
      </c>
      <c r="O1131" s="62">
        <v>0.0</v>
      </c>
      <c r="P1131" s="62">
        <v>0.0</v>
      </c>
      <c r="Q1131" s="62">
        <v>0.0</v>
      </c>
      <c r="R1131" s="62">
        <v>0.0</v>
      </c>
      <c r="S1131" s="62">
        <v>9656.0</v>
      </c>
      <c r="T1131" s="62">
        <v>0.0</v>
      </c>
      <c r="U1131" s="62">
        <v>0.781944444444444</v>
      </c>
      <c r="V1131" s="62">
        <v>1.04611111111111</v>
      </c>
      <c r="W1131" s="62">
        <v>1.29583333333333</v>
      </c>
      <c r="X1131" s="62">
        <v>0.249722222222222</v>
      </c>
      <c r="Y1131" s="62">
        <v>1.00333333333333</v>
      </c>
      <c r="Z1131" s="62">
        <v>0.0</v>
      </c>
      <c r="AA1131" s="62">
        <v>0.0</v>
      </c>
      <c r="AB1131" s="62">
        <v>0.921388888888888</v>
      </c>
      <c r="AC1131" s="62">
        <v>0.0</v>
      </c>
      <c r="AD1131" s="62">
        <v>0.0</v>
      </c>
      <c r="AE1131" s="62">
        <v>0.0</v>
      </c>
      <c r="AF1131" s="62">
        <v>0.0</v>
      </c>
    </row>
    <row r="1132">
      <c r="A1132" s="68">
        <v>46063.0</v>
      </c>
      <c r="B1132" s="62" t="s">
        <v>81</v>
      </c>
      <c r="C1132" s="62" t="s">
        <v>187</v>
      </c>
      <c r="D1132" s="62">
        <v>3.0</v>
      </c>
      <c r="E1132" s="62">
        <v>2.0</v>
      </c>
      <c r="F1132" s="62">
        <v>0.0</v>
      </c>
      <c r="G1132" s="62">
        <v>0.0</v>
      </c>
      <c r="H1132" s="62">
        <v>0.0</v>
      </c>
      <c r="I1132" s="62">
        <v>0.0</v>
      </c>
      <c r="J1132" s="62">
        <v>0.0</v>
      </c>
      <c r="K1132" s="62">
        <v>0.0</v>
      </c>
      <c r="L1132" s="62">
        <v>0.0</v>
      </c>
      <c r="M1132" s="62">
        <v>0.0</v>
      </c>
      <c r="N1132" s="62">
        <v>0.0</v>
      </c>
      <c r="O1132" s="62">
        <v>0.0</v>
      </c>
      <c r="P1132" s="62">
        <v>0.0</v>
      </c>
      <c r="Q1132" s="62">
        <v>0.0</v>
      </c>
      <c r="R1132" s="62">
        <v>7394.0</v>
      </c>
      <c r="S1132" s="62">
        <v>4290.0</v>
      </c>
      <c r="T1132" s="62">
        <v>0.0</v>
      </c>
      <c r="U1132" s="62">
        <v>0.0</v>
      </c>
      <c r="V1132" s="62">
        <v>0.0</v>
      </c>
      <c r="W1132" s="62">
        <v>0.0</v>
      </c>
      <c r="X1132" s="62">
        <v>0.0</v>
      </c>
      <c r="Y1132" s="62">
        <v>0.0</v>
      </c>
      <c r="Z1132" s="62">
        <v>0.0</v>
      </c>
      <c r="AA1132" s="62">
        <v>0.0</v>
      </c>
      <c r="AB1132" s="62">
        <v>0.0</v>
      </c>
      <c r="AC1132" s="62">
        <v>0.0</v>
      </c>
      <c r="AD1132" s="62">
        <v>0.0</v>
      </c>
      <c r="AE1132" s="62">
        <v>0.0</v>
      </c>
      <c r="AF1132" s="62">
        <v>0.0</v>
      </c>
    </row>
    <row r="1133">
      <c r="A1133" s="68">
        <v>46063.0</v>
      </c>
      <c r="B1133" s="62" t="s">
        <v>26</v>
      </c>
      <c r="C1133" s="62" t="s">
        <v>178</v>
      </c>
      <c r="D1133" s="62">
        <v>0.0</v>
      </c>
      <c r="E1133" s="62">
        <v>3.0</v>
      </c>
      <c r="F1133" s="62">
        <v>2.0</v>
      </c>
      <c r="G1133" s="62">
        <v>2.0</v>
      </c>
      <c r="H1133" s="62">
        <v>5.0</v>
      </c>
      <c r="I1133" s="62">
        <v>3.0</v>
      </c>
      <c r="J1133" s="62">
        <v>4.0</v>
      </c>
      <c r="K1133" s="62">
        <v>2.0</v>
      </c>
      <c r="L1133" s="62">
        <v>0.0</v>
      </c>
      <c r="M1133" s="62">
        <v>1.0</v>
      </c>
      <c r="N1133" s="62">
        <v>0.0</v>
      </c>
      <c r="O1133" s="62">
        <v>1.0</v>
      </c>
      <c r="P1133" s="62">
        <v>0.0</v>
      </c>
      <c r="Q1133" s="62">
        <v>0.0</v>
      </c>
      <c r="R1133" s="62">
        <v>0.0</v>
      </c>
      <c r="S1133" s="62">
        <v>6128.0</v>
      </c>
      <c r="T1133" s="62">
        <v>0.946666666666666</v>
      </c>
      <c r="U1133" s="62">
        <v>0.418055555555555</v>
      </c>
      <c r="V1133" s="62">
        <v>0.369166666666666</v>
      </c>
      <c r="W1133" s="62">
        <v>0.897777777777777</v>
      </c>
      <c r="X1133" s="62">
        <v>0.528611111111111</v>
      </c>
      <c r="Y1133" s="62">
        <v>0.758055555555555</v>
      </c>
      <c r="Z1133" s="62">
        <v>0.373888888888888</v>
      </c>
      <c r="AA1133" s="62">
        <v>0.0</v>
      </c>
      <c r="AB1133" s="62">
        <v>0.194166666666666</v>
      </c>
      <c r="AC1133" s="62">
        <v>0.0</v>
      </c>
      <c r="AD1133" s="62">
        <v>0.1725</v>
      </c>
      <c r="AE1133" s="62">
        <v>0.0</v>
      </c>
      <c r="AF1133" s="62">
        <v>5.0</v>
      </c>
    </row>
    <row r="1134">
      <c r="A1134" s="68">
        <v>46063.0</v>
      </c>
      <c r="B1134" s="62" t="s">
        <v>62</v>
      </c>
      <c r="C1134" s="62" t="s">
        <v>63</v>
      </c>
      <c r="D1134" s="62">
        <v>0.0</v>
      </c>
      <c r="E1134" s="62">
        <v>2.0</v>
      </c>
      <c r="F1134" s="62">
        <v>0.0</v>
      </c>
      <c r="G1134" s="62">
        <v>1.0</v>
      </c>
      <c r="H1134" s="62">
        <v>1.0</v>
      </c>
      <c r="I1134" s="62">
        <v>0.0</v>
      </c>
      <c r="J1134" s="62">
        <v>1.0</v>
      </c>
      <c r="K1134" s="62">
        <v>1.0</v>
      </c>
      <c r="L1134" s="62">
        <v>1.0</v>
      </c>
      <c r="M1134" s="62">
        <v>5.0</v>
      </c>
      <c r="N1134" s="62">
        <v>5.0</v>
      </c>
      <c r="O1134" s="62">
        <v>1.0</v>
      </c>
      <c r="P1134" s="62">
        <v>5.0</v>
      </c>
      <c r="Q1134" s="62">
        <v>0.0</v>
      </c>
      <c r="R1134" s="62">
        <v>0.0</v>
      </c>
      <c r="S1134" s="62">
        <v>5444.0</v>
      </c>
      <c r="T1134" s="62">
        <v>0.685833333333333</v>
      </c>
      <c r="U1134" s="62">
        <v>0.0</v>
      </c>
      <c r="V1134" s="62">
        <v>0.214444444444444</v>
      </c>
      <c r="W1134" s="62">
        <v>0.214444444444444</v>
      </c>
      <c r="X1134" s="62">
        <v>0.0</v>
      </c>
      <c r="Y1134" s="62">
        <v>0.214444444444444</v>
      </c>
      <c r="Z1134" s="62">
        <v>0.219166666666666</v>
      </c>
      <c r="AA1134" s="62">
        <v>0.219444444444444</v>
      </c>
      <c r="AB1134" s="62">
        <v>1.17027777777777</v>
      </c>
      <c r="AC1134" s="62">
        <v>1.18638888888888</v>
      </c>
      <c r="AD1134" s="62">
        <v>0.249166666666666</v>
      </c>
      <c r="AE1134" s="62">
        <v>1.18638888888888</v>
      </c>
      <c r="AF1134" s="62">
        <v>3.0</v>
      </c>
    </row>
    <row r="1135">
      <c r="A1135" s="68">
        <v>46062.0</v>
      </c>
      <c r="B1135" s="62" t="s">
        <v>79</v>
      </c>
      <c r="C1135" s="62" t="s">
        <v>162</v>
      </c>
      <c r="D1135" s="62">
        <v>0.0</v>
      </c>
      <c r="E1135" s="62">
        <v>3.0</v>
      </c>
      <c r="F1135" s="62">
        <v>0.0</v>
      </c>
      <c r="G1135" s="62">
        <v>0.0</v>
      </c>
      <c r="H1135" s="62">
        <v>0.0</v>
      </c>
      <c r="I1135" s="62">
        <v>0.0</v>
      </c>
      <c r="J1135" s="62">
        <v>1.0</v>
      </c>
      <c r="K1135" s="62">
        <v>1.0</v>
      </c>
      <c r="L1135" s="62">
        <v>0.0</v>
      </c>
      <c r="M1135" s="62">
        <v>0.0</v>
      </c>
      <c r="N1135" s="62">
        <v>0.0</v>
      </c>
      <c r="O1135" s="62">
        <v>0.0</v>
      </c>
      <c r="P1135" s="62">
        <v>0.0</v>
      </c>
      <c r="Q1135" s="62">
        <v>0.0</v>
      </c>
      <c r="R1135" s="62">
        <v>0.0</v>
      </c>
      <c r="S1135" s="62">
        <v>6782.0</v>
      </c>
      <c r="T1135" s="62">
        <v>0.0</v>
      </c>
      <c r="U1135" s="62">
        <v>0.0</v>
      </c>
      <c r="V1135" s="62">
        <v>0.0</v>
      </c>
      <c r="W1135" s="62">
        <v>0.0</v>
      </c>
      <c r="X1135" s="62">
        <v>0.0</v>
      </c>
      <c r="Y1135" s="62">
        <v>0.271944444444444</v>
      </c>
      <c r="Z1135" s="62">
        <v>0.271944444444444</v>
      </c>
      <c r="AA1135" s="62">
        <v>0.0</v>
      </c>
      <c r="AB1135" s="62">
        <v>0.0</v>
      </c>
      <c r="AC1135" s="62">
        <v>0.0</v>
      </c>
      <c r="AD1135" s="62">
        <v>0.0</v>
      </c>
      <c r="AE1135" s="62">
        <v>0.0</v>
      </c>
      <c r="AF1135" s="62">
        <v>0.0</v>
      </c>
    </row>
    <row r="1136">
      <c r="A1136" s="68">
        <v>46062.0</v>
      </c>
      <c r="B1136" s="62" t="s">
        <v>71</v>
      </c>
      <c r="C1136" s="62" t="s">
        <v>163</v>
      </c>
      <c r="D1136" s="62">
        <v>0.0</v>
      </c>
      <c r="E1136" s="62">
        <v>2.0</v>
      </c>
      <c r="F1136" s="62">
        <v>0.0</v>
      </c>
      <c r="G1136" s="62">
        <v>3.0</v>
      </c>
      <c r="H1136" s="62">
        <v>3.0</v>
      </c>
      <c r="I1136" s="62">
        <v>0.0</v>
      </c>
      <c r="J1136" s="62">
        <v>4.0</v>
      </c>
      <c r="K1136" s="62">
        <v>0.0</v>
      </c>
      <c r="L1136" s="62">
        <v>0.0</v>
      </c>
      <c r="M1136" s="62">
        <v>4.0</v>
      </c>
      <c r="N1136" s="62">
        <v>4.0</v>
      </c>
      <c r="O1136" s="62">
        <v>1.0</v>
      </c>
      <c r="P1136" s="62">
        <v>4.0</v>
      </c>
      <c r="Q1136" s="62">
        <v>0.0</v>
      </c>
      <c r="R1136" s="62">
        <v>0.0</v>
      </c>
      <c r="S1136" s="62">
        <v>6215.0</v>
      </c>
      <c r="T1136" s="62">
        <v>0.595555555555555</v>
      </c>
      <c r="U1136" s="62">
        <v>0.0</v>
      </c>
      <c r="V1136" s="62">
        <v>0.868055555555555</v>
      </c>
      <c r="W1136" s="62">
        <v>0.868055555555555</v>
      </c>
      <c r="X1136" s="62">
        <v>0.0</v>
      </c>
      <c r="Y1136" s="62">
        <v>1.12888888888888</v>
      </c>
      <c r="Z1136" s="62">
        <v>0.0</v>
      </c>
      <c r="AA1136" s="62">
        <v>0.0</v>
      </c>
      <c r="AB1136" s="62">
        <v>1.11972222222222</v>
      </c>
      <c r="AC1136" s="62">
        <v>1.11972222222222</v>
      </c>
      <c r="AD1136" s="62">
        <v>0.266666666666666</v>
      </c>
      <c r="AE1136" s="62">
        <v>1.11972222222222</v>
      </c>
      <c r="AF1136" s="62">
        <v>2.0</v>
      </c>
    </row>
    <row r="1137">
      <c r="A1137" s="68">
        <v>46062.0</v>
      </c>
      <c r="B1137" s="62" t="s">
        <v>76</v>
      </c>
      <c r="C1137" s="62" t="s">
        <v>165</v>
      </c>
      <c r="D1137" s="62">
        <v>0.0</v>
      </c>
      <c r="E1137" s="62">
        <v>2.0</v>
      </c>
      <c r="F1137" s="62">
        <v>3.0</v>
      </c>
      <c r="G1137" s="62">
        <v>0.0</v>
      </c>
      <c r="H1137" s="62">
        <v>0.0</v>
      </c>
      <c r="I1137" s="62">
        <v>0.0</v>
      </c>
      <c r="J1137" s="62">
        <v>1.0</v>
      </c>
      <c r="K1137" s="62">
        <v>1.0</v>
      </c>
      <c r="L1137" s="62">
        <v>0.0</v>
      </c>
      <c r="M1137" s="62">
        <v>0.0</v>
      </c>
      <c r="N1137" s="62">
        <v>0.0</v>
      </c>
      <c r="O1137" s="62">
        <v>1.0</v>
      </c>
      <c r="P1137" s="62">
        <v>0.0</v>
      </c>
      <c r="Q1137" s="62">
        <v>0.0</v>
      </c>
      <c r="R1137" s="62">
        <v>0.0</v>
      </c>
      <c r="S1137" s="62">
        <v>5683.0</v>
      </c>
      <c r="T1137" s="62">
        <v>0.822777777777777</v>
      </c>
      <c r="U1137" s="62">
        <v>0.822777777777777</v>
      </c>
      <c r="V1137" s="62">
        <v>0.0</v>
      </c>
      <c r="W1137" s="62">
        <v>0.0</v>
      </c>
      <c r="X1137" s="62">
        <v>0.0</v>
      </c>
      <c r="Y1137" s="62">
        <v>0.266944444444444</v>
      </c>
      <c r="Z1137" s="62">
        <v>0.266944444444444</v>
      </c>
      <c r="AA1137" s="62">
        <v>0.0</v>
      </c>
      <c r="AB1137" s="62">
        <v>0.0</v>
      </c>
      <c r="AC1137" s="62">
        <v>0.0</v>
      </c>
      <c r="AD1137" s="62">
        <v>0.246944444444444</v>
      </c>
      <c r="AE1137" s="62">
        <v>0.0</v>
      </c>
      <c r="AF1137" s="62">
        <v>3.0</v>
      </c>
    </row>
    <row r="1138">
      <c r="A1138" s="68">
        <v>46062.0</v>
      </c>
      <c r="B1138" s="62" t="s">
        <v>32</v>
      </c>
      <c r="C1138" s="62" t="s">
        <v>168</v>
      </c>
      <c r="D1138" s="62">
        <v>0.0</v>
      </c>
      <c r="E1138" s="62">
        <v>0.0</v>
      </c>
      <c r="F1138" s="62">
        <v>3.0</v>
      </c>
      <c r="G1138" s="62">
        <v>0.0</v>
      </c>
      <c r="H1138" s="62">
        <v>1.0</v>
      </c>
      <c r="I1138" s="62">
        <v>1.0</v>
      </c>
      <c r="J1138" s="62">
        <v>0.0</v>
      </c>
      <c r="K1138" s="62">
        <v>0.0</v>
      </c>
      <c r="L1138" s="62">
        <v>0.0</v>
      </c>
      <c r="M1138" s="62">
        <v>0.0</v>
      </c>
      <c r="N1138" s="62">
        <v>0.0</v>
      </c>
      <c r="O1138" s="62">
        <v>1.0</v>
      </c>
      <c r="P1138" s="62">
        <v>0.0</v>
      </c>
      <c r="Q1138" s="62">
        <v>0.0</v>
      </c>
      <c r="R1138" s="62">
        <v>0.0</v>
      </c>
      <c r="S1138" s="62">
        <v>0.0</v>
      </c>
      <c r="T1138" s="62">
        <v>1.39055555555555</v>
      </c>
      <c r="U1138" s="62">
        <v>0.713611111111111</v>
      </c>
      <c r="V1138" s="62">
        <v>0.0</v>
      </c>
      <c r="W1138" s="62">
        <v>0.225277777777777</v>
      </c>
      <c r="X1138" s="62">
        <v>0.225277777777777</v>
      </c>
      <c r="Y1138" s="62">
        <v>0.0</v>
      </c>
      <c r="Z1138" s="62">
        <v>0.0</v>
      </c>
      <c r="AA1138" s="62">
        <v>0.0</v>
      </c>
      <c r="AB1138" s="62">
        <v>0.0</v>
      </c>
      <c r="AC1138" s="62">
        <v>0.0</v>
      </c>
      <c r="AD1138" s="62">
        <v>0.231388888888888</v>
      </c>
      <c r="AE1138" s="62">
        <v>0.0</v>
      </c>
      <c r="AF1138" s="62">
        <v>6.0</v>
      </c>
    </row>
    <row r="1139">
      <c r="A1139" s="68">
        <v>46062.0</v>
      </c>
      <c r="B1139" s="62" t="s">
        <v>37</v>
      </c>
      <c r="C1139" s="62" t="s">
        <v>174</v>
      </c>
      <c r="D1139" s="62">
        <v>0.0</v>
      </c>
      <c r="E1139" s="62">
        <v>3.0</v>
      </c>
      <c r="F1139" s="62">
        <v>5.0</v>
      </c>
      <c r="G1139" s="62">
        <v>1.0</v>
      </c>
      <c r="H1139" s="62">
        <v>1.0</v>
      </c>
      <c r="I1139" s="62">
        <v>2.0</v>
      </c>
      <c r="J1139" s="62">
        <v>4.0</v>
      </c>
      <c r="K1139" s="62">
        <v>0.0</v>
      </c>
      <c r="L1139" s="62">
        <v>0.0</v>
      </c>
      <c r="M1139" s="62">
        <v>3.0</v>
      </c>
      <c r="N1139" s="62">
        <v>0.0</v>
      </c>
      <c r="O1139" s="62">
        <v>1.0</v>
      </c>
      <c r="P1139" s="62">
        <v>0.0</v>
      </c>
      <c r="Q1139" s="62">
        <v>0.0</v>
      </c>
      <c r="R1139" s="62">
        <v>0.0</v>
      </c>
      <c r="S1139" s="62">
        <v>6838.0</v>
      </c>
      <c r="T1139" s="62">
        <v>1.03166666666666</v>
      </c>
      <c r="U1139" s="62">
        <v>1.3825</v>
      </c>
      <c r="V1139" s="62">
        <v>0.234166666666666</v>
      </c>
      <c r="W1139" s="62">
        <v>0.269444444444444</v>
      </c>
      <c r="X1139" s="62">
        <v>0.498611111111111</v>
      </c>
      <c r="Y1139" s="62">
        <v>0.970277777777777</v>
      </c>
      <c r="Z1139" s="62">
        <v>0.0</v>
      </c>
      <c r="AA1139" s="62">
        <v>0.0</v>
      </c>
      <c r="AB1139" s="62">
        <v>0.776944444444444</v>
      </c>
      <c r="AC1139" s="62">
        <v>0.0</v>
      </c>
      <c r="AD1139" s="62">
        <v>0.255555555555555</v>
      </c>
      <c r="AE1139" s="62">
        <v>0.0</v>
      </c>
      <c r="AF1139" s="62">
        <v>4.0</v>
      </c>
    </row>
    <row r="1140">
      <c r="A1140" s="68">
        <v>46062.0</v>
      </c>
      <c r="B1140" s="62" t="s">
        <v>81</v>
      </c>
      <c r="C1140" s="62" t="s">
        <v>187</v>
      </c>
      <c r="D1140" s="62">
        <v>5.0</v>
      </c>
      <c r="E1140" s="62">
        <v>0.0</v>
      </c>
      <c r="F1140" s="62">
        <v>2.0</v>
      </c>
      <c r="G1140" s="62">
        <v>0.0</v>
      </c>
      <c r="H1140" s="62">
        <v>1.0</v>
      </c>
      <c r="I1140" s="62">
        <v>1.0</v>
      </c>
      <c r="J1140" s="62">
        <v>0.0</v>
      </c>
      <c r="K1140" s="62">
        <v>0.0</v>
      </c>
      <c r="L1140" s="62">
        <v>0.0</v>
      </c>
      <c r="M1140" s="62">
        <v>0.0</v>
      </c>
      <c r="N1140" s="62">
        <v>0.0</v>
      </c>
      <c r="O1140" s="62">
        <v>0.0</v>
      </c>
      <c r="P1140" s="62">
        <v>0.0</v>
      </c>
      <c r="Q1140" s="62">
        <v>0.0</v>
      </c>
      <c r="R1140" s="62">
        <v>11432.0</v>
      </c>
      <c r="S1140" s="62">
        <v>0.0</v>
      </c>
      <c r="T1140" s="62">
        <v>0.604166666666666</v>
      </c>
      <c r="U1140" s="62">
        <v>0.414166666666666</v>
      </c>
      <c r="V1140" s="62">
        <v>0.0</v>
      </c>
      <c r="W1140" s="62">
        <v>0.19</v>
      </c>
      <c r="X1140" s="62">
        <v>0.19</v>
      </c>
      <c r="Y1140" s="62">
        <v>0.0</v>
      </c>
      <c r="Z1140" s="62">
        <v>0.0</v>
      </c>
      <c r="AA1140" s="62">
        <v>0.0</v>
      </c>
      <c r="AB1140" s="62">
        <v>0.0</v>
      </c>
      <c r="AC1140" s="62">
        <v>0.0</v>
      </c>
      <c r="AD1140" s="62">
        <v>0.0</v>
      </c>
      <c r="AE1140" s="62">
        <v>0.0</v>
      </c>
      <c r="AF1140" s="62">
        <v>3.0</v>
      </c>
    </row>
    <row r="1141">
      <c r="A1141" s="68">
        <v>46062.0</v>
      </c>
      <c r="B1141" s="62" t="s">
        <v>26</v>
      </c>
      <c r="C1141" s="62" t="s">
        <v>178</v>
      </c>
      <c r="D1141" s="62">
        <v>6.0</v>
      </c>
      <c r="E1141" s="62">
        <v>3.0</v>
      </c>
      <c r="F1141" s="62">
        <v>2.0</v>
      </c>
      <c r="G1141" s="62">
        <v>1.0</v>
      </c>
      <c r="H1141" s="62">
        <v>4.0</v>
      </c>
      <c r="I1141" s="62">
        <v>3.0</v>
      </c>
      <c r="J1141" s="62">
        <v>2.0</v>
      </c>
      <c r="K1141" s="62">
        <v>0.0</v>
      </c>
      <c r="L1141" s="62">
        <v>0.0</v>
      </c>
      <c r="M1141" s="62">
        <v>0.0</v>
      </c>
      <c r="N1141" s="62">
        <v>0.0</v>
      </c>
      <c r="O1141" s="62">
        <v>1.0</v>
      </c>
      <c r="P1141" s="62">
        <v>0.0</v>
      </c>
      <c r="Q1141" s="62">
        <v>0.0</v>
      </c>
      <c r="R1141" s="62">
        <v>14428.0</v>
      </c>
      <c r="S1141" s="62">
        <v>6408.0</v>
      </c>
      <c r="T1141" s="62">
        <v>0.945</v>
      </c>
      <c r="U1141" s="62">
        <v>0.368888888888888</v>
      </c>
      <c r="V1141" s="62">
        <v>0.192222222222222</v>
      </c>
      <c r="W1141" s="62">
        <v>0.768333333333333</v>
      </c>
      <c r="X1141" s="62">
        <v>0.576111111111111</v>
      </c>
      <c r="Y1141" s="62">
        <v>0.376111111111111</v>
      </c>
      <c r="Z1141" s="62">
        <v>0.0</v>
      </c>
      <c r="AA1141" s="62">
        <v>0.0</v>
      </c>
      <c r="AB1141" s="62">
        <v>0.0</v>
      </c>
      <c r="AC1141" s="62">
        <v>0.0</v>
      </c>
      <c r="AD1141" s="62">
        <v>0.187777777777777</v>
      </c>
      <c r="AE1141" s="62">
        <v>0.0</v>
      </c>
      <c r="AF1141" s="62">
        <v>5.0</v>
      </c>
    </row>
    <row r="1142">
      <c r="A1142" s="68">
        <v>46062.0</v>
      </c>
      <c r="B1142" s="62" t="s">
        <v>62</v>
      </c>
      <c r="C1142" s="62" t="s">
        <v>63</v>
      </c>
      <c r="D1142" s="62">
        <v>0.0</v>
      </c>
      <c r="E1142" s="62">
        <v>2.0</v>
      </c>
      <c r="F1142" s="62">
        <v>3.0</v>
      </c>
      <c r="G1142" s="62">
        <v>2.0</v>
      </c>
      <c r="H1142" s="62">
        <v>2.0</v>
      </c>
      <c r="I1142" s="62">
        <v>0.0</v>
      </c>
      <c r="J1142" s="62">
        <v>4.0</v>
      </c>
      <c r="K1142" s="62">
        <v>5.0</v>
      </c>
      <c r="L1142" s="62">
        <v>4.0</v>
      </c>
      <c r="M1142" s="62">
        <v>1.0</v>
      </c>
      <c r="N1142" s="62">
        <v>3.0</v>
      </c>
      <c r="O1142" s="62">
        <v>1.0</v>
      </c>
      <c r="P1142" s="62">
        <v>3.0</v>
      </c>
      <c r="Q1142" s="62">
        <v>0.0</v>
      </c>
      <c r="R1142" s="62">
        <v>0.0</v>
      </c>
      <c r="S1142" s="62">
        <v>4971.0</v>
      </c>
      <c r="T1142" s="62">
        <v>0.0</v>
      </c>
      <c r="U1142" s="62">
        <v>0.638333333333333</v>
      </c>
      <c r="V1142" s="62">
        <v>0.442222222222222</v>
      </c>
      <c r="W1142" s="62">
        <v>0.442222222222222</v>
      </c>
      <c r="X1142" s="62">
        <v>0.0</v>
      </c>
      <c r="Y1142" s="62">
        <v>0.888611111111111</v>
      </c>
      <c r="Z1142" s="62">
        <v>1.18888888888888</v>
      </c>
      <c r="AA1142" s="62">
        <v>0.950833333333333</v>
      </c>
      <c r="AB1142" s="62">
        <v>0.238055555555555</v>
      </c>
      <c r="AC1142" s="62">
        <v>0.730833333333333</v>
      </c>
      <c r="AD1142" s="62">
        <v>0.246944444444444</v>
      </c>
      <c r="AE1142" s="62">
        <v>0.730833333333333</v>
      </c>
      <c r="AF1142" s="62">
        <v>0.0</v>
      </c>
    </row>
    <row r="1143">
      <c r="A1143" s="68">
        <v>46061.0</v>
      </c>
      <c r="B1143" s="62" t="s">
        <v>79</v>
      </c>
      <c r="C1143" s="62" t="s">
        <v>162</v>
      </c>
      <c r="D1143" s="62">
        <v>3.0</v>
      </c>
      <c r="E1143" s="62">
        <v>0.0</v>
      </c>
      <c r="F1143" s="62">
        <v>0.0</v>
      </c>
      <c r="G1143" s="62">
        <v>0.0</v>
      </c>
      <c r="H1143" s="62">
        <v>0.0</v>
      </c>
      <c r="I1143" s="62">
        <v>0.0</v>
      </c>
      <c r="J1143" s="62">
        <v>0.0</v>
      </c>
      <c r="K1143" s="62">
        <v>0.0</v>
      </c>
      <c r="L1143" s="62">
        <v>0.0</v>
      </c>
      <c r="M1143" s="62">
        <v>0.0</v>
      </c>
      <c r="N1143" s="62">
        <v>0.0</v>
      </c>
      <c r="O1143" s="62">
        <v>0.0</v>
      </c>
      <c r="P1143" s="62">
        <v>0.0</v>
      </c>
      <c r="Q1143" s="62">
        <v>0.0</v>
      </c>
      <c r="R1143" s="62">
        <v>6231.0</v>
      </c>
      <c r="S1143" s="62">
        <v>0.0</v>
      </c>
      <c r="T1143" s="62">
        <v>0.0</v>
      </c>
      <c r="U1143" s="62">
        <v>0.0</v>
      </c>
      <c r="V1143" s="62">
        <v>0.0</v>
      </c>
      <c r="W1143" s="62">
        <v>0.0</v>
      </c>
      <c r="X1143" s="62">
        <v>0.0</v>
      </c>
      <c r="Y1143" s="62">
        <v>0.0</v>
      </c>
      <c r="Z1143" s="62">
        <v>0.0</v>
      </c>
      <c r="AA1143" s="62">
        <v>0.0</v>
      </c>
      <c r="AB1143" s="62">
        <v>0.0</v>
      </c>
      <c r="AC1143" s="62">
        <v>0.0</v>
      </c>
      <c r="AD1143" s="62">
        <v>0.0</v>
      </c>
      <c r="AE1143" s="62">
        <v>0.0</v>
      </c>
      <c r="AF1143" s="62">
        <v>0.0</v>
      </c>
    </row>
    <row r="1144">
      <c r="A1144" s="68">
        <v>46061.0</v>
      </c>
      <c r="B1144" s="62" t="s">
        <v>71</v>
      </c>
      <c r="C1144" s="62" t="s">
        <v>163</v>
      </c>
      <c r="D1144" s="62">
        <v>5.0</v>
      </c>
      <c r="E1144" s="62">
        <v>0.0</v>
      </c>
      <c r="F1144" s="62">
        <v>0.0</v>
      </c>
      <c r="G1144" s="62">
        <v>0.0</v>
      </c>
      <c r="H1144" s="62">
        <v>0.0</v>
      </c>
      <c r="I1144" s="62">
        <v>0.0</v>
      </c>
      <c r="J1144" s="62">
        <v>0.0</v>
      </c>
      <c r="K1144" s="62">
        <v>0.0</v>
      </c>
      <c r="L1144" s="62">
        <v>0.0</v>
      </c>
      <c r="M1144" s="62">
        <v>0.0</v>
      </c>
      <c r="N1144" s="62">
        <v>0.0</v>
      </c>
      <c r="O1144" s="62">
        <v>1.0</v>
      </c>
      <c r="P1144" s="62">
        <v>0.0</v>
      </c>
      <c r="Q1144" s="62">
        <v>0.0</v>
      </c>
      <c r="R1144" s="62">
        <v>15707.0</v>
      </c>
      <c r="S1144" s="62">
        <v>0.0</v>
      </c>
      <c r="T1144" s="62">
        <v>0.0</v>
      </c>
      <c r="U1144" s="62">
        <v>0.0</v>
      </c>
      <c r="V1144" s="62">
        <v>0.0</v>
      </c>
      <c r="W1144" s="62">
        <v>0.0</v>
      </c>
      <c r="X1144" s="62">
        <v>0.0</v>
      </c>
      <c r="Y1144" s="62">
        <v>0.0</v>
      </c>
      <c r="Z1144" s="62">
        <v>0.0</v>
      </c>
      <c r="AA1144" s="62">
        <v>0.0</v>
      </c>
      <c r="AB1144" s="62">
        <v>0.0</v>
      </c>
      <c r="AC1144" s="62">
        <v>0.0</v>
      </c>
      <c r="AD1144" s="62">
        <v>0.240555555555555</v>
      </c>
      <c r="AE1144" s="62">
        <v>0.0</v>
      </c>
      <c r="AF1144" s="62">
        <v>0.0</v>
      </c>
    </row>
    <row r="1145">
      <c r="A1145" s="68">
        <v>46061.0</v>
      </c>
      <c r="B1145" s="62" t="s">
        <v>76</v>
      </c>
      <c r="C1145" s="62" t="s">
        <v>165</v>
      </c>
      <c r="D1145" s="62">
        <v>1.0</v>
      </c>
      <c r="E1145" s="62">
        <v>0.0</v>
      </c>
      <c r="F1145" s="62">
        <v>2.0</v>
      </c>
      <c r="G1145" s="62">
        <v>0.0</v>
      </c>
      <c r="H1145" s="62">
        <v>0.0</v>
      </c>
      <c r="I1145" s="62">
        <v>0.0</v>
      </c>
      <c r="J1145" s="62">
        <v>0.0</v>
      </c>
      <c r="K1145" s="62">
        <v>0.0</v>
      </c>
      <c r="L1145" s="62">
        <v>0.0</v>
      </c>
      <c r="M1145" s="62">
        <v>0.0</v>
      </c>
      <c r="N1145" s="62">
        <v>0.0</v>
      </c>
      <c r="O1145" s="62">
        <v>1.0</v>
      </c>
      <c r="P1145" s="62">
        <v>0.0</v>
      </c>
      <c r="Q1145" s="62">
        <v>0.0</v>
      </c>
      <c r="R1145" s="62">
        <v>2628.0</v>
      </c>
      <c r="S1145" s="62">
        <v>0.0</v>
      </c>
      <c r="T1145" s="62">
        <v>0.0</v>
      </c>
      <c r="U1145" s="62">
        <v>0.689722222222222</v>
      </c>
      <c r="V1145" s="62">
        <v>0.0</v>
      </c>
      <c r="W1145" s="62">
        <v>0.0</v>
      </c>
      <c r="X1145" s="62">
        <v>0.0</v>
      </c>
      <c r="Y1145" s="62">
        <v>0.0</v>
      </c>
      <c r="Z1145" s="62">
        <v>0.0</v>
      </c>
      <c r="AA1145" s="62">
        <v>0.0</v>
      </c>
      <c r="AB1145" s="62">
        <v>0.0</v>
      </c>
      <c r="AC1145" s="62">
        <v>0.0</v>
      </c>
      <c r="AD1145" s="62">
        <v>0.250555555555555</v>
      </c>
      <c r="AE1145" s="62">
        <v>0.0</v>
      </c>
      <c r="AF1145" s="62">
        <v>0.0</v>
      </c>
    </row>
    <row r="1146">
      <c r="A1146" s="68">
        <v>46061.0</v>
      </c>
      <c r="B1146" s="62" t="s">
        <v>93</v>
      </c>
      <c r="C1146" s="62" t="s">
        <v>182</v>
      </c>
      <c r="D1146" s="62">
        <v>1.0</v>
      </c>
      <c r="E1146" s="62">
        <v>0.0</v>
      </c>
      <c r="F1146" s="62">
        <v>0.0</v>
      </c>
      <c r="G1146" s="62">
        <v>0.0</v>
      </c>
      <c r="H1146" s="62">
        <v>0.0</v>
      </c>
      <c r="I1146" s="62">
        <v>0.0</v>
      </c>
      <c r="J1146" s="62">
        <v>0.0</v>
      </c>
      <c r="K1146" s="62">
        <v>0.0</v>
      </c>
      <c r="L1146" s="62">
        <v>0.0</v>
      </c>
      <c r="M1146" s="62">
        <v>0.0</v>
      </c>
      <c r="N1146" s="62">
        <v>0.0</v>
      </c>
      <c r="O1146" s="62">
        <v>0.0</v>
      </c>
      <c r="P1146" s="62">
        <v>0.0</v>
      </c>
      <c r="Q1146" s="62">
        <v>0.0</v>
      </c>
      <c r="R1146" s="62">
        <v>2514.0</v>
      </c>
      <c r="S1146" s="62">
        <v>0.0</v>
      </c>
      <c r="T1146" s="62">
        <v>0.0</v>
      </c>
      <c r="U1146" s="62">
        <v>0.0</v>
      </c>
      <c r="V1146" s="62">
        <v>0.0</v>
      </c>
      <c r="W1146" s="62">
        <v>0.0</v>
      </c>
      <c r="X1146" s="62">
        <v>0.0</v>
      </c>
      <c r="Y1146" s="62">
        <v>0.0</v>
      </c>
      <c r="Z1146" s="62">
        <v>0.0</v>
      </c>
      <c r="AA1146" s="62">
        <v>0.0</v>
      </c>
      <c r="AB1146" s="62">
        <v>0.0</v>
      </c>
      <c r="AC1146" s="62">
        <v>0.0</v>
      </c>
      <c r="AD1146" s="62">
        <v>0.0</v>
      </c>
      <c r="AE1146" s="62">
        <v>0.0</v>
      </c>
      <c r="AF1146" s="62">
        <v>0.0</v>
      </c>
    </row>
    <row r="1147">
      <c r="A1147" s="68">
        <v>46061.0</v>
      </c>
      <c r="B1147" s="62" t="s">
        <v>62</v>
      </c>
      <c r="C1147" s="62" t="s">
        <v>63</v>
      </c>
      <c r="D1147" s="62">
        <v>11.0</v>
      </c>
      <c r="E1147" s="62">
        <v>0.0</v>
      </c>
      <c r="F1147" s="62">
        <v>0.0</v>
      </c>
      <c r="G1147" s="62">
        <v>0.0</v>
      </c>
      <c r="H1147" s="62">
        <v>0.0</v>
      </c>
      <c r="I1147" s="62">
        <v>0.0</v>
      </c>
      <c r="J1147" s="62">
        <v>0.0</v>
      </c>
      <c r="K1147" s="62">
        <v>0.0</v>
      </c>
      <c r="L1147" s="62">
        <v>0.0</v>
      </c>
      <c r="M1147" s="62">
        <v>0.0</v>
      </c>
      <c r="N1147" s="62">
        <v>0.0</v>
      </c>
      <c r="O1147" s="62">
        <v>0.0</v>
      </c>
      <c r="P1147" s="62">
        <v>0.0</v>
      </c>
      <c r="Q1147" s="62">
        <v>0.0</v>
      </c>
      <c r="R1147" s="62">
        <v>26609.0</v>
      </c>
      <c r="S1147" s="62">
        <v>0.0</v>
      </c>
      <c r="T1147" s="62">
        <v>0.0</v>
      </c>
      <c r="U1147" s="62">
        <v>0.0</v>
      </c>
      <c r="V1147" s="62">
        <v>0.0</v>
      </c>
      <c r="W1147" s="62">
        <v>0.0</v>
      </c>
      <c r="X1147" s="62">
        <v>0.0</v>
      </c>
      <c r="Y1147" s="62">
        <v>0.0</v>
      </c>
      <c r="Z1147" s="62">
        <v>0.0</v>
      </c>
      <c r="AA1147" s="62">
        <v>0.0</v>
      </c>
      <c r="AB1147" s="62">
        <v>0.0</v>
      </c>
      <c r="AC1147" s="62">
        <v>0.0</v>
      </c>
      <c r="AD1147" s="62">
        <v>0.0</v>
      </c>
      <c r="AE1147" s="62">
        <v>0.0</v>
      </c>
      <c r="AF1147" s="62">
        <v>0.0</v>
      </c>
    </row>
    <row r="1148">
      <c r="A1148" s="68">
        <v>46060.0</v>
      </c>
      <c r="B1148" s="62" t="s">
        <v>76</v>
      </c>
      <c r="C1148" s="62" t="s">
        <v>165</v>
      </c>
      <c r="D1148" s="62">
        <v>0.0</v>
      </c>
      <c r="E1148" s="62">
        <v>0.0</v>
      </c>
      <c r="F1148" s="62">
        <v>0.0</v>
      </c>
      <c r="G1148" s="62">
        <v>0.0</v>
      </c>
      <c r="H1148" s="62">
        <v>0.0</v>
      </c>
      <c r="I1148" s="62">
        <v>0.0</v>
      </c>
      <c r="J1148" s="62">
        <v>1.0</v>
      </c>
      <c r="K1148" s="62">
        <v>0.0</v>
      </c>
      <c r="L1148" s="62">
        <v>0.0</v>
      </c>
      <c r="M1148" s="62">
        <v>2.0</v>
      </c>
      <c r="N1148" s="62">
        <v>7.0</v>
      </c>
      <c r="O1148" s="62">
        <v>1.0</v>
      </c>
      <c r="P1148" s="62">
        <v>7.0</v>
      </c>
      <c r="Q1148" s="62">
        <v>0.0</v>
      </c>
      <c r="R1148" s="62">
        <v>0.0</v>
      </c>
      <c r="S1148" s="62">
        <v>0.0</v>
      </c>
      <c r="T1148" s="62">
        <v>0.0</v>
      </c>
      <c r="U1148" s="62">
        <v>0.0</v>
      </c>
      <c r="V1148" s="62">
        <v>0.0</v>
      </c>
      <c r="W1148" s="62">
        <v>0.0</v>
      </c>
      <c r="X1148" s="62">
        <v>0.0</v>
      </c>
      <c r="Y1148" s="62">
        <v>0.247777777777777</v>
      </c>
      <c r="Z1148" s="62">
        <v>0.0</v>
      </c>
      <c r="AA1148" s="62">
        <v>0.0</v>
      </c>
      <c r="AB1148" s="62">
        <v>0.493333333333333</v>
      </c>
      <c r="AC1148" s="62">
        <v>1.71388888888888</v>
      </c>
      <c r="AD1148" s="62">
        <v>0.258055555555555</v>
      </c>
      <c r="AE1148" s="62">
        <v>1.71388888888888</v>
      </c>
      <c r="AF1148" s="62">
        <v>0.0</v>
      </c>
    </row>
    <row r="1149">
      <c r="A1149" s="68">
        <v>46060.0</v>
      </c>
      <c r="B1149" s="62" t="s">
        <v>32</v>
      </c>
      <c r="C1149" s="62" t="s">
        <v>168</v>
      </c>
      <c r="D1149" s="62">
        <v>0.0</v>
      </c>
      <c r="E1149" s="62">
        <v>2.0</v>
      </c>
      <c r="F1149" s="62">
        <v>0.0</v>
      </c>
      <c r="G1149" s="62">
        <v>0.0</v>
      </c>
      <c r="H1149" s="62">
        <v>0.0</v>
      </c>
      <c r="I1149" s="62">
        <v>0.0</v>
      </c>
      <c r="J1149" s="62">
        <v>0.0</v>
      </c>
      <c r="K1149" s="62">
        <v>0.0</v>
      </c>
      <c r="L1149" s="62">
        <v>0.0</v>
      </c>
      <c r="M1149" s="62">
        <v>0.0</v>
      </c>
      <c r="N1149" s="62">
        <v>0.0</v>
      </c>
      <c r="O1149" s="62">
        <v>1.0</v>
      </c>
      <c r="P1149" s="62">
        <v>0.0</v>
      </c>
      <c r="Q1149" s="62">
        <v>0.0</v>
      </c>
      <c r="R1149" s="62">
        <v>0.0</v>
      </c>
      <c r="S1149" s="62">
        <v>5232.0</v>
      </c>
      <c r="T1149" s="62">
        <v>0.0</v>
      </c>
      <c r="U1149" s="62">
        <v>0.0</v>
      </c>
      <c r="V1149" s="62">
        <v>0.0</v>
      </c>
      <c r="W1149" s="62">
        <v>0.0</v>
      </c>
      <c r="X1149" s="62">
        <v>0.0</v>
      </c>
      <c r="Y1149" s="62">
        <v>0.0</v>
      </c>
      <c r="Z1149" s="62">
        <v>0.0</v>
      </c>
      <c r="AA1149" s="62">
        <v>0.0</v>
      </c>
      <c r="AB1149" s="62">
        <v>0.0</v>
      </c>
      <c r="AC1149" s="62">
        <v>0.0</v>
      </c>
      <c r="AD1149" s="62">
        <v>0.244444444444444</v>
      </c>
      <c r="AE1149" s="62">
        <v>0.0</v>
      </c>
      <c r="AF1149" s="62">
        <v>0.0</v>
      </c>
    </row>
    <row r="1150">
      <c r="A1150" s="68">
        <v>46060.0</v>
      </c>
      <c r="B1150" s="62" t="s">
        <v>37</v>
      </c>
      <c r="C1150" s="62" t="s">
        <v>174</v>
      </c>
      <c r="D1150" s="62">
        <v>0.0</v>
      </c>
      <c r="E1150" s="62">
        <v>0.0</v>
      </c>
      <c r="F1150" s="62">
        <v>0.0</v>
      </c>
      <c r="G1150" s="62">
        <v>4.0</v>
      </c>
      <c r="H1150" s="62">
        <v>4.0</v>
      </c>
      <c r="I1150" s="62">
        <v>0.0</v>
      </c>
      <c r="J1150" s="62">
        <v>2.0</v>
      </c>
      <c r="K1150" s="62">
        <v>0.0</v>
      </c>
      <c r="L1150" s="62">
        <v>0.0</v>
      </c>
      <c r="M1150" s="62">
        <v>0.0</v>
      </c>
      <c r="N1150" s="62">
        <v>0.0</v>
      </c>
      <c r="O1150" s="62">
        <v>1.0</v>
      </c>
      <c r="P1150" s="62">
        <v>0.0</v>
      </c>
      <c r="Q1150" s="62">
        <v>0.0</v>
      </c>
      <c r="R1150" s="62">
        <v>0.0</v>
      </c>
      <c r="S1150" s="62">
        <v>0.0</v>
      </c>
      <c r="T1150" s="62">
        <v>1.41555555555555</v>
      </c>
      <c r="U1150" s="62">
        <v>0.0</v>
      </c>
      <c r="V1150" s="62">
        <v>0.991111111111111</v>
      </c>
      <c r="W1150" s="62">
        <v>0.991111111111111</v>
      </c>
      <c r="X1150" s="62">
        <v>0.0</v>
      </c>
      <c r="Y1150" s="62">
        <v>0.494166666666666</v>
      </c>
      <c r="Z1150" s="62">
        <v>0.0</v>
      </c>
      <c r="AA1150" s="62">
        <v>0.0</v>
      </c>
      <c r="AB1150" s="62">
        <v>0.0</v>
      </c>
      <c r="AC1150" s="62">
        <v>0.0</v>
      </c>
      <c r="AD1150" s="62">
        <v>0.241388888888888</v>
      </c>
      <c r="AE1150" s="62">
        <v>0.0</v>
      </c>
      <c r="AF1150" s="62">
        <v>5.0</v>
      </c>
    </row>
    <row r="1151">
      <c r="A1151" s="68">
        <v>46060.0</v>
      </c>
      <c r="B1151" s="62" t="s">
        <v>81</v>
      </c>
      <c r="C1151" s="62" t="s">
        <v>187</v>
      </c>
      <c r="D1151" s="62">
        <v>0.0</v>
      </c>
      <c r="E1151" s="62">
        <v>2.0</v>
      </c>
      <c r="F1151" s="62">
        <v>0.0</v>
      </c>
      <c r="G1151" s="62">
        <v>0.0</v>
      </c>
      <c r="H1151" s="62">
        <v>0.0</v>
      </c>
      <c r="I1151" s="62">
        <v>0.0</v>
      </c>
      <c r="J1151" s="62">
        <v>0.0</v>
      </c>
      <c r="K1151" s="62">
        <v>0.0</v>
      </c>
      <c r="L1151" s="62">
        <v>0.0</v>
      </c>
      <c r="M1151" s="62">
        <v>0.0</v>
      </c>
      <c r="N1151" s="62">
        <v>0.0</v>
      </c>
      <c r="O1151" s="62">
        <v>0.0</v>
      </c>
      <c r="P1151" s="62">
        <v>0.0</v>
      </c>
      <c r="Q1151" s="62">
        <v>0.0</v>
      </c>
      <c r="R1151" s="62">
        <v>0.0</v>
      </c>
      <c r="S1151" s="62">
        <v>4333.0</v>
      </c>
      <c r="T1151" s="62">
        <v>0.0</v>
      </c>
      <c r="U1151" s="62">
        <v>0.0</v>
      </c>
      <c r="V1151" s="62">
        <v>0.0</v>
      </c>
      <c r="W1151" s="62">
        <v>0.0</v>
      </c>
      <c r="X1151" s="62">
        <v>0.0</v>
      </c>
      <c r="Y1151" s="62">
        <v>0.0</v>
      </c>
      <c r="Z1151" s="62">
        <v>0.0</v>
      </c>
      <c r="AA1151" s="62">
        <v>0.0</v>
      </c>
      <c r="AB1151" s="62">
        <v>0.0</v>
      </c>
      <c r="AC1151" s="62">
        <v>0.0</v>
      </c>
      <c r="AD1151" s="62">
        <v>0.0</v>
      </c>
      <c r="AE1151" s="62">
        <v>0.0</v>
      </c>
      <c r="AF1151" s="62">
        <v>0.0</v>
      </c>
    </row>
    <row r="1152">
      <c r="A1152" s="68">
        <v>46060.0</v>
      </c>
      <c r="B1152" s="62" t="s">
        <v>26</v>
      </c>
      <c r="C1152" s="62" t="s">
        <v>178</v>
      </c>
      <c r="D1152" s="62">
        <v>0.0</v>
      </c>
      <c r="E1152" s="62">
        <v>0.0</v>
      </c>
      <c r="F1152" s="62">
        <v>0.0</v>
      </c>
      <c r="G1152" s="62">
        <v>0.0</v>
      </c>
      <c r="H1152" s="62">
        <v>0.0</v>
      </c>
      <c r="I1152" s="62">
        <v>0.0</v>
      </c>
      <c r="J1152" s="62">
        <v>0.0</v>
      </c>
      <c r="K1152" s="62">
        <v>0.0</v>
      </c>
      <c r="L1152" s="62">
        <v>0.0</v>
      </c>
      <c r="M1152" s="62">
        <v>2.0</v>
      </c>
      <c r="N1152" s="62">
        <v>9.0</v>
      </c>
      <c r="O1152" s="62">
        <v>1.0</v>
      </c>
      <c r="P1152" s="62">
        <v>9.0</v>
      </c>
      <c r="Q1152" s="62">
        <v>0.0</v>
      </c>
      <c r="R1152" s="62">
        <v>0.0</v>
      </c>
      <c r="S1152" s="62">
        <v>0.0</v>
      </c>
      <c r="T1152" s="62">
        <v>0.0</v>
      </c>
      <c r="U1152" s="62">
        <v>0.0</v>
      </c>
      <c r="V1152" s="62">
        <v>0.0</v>
      </c>
      <c r="W1152" s="62">
        <v>0.0</v>
      </c>
      <c r="X1152" s="62">
        <v>0.0</v>
      </c>
      <c r="Y1152" s="62">
        <v>0.0</v>
      </c>
      <c r="Z1152" s="62">
        <v>0.0</v>
      </c>
      <c r="AA1152" s="62">
        <v>0.0</v>
      </c>
      <c r="AB1152" s="62">
        <v>0.385</v>
      </c>
      <c r="AC1152" s="62">
        <v>1.75555555555555</v>
      </c>
      <c r="AD1152" s="62">
        <v>0.184166666666666</v>
      </c>
      <c r="AE1152" s="62">
        <v>1.75555555555555</v>
      </c>
      <c r="AF1152" s="62">
        <v>0.0</v>
      </c>
    </row>
    <row r="1153">
      <c r="A1153" s="68">
        <v>46060.0</v>
      </c>
      <c r="B1153" s="62" t="s">
        <v>62</v>
      </c>
      <c r="C1153" s="62" t="s">
        <v>63</v>
      </c>
      <c r="D1153" s="62">
        <v>2.0</v>
      </c>
      <c r="E1153" s="62">
        <v>6.0</v>
      </c>
      <c r="F1153" s="62">
        <v>0.0</v>
      </c>
      <c r="G1153" s="62">
        <v>1.0</v>
      </c>
      <c r="H1153" s="62">
        <v>1.0</v>
      </c>
      <c r="I1153" s="62">
        <v>0.0</v>
      </c>
      <c r="J1153" s="62">
        <v>4.0</v>
      </c>
      <c r="K1153" s="62">
        <v>1.0</v>
      </c>
      <c r="L1153" s="62">
        <v>2.0</v>
      </c>
      <c r="M1153" s="62">
        <v>3.0</v>
      </c>
      <c r="N1153" s="62">
        <v>0.0</v>
      </c>
      <c r="O1153" s="62">
        <v>0.0</v>
      </c>
      <c r="P1153" s="62">
        <v>0.0</v>
      </c>
      <c r="Q1153" s="62">
        <v>0.0</v>
      </c>
      <c r="R1153" s="62">
        <v>5583.0</v>
      </c>
      <c r="S1153" s="62">
        <v>15599.0</v>
      </c>
      <c r="T1153" s="62">
        <v>0.638333333333333</v>
      </c>
      <c r="U1153" s="62">
        <v>0.0</v>
      </c>
      <c r="V1153" s="62">
        <v>0.251388888888888</v>
      </c>
      <c r="W1153" s="62">
        <v>0.251388888888888</v>
      </c>
      <c r="X1153" s="62">
        <v>0.0</v>
      </c>
      <c r="Y1153" s="62">
        <v>0.966111111111111</v>
      </c>
      <c r="Z1153" s="62">
        <v>0.220277777777777</v>
      </c>
      <c r="AA1153" s="62">
        <v>0.498333333333333</v>
      </c>
      <c r="AB1153" s="62">
        <v>0.704166666666666</v>
      </c>
      <c r="AC1153" s="62">
        <v>0.0</v>
      </c>
      <c r="AD1153" s="62">
        <v>0.0</v>
      </c>
      <c r="AE1153" s="62">
        <v>0.0</v>
      </c>
      <c r="AF1153" s="62">
        <v>3.0</v>
      </c>
    </row>
    <row r="1154">
      <c r="A1154" s="68">
        <v>46059.0</v>
      </c>
      <c r="B1154" s="62" t="s">
        <v>79</v>
      </c>
      <c r="C1154" s="62" t="s">
        <v>162</v>
      </c>
      <c r="D1154" s="62">
        <v>1.0</v>
      </c>
      <c r="E1154" s="62">
        <v>5.0</v>
      </c>
      <c r="F1154" s="62">
        <v>0.0</v>
      </c>
      <c r="G1154" s="62">
        <v>0.0</v>
      </c>
      <c r="H1154" s="62">
        <v>0.0</v>
      </c>
      <c r="I1154" s="62">
        <v>0.0</v>
      </c>
      <c r="J1154" s="62">
        <v>0.0</v>
      </c>
      <c r="K1154" s="62">
        <v>0.0</v>
      </c>
      <c r="L1154" s="62">
        <v>0.0</v>
      </c>
      <c r="M1154" s="62">
        <v>0.0</v>
      </c>
      <c r="N1154" s="62">
        <v>0.0</v>
      </c>
      <c r="O1154" s="62">
        <v>0.0</v>
      </c>
      <c r="P1154" s="62">
        <v>0.0</v>
      </c>
      <c r="Q1154" s="62">
        <v>0.0</v>
      </c>
      <c r="R1154" s="62">
        <v>2065.0</v>
      </c>
      <c r="S1154" s="62">
        <v>10963.0</v>
      </c>
      <c r="T1154" s="62">
        <v>0.0</v>
      </c>
      <c r="U1154" s="62">
        <v>0.0</v>
      </c>
      <c r="V1154" s="62">
        <v>0.0</v>
      </c>
      <c r="W1154" s="62">
        <v>0.0</v>
      </c>
      <c r="X1154" s="62">
        <v>0.0</v>
      </c>
      <c r="Y1154" s="62">
        <v>0.0</v>
      </c>
      <c r="Z1154" s="62">
        <v>0.0</v>
      </c>
      <c r="AA1154" s="62">
        <v>0.0</v>
      </c>
      <c r="AB1154" s="62">
        <v>0.0</v>
      </c>
      <c r="AC1154" s="62">
        <v>0.0</v>
      </c>
      <c r="AD1154" s="62">
        <v>0.0</v>
      </c>
      <c r="AE1154" s="62">
        <v>0.0</v>
      </c>
      <c r="AF1154" s="62">
        <v>0.0</v>
      </c>
    </row>
    <row r="1155">
      <c r="A1155" s="68">
        <v>46059.0</v>
      </c>
      <c r="B1155" s="62" t="s">
        <v>71</v>
      </c>
      <c r="C1155" s="62" t="s">
        <v>163</v>
      </c>
      <c r="D1155" s="62">
        <v>5.0</v>
      </c>
      <c r="E1155" s="62">
        <v>0.0</v>
      </c>
      <c r="F1155" s="62">
        <v>2.0</v>
      </c>
      <c r="G1155" s="62">
        <v>3.0</v>
      </c>
      <c r="H1155" s="62">
        <v>3.0</v>
      </c>
      <c r="I1155" s="62">
        <v>0.0</v>
      </c>
      <c r="J1155" s="62">
        <v>3.0</v>
      </c>
      <c r="K1155" s="62">
        <v>0.0</v>
      </c>
      <c r="L1155" s="62">
        <v>0.0</v>
      </c>
      <c r="M1155" s="62">
        <v>3.0</v>
      </c>
      <c r="N1155" s="62">
        <v>7.0</v>
      </c>
      <c r="O1155" s="62">
        <v>1.0</v>
      </c>
      <c r="P1155" s="62">
        <v>7.0</v>
      </c>
      <c r="Q1155" s="62">
        <v>0.0</v>
      </c>
      <c r="R1155" s="62">
        <v>15887.0</v>
      </c>
      <c r="S1155" s="62">
        <v>0.0</v>
      </c>
      <c r="T1155" s="62">
        <v>0.583888888888888</v>
      </c>
      <c r="U1155" s="62">
        <v>0.583888888888888</v>
      </c>
      <c r="V1155" s="62">
        <v>0.837777777777777</v>
      </c>
      <c r="W1155" s="62">
        <v>0.837777777777777</v>
      </c>
      <c r="X1155" s="62">
        <v>0.0</v>
      </c>
      <c r="Y1155" s="62">
        <v>0.837777777777777</v>
      </c>
      <c r="Z1155" s="62">
        <v>0.0</v>
      </c>
      <c r="AA1155" s="62">
        <v>0.0</v>
      </c>
      <c r="AB1155" s="62">
        <v>0.823333333333333</v>
      </c>
      <c r="AC1155" s="62">
        <v>1.96444444444444</v>
      </c>
      <c r="AD1155" s="62">
        <v>0.267777777777777</v>
      </c>
      <c r="AE1155" s="62">
        <v>1.96444444444444</v>
      </c>
      <c r="AF1155" s="62">
        <v>2.0</v>
      </c>
    </row>
    <row r="1156">
      <c r="A1156" s="68">
        <v>46059.0</v>
      </c>
      <c r="B1156" s="62" t="s">
        <v>76</v>
      </c>
      <c r="C1156" s="62" t="s">
        <v>165</v>
      </c>
      <c r="D1156" s="62">
        <v>21.0</v>
      </c>
      <c r="E1156" s="62">
        <v>8.0</v>
      </c>
      <c r="F1156" s="62">
        <v>2.0</v>
      </c>
      <c r="G1156" s="62">
        <v>8.0</v>
      </c>
      <c r="H1156" s="62">
        <v>9.0</v>
      </c>
      <c r="I1156" s="62">
        <v>1.0</v>
      </c>
      <c r="J1156" s="62">
        <v>7.0</v>
      </c>
      <c r="K1156" s="62">
        <v>1.0</v>
      </c>
      <c r="L1156" s="62">
        <v>2.0</v>
      </c>
      <c r="M1156" s="62">
        <v>8.0</v>
      </c>
      <c r="N1156" s="62">
        <v>8.0</v>
      </c>
      <c r="O1156" s="62">
        <v>1.0</v>
      </c>
      <c r="P1156" s="62">
        <v>8.0</v>
      </c>
      <c r="Q1156" s="62">
        <v>0.0</v>
      </c>
      <c r="R1156" s="62">
        <v>60358.0</v>
      </c>
      <c r="S1156" s="62">
        <v>26569.0</v>
      </c>
      <c r="T1156" s="62">
        <v>1.44555555555555</v>
      </c>
      <c r="U1156" s="62">
        <v>0.49</v>
      </c>
      <c r="V1156" s="62">
        <v>1.94499999999999</v>
      </c>
      <c r="W1156" s="62">
        <v>2.21083333333333</v>
      </c>
      <c r="X1156" s="62">
        <v>0.265833333333333</v>
      </c>
      <c r="Y1156" s="62">
        <v>1.69722222222222</v>
      </c>
      <c r="Z1156" s="62">
        <v>0.245555555555555</v>
      </c>
      <c r="AA1156" s="62">
        <v>0.523333333333333</v>
      </c>
      <c r="AB1156" s="62">
        <v>1.975</v>
      </c>
      <c r="AC1156" s="62">
        <v>1.99638888888888</v>
      </c>
      <c r="AD1156" s="62">
        <v>0.265555555555555</v>
      </c>
      <c r="AE1156" s="62">
        <v>1.99638888888888</v>
      </c>
      <c r="AF1156" s="62">
        <v>5.0</v>
      </c>
    </row>
    <row r="1157">
      <c r="A1157" s="68">
        <v>46059.0</v>
      </c>
      <c r="B1157" s="62" t="s">
        <v>32</v>
      </c>
      <c r="C1157" s="62" t="s">
        <v>168</v>
      </c>
      <c r="D1157" s="62">
        <v>0.0</v>
      </c>
      <c r="E1157" s="62">
        <v>0.0</v>
      </c>
      <c r="F1157" s="62">
        <v>0.0</v>
      </c>
      <c r="G1157" s="62">
        <v>0.0</v>
      </c>
      <c r="H1157" s="62">
        <v>0.0</v>
      </c>
      <c r="I1157" s="62">
        <v>0.0</v>
      </c>
      <c r="J1157" s="62">
        <v>0.0</v>
      </c>
      <c r="K1157" s="62">
        <v>0.0</v>
      </c>
      <c r="L1157" s="62">
        <v>0.0</v>
      </c>
      <c r="M1157" s="62">
        <v>1.0</v>
      </c>
      <c r="N1157" s="62">
        <v>16.0</v>
      </c>
      <c r="O1157" s="62">
        <v>1.0</v>
      </c>
      <c r="P1157" s="62">
        <v>16.0</v>
      </c>
      <c r="Q1157" s="62">
        <v>0.0</v>
      </c>
      <c r="R1157" s="62">
        <v>0.0</v>
      </c>
      <c r="S1157" s="62">
        <v>0.0</v>
      </c>
      <c r="T1157" s="62">
        <v>0.0</v>
      </c>
      <c r="U1157" s="62">
        <v>0.0</v>
      </c>
      <c r="V1157" s="62">
        <v>0.0</v>
      </c>
      <c r="W1157" s="62">
        <v>0.0</v>
      </c>
      <c r="X1157" s="62">
        <v>0.0</v>
      </c>
      <c r="Y1157" s="62">
        <v>0.0</v>
      </c>
      <c r="Z1157" s="62">
        <v>0.0</v>
      </c>
      <c r="AA1157" s="62">
        <v>0.0</v>
      </c>
      <c r="AB1157" s="62">
        <v>0.256388888888888</v>
      </c>
      <c r="AC1157" s="62">
        <v>4.10972222222222</v>
      </c>
      <c r="AD1157" s="62">
        <v>0.187222222222222</v>
      </c>
      <c r="AE1157" s="62">
        <v>4.10972222222222</v>
      </c>
      <c r="AF1157" s="62">
        <v>0.0</v>
      </c>
    </row>
    <row r="1158">
      <c r="A1158" s="68">
        <v>46059.0</v>
      </c>
      <c r="B1158" s="62" t="s">
        <v>37</v>
      </c>
      <c r="C1158" s="62" t="s">
        <v>174</v>
      </c>
      <c r="D1158" s="62">
        <v>0.0</v>
      </c>
      <c r="E1158" s="62">
        <v>2.0</v>
      </c>
      <c r="F1158" s="62">
        <v>4.0</v>
      </c>
      <c r="G1158" s="62">
        <v>0.0</v>
      </c>
      <c r="H1158" s="62">
        <v>2.0</v>
      </c>
      <c r="I1158" s="62">
        <v>2.0</v>
      </c>
      <c r="J1158" s="62">
        <v>0.0</v>
      </c>
      <c r="K1158" s="62">
        <v>0.0</v>
      </c>
      <c r="L1158" s="62">
        <v>0.0</v>
      </c>
      <c r="M1158" s="62">
        <v>0.0</v>
      </c>
      <c r="N1158" s="62">
        <v>3.0</v>
      </c>
      <c r="O1158" s="62">
        <v>1.0</v>
      </c>
      <c r="P1158" s="62">
        <v>3.0</v>
      </c>
      <c r="Q1158" s="62">
        <v>0.0</v>
      </c>
      <c r="R1158" s="62">
        <v>0.0</v>
      </c>
      <c r="S1158" s="62">
        <v>4680.0</v>
      </c>
      <c r="T1158" s="62">
        <v>0.0</v>
      </c>
      <c r="U1158" s="62">
        <v>1.0775</v>
      </c>
      <c r="V1158" s="62">
        <v>0.0</v>
      </c>
      <c r="W1158" s="62">
        <v>0.493055555555555</v>
      </c>
      <c r="X1158" s="62">
        <v>0.493055555555555</v>
      </c>
      <c r="Y1158" s="62">
        <v>0.0</v>
      </c>
      <c r="Z1158" s="62">
        <v>0.0</v>
      </c>
      <c r="AA1158" s="62">
        <v>0.0</v>
      </c>
      <c r="AB1158" s="62">
        <v>0.0</v>
      </c>
      <c r="AC1158" s="62">
        <v>0.768055555555555</v>
      </c>
      <c r="AD1158" s="62">
        <v>0.252222222222222</v>
      </c>
      <c r="AE1158" s="62">
        <v>0.768055555555555</v>
      </c>
      <c r="AF1158" s="62">
        <v>0.0</v>
      </c>
    </row>
    <row r="1159">
      <c r="A1159" s="68">
        <v>46059.0</v>
      </c>
      <c r="B1159" s="62" t="s">
        <v>81</v>
      </c>
      <c r="C1159" s="62" t="s">
        <v>187</v>
      </c>
      <c r="D1159" s="62">
        <v>1.0</v>
      </c>
      <c r="E1159" s="62">
        <v>0.0</v>
      </c>
      <c r="F1159" s="62">
        <v>3.0</v>
      </c>
      <c r="G1159" s="62">
        <v>0.0</v>
      </c>
      <c r="H1159" s="62">
        <v>3.0</v>
      </c>
      <c r="I1159" s="62">
        <v>3.0</v>
      </c>
      <c r="J1159" s="62">
        <v>0.0</v>
      </c>
      <c r="K1159" s="62">
        <v>0.0</v>
      </c>
      <c r="L1159" s="62">
        <v>0.0</v>
      </c>
      <c r="M1159" s="62">
        <v>0.0</v>
      </c>
      <c r="N1159" s="62">
        <v>0.0</v>
      </c>
      <c r="O1159" s="62">
        <v>0.0</v>
      </c>
      <c r="P1159" s="62">
        <v>0.0</v>
      </c>
      <c r="Q1159" s="62">
        <v>0.0</v>
      </c>
      <c r="R1159" s="62">
        <v>2363.0</v>
      </c>
      <c r="S1159" s="62">
        <v>0.0</v>
      </c>
      <c r="T1159" s="62">
        <v>1.05027777777777</v>
      </c>
      <c r="U1159" s="62">
        <v>0.678055555555555</v>
      </c>
      <c r="V1159" s="62">
        <v>0.0</v>
      </c>
      <c r="W1159" s="62">
        <v>0.639722222222222</v>
      </c>
      <c r="X1159" s="62">
        <v>0.639722222222222</v>
      </c>
      <c r="Y1159" s="62">
        <v>0.0</v>
      </c>
      <c r="Z1159" s="62">
        <v>0.0</v>
      </c>
      <c r="AA1159" s="62">
        <v>0.0</v>
      </c>
      <c r="AB1159" s="62">
        <v>0.0</v>
      </c>
      <c r="AC1159" s="62">
        <v>0.0</v>
      </c>
      <c r="AD1159" s="62">
        <v>0.0</v>
      </c>
      <c r="AE1159" s="62">
        <v>0.0</v>
      </c>
      <c r="AF1159" s="62">
        <v>5.0</v>
      </c>
    </row>
    <row r="1160">
      <c r="A1160" s="68">
        <v>46059.0</v>
      </c>
      <c r="B1160" s="62" t="s">
        <v>26</v>
      </c>
      <c r="C1160" s="62" t="s">
        <v>178</v>
      </c>
      <c r="D1160" s="62">
        <v>7.0</v>
      </c>
      <c r="E1160" s="62">
        <v>1.0</v>
      </c>
      <c r="F1160" s="62">
        <v>1.0</v>
      </c>
      <c r="G1160" s="62">
        <v>3.0</v>
      </c>
      <c r="H1160" s="62">
        <v>5.0</v>
      </c>
      <c r="I1160" s="62">
        <v>2.0</v>
      </c>
      <c r="J1160" s="62">
        <v>6.0</v>
      </c>
      <c r="K1160" s="62">
        <v>2.0</v>
      </c>
      <c r="L1160" s="62">
        <v>0.0</v>
      </c>
      <c r="M1160" s="62">
        <v>8.0</v>
      </c>
      <c r="N1160" s="62">
        <v>6.0</v>
      </c>
      <c r="O1160" s="62">
        <v>1.0</v>
      </c>
      <c r="P1160" s="62">
        <v>6.0</v>
      </c>
      <c r="Q1160" s="62">
        <v>0.0</v>
      </c>
      <c r="R1160" s="62">
        <v>16225.0</v>
      </c>
      <c r="S1160" s="62">
        <v>2283.0</v>
      </c>
      <c r="T1160" s="62">
        <v>0.0</v>
      </c>
      <c r="U1160" s="62">
        <v>0.192777777777777</v>
      </c>
      <c r="V1160" s="62">
        <v>0.556111111111111</v>
      </c>
      <c r="W1160" s="62">
        <v>0.919166666666666</v>
      </c>
      <c r="X1160" s="62">
        <v>0.363055555555555</v>
      </c>
      <c r="Y1160" s="62">
        <v>1.14472222222222</v>
      </c>
      <c r="Z1160" s="62">
        <v>0.358055555555555</v>
      </c>
      <c r="AA1160" s="62">
        <v>0.0</v>
      </c>
      <c r="AB1160" s="62">
        <v>1.54611111111111</v>
      </c>
      <c r="AC1160" s="62">
        <v>1.12138888888888</v>
      </c>
      <c r="AD1160" s="62">
        <v>0.194166666666666</v>
      </c>
      <c r="AE1160" s="62">
        <v>1.12138888888888</v>
      </c>
      <c r="AF1160" s="62">
        <v>0.0</v>
      </c>
    </row>
    <row r="1161">
      <c r="A1161" s="68">
        <v>46059.0</v>
      </c>
      <c r="B1161" s="62" t="s">
        <v>62</v>
      </c>
      <c r="C1161" s="62" t="s">
        <v>63</v>
      </c>
      <c r="D1161" s="62">
        <v>1.0</v>
      </c>
      <c r="E1161" s="62">
        <v>0.0</v>
      </c>
      <c r="F1161" s="62">
        <v>1.0</v>
      </c>
      <c r="G1161" s="62">
        <v>1.0</v>
      </c>
      <c r="H1161" s="62">
        <v>3.0</v>
      </c>
      <c r="I1161" s="62">
        <v>2.0</v>
      </c>
      <c r="J1161" s="62">
        <v>2.0</v>
      </c>
      <c r="K1161" s="62">
        <v>2.0</v>
      </c>
      <c r="L1161" s="62">
        <v>0.0</v>
      </c>
      <c r="M1161" s="62">
        <v>0.0</v>
      </c>
      <c r="N1161" s="62">
        <v>0.0</v>
      </c>
      <c r="O1161" s="62">
        <v>0.0</v>
      </c>
      <c r="P1161" s="62">
        <v>0.0</v>
      </c>
      <c r="Q1161" s="62">
        <v>0.0</v>
      </c>
      <c r="R1161" s="62">
        <v>2708.0</v>
      </c>
      <c r="S1161" s="62">
        <v>0.0</v>
      </c>
      <c r="T1161" s="62">
        <v>0.0</v>
      </c>
      <c r="U1161" s="62">
        <v>0.214722222222222</v>
      </c>
      <c r="V1161" s="62">
        <v>0.234722222222222</v>
      </c>
      <c r="W1161" s="62">
        <v>0.665</v>
      </c>
      <c r="X1161" s="62">
        <v>0.430277777777777</v>
      </c>
      <c r="Y1161" s="62">
        <v>0.454999999999999</v>
      </c>
      <c r="Z1161" s="62">
        <v>0.483888888888888</v>
      </c>
      <c r="AA1161" s="62">
        <v>0.0</v>
      </c>
      <c r="AB1161" s="62">
        <v>0.0</v>
      </c>
      <c r="AC1161" s="62">
        <v>0.0</v>
      </c>
      <c r="AD1161" s="62">
        <v>0.0</v>
      </c>
      <c r="AE1161" s="62">
        <v>0.0</v>
      </c>
      <c r="AF1161" s="62">
        <v>0.0</v>
      </c>
    </row>
    <row r="1162">
      <c r="A1162" s="68">
        <v>46058.0</v>
      </c>
      <c r="B1162" s="62" t="s">
        <v>79</v>
      </c>
      <c r="C1162" s="62" t="s">
        <v>162</v>
      </c>
      <c r="D1162" s="62">
        <v>4.0</v>
      </c>
      <c r="E1162" s="62">
        <v>0.0</v>
      </c>
      <c r="F1162" s="62">
        <v>0.0</v>
      </c>
      <c r="G1162" s="62">
        <v>0.0</v>
      </c>
      <c r="H1162" s="62">
        <v>1.0</v>
      </c>
      <c r="I1162" s="62">
        <v>1.0</v>
      </c>
      <c r="J1162" s="62">
        <v>0.0</v>
      </c>
      <c r="K1162" s="62">
        <v>0.0</v>
      </c>
      <c r="L1162" s="62">
        <v>0.0</v>
      </c>
      <c r="M1162" s="62">
        <v>0.0</v>
      </c>
      <c r="N1162" s="62">
        <v>0.0</v>
      </c>
      <c r="O1162" s="62">
        <v>0.0</v>
      </c>
      <c r="P1162" s="62">
        <v>0.0</v>
      </c>
      <c r="Q1162" s="62">
        <v>0.0</v>
      </c>
      <c r="R1162" s="62">
        <v>8109.0</v>
      </c>
      <c r="S1162" s="62">
        <v>0.0</v>
      </c>
      <c r="T1162" s="62">
        <v>0.0</v>
      </c>
      <c r="U1162" s="62">
        <v>0.0</v>
      </c>
      <c r="V1162" s="62">
        <v>0.0</v>
      </c>
      <c r="W1162" s="62">
        <v>0.269444444444444</v>
      </c>
      <c r="X1162" s="62">
        <v>0.269444444444444</v>
      </c>
      <c r="Y1162" s="62">
        <v>0.0</v>
      </c>
      <c r="Z1162" s="62">
        <v>0.0</v>
      </c>
      <c r="AA1162" s="62">
        <v>0.0</v>
      </c>
      <c r="AB1162" s="62">
        <v>0.0</v>
      </c>
      <c r="AC1162" s="62">
        <v>0.0</v>
      </c>
      <c r="AD1162" s="62">
        <v>0.0</v>
      </c>
      <c r="AE1162" s="62">
        <v>0.0</v>
      </c>
      <c r="AF1162" s="62">
        <v>0.0</v>
      </c>
    </row>
    <row r="1163">
      <c r="A1163" s="68">
        <v>46058.0</v>
      </c>
      <c r="B1163" s="62" t="s">
        <v>71</v>
      </c>
      <c r="C1163" s="62" t="s">
        <v>163</v>
      </c>
      <c r="D1163" s="62">
        <v>5.0</v>
      </c>
      <c r="E1163" s="62">
        <v>0.0</v>
      </c>
      <c r="F1163" s="62">
        <v>4.0</v>
      </c>
      <c r="G1163" s="62">
        <v>2.0</v>
      </c>
      <c r="H1163" s="62">
        <v>3.0</v>
      </c>
      <c r="I1163" s="62">
        <v>1.0</v>
      </c>
      <c r="J1163" s="62">
        <v>3.0</v>
      </c>
      <c r="K1163" s="62">
        <v>0.0</v>
      </c>
      <c r="L1163" s="62">
        <v>0.0</v>
      </c>
      <c r="M1163" s="62">
        <v>5.0</v>
      </c>
      <c r="N1163" s="62">
        <v>1.0</v>
      </c>
      <c r="O1163" s="62">
        <v>1.0</v>
      </c>
      <c r="P1163" s="62">
        <v>1.0</v>
      </c>
      <c r="Q1163" s="62">
        <v>0.0</v>
      </c>
      <c r="R1163" s="62">
        <v>15710.0</v>
      </c>
      <c r="S1163" s="62">
        <v>0.0</v>
      </c>
      <c r="T1163" s="62">
        <v>1.37888888888888</v>
      </c>
      <c r="U1163" s="62">
        <v>1.11916666666666</v>
      </c>
      <c r="V1163" s="62">
        <v>0.573333333333333</v>
      </c>
      <c r="W1163" s="62">
        <v>0.833055555555555</v>
      </c>
      <c r="X1163" s="62">
        <v>0.259722222222222</v>
      </c>
      <c r="Y1163" s="62">
        <v>0.829999999999999</v>
      </c>
      <c r="Z1163" s="62">
        <v>0.0</v>
      </c>
      <c r="AA1163" s="62">
        <v>0.0</v>
      </c>
      <c r="AB1163" s="62">
        <v>1.42444444444444</v>
      </c>
      <c r="AC1163" s="62">
        <v>0.283333333333333</v>
      </c>
      <c r="AD1163" s="62">
        <v>0.289166666666666</v>
      </c>
      <c r="AE1163" s="62">
        <v>0.283333333333333</v>
      </c>
      <c r="AF1163" s="62">
        <v>5.0</v>
      </c>
    </row>
    <row r="1164">
      <c r="A1164" s="68">
        <v>46058.0</v>
      </c>
      <c r="B1164" s="62" t="s">
        <v>76</v>
      </c>
      <c r="C1164" s="62" t="s">
        <v>165</v>
      </c>
      <c r="D1164" s="62">
        <v>0.0</v>
      </c>
      <c r="E1164" s="62">
        <v>3.0</v>
      </c>
      <c r="F1164" s="62">
        <v>6.0</v>
      </c>
      <c r="G1164" s="62">
        <v>0.0</v>
      </c>
      <c r="H1164" s="62">
        <v>0.0</v>
      </c>
      <c r="I1164" s="62">
        <v>0.0</v>
      </c>
      <c r="J1164" s="62">
        <v>2.0</v>
      </c>
      <c r="K1164" s="62">
        <v>1.0</v>
      </c>
      <c r="L1164" s="62">
        <v>0.0</v>
      </c>
      <c r="M1164" s="62">
        <v>4.0</v>
      </c>
      <c r="N1164" s="62">
        <v>0.0</v>
      </c>
      <c r="O1164" s="62">
        <v>1.0</v>
      </c>
      <c r="P1164" s="62">
        <v>0.0</v>
      </c>
      <c r="Q1164" s="62">
        <v>0.0</v>
      </c>
      <c r="R1164" s="62">
        <v>0.0</v>
      </c>
      <c r="S1164" s="62">
        <v>8826.0</v>
      </c>
      <c r="T1164" s="62">
        <v>1.4875</v>
      </c>
      <c r="U1164" s="62">
        <v>1.48749999999999</v>
      </c>
      <c r="V1164" s="62">
        <v>0.0</v>
      </c>
      <c r="W1164" s="62">
        <v>0.0</v>
      </c>
      <c r="X1164" s="62">
        <v>0.0</v>
      </c>
      <c r="Y1164" s="62">
        <v>0.502222222222222</v>
      </c>
      <c r="Z1164" s="62">
        <v>0.265</v>
      </c>
      <c r="AA1164" s="62">
        <v>0.0</v>
      </c>
      <c r="AB1164" s="62">
        <v>0.986388888888889</v>
      </c>
      <c r="AC1164" s="62">
        <v>0.0</v>
      </c>
      <c r="AD1164" s="62">
        <v>0.227777777777777</v>
      </c>
      <c r="AE1164" s="62">
        <v>0.0</v>
      </c>
      <c r="AF1164" s="62">
        <v>6.0</v>
      </c>
    </row>
    <row r="1165">
      <c r="A1165" s="68">
        <v>46058.0</v>
      </c>
      <c r="B1165" s="62" t="s">
        <v>32</v>
      </c>
      <c r="C1165" s="62" t="s">
        <v>168</v>
      </c>
      <c r="D1165" s="62">
        <v>0.0</v>
      </c>
      <c r="E1165" s="62">
        <v>5.0</v>
      </c>
      <c r="F1165" s="62">
        <v>0.0</v>
      </c>
      <c r="G1165" s="62">
        <v>0.0</v>
      </c>
      <c r="H1165" s="62">
        <v>2.0</v>
      </c>
      <c r="I1165" s="62">
        <v>0.0</v>
      </c>
      <c r="J1165" s="62">
        <v>8.0</v>
      </c>
      <c r="K1165" s="62">
        <v>0.0</v>
      </c>
      <c r="L1165" s="62">
        <v>0.0</v>
      </c>
      <c r="M1165" s="62">
        <v>13.0</v>
      </c>
      <c r="N1165" s="62">
        <v>0.0</v>
      </c>
      <c r="O1165" s="62">
        <v>1.0</v>
      </c>
      <c r="P1165" s="62">
        <v>0.0</v>
      </c>
      <c r="Q1165" s="62">
        <v>0.0</v>
      </c>
      <c r="R1165" s="62">
        <v>0.0</v>
      </c>
      <c r="S1165" s="62">
        <v>13334.0</v>
      </c>
      <c r="T1165" s="62">
        <v>0.0</v>
      </c>
      <c r="U1165" s="62">
        <v>0.0</v>
      </c>
      <c r="V1165" s="62">
        <v>0.0</v>
      </c>
      <c r="W1165" s="62">
        <v>0.494444444444444</v>
      </c>
      <c r="X1165" s="62">
        <v>0.0</v>
      </c>
      <c r="Y1165" s="62">
        <v>2.06055555555555</v>
      </c>
      <c r="Z1165" s="62">
        <v>0.0</v>
      </c>
      <c r="AA1165" s="62">
        <v>0.0</v>
      </c>
      <c r="AB1165" s="62">
        <v>3.36027777777777</v>
      </c>
      <c r="AC1165" s="62">
        <v>0.0</v>
      </c>
      <c r="AD1165" s="62">
        <v>0.192222222222222</v>
      </c>
      <c r="AE1165" s="62">
        <v>0.0</v>
      </c>
      <c r="AF1165" s="62">
        <v>0.0</v>
      </c>
    </row>
    <row r="1166">
      <c r="A1166" s="68">
        <v>46058.0</v>
      </c>
      <c r="B1166" s="62" t="s">
        <v>93</v>
      </c>
      <c r="C1166" s="62" t="s">
        <v>182</v>
      </c>
      <c r="D1166" s="62">
        <v>2.0</v>
      </c>
      <c r="E1166" s="62">
        <v>0.0</v>
      </c>
      <c r="F1166" s="62">
        <v>0.0</v>
      </c>
      <c r="G1166" s="62">
        <v>0.0</v>
      </c>
      <c r="H1166" s="62">
        <v>0.0</v>
      </c>
      <c r="I1166" s="62">
        <v>0.0</v>
      </c>
      <c r="J1166" s="62">
        <v>0.0</v>
      </c>
      <c r="K1166" s="62">
        <v>0.0</v>
      </c>
      <c r="L1166" s="62">
        <v>0.0</v>
      </c>
      <c r="M1166" s="62">
        <v>0.0</v>
      </c>
      <c r="N1166" s="62">
        <v>0.0</v>
      </c>
      <c r="O1166" s="62">
        <v>0.0</v>
      </c>
      <c r="P1166" s="62">
        <v>0.0</v>
      </c>
      <c r="Q1166" s="62">
        <v>0.0</v>
      </c>
      <c r="R1166" s="62">
        <v>4562.0</v>
      </c>
      <c r="S1166" s="62">
        <v>0.0</v>
      </c>
      <c r="T1166" s="62">
        <v>0.0</v>
      </c>
      <c r="U1166" s="62">
        <v>0.0</v>
      </c>
      <c r="V1166" s="62">
        <v>0.0</v>
      </c>
      <c r="W1166" s="62">
        <v>0.0</v>
      </c>
      <c r="X1166" s="62">
        <v>0.0</v>
      </c>
      <c r="Y1166" s="62">
        <v>0.0</v>
      </c>
      <c r="Z1166" s="62">
        <v>0.0</v>
      </c>
      <c r="AA1166" s="62">
        <v>0.0</v>
      </c>
      <c r="AB1166" s="62">
        <v>0.0</v>
      </c>
      <c r="AC1166" s="62">
        <v>0.0</v>
      </c>
      <c r="AD1166" s="62">
        <v>0.0</v>
      </c>
      <c r="AE1166" s="62">
        <v>0.0</v>
      </c>
      <c r="AF1166" s="62">
        <v>0.0</v>
      </c>
    </row>
    <row r="1167">
      <c r="A1167" s="68">
        <v>46058.0</v>
      </c>
      <c r="B1167" s="62" t="s">
        <v>37</v>
      </c>
      <c r="C1167" s="62" t="s">
        <v>174</v>
      </c>
      <c r="D1167" s="62">
        <v>0.0</v>
      </c>
      <c r="E1167" s="62">
        <v>0.0</v>
      </c>
      <c r="F1167" s="62">
        <v>0.0</v>
      </c>
      <c r="G1167" s="62">
        <v>0.0</v>
      </c>
      <c r="H1167" s="62">
        <v>0.0</v>
      </c>
      <c r="I1167" s="62">
        <v>0.0</v>
      </c>
      <c r="J1167" s="62">
        <v>0.0</v>
      </c>
      <c r="K1167" s="62">
        <v>0.0</v>
      </c>
      <c r="L1167" s="62">
        <v>0.0</v>
      </c>
      <c r="M1167" s="62">
        <v>0.0</v>
      </c>
      <c r="N1167" s="62">
        <v>0.0</v>
      </c>
      <c r="O1167" s="62">
        <v>1.0</v>
      </c>
      <c r="P1167" s="62">
        <v>0.0</v>
      </c>
      <c r="Q1167" s="62">
        <v>0.0</v>
      </c>
      <c r="R1167" s="62">
        <v>0.0</v>
      </c>
      <c r="S1167" s="62">
        <v>0.0</v>
      </c>
      <c r="T1167" s="62">
        <v>1.57055555555555</v>
      </c>
      <c r="U1167" s="62">
        <v>0.0</v>
      </c>
      <c r="V1167" s="62">
        <v>0.0</v>
      </c>
      <c r="W1167" s="62">
        <v>0.0</v>
      </c>
      <c r="X1167" s="62">
        <v>0.0</v>
      </c>
      <c r="Y1167" s="62">
        <v>0.0</v>
      </c>
      <c r="Z1167" s="62">
        <v>0.0</v>
      </c>
      <c r="AA1167" s="62">
        <v>0.0</v>
      </c>
      <c r="AB1167" s="62">
        <v>0.0</v>
      </c>
      <c r="AC1167" s="62">
        <v>0.0</v>
      </c>
      <c r="AD1167" s="62">
        <v>0.28</v>
      </c>
      <c r="AE1167" s="62">
        <v>0.0</v>
      </c>
      <c r="AF1167" s="62">
        <v>6.0</v>
      </c>
    </row>
    <row r="1168">
      <c r="A1168" s="68">
        <v>46058.0</v>
      </c>
      <c r="B1168" s="62" t="s">
        <v>81</v>
      </c>
      <c r="C1168" s="62" t="s">
        <v>187</v>
      </c>
      <c r="D1168" s="62">
        <v>3.0</v>
      </c>
      <c r="E1168" s="62">
        <v>2.0</v>
      </c>
      <c r="F1168" s="62">
        <v>0.0</v>
      </c>
      <c r="G1168" s="62">
        <v>0.0</v>
      </c>
      <c r="H1168" s="62">
        <v>0.0</v>
      </c>
      <c r="I1168" s="62">
        <v>0.0</v>
      </c>
      <c r="J1168" s="62">
        <v>0.0</v>
      </c>
      <c r="K1168" s="62">
        <v>0.0</v>
      </c>
      <c r="L1168" s="62">
        <v>0.0</v>
      </c>
      <c r="M1168" s="62">
        <v>0.0</v>
      </c>
      <c r="N1168" s="62">
        <v>0.0</v>
      </c>
      <c r="O1168" s="62">
        <v>0.0</v>
      </c>
      <c r="P1168" s="62">
        <v>0.0</v>
      </c>
      <c r="Q1168" s="62">
        <v>0.0</v>
      </c>
      <c r="R1168" s="62">
        <v>7035.0</v>
      </c>
      <c r="S1168" s="62">
        <v>4266.0</v>
      </c>
      <c r="T1168" s="62">
        <v>0.2675</v>
      </c>
      <c r="U1168" s="62">
        <v>0.0</v>
      </c>
      <c r="V1168" s="62">
        <v>0.0</v>
      </c>
      <c r="W1168" s="62">
        <v>0.0</v>
      </c>
      <c r="X1168" s="62">
        <v>0.0</v>
      </c>
      <c r="Y1168" s="62">
        <v>0.0</v>
      </c>
      <c r="Z1168" s="62">
        <v>0.0</v>
      </c>
      <c r="AA1168" s="62">
        <v>0.0</v>
      </c>
      <c r="AB1168" s="62">
        <v>0.0</v>
      </c>
      <c r="AC1168" s="62">
        <v>0.0</v>
      </c>
      <c r="AD1168" s="62">
        <v>0.0</v>
      </c>
      <c r="AE1168" s="62">
        <v>0.0</v>
      </c>
      <c r="AF1168" s="62">
        <v>1.0</v>
      </c>
    </row>
    <row r="1169">
      <c r="A1169" s="68">
        <v>46058.0</v>
      </c>
      <c r="B1169" s="62" t="s">
        <v>26</v>
      </c>
      <c r="C1169" s="62" t="s">
        <v>178</v>
      </c>
      <c r="D1169" s="62">
        <v>6.0</v>
      </c>
      <c r="E1169" s="62">
        <v>3.0</v>
      </c>
      <c r="F1169" s="62">
        <v>3.0</v>
      </c>
      <c r="G1169" s="62">
        <v>0.0</v>
      </c>
      <c r="H1169" s="62">
        <v>1.0</v>
      </c>
      <c r="I1169" s="62">
        <v>1.0</v>
      </c>
      <c r="J1169" s="62">
        <v>5.0</v>
      </c>
      <c r="K1169" s="62">
        <v>0.0</v>
      </c>
      <c r="L1169" s="62">
        <v>0.0</v>
      </c>
      <c r="M1169" s="62">
        <v>1.0</v>
      </c>
      <c r="N1169" s="62">
        <v>0.0</v>
      </c>
      <c r="O1169" s="62">
        <v>1.0</v>
      </c>
      <c r="P1169" s="62">
        <v>0.0</v>
      </c>
      <c r="Q1169" s="62">
        <v>0.0</v>
      </c>
      <c r="R1169" s="62">
        <v>12794.0</v>
      </c>
      <c r="S1169" s="62">
        <v>6135.0</v>
      </c>
      <c r="T1169" s="62">
        <v>1.33444444444444</v>
      </c>
      <c r="U1169" s="62">
        <v>0.572777777777777</v>
      </c>
      <c r="V1169" s="62">
        <v>0.0</v>
      </c>
      <c r="W1169" s="62">
        <v>0.205833333333333</v>
      </c>
      <c r="X1169" s="62">
        <v>0.205833333333333</v>
      </c>
      <c r="Y1169" s="62">
        <v>0.998611111111111</v>
      </c>
      <c r="Z1169" s="62">
        <v>0.0</v>
      </c>
      <c r="AA1169" s="62">
        <v>0.0</v>
      </c>
      <c r="AB1169" s="62">
        <v>0.193888888888888</v>
      </c>
      <c r="AC1169" s="62">
        <v>0.0</v>
      </c>
      <c r="AD1169" s="62">
        <v>0.197222222222222</v>
      </c>
      <c r="AE1169" s="62">
        <v>0.0</v>
      </c>
      <c r="AF1169" s="62">
        <v>7.0</v>
      </c>
    </row>
    <row r="1170">
      <c r="A1170" s="68">
        <v>46058.0</v>
      </c>
      <c r="B1170" s="62" t="s">
        <v>62</v>
      </c>
      <c r="C1170" s="62" t="s">
        <v>63</v>
      </c>
      <c r="D1170" s="62">
        <v>2.0</v>
      </c>
      <c r="E1170" s="62">
        <v>5.0</v>
      </c>
      <c r="F1170" s="62">
        <v>2.0</v>
      </c>
      <c r="G1170" s="62">
        <v>0.0</v>
      </c>
      <c r="H1170" s="62">
        <v>0.0</v>
      </c>
      <c r="I1170" s="62">
        <v>0.0</v>
      </c>
      <c r="J1170" s="62">
        <v>2.0</v>
      </c>
      <c r="K1170" s="62">
        <v>0.0</v>
      </c>
      <c r="L1170" s="62">
        <v>0.0</v>
      </c>
      <c r="M1170" s="62">
        <v>1.0</v>
      </c>
      <c r="N1170" s="62">
        <v>0.0</v>
      </c>
      <c r="O1170" s="62">
        <v>0.0</v>
      </c>
      <c r="P1170" s="62">
        <v>0.0</v>
      </c>
      <c r="Q1170" s="62">
        <v>0.0</v>
      </c>
      <c r="R1170" s="62">
        <v>5233.0</v>
      </c>
      <c r="S1170" s="62">
        <v>12903.0</v>
      </c>
      <c r="T1170" s="62">
        <v>0.645</v>
      </c>
      <c r="U1170" s="62">
        <v>0.444166666666666</v>
      </c>
      <c r="V1170" s="62">
        <v>0.0</v>
      </c>
      <c r="W1170" s="62">
        <v>0.0</v>
      </c>
      <c r="X1170" s="62">
        <v>0.0</v>
      </c>
      <c r="Y1170" s="62">
        <v>0.496111111111111</v>
      </c>
      <c r="Z1170" s="62">
        <v>0.0</v>
      </c>
      <c r="AA1170" s="62">
        <v>0.0</v>
      </c>
      <c r="AB1170" s="62">
        <v>0.246944444444444</v>
      </c>
      <c r="AC1170" s="62">
        <v>0.0</v>
      </c>
      <c r="AD1170" s="62">
        <v>0.0</v>
      </c>
      <c r="AE1170" s="62">
        <v>0.0</v>
      </c>
      <c r="AF1170" s="62">
        <v>3.0</v>
      </c>
    </row>
    <row r="1171">
      <c r="A1171" s="68">
        <v>46057.0</v>
      </c>
      <c r="B1171" s="62" t="s">
        <v>79</v>
      </c>
      <c r="C1171" s="62" t="s">
        <v>162</v>
      </c>
      <c r="D1171" s="62">
        <v>0.0</v>
      </c>
      <c r="E1171" s="62">
        <v>3.0</v>
      </c>
      <c r="F1171" s="62">
        <v>0.0</v>
      </c>
      <c r="G1171" s="62">
        <v>0.0</v>
      </c>
      <c r="H1171" s="62">
        <v>0.0</v>
      </c>
      <c r="I1171" s="62">
        <v>0.0</v>
      </c>
      <c r="J1171" s="62">
        <v>0.0</v>
      </c>
      <c r="K1171" s="62">
        <v>0.0</v>
      </c>
      <c r="L1171" s="62">
        <v>0.0</v>
      </c>
      <c r="M1171" s="62">
        <v>0.0</v>
      </c>
      <c r="N1171" s="62">
        <v>0.0</v>
      </c>
      <c r="O1171" s="62">
        <v>0.0</v>
      </c>
      <c r="P1171" s="62">
        <v>0.0</v>
      </c>
      <c r="Q1171" s="62">
        <v>0.0</v>
      </c>
      <c r="R1171" s="62">
        <v>0.0</v>
      </c>
      <c r="S1171" s="62">
        <v>6611.0</v>
      </c>
      <c r="T1171" s="62">
        <v>0.0</v>
      </c>
      <c r="U1171" s="62">
        <v>0.0</v>
      </c>
      <c r="V1171" s="62">
        <v>0.0</v>
      </c>
      <c r="W1171" s="62">
        <v>0.0</v>
      </c>
      <c r="X1171" s="62">
        <v>0.0</v>
      </c>
      <c r="Y1171" s="62">
        <v>0.0</v>
      </c>
      <c r="Z1171" s="62">
        <v>0.0</v>
      </c>
      <c r="AA1171" s="62">
        <v>0.0</v>
      </c>
      <c r="AB1171" s="62">
        <v>0.0</v>
      </c>
      <c r="AC1171" s="62">
        <v>0.0</v>
      </c>
      <c r="AD1171" s="62">
        <v>0.0</v>
      </c>
      <c r="AE1171" s="62">
        <v>0.0</v>
      </c>
      <c r="AF1171" s="62">
        <v>0.0</v>
      </c>
    </row>
    <row r="1172">
      <c r="A1172" s="68">
        <v>46057.0</v>
      </c>
      <c r="B1172" s="62" t="s">
        <v>71</v>
      </c>
      <c r="C1172" s="62" t="s">
        <v>163</v>
      </c>
      <c r="D1172" s="62">
        <v>0.0</v>
      </c>
      <c r="E1172" s="62">
        <v>6.0</v>
      </c>
      <c r="F1172" s="62">
        <v>2.0</v>
      </c>
      <c r="G1172" s="62">
        <v>3.0</v>
      </c>
      <c r="H1172" s="62">
        <v>3.0</v>
      </c>
      <c r="I1172" s="62">
        <v>1.0</v>
      </c>
      <c r="J1172" s="62">
        <v>3.0</v>
      </c>
      <c r="K1172" s="62">
        <v>1.0</v>
      </c>
      <c r="L1172" s="62">
        <v>1.0</v>
      </c>
      <c r="M1172" s="62">
        <v>2.0</v>
      </c>
      <c r="N1172" s="62">
        <v>4.0</v>
      </c>
      <c r="O1172" s="62">
        <v>1.0</v>
      </c>
      <c r="P1172" s="62">
        <v>4.0</v>
      </c>
      <c r="Q1172" s="62">
        <v>0.0</v>
      </c>
      <c r="R1172" s="62">
        <v>0.0</v>
      </c>
      <c r="S1172" s="62">
        <v>19435.0</v>
      </c>
      <c r="T1172" s="62">
        <v>0.828888888888888</v>
      </c>
      <c r="U1172" s="62">
        <v>0.573055555555555</v>
      </c>
      <c r="V1172" s="62">
        <v>0.851111111111111</v>
      </c>
      <c r="W1172" s="62">
        <v>0.824166666666666</v>
      </c>
      <c r="X1172" s="62">
        <v>0.255833333333333</v>
      </c>
      <c r="Y1172" s="62">
        <v>0.851111111111111</v>
      </c>
      <c r="Z1172" s="62">
        <v>0.306666666666666</v>
      </c>
      <c r="AA1172" s="62">
        <v>0.306666666666666</v>
      </c>
      <c r="AB1172" s="62">
        <v>0.625</v>
      </c>
      <c r="AC1172" s="62">
        <v>1.18833333333333</v>
      </c>
      <c r="AD1172" s="62">
        <v>0.268888888888888</v>
      </c>
      <c r="AE1172" s="62">
        <v>1.18833333333333</v>
      </c>
      <c r="AF1172" s="62">
        <v>3.0</v>
      </c>
    </row>
    <row r="1173">
      <c r="A1173" s="68">
        <v>46057.0</v>
      </c>
      <c r="B1173" s="62" t="s">
        <v>76</v>
      </c>
      <c r="C1173" s="62" t="s">
        <v>165</v>
      </c>
      <c r="D1173" s="62">
        <v>0.0</v>
      </c>
      <c r="E1173" s="62">
        <v>3.0</v>
      </c>
      <c r="F1173" s="62">
        <v>5.0</v>
      </c>
      <c r="G1173" s="62">
        <v>2.0</v>
      </c>
      <c r="H1173" s="62">
        <v>2.0</v>
      </c>
      <c r="I1173" s="62">
        <v>0.0</v>
      </c>
      <c r="J1173" s="62">
        <v>3.0</v>
      </c>
      <c r="K1173" s="62">
        <v>4.0</v>
      </c>
      <c r="L1173" s="62">
        <v>3.0</v>
      </c>
      <c r="M1173" s="62">
        <v>2.0</v>
      </c>
      <c r="N1173" s="62">
        <v>2.0</v>
      </c>
      <c r="O1173" s="62">
        <v>1.0</v>
      </c>
      <c r="P1173" s="62">
        <v>2.0</v>
      </c>
      <c r="Q1173" s="62">
        <v>0.0</v>
      </c>
      <c r="R1173" s="62">
        <v>0.0</v>
      </c>
      <c r="S1173" s="62">
        <v>8711.0</v>
      </c>
      <c r="T1173" s="62">
        <v>1.18388888888888</v>
      </c>
      <c r="U1173" s="62">
        <v>1.18388888888888</v>
      </c>
      <c r="V1173" s="62">
        <v>0.502222222222222</v>
      </c>
      <c r="W1173" s="62">
        <v>0.502222222222222</v>
      </c>
      <c r="X1173" s="62">
        <v>0.0</v>
      </c>
      <c r="Y1173" s="62">
        <v>0.763055555555555</v>
      </c>
      <c r="Z1173" s="62">
        <v>1.00777777777777</v>
      </c>
      <c r="AA1173" s="62">
        <v>0.749166666666666</v>
      </c>
      <c r="AB1173" s="62">
        <v>0.502777777777777</v>
      </c>
      <c r="AC1173" s="62">
        <v>0.486388888888888</v>
      </c>
      <c r="AD1173" s="62">
        <v>0.245555555555555</v>
      </c>
      <c r="AE1173" s="62">
        <v>0.486388888888888</v>
      </c>
      <c r="AF1173" s="62">
        <v>5.0</v>
      </c>
    </row>
    <row r="1174">
      <c r="A1174" s="68">
        <v>46057.0</v>
      </c>
      <c r="B1174" s="62" t="s">
        <v>32</v>
      </c>
      <c r="C1174" s="62" t="s">
        <v>168</v>
      </c>
      <c r="D1174" s="62">
        <v>0.0</v>
      </c>
      <c r="E1174" s="62">
        <v>4.0</v>
      </c>
      <c r="F1174" s="62">
        <v>0.0</v>
      </c>
      <c r="G1174" s="62">
        <v>0.0</v>
      </c>
      <c r="H1174" s="62">
        <v>5.0</v>
      </c>
      <c r="I1174" s="62">
        <v>3.0</v>
      </c>
      <c r="J1174" s="62">
        <v>6.0</v>
      </c>
      <c r="K1174" s="62">
        <v>0.0</v>
      </c>
      <c r="L1174" s="62">
        <v>0.0</v>
      </c>
      <c r="M1174" s="62">
        <v>0.0</v>
      </c>
      <c r="N1174" s="62">
        <v>0.0</v>
      </c>
      <c r="O1174" s="62">
        <v>1.0</v>
      </c>
      <c r="P1174" s="62">
        <v>0.0</v>
      </c>
      <c r="Q1174" s="62">
        <v>0.0</v>
      </c>
      <c r="R1174" s="62">
        <v>0.0</v>
      </c>
      <c r="S1174" s="62">
        <v>10696.0</v>
      </c>
      <c r="T1174" s="62">
        <v>0.773333333333333</v>
      </c>
      <c r="U1174" s="62">
        <v>0.0</v>
      </c>
      <c r="V1174" s="62">
        <v>0.0</v>
      </c>
      <c r="W1174" s="62">
        <v>1.29333333333333</v>
      </c>
      <c r="X1174" s="62">
        <v>0.773333333333333</v>
      </c>
      <c r="Y1174" s="62">
        <v>1.55611111111111</v>
      </c>
      <c r="Z1174" s="62">
        <v>0.0</v>
      </c>
      <c r="AA1174" s="62">
        <v>0.0</v>
      </c>
      <c r="AB1174" s="62">
        <v>0.0</v>
      </c>
      <c r="AC1174" s="62">
        <v>0.0</v>
      </c>
      <c r="AD1174" s="62">
        <v>0.217777777777777</v>
      </c>
      <c r="AE1174" s="62">
        <v>0.0</v>
      </c>
      <c r="AF1174" s="62">
        <v>3.0</v>
      </c>
    </row>
    <row r="1175">
      <c r="A1175" s="68">
        <v>46057.0</v>
      </c>
      <c r="B1175" s="62" t="s">
        <v>37</v>
      </c>
      <c r="C1175" s="62" t="s">
        <v>174</v>
      </c>
      <c r="D1175" s="62">
        <v>0.0</v>
      </c>
      <c r="E1175" s="62">
        <v>2.0</v>
      </c>
      <c r="F1175" s="62">
        <v>4.0</v>
      </c>
      <c r="G1175" s="62">
        <v>0.0</v>
      </c>
      <c r="H1175" s="62">
        <v>1.0</v>
      </c>
      <c r="I1175" s="62">
        <v>1.0</v>
      </c>
      <c r="J1175" s="62">
        <v>2.0</v>
      </c>
      <c r="K1175" s="62">
        <v>0.0</v>
      </c>
      <c r="L1175" s="62">
        <v>0.0</v>
      </c>
      <c r="M1175" s="62">
        <v>4.0</v>
      </c>
      <c r="N1175" s="62">
        <v>3.0</v>
      </c>
      <c r="O1175" s="62">
        <v>1.0</v>
      </c>
      <c r="P1175" s="62">
        <v>3.0</v>
      </c>
      <c r="Q1175" s="62">
        <v>0.0</v>
      </c>
      <c r="R1175" s="62">
        <v>0.0</v>
      </c>
      <c r="S1175" s="62">
        <v>5151.0</v>
      </c>
      <c r="T1175" s="62">
        <v>0.0</v>
      </c>
      <c r="U1175" s="62">
        <v>1.01194444444444</v>
      </c>
      <c r="V1175" s="62">
        <v>0.0</v>
      </c>
      <c r="W1175" s="62">
        <v>0.264166666666666</v>
      </c>
      <c r="X1175" s="62">
        <v>0.264166666666666</v>
      </c>
      <c r="Y1175" s="62">
        <v>0.507777777777777</v>
      </c>
      <c r="Z1175" s="62">
        <v>0.0</v>
      </c>
      <c r="AA1175" s="62">
        <v>0.0</v>
      </c>
      <c r="AB1175" s="62">
        <v>1.02027777777777</v>
      </c>
      <c r="AC1175" s="62">
        <v>0.787222222222222</v>
      </c>
      <c r="AD1175" s="62">
        <v>0.255</v>
      </c>
      <c r="AE1175" s="62">
        <v>0.787222222222222</v>
      </c>
      <c r="AF1175" s="62">
        <v>0.0</v>
      </c>
    </row>
    <row r="1176">
      <c r="A1176" s="68">
        <v>46057.0</v>
      </c>
      <c r="B1176" s="62" t="s">
        <v>81</v>
      </c>
      <c r="C1176" s="62" t="s">
        <v>187</v>
      </c>
      <c r="D1176" s="62">
        <v>3.0</v>
      </c>
      <c r="E1176" s="62">
        <v>0.0</v>
      </c>
      <c r="F1176" s="62">
        <v>0.0</v>
      </c>
      <c r="G1176" s="62">
        <v>0.0</v>
      </c>
      <c r="H1176" s="62">
        <v>0.0</v>
      </c>
      <c r="I1176" s="62">
        <v>0.0</v>
      </c>
      <c r="J1176" s="62">
        <v>0.0</v>
      </c>
      <c r="K1176" s="62">
        <v>0.0</v>
      </c>
      <c r="L1176" s="62">
        <v>0.0</v>
      </c>
      <c r="M1176" s="62">
        <v>0.0</v>
      </c>
      <c r="N1176" s="62">
        <v>0.0</v>
      </c>
      <c r="O1176" s="62">
        <v>0.0</v>
      </c>
      <c r="P1176" s="62">
        <v>0.0</v>
      </c>
      <c r="Q1176" s="62">
        <v>0.0</v>
      </c>
      <c r="R1176" s="62">
        <v>6204.0</v>
      </c>
      <c r="S1176" s="62">
        <v>0.0</v>
      </c>
      <c r="T1176" s="62">
        <v>0.0</v>
      </c>
      <c r="U1176" s="62">
        <v>0.0</v>
      </c>
      <c r="V1176" s="62">
        <v>0.0</v>
      </c>
      <c r="W1176" s="62">
        <v>0.0</v>
      </c>
      <c r="X1176" s="62">
        <v>0.0</v>
      </c>
      <c r="Y1176" s="62">
        <v>0.0</v>
      </c>
      <c r="Z1176" s="62">
        <v>0.0</v>
      </c>
      <c r="AA1176" s="62">
        <v>0.0</v>
      </c>
      <c r="AB1176" s="62">
        <v>0.0</v>
      </c>
      <c r="AC1176" s="62">
        <v>0.0</v>
      </c>
      <c r="AD1176" s="62">
        <v>0.0</v>
      </c>
      <c r="AE1176" s="62">
        <v>0.0</v>
      </c>
      <c r="AF1176" s="62">
        <v>0.0</v>
      </c>
    </row>
    <row r="1177">
      <c r="A1177" s="68">
        <v>46057.0</v>
      </c>
      <c r="B1177" s="62" t="s">
        <v>26</v>
      </c>
      <c r="C1177" s="62" t="s">
        <v>178</v>
      </c>
      <c r="D1177" s="62">
        <v>0.0</v>
      </c>
      <c r="E1177" s="62">
        <v>8.0</v>
      </c>
      <c r="F1177" s="62">
        <v>0.0</v>
      </c>
      <c r="G1177" s="62">
        <v>0.0</v>
      </c>
      <c r="H1177" s="62">
        <v>5.0</v>
      </c>
      <c r="I1177" s="62">
        <v>5.0</v>
      </c>
      <c r="J1177" s="62">
        <v>5.0</v>
      </c>
      <c r="K1177" s="62">
        <v>0.0</v>
      </c>
      <c r="L1177" s="62">
        <v>0.0</v>
      </c>
      <c r="M1177" s="62">
        <v>5.0</v>
      </c>
      <c r="N1177" s="62">
        <v>4.0</v>
      </c>
      <c r="O1177" s="62">
        <v>1.0</v>
      </c>
      <c r="P1177" s="62">
        <v>4.0</v>
      </c>
      <c r="Q1177" s="62">
        <v>0.0</v>
      </c>
      <c r="R1177" s="62">
        <v>0.0</v>
      </c>
      <c r="S1177" s="62">
        <v>17515.0</v>
      </c>
      <c r="T1177" s="62">
        <v>0.968333333333333</v>
      </c>
      <c r="U1177" s="62">
        <v>0.0</v>
      </c>
      <c r="V1177" s="62">
        <v>0.0</v>
      </c>
      <c r="W1177" s="62">
        <v>0.968333333333333</v>
      </c>
      <c r="X1177" s="62">
        <v>0.968333333333333</v>
      </c>
      <c r="Y1177" s="62">
        <v>0.952777777777777</v>
      </c>
      <c r="Z1177" s="62">
        <v>0.0</v>
      </c>
      <c r="AA1177" s="62">
        <v>0.0</v>
      </c>
      <c r="AB1177" s="62">
        <v>0.952777777777777</v>
      </c>
      <c r="AC1177" s="62">
        <v>0.809722222222222</v>
      </c>
      <c r="AD1177" s="62">
        <v>0.1975</v>
      </c>
      <c r="AE1177" s="62">
        <v>0.809722222222222</v>
      </c>
      <c r="AF1177" s="62">
        <v>5.0</v>
      </c>
    </row>
    <row r="1178">
      <c r="A1178" s="68">
        <v>46057.0</v>
      </c>
      <c r="B1178" s="62" t="s">
        <v>62</v>
      </c>
      <c r="C1178" s="62" t="s">
        <v>63</v>
      </c>
      <c r="D1178" s="62">
        <v>2.0</v>
      </c>
      <c r="E1178" s="62">
        <v>3.0</v>
      </c>
      <c r="F1178" s="62">
        <v>0.0</v>
      </c>
      <c r="G1178" s="62">
        <v>1.0</v>
      </c>
      <c r="H1178" s="62">
        <v>1.0</v>
      </c>
      <c r="I1178" s="62">
        <v>0.0</v>
      </c>
      <c r="J1178" s="62">
        <v>0.0</v>
      </c>
      <c r="K1178" s="62">
        <v>0.0</v>
      </c>
      <c r="L1178" s="62">
        <v>0.0</v>
      </c>
      <c r="M1178" s="62">
        <v>0.0</v>
      </c>
      <c r="N1178" s="62">
        <v>0.0</v>
      </c>
      <c r="O1178" s="62">
        <v>0.0</v>
      </c>
      <c r="P1178" s="62">
        <v>0.0</v>
      </c>
      <c r="Q1178" s="62">
        <v>0.0</v>
      </c>
      <c r="R1178" s="62">
        <v>5348.0</v>
      </c>
      <c r="S1178" s="62">
        <v>7910.0</v>
      </c>
      <c r="T1178" s="62">
        <v>0.479722222222222</v>
      </c>
      <c r="U1178" s="62">
        <v>0.0</v>
      </c>
      <c r="V1178" s="62">
        <v>0.216944444444444</v>
      </c>
      <c r="W1178" s="62">
        <v>0.216944444444444</v>
      </c>
      <c r="X1178" s="62">
        <v>0.0</v>
      </c>
      <c r="Y1178" s="62">
        <v>0.0</v>
      </c>
      <c r="Z1178" s="62">
        <v>0.0</v>
      </c>
      <c r="AA1178" s="62">
        <v>0.0</v>
      </c>
      <c r="AB1178" s="62">
        <v>0.0</v>
      </c>
      <c r="AC1178" s="62">
        <v>0.0</v>
      </c>
      <c r="AD1178" s="62">
        <v>0.0</v>
      </c>
      <c r="AE1178" s="62">
        <v>0.0</v>
      </c>
      <c r="AF1178" s="62">
        <v>2.0</v>
      </c>
    </row>
    <row r="1179">
      <c r="A1179" s="68">
        <v>46056.0</v>
      </c>
      <c r="B1179" s="62" t="s">
        <v>79</v>
      </c>
      <c r="C1179" s="62" t="s">
        <v>162</v>
      </c>
      <c r="D1179" s="62">
        <v>0.0</v>
      </c>
      <c r="E1179" s="62">
        <v>2.0</v>
      </c>
      <c r="F1179" s="62">
        <v>0.0</v>
      </c>
      <c r="G1179" s="62">
        <v>0.0</v>
      </c>
      <c r="H1179" s="62">
        <v>0.0</v>
      </c>
      <c r="I1179" s="62">
        <v>0.0</v>
      </c>
      <c r="J1179" s="62">
        <v>0.0</v>
      </c>
      <c r="K1179" s="62">
        <v>0.0</v>
      </c>
      <c r="L1179" s="62">
        <v>0.0</v>
      </c>
      <c r="M1179" s="62">
        <v>0.0</v>
      </c>
      <c r="N1179" s="62">
        <v>0.0</v>
      </c>
      <c r="O1179" s="62">
        <v>0.0</v>
      </c>
      <c r="P1179" s="62">
        <v>0.0</v>
      </c>
      <c r="Q1179" s="62">
        <v>0.0</v>
      </c>
      <c r="R1179" s="62">
        <v>0.0</v>
      </c>
      <c r="S1179" s="62">
        <v>4292.0</v>
      </c>
      <c r="T1179" s="62">
        <v>0.269444444444444</v>
      </c>
      <c r="U1179" s="62">
        <v>0.0</v>
      </c>
      <c r="V1179" s="62">
        <v>0.0</v>
      </c>
      <c r="W1179" s="62">
        <v>0.0</v>
      </c>
      <c r="X1179" s="62">
        <v>0.0</v>
      </c>
      <c r="Y1179" s="62">
        <v>0.0</v>
      </c>
      <c r="Z1179" s="62">
        <v>0.0</v>
      </c>
      <c r="AA1179" s="62">
        <v>0.0</v>
      </c>
      <c r="AB1179" s="62">
        <v>0.0</v>
      </c>
      <c r="AC1179" s="62">
        <v>0.0</v>
      </c>
      <c r="AD1179" s="62">
        <v>0.0</v>
      </c>
      <c r="AE1179" s="62">
        <v>0.0</v>
      </c>
      <c r="AF1179" s="62">
        <v>1.0</v>
      </c>
    </row>
    <row r="1180">
      <c r="A1180" s="68">
        <v>46056.0</v>
      </c>
      <c r="B1180" s="62" t="s">
        <v>71</v>
      </c>
      <c r="C1180" s="62" t="s">
        <v>163</v>
      </c>
      <c r="D1180" s="62">
        <v>4.0</v>
      </c>
      <c r="E1180" s="62">
        <v>3.0</v>
      </c>
      <c r="F1180" s="62">
        <v>5.0</v>
      </c>
      <c r="G1180" s="62">
        <v>4.0</v>
      </c>
      <c r="H1180" s="62">
        <v>5.0</v>
      </c>
      <c r="I1180" s="62">
        <v>1.0</v>
      </c>
      <c r="J1180" s="62">
        <v>4.0</v>
      </c>
      <c r="K1180" s="62">
        <v>0.0</v>
      </c>
      <c r="L1180" s="62">
        <v>0.0</v>
      </c>
      <c r="M1180" s="62">
        <v>2.0</v>
      </c>
      <c r="N1180" s="62">
        <v>1.0</v>
      </c>
      <c r="O1180" s="62">
        <v>1.0</v>
      </c>
      <c r="P1180" s="62">
        <v>1.0</v>
      </c>
      <c r="Q1180" s="62">
        <v>0.0</v>
      </c>
      <c r="R1180" s="62">
        <v>12291.0</v>
      </c>
      <c r="S1180" s="62">
        <v>9276.0</v>
      </c>
      <c r="T1180" s="62">
        <v>0.568055555555555</v>
      </c>
      <c r="U1180" s="62">
        <v>1.47694444444444</v>
      </c>
      <c r="V1180" s="62">
        <v>1.18833333333333</v>
      </c>
      <c r="W1180" s="62">
        <v>1.47083333333333</v>
      </c>
      <c r="X1180" s="62">
        <v>0.2825</v>
      </c>
      <c r="Y1180" s="62">
        <v>1.18833333333333</v>
      </c>
      <c r="Z1180" s="62">
        <v>0.0</v>
      </c>
      <c r="AA1180" s="62">
        <v>0.0</v>
      </c>
      <c r="AB1180" s="62">
        <v>0.563333333333333</v>
      </c>
      <c r="AC1180" s="62">
        <v>0.299444444444444</v>
      </c>
      <c r="AD1180" s="62">
        <v>0.251666666666666</v>
      </c>
      <c r="AE1180" s="62">
        <v>0.299444444444444</v>
      </c>
      <c r="AF1180" s="62">
        <v>2.0</v>
      </c>
    </row>
    <row r="1181">
      <c r="A1181" s="68">
        <v>46056.0</v>
      </c>
      <c r="B1181" s="62" t="s">
        <v>76</v>
      </c>
      <c r="C1181" s="62" t="s">
        <v>165</v>
      </c>
      <c r="D1181" s="62">
        <v>0.0</v>
      </c>
      <c r="E1181" s="62">
        <v>2.0</v>
      </c>
      <c r="F1181" s="62">
        <v>2.0</v>
      </c>
      <c r="G1181" s="62">
        <v>4.0</v>
      </c>
      <c r="H1181" s="62">
        <v>4.0</v>
      </c>
      <c r="I1181" s="62">
        <v>0.0</v>
      </c>
      <c r="J1181" s="62">
        <v>3.0</v>
      </c>
      <c r="K1181" s="62">
        <v>1.0</v>
      </c>
      <c r="L1181" s="62">
        <v>1.0</v>
      </c>
      <c r="M1181" s="62">
        <v>1.0</v>
      </c>
      <c r="N1181" s="62">
        <v>0.0</v>
      </c>
      <c r="O1181" s="62">
        <v>1.0</v>
      </c>
      <c r="P1181" s="62">
        <v>0.0</v>
      </c>
      <c r="Q1181" s="62">
        <v>0.0</v>
      </c>
      <c r="R1181" s="62">
        <v>0.0</v>
      </c>
      <c r="S1181" s="62">
        <v>7337.0</v>
      </c>
      <c r="T1181" s="62">
        <v>0.503333333333333</v>
      </c>
      <c r="U1181" s="62">
        <v>0.503333333333333</v>
      </c>
      <c r="V1181" s="62">
        <v>1.00611111111111</v>
      </c>
      <c r="W1181" s="62">
        <v>1.00611111111111</v>
      </c>
      <c r="X1181" s="62">
        <v>0.0</v>
      </c>
      <c r="Y1181" s="62">
        <v>0.739444444444444</v>
      </c>
      <c r="Z1181" s="62">
        <v>0.247222222222222</v>
      </c>
      <c r="AA1181" s="62">
        <v>0.247222222222222</v>
      </c>
      <c r="AB1181" s="62">
        <v>0.239166666666666</v>
      </c>
      <c r="AC1181" s="62">
        <v>0.0</v>
      </c>
      <c r="AD1181" s="62">
        <v>0.243888888888888</v>
      </c>
      <c r="AE1181" s="62">
        <v>0.0</v>
      </c>
      <c r="AF1181" s="62">
        <v>2.0</v>
      </c>
    </row>
    <row r="1182">
      <c r="A1182" s="68">
        <v>46056.0</v>
      </c>
      <c r="B1182" s="62" t="s">
        <v>32</v>
      </c>
      <c r="C1182" s="62" t="s">
        <v>168</v>
      </c>
      <c r="D1182" s="62">
        <v>0.0</v>
      </c>
      <c r="E1182" s="62">
        <v>1.0</v>
      </c>
      <c r="F1182" s="62">
        <v>0.0</v>
      </c>
      <c r="G1182" s="62">
        <v>0.0</v>
      </c>
      <c r="H1182" s="62">
        <v>3.0</v>
      </c>
      <c r="I1182" s="62">
        <v>3.0</v>
      </c>
      <c r="J1182" s="62">
        <v>2.0</v>
      </c>
      <c r="K1182" s="62">
        <v>0.0</v>
      </c>
      <c r="L1182" s="62">
        <v>0.0</v>
      </c>
      <c r="M1182" s="62">
        <v>2.0</v>
      </c>
      <c r="N1182" s="62">
        <v>0.0</v>
      </c>
      <c r="O1182" s="62">
        <v>1.0</v>
      </c>
      <c r="P1182" s="62">
        <v>0.0</v>
      </c>
      <c r="Q1182" s="62">
        <v>0.0</v>
      </c>
      <c r="R1182" s="62">
        <v>0.0</v>
      </c>
      <c r="S1182" s="62">
        <v>2641.0</v>
      </c>
      <c r="T1182" s="62">
        <v>0.773611111111111</v>
      </c>
      <c r="U1182" s="62">
        <v>0.0</v>
      </c>
      <c r="V1182" s="62">
        <v>0.0</v>
      </c>
      <c r="W1182" s="62">
        <v>0.773611111111111</v>
      </c>
      <c r="X1182" s="62">
        <v>0.773611111111111</v>
      </c>
      <c r="Y1182" s="62">
        <v>0.493055555555555</v>
      </c>
      <c r="Z1182" s="62">
        <v>0.0</v>
      </c>
      <c r="AA1182" s="62">
        <v>0.0</v>
      </c>
      <c r="AB1182" s="62">
        <v>0.493055555555555</v>
      </c>
      <c r="AC1182" s="62">
        <v>0.0</v>
      </c>
      <c r="AD1182" s="62">
        <v>0.239444444444444</v>
      </c>
      <c r="AE1182" s="62">
        <v>0.0</v>
      </c>
      <c r="AF1182" s="62">
        <v>3.0</v>
      </c>
    </row>
    <row r="1183">
      <c r="A1183" s="68">
        <v>46056.0</v>
      </c>
      <c r="B1183" s="62" t="s">
        <v>37</v>
      </c>
      <c r="C1183" s="62" t="s">
        <v>174</v>
      </c>
      <c r="D1183" s="62">
        <v>0.0</v>
      </c>
      <c r="E1183" s="62">
        <v>4.0</v>
      </c>
      <c r="F1183" s="62">
        <v>0.0</v>
      </c>
      <c r="G1183" s="62">
        <v>2.0</v>
      </c>
      <c r="H1183" s="62">
        <v>2.0</v>
      </c>
      <c r="I1183" s="62">
        <v>0.0</v>
      </c>
      <c r="J1183" s="62">
        <v>2.0</v>
      </c>
      <c r="K1183" s="62">
        <v>0.0</v>
      </c>
      <c r="L1183" s="62">
        <v>0.0</v>
      </c>
      <c r="M1183" s="62">
        <v>1.0</v>
      </c>
      <c r="N1183" s="62">
        <v>0.0</v>
      </c>
      <c r="O1183" s="62">
        <v>1.0</v>
      </c>
      <c r="P1183" s="62">
        <v>0.0</v>
      </c>
      <c r="Q1183" s="62">
        <v>0.0</v>
      </c>
      <c r="R1183" s="62">
        <v>0.0</v>
      </c>
      <c r="S1183" s="62">
        <v>9875.0</v>
      </c>
      <c r="T1183" s="62">
        <v>1.27611111111111</v>
      </c>
      <c r="U1183" s="62">
        <v>0.0</v>
      </c>
      <c r="V1183" s="62">
        <v>0.507777777777777</v>
      </c>
      <c r="W1183" s="62">
        <v>0.507777777777777</v>
      </c>
      <c r="X1183" s="62">
        <v>0.0</v>
      </c>
      <c r="Y1183" s="62">
        <v>0.5125</v>
      </c>
      <c r="Z1183" s="62">
        <v>0.0</v>
      </c>
      <c r="AA1183" s="62">
        <v>0.0</v>
      </c>
      <c r="AB1183" s="62">
        <v>0.28</v>
      </c>
      <c r="AC1183" s="62">
        <v>0.0</v>
      </c>
      <c r="AD1183" s="62">
        <v>0.243611111111111</v>
      </c>
      <c r="AE1183" s="62">
        <v>0.0</v>
      </c>
      <c r="AF1183" s="62">
        <v>5.0</v>
      </c>
    </row>
    <row r="1184">
      <c r="A1184" s="68">
        <v>46056.0</v>
      </c>
      <c r="B1184" s="62" t="s">
        <v>81</v>
      </c>
      <c r="C1184" s="62" t="s">
        <v>187</v>
      </c>
      <c r="D1184" s="62">
        <v>3.0</v>
      </c>
      <c r="E1184" s="62">
        <v>3.0</v>
      </c>
      <c r="F1184" s="62">
        <v>0.0</v>
      </c>
      <c r="G1184" s="62">
        <v>0.0</v>
      </c>
      <c r="H1184" s="62">
        <v>0.0</v>
      </c>
      <c r="I1184" s="62">
        <v>0.0</v>
      </c>
      <c r="J1184" s="62">
        <v>0.0</v>
      </c>
      <c r="K1184" s="62">
        <v>0.0</v>
      </c>
      <c r="L1184" s="62">
        <v>0.0</v>
      </c>
      <c r="M1184" s="62">
        <v>0.0</v>
      </c>
      <c r="N1184" s="62">
        <v>0.0</v>
      </c>
      <c r="O1184" s="62">
        <v>0.0</v>
      </c>
      <c r="P1184" s="62">
        <v>0.0</v>
      </c>
      <c r="Q1184" s="62">
        <v>0.0</v>
      </c>
      <c r="R1184" s="62">
        <v>6398.0</v>
      </c>
      <c r="S1184" s="62">
        <v>7143.0</v>
      </c>
      <c r="T1184" s="62">
        <v>0.0</v>
      </c>
      <c r="U1184" s="62">
        <v>0.0</v>
      </c>
      <c r="V1184" s="62">
        <v>0.0</v>
      </c>
      <c r="W1184" s="62">
        <v>0.0</v>
      </c>
      <c r="X1184" s="62">
        <v>0.0</v>
      </c>
      <c r="Y1184" s="62">
        <v>0.0</v>
      </c>
      <c r="Z1184" s="62">
        <v>0.0</v>
      </c>
      <c r="AA1184" s="62">
        <v>0.0</v>
      </c>
      <c r="AB1184" s="62">
        <v>0.0</v>
      </c>
      <c r="AC1184" s="62">
        <v>0.0</v>
      </c>
      <c r="AD1184" s="62">
        <v>0.0</v>
      </c>
      <c r="AE1184" s="62">
        <v>0.0</v>
      </c>
      <c r="AF1184" s="62">
        <v>0.0</v>
      </c>
    </row>
    <row r="1185">
      <c r="A1185" s="68">
        <v>46056.0</v>
      </c>
      <c r="B1185" s="62" t="s">
        <v>26</v>
      </c>
      <c r="C1185" s="62" t="s">
        <v>178</v>
      </c>
      <c r="D1185" s="62">
        <v>6.0</v>
      </c>
      <c r="E1185" s="62">
        <v>13.0</v>
      </c>
      <c r="F1185" s="62">
        <v>0.0</v>
      </c>
      <c r="G1185" s="62">
        <v>1.0</v>
      </c>
      <c r="H1185" s="62">
        <v>4.0</v>
      </c>
      <c r="I1185" s="62">
        <v>3.0</v>
      </c>
      <c r="J1185" s="62">
        <v>3.0</v>
      </c>
      <c r="K1185" s="62">
        <v>0.0</v>
      </c>
      <c r="L1185" s="62">
        <v>0.0</v>
      </c>
      <c r="M1185" s="62">
        <v>3.0</v>
      </c>
      <c r="N1185" s="62">
        <v>2.0</v>
      </c>
      <c r="O1185" s="62">
        <v>1.0</v>
      </c>
      <c r="P1185" s="62">
        <v>2.0</v>
      </c>
      <c r="Q1185" s="62">
        <v>0.0</v>
      </c>
      <c r="R1185" s="62">
        <v>11238.0</v>
      </c>
      <c r="S1185" s="62">
        <v>26475.0</v>
      </c>
      <c r="T1185" s="62">
        <v>0.563055555555555</v>
      </c>
      <c r="U1185" s="62">
        <v>0.0</v>
      </c>
      <c r="V1185" s="62">
        <v>0.200833333333333</v>
      </c>
      <c r="W1185" s="62">
        <v>0.763888888888888</v>
      </c>
      <c r="X1185" s="62">
        <v>0.563055555555555</v>
      </c>
      <c r="Y1185" s="62">
        <v>0.608888888888888</v>
      </c>
      <c r="Z1185" s="62">
        <v>0.0</v>
      </c>
      <c r="AA1185" s="62">
        <v>0.0</v>
      </c>
      <c r="AB1185" s="62">
        <v>0.608888888888888</v>
      </c>
      <c r="AC1185" s="62">
        <v>0.392222222222222</v>
      </c>
      <c r="AD1185" s="62">
        <v>0.181666666666666</v>
      </c>
      <c r="AE1185" s="62">
        <v>0.392222222222222</v>
      </c>
      <c r="AF1185" s="62">
        <v>3.0</v>
      </c>
    </row>
    <row r="1186">
      <c r="A1186" s="68">
        <v>46056.0</v>
      </c>
      <c r="B1186" s="62" t="s">
        <v>62</v>
      </c>
      <c r="C1186" s="62" t="s">
        <v>63</v>
      </c>
      <c r="D1186" s="62">
        <v>0.0</v>
      </c>
      <c r="E1186" s="62">
        <v>2.0</v>
      </c>
      <c r="F1186" s="62">
        <v>0.0</v>
      </c>
      <c r="G1186" s="62">
        <v>4.0</v>
      </c>
      <c r="H1186" s="62">
        <v>4.0</v>
      </c>
      <c r="I1186" s="62">
        <v>1.0</v>
      </c>
      <c r="J1186" s="62">
        <v>0.0</v>
      </c>
      <c r="K1186" s="62">
        <v>0.0</v>
      </c>
      <c r="L1186" s="62">
        <v>0.0</v>
      </c>
      <c r="M1186" s="62">
        <v>0.0</v>
      </c>
      <c r="N1186" s="62">
        <v>0.0</v>
      </c>
      <c r="O1186" s="62">
        <v>0.0</v>
      </c>
      <c r="P1186" s="62">
        <v>0.0</v>
      </c>
      <c r="Q1186" s="62">
        <v>0.0</v>
      </c>
      <c r="R1186" s="62">
        <v>0.0</v>
      </c>
      <c r="S1186" s="62">
        <v>5886.0</v>
      </c>
      <c r="T1186" s="62">
        <v>0.0</v>
      </c>
      <c r="U1186" s="62">
        <v>0.0</v>
      </c>
      <c r="V1186" s="62">
        <v>0.959444444444444</v>
      </c>
      <c r="W1186" s="62">
        <v>0.959444444444444</v>
      </c>
      <c r="X1186" s="62">
        <v>0.219166666666666</v>
      </c>
      <c r="Y1186" s="62">
        <v>0.0</v>
      </c>
      <c r="Z1186" s="62">
        <v>0.0</v>
      </c>
      <c r="AA1186" s="62">
        <v>0.0</v>
      </c>
      <c r="AB1186" s="62">
        <v>0.0</v>
      </c>
      <c r="AC1186" s="62">
        <v>0.0</v>
      </c>
      <c r="AD1186" s="62">
        <v>0.0</v>
      </c>
      <c r="AE1186" s="62">
        <v>0.0</v>
      </c>
      <c r="AF1186" s="62">
        <v>0.0</v>
      </c>
    </row>
    <row r="1187">
      <c r="A1187" s="68">
        <v>46055.0</v>
      </c>
      <c r="B1187" s="62" t="s">
        <v>79</v>
      </c>
      <c r="C1187" s="62" t="s">
        <v>162</v>
      </c>
      <c r="D1187" s="62">
        <v>4.0</v>
      </c>
      <c r="E1187" s="62">
        <v>7.0</v>
      </c>
      <c r="F1187" s="62">
        <v>0.0</v>
      </c>
      <c r="G1187" s="62">
        <v>0.0</v>
      </c>
      <c r="H1187" s="62">
        <v>0.0</v>
      </c>
      <c r="I1187" s="62">
        <v>0.0</v>
      </c>
      <c r="J1187" s="62">
        <v>0.0</v>
      </c>
      <c r="K1187" s="62">
        <v>0.0</v>
      </c>
      <c r="L1187" s="62">
        <v>0.0</v>
      </c>
      <c r="M1187" s="62">
        <v>0.0</v>
      </c>
      <c r="N1187" s="62">
        <v>0.0</v>
      </c>
      <c r="O1187" s="62">
        <v>0.0</v>
      </c>
      <c r="P1187" s="62">
        <v>0.0</v>
      </c>
      <c r="Q1187" s="62">
        <v>0.0</v>
      </c>
      <c r="R1187" s="62">
        <v>8876.0</v>
      </c>
      <c r="S1187" s="62">
        <v>13542.0</v>
      </c>
      <c r="T1187" s="62">
        <v>0.0</v>
      </c>
      <c r="U1187" s="62">
        <v>0.0</v>
      </c>
      <c r="V1187" s="62">
        <v>0.0</v>
      </c>
      <c r="W1187" s="62">
        <v>0.0</v>
      </c>
      <c r="X1187" s="62">
        <v>0.0</v>
      </c>
      <c r="Y1187" s="62">
        <v>0.0</v>
      </c>
      <c r="Z1187" s="62">
        <v>0.0</v>
      </c>
      <c r="AA1187" s="62">
        <v>0.0</v>
      </c>
      <c r="AB1187" s="62">
        <v>0.0</v>
      </c>
      <c r="AC1187" s="62">
        <v>0.0</v>
      </c>
      <c r="AD1187" s="62">
        <v>0.0</v>
      </c>
      <c r="AE1187" s="62">
        <v>0.0</v>
      </c>
      <c r="AF1187" s="62">
        <v>0.0</v>
      </c>
    </row>
    <row r="1188">
      <c r="A1188" s="68">
        <v>46055.0</v>
      </c>
      <c r="B1188" s="62" t="s">
        <v>71</v>
      </c>
      <c r="C1188" s="62" t="s">
        <v>163</v>
      </c>
      <c r="D1188" s="62">
        <v>0.0</v>
      </c>
      <c r="E1188" s="62">
        <v>0.0</v>
      </c>
      <c r="F1188" s="62">
        <v>2.0</v>
      </c>
      <c r="G1188" s="62">
        <v>2.0</v>
      </c>
      <c r="H1188" s="62">
        <v>2.0</v>
      </c>
      <c r="I1188" s="62">
        <v>0.0</v>
      </c>
      <c r="J1188" s="62">
        <v>2.0</v>
      </c>
      <c r="K1188" s="62">
        <v>1.0</v>
      </c>
      <c r="L1188" s="62">
        <v>1.0</v>
      </c>
      <c r="M1188" s="62">
        <v>2.0</v>
      </c>
      <c r="N1188" s="62">
        <v>1.0</v>
      </c>
      <c r="O1188" s="62">
        <v>1.0</v>
      </c>
      <c r="P1188" s="62">
        <v>1.0</v>
      </c>
      <c r="Q1188" s="62">
        <v>0.0</v>
      </c>
      <c r="R1188" s="62">
        <v>0.0</v>
      </c>
      <c r="S1188" s="62">
        <v>0.0</v>
      </c>
      <c r="T1188" s="62">
        <v>0.908888888888888</v>
      </c>
      <c r="U1188" s="62">
        <v>0.563611111111111</v>
      </c>
      <c r="V1188" s="62">
        <v>0.5775</v>
      </c>
      <c r="W1188" s="62">
        <v>0.5775</v>
      </c>
      <c r="X1188" s="62">
        <v>0.0</v>
      </c>
      <c r="Y1188" s="62">
        <v>0.5775</v>
      </c>
      <c r="Z1188" s="62">
        <v>0.299444444444444</v>
      </c>
      <c r="AA1188" s="62">
        <v>0.299444444444444</v>
      </c>
      <c r="AB1188" s="62">
        <v>0.5775</v>
      </c>
      <c r="AC1188" s="62">
        <v>0.278055555555555</v>
      </c>
      <c r="AD1188" s="62">
        <v>0.281388888888888</v>
      </c>
      <c r="AE1188" s="62">
        <v>0.278055555555555</v>
      </c>
      <c r="AF1188" s="62">
        <v>3.0</v>
      </c>
    </row>
    <row r="1189">
      <c r="A1189" s="68">
        <v>46055.0</v>
      </c>
      <c r="B1189" s="62" t="s">
        <v>76</v>
      </c>
      <c r="C1189" s="62" t="s">
        <v>165</v>
      </c>
      <c r="D1189" s="62">
        <v>0.0</v>
      </c>
      <c r="E1189" s="62">
        <v>0.0</v>
      </c>
      <c r="F1189" s="62">
        <v>3.0</v>
      </c>
      <c r="G1189" s="62">
        <v>3.0</v>
      </c>
      <c r="H1189" s="62">
        <v>3.0</v>
      </c>
      <c r="I1189" s="62">
        <v>0.0</v>
      </c>
      <c r="J1189" s="62">
        <v>5.0</v>
      </c>
      <c r="K1189" s="62">
        <v>0.0</v>
      </c>
      <c r="L1189" s="62">
        <v>0.0</v>
      </c>
      <c r="M1189" s="62">
        <v>4.0</v>
      </c>
      <c r="N1189" s="62">
        <v>4.0</v>
      </c>
      <c r="O1189" s="62">
        <v>1.0</v>
      </c>
      <c r="P1189" s="62">
        <v>4.0</v>
      </c>
      <c r="Q1189" s="62">
        <v>0.0</v>
      </c>
      <c r="R1189" s="62">
        <v>0.0</v>
      </c>
      <c r="S1189" s="62">
        <v>0.0</v>
      </c>
      <c r="T1189" s="62">
        <v>0.755277777777777</v>
      </c>
      <c r="U1189" s="62">
        <v>0.755277777777777</v>
      </c>
      <c r="V1189" s="62">
        <v>0.740833333333333</v>
      </c>
      <c r="W1189" s="62">
        <v>0.740833333333333</v>
      </c>
      <c r="X1189" s="62">
        <v>0.0</v>
      </c>
      <c r="Y1189" s="62">
        <v>1.19916666666666</v>
      </c>
      <c r="Z1189" s="62">
        <v>0.0</v>
      </c>
      <c r="AA1189" s="62">
        <v>0.0</v>
      </c>
      <c r="AB1189" s="62">
        <v>0.951944444444444</v>
      </c>
      <c r="AC1189" s="62">
        <v>0.951944444444444</v>
      </c>
      <c r="AD1189" s="62">
        <v>0.233055555555555</v>
      </c>
      <c r="AE1189" s="62">
        <v>0.951944444444444</v>
      </c>
      <c r="AF1189" s="62">
        <v>3.0</v>
      </c>
    </row>
    <row r="1190">
      <c r="A1190" s="68">
        <v>46055.0</v>
      </c>
      <c r="B1190" s="62" t="s">
        <v>32</v>
      </c>
      <c r="C1190" s="62" t="s">
        <v>168</v>
      </c>
      <c r="D1190" s="62">
        <v>0.0</v>
      </c>
      <c r="E1190" s="62">
        <v>6.0</v>
      </c>
      <c r="F1190" s="62">
        <v>3.0</v>
      </c>
      <c r="G1190" s="62">
        <v>0.0</v>
      </c>
      <c r="H1190" s="62">
        <v>6.0</v>
      </c>
      <c r="I1190" s="62">
        <v>6.0</v>
      </c>
      <c r="J1190" s="62">
        <v>0.0</v>
      </c>
      <c r="K1190" s="62">
        <v>0.0</v>
      </c>
      <c r="L1190" s="62">
        <v>0.0</v>
      </c>
      <c r="M1190" s="62">
        <v>2.0</v>
      </c>
      <c r="N1190" s="62">
        <v>2.0</v>
      </c>
      <c r="O1190" s="62">
        <v>1.0</v>
      </c>
      <c r="P1190" s="62">
        <v>2.0</v>
      </c>
      <c r="Q1190" s="62">
        <v>0.0</v>
      </c>
      <c r="R1190" s="62">
        <v>0.0</v>
      </c>
      <c r="S1190" s="62">
        <v>15472.0</v>
      </c>
      <c r="T1190" s="62">
        <v>0.798888888888888</v>
      </c>
      <c r="U1190" s="62">
        <v>0.732499999999999</v>
      </c>
      <c r="V1190" s="62">
        <v>0.0</v>
      </c>
      <c r="W1190" s="62">
        <v>1.53694444444444</v>
      </c>
      <c r="X1190" s="62">
        <v>1.53694444444444</v>
      </c>
      <c r="Y1190" s="62">
        <v>0.0</v>
      </c>
      <c r="Z1190" s="62">
        <v>0.0</v>
      </c>
      <c r="AA1190" s="62">
        <v>0.0</v>
      </c>
      <c r="AB1190" s="62">
        <v>0.524166666666666</v>
      </c>
      <c r="AC1190" s="62">
        <v>0.524166666666666</v>
      </c>
      <c r="AD1190" s="62">
        <v>0.2275</v>
      </c>
      <c r="AE1190" s="62">
        <v>0.524166666666666</v>
      </c>
      <c r="AF1190" s="62">
        <v>3.0</v>
      </c>
    </row>
    <row r="1191">
      <c r="A1191" s="68">
        <v>46055.0</v>
      </c>
      <c r="B1191" s="62" t="s">
        <v>37</v>
      </c>
      <c r="C1191" s="62" t="s">
        <v>174</v>
      </c>
      <c r="D1191" s="62">
        <v>0.0</v>
      </c>
      <c r="E1191" s="62">
        <v>2.0</v>
      </c>
      <c r="F1191" s="62">
        <v>2.0</v>
      </c>
      <c r="G1191" s="62">
        <v>2.0</v>
      </c>
      <c r="H1191" s="62">
        <v>5.0</v>
      </c>
      <c r="I1191" s="62">
        <v>3.0</v>
      </c>
      <c r="J1191" s="62">
        <v>2.0</v>
      </c>
      <c r="K1191" s="62">
        <v>1.0</v>
      </c>
      <c r="L1191" s="62">
        <v>1.0</v>
      </c>
      <c r="M1191" s="62">
        <v>1.0</v>
      </c>
      <c r="N1191" s="62">
        <v>0.0</v>
      </c>
      <c r="O1191" s="62">
        <v>1.0</v>
      </c>
      <c r="P1191" s="62">
        <v>0.0</v>
      </c>
      <c r="Q1191" s="62">
        <v>0.0</v>
      </c>
      <c r="R1191" s="62">
        <v>0.0</v>
      </c>
      <c r="S1191" s="62">
        <v>4880.0</v>
      </c>
      <c r="T1191" s="62">
        <v>0.0</v>
      </c>
      <c r="U1191" s="62">
        <v>0.508888888888889</v>
      </c>
      <c r="V1191" s="62">
        <v>0.535</v>
      </c>
      <c r="W1191" s="62">
        <v>1.27583333333333</v>
      </c>
      <c r="X1191" s="62">
        <v>0.740833333333333</v>
      </c>
      <c r="Y1191" s="62">
        <v>0.535</v>
      </c>
      <c r="Z1191" s="62">
        <v>0.28</v>
      </c>
      <c r="AA1191" s="62">
        <v>0.28</v>
      </c>
      <c r="AB1191" s="62">
        <v>0.255</v>
      </c>
      <c r="AC1191" s="62">
        <v>0.0</v>
      </c>
      <c r="AD1191" s="62">
        <v>0.264166666666666</v>
      </c>
      <c r="AE1191" s="62">
        <v>0.0</v>
      </c>
      <c r="AF1191" s="62">
        <v>0.0</v>
      </c>
    </row>
    <row r="1192">
      <c r="A1192" s="68">
        <v>46055.0</v>
      </c>
      <c r="B1192" s="62" t="s">
        <v>81</v>
      </c>
      <c r="C1192" s="62" t="s">
        <v>187</v>
      </c>
      <c r="D1192" s="62">
        <v>3.0</v>
      </c>
      <c r="E1192" s="62">
        <v>0.0</v>
      </c>
      <c r="F1192" s="62">
        <v>0.0</v>
      </c>
      <c r="G1192" s="62">
        <v>0.0</v>
      </c>
      <c r="H1192" s="62">
        <v>0.0</v>
      </c>
      <c r="I1192" s="62">
        <v>0.0</v>
      </c>
      <c r="J1192" s="62">
        <v>0.0</v>
      </c>
      <c r="K1192" s="62">
        <v>0.0</v>
      </c>
      <c r="L1192" s="62">
        <v>0.0</v>
      </c>
      <c r="M1192" s="62">
        <v>0.0</v>
      </c>
      <c r="N1192" s="62">
        <v>0.0</v>
      </c>
      <c r="O1192" s="62">
        <v>0.0</v>
      </c>
      <c r="P1192" s="62">
        <v>0.0</v>
      </c>
      <c r="Q1192" s="62">
        <v>0.0</v>
      </c>
      <c r="R1192" s="62">
        <v>6431.0</v>
      </c>
      <c r="S1192" s="62">
        <v>0.0</v>
      </c>
      <c r="T1192" s="62">
        <v>0.0</v>
      </c>
      <c r="U1192" s="62">
        <v>0.0</v>
      </c>
      <c r="V1192" s="62">
        <v>0.0</v>
      </c>
      <c r="W1192" s="62">
        <v>0.0</v>
      </c>
      <c r="X1192" s="62">
        <v>0.0</v>
      </c>
      <c r="Y1192" s="62">
        <v>0.0</v>
      </c>
      <c r="Z1192" s="62">
        <v>0.0</v>
      </c>
      <c r="AA1192" s="62">
        <v>0.0</v>
      </c>
      <c r="AB1192" s="62">
        <v>0.0</v>
      </c>
      <c r="AC1192" s="62">
        <v>0.0</v>
      </c>
      <c r="AD1192" s="62">
        <v>0.0</v>
      </c>
      <c r="AE1192" s="62">
        <v>0.0</v>
      </c>
      <c r="AF1192" s="62">
        <v>0.0</v>
      </c>
    </row>
    <row r="1193">
      <c r="A1193" s="68">
        <v>46055.0</v>
      </c>
      <c r="B1193" s="62" t="s">
        <v>26</v>
      </c>
      <c r="C1193" s="62" t="s">
        <v>178</v>
      </c>
      <c r="D1193" s="62">
        <v>7.0</v>
      </c>
      <c r="E1193" s="62">
        <v>2.0</v>
      </c>
      <c r="F1193" s="62">
        <v>1.0</v>
      </c>
      <c r="G1193" s="62">
        <v>0.0</v>
      </c>
      <c r="H1193" s="62">
        <v>4.0</v>
      </c>
      <c r="I1193" s="62">
        <v>4.0</v>
      </c>
      <c r="J1193" s="62">
        <v>4.0</v>
      </c>
      <c r="K1193" s="62">
        <v>0.0</v>
      </c>
      <c r="L1193" s="62">
        <v>0.0</v>
      </c>
      <c r="M1193" s="62">
        <v>4.0</v>
      </c>
      <c r="N1193" s="62">
        <v>2.0</v>
      </c>
      <c r="O1193" s="62">
        <v>1.0</v>
      </c>
      <c r="P1193" s="62">
        <v>2.0</v>
      </c>
      <c r="Q1193" s="62">
        <v>0.0</v>
      </c>
      <c r="R1193" s="62">
        <v>16219.0</v>
      </c>
      <c r="S1193" s="62">
        <v>4732.0</v>
      </c>
      <c r="T1193" s="62">
        <v>0.990833333333333</v>
      </c>
      <c r="U1193" s="62">
        <v>0.200555555555555</v>
      </c>
      <c r="V1193" s="62">
        <v>0.0</v>
      </c>
      <c r="W1193" s="62">
        <v>0.790277777777777</v>
      </c>
      <c r="X1193" s="62">
        <v>0.790277777777777</v>
      </c>
      <c r="Y1193" s="62">
        <v>0.805555555555555</v>
      </c>
      <c r="Z1193" s="62">
        <v>0.0</v>
      </c>
      <c r="AA1193" s="62">
        <v>0.0</v>
      </c>
      <c r="AB1193" s="62">
        <v>0.805555555555555</v>
      </c>
      <c r="AC1193" s="62">
        <v>0.413333333333333</v>
      </c>
      <c r="AD1193" s="62">
        <v>0.1925</v>
      </c>
      <c r="AE1193" s="62">
        <v>0.413333333333333</v>
      </c>
      <c r="AF1193" s="62">
        <v>5.0</v>
      </c>
    </row>
    <row r="1194">
      <c r="A1194" s="68">
        <v>46055.0</v>
      </c>
      <c r="B1194" s="62" t="s">
        <v>62</v>
      </c>
      <c r="C1194" s="62" t="s">
        <v>63</v>
      </c>
      <c r="D1194" s="62">
        <v>2.0</v>
      </c>
      <c r="E1194" s="62">
        <v>3.0</v>
      </c>
      <c r="F1194" s="62">
        <v>7.0</v>
      </c>
      <c r="G1194" s="62">
        <v>0.0</v>
      </c>
      <c r="H1194" s="62">
        <v>1.0</v>
      </c>
      <c r="I1194" s="62">
        <v>1.0</v>
      </c>
      <c r="J1194" s="62">
        <v>0.0</v>
      </c>
      <c r="K1194" s="62">
        <v>0.0</v>
      </c>
      <c r="L1194" s="62">
        <v>0.0</v>
      </c>
      <c r="M1194" s="62">
        <v>0.0</v>
      </c>
      <c r="N1194" s="62">
        <v>0.0</v>
      </c>
      <c r="O1194" s="62">
        <v>0.0</v>
      </c>
      <c r="P1194" s="62">
        <v>0.0</v>
      </c>
      <c r="Q1194" s="62">
        <v>0.0</v>
      </c>
      <c r="R1194" s="62">
        <v>4916.0</v>
      </c>
      <c r="S1194" s="62">
        <v>5279.0</v>
      </c>
      <c r="T1194" s="62">
        <v>1.90944444444444</v>
      </c>
      <c r="U1194" s="62">
        <v>1.66527777777777</v>
      </c>
      <c r="V1194" s="62">
        <v>0.0</v>
      </c>
      <c r="W1194" s="62">
        <v>0.244166666666666</v>
      </c>
      <c r="X1194" s="62">
        <v>0.244166666666666</v>
      </c>
      <c r="Y1194" s="62">
        <v>0.0</v>
      </c>
      <c r="Z1194" s="62">
        <v>0.0</v>
      </c>
      <c r="AA1194" s="62">
        <v>0.0</v>
      </c>
      <c r="AB1194" s="62">
        <v>0.0</v>
      </c>
      <c r="AC1194" s="62">
        <v>0.0</v>
      </c>
      <c r="AD1194" s="62">
        <v>0.0</v>
      </c>
      <c r="AE1194" s="62">
        <v>0.0</v>
      </c>
      <c r="AF1194" s="62">
        <v>8.0</v>
      </c>
    </row>
    <row r="1195">
      <c r="A1195" s="68">
        <v>46054.0</v>
      </c>
      <c r="B1195" s="62" t="s">
        <v>79</v>
      </c>
      <c r="C1195" s="62" t="s">
        <v>162</v>
      </c>
      <c r="D1195" s="62">
        <v>0.0</v>
      </c>
      <c r="E1195" s="62">
        <v>4.0</v>
      </c>
      <c r="F1195" s="62">
        <v>0.0</v>
      </c>
      <c r="G1195" s="62">
        <v>0.0</v>
      </c>
      <c r="H1195" s="62">
        <v>0.0</v>
      </c>
      <c r="I1195" s="62">
        <v>0.0</v>
      </c>
      <c r="J1195" s="62">
        <v>0.0</v>
      </c>
      <c r="K1195" s="62">
        <v>0.0</v>
      </c>
      <c r="L1195" s="62">
        <v>0.0</v>
      </c>
      <c r="M1195" s="62">
        <v>0.0</v>
      </c>
      <c r="N1195" s="62">
        <v>0.0</v>
      </c>
      <c r="O1195" s="62">
        <v>0.0</v>
      </c>
      <c r="P1195" s="62">
        <v>0.0</v>
      </c>
      <c r="Q1195" s="62">
        <v>0.0</v>
      </c>
      <c r="R1195" s="62">
        <v>0.0</v>
      </c>
      <c r="S1195" s="62">
        <v>5480.0</v>
      </c>
      <c r="T1195" s="62">
        <v>0.0</v>
      </c>
      <c r="U1195" s="62">
        <v>0.0</v>
      </c>
      <c r="V1195" s="62">
        <v>0.0</v>
      </c>
      <c r="W1195" s="62">
        <v>0.0</v>
      </c>
      <c r="X1195" s="62">
        <v>0.0</v>
      </c>
      <c r="Y1195" s="62">
        <v>0.0</v>
      </c>
      <c r="Z1195" s="62">
        <v>0.0</v>
      </c>
      <c r="AA1195" s="62">
        <v>0.0</v>
      </c>
      <c r="AB1195" s="62">
        <v>0.0</v>
      </c>
      <c r="AC1195" s="62">
        <v>0.0</v>
      </c>
      <c r="AD1195" s="62">
        <v>0.0</v>
      </c>
      <c r="AE1195" s="62">
        <v>0.0</v>
      </c>
      <c r="AF1195" s="62">
        <v>0.0</v>
      </c>
    </row>
    <row r="1196">
      <c r="A1196" s="68">
        <v>46054.0</v>
      </c>
      <c r="B1196" s="62" t="s">
        <v>71</v>
      </c>
      <c r="C1196" s="62" t="s">
        <v>163</v>
      </c>
      <c r="D1196" s="62">
        <v>6.0</v>
      </c>
      <c r="E1196" s="62">
        <v>2.0</v>
      </c>
      <c r="F1196" s="62">
        <v>0.0</v>
      </c>
      <c r="G1196" s="62">
        <v>0.0</v>
      </c>
      <c r="H1196" s="62">
        <v>0.0</v>
      </c>
      <c r="I1196" s="62">
        <v>0.0</v>
      </c>
      <c r="J1196" s="62">
        <v>0.0</v>
      </c>
      <c r="K1196" s="62">
        <v>0.0</v>
      </c>
      <c r="L1196" s="62">
        <v>0.0</v>
      </c>
      <c r="M1196" s="62">
        <v>0.0</v>
      </c>
      <c r="N1196" s="62">
        <v>0.0</v>
      </c>
      <c r="O1196" s="62">
        <v>1.0</v>
      </c>
      <c r="P1196" s="62">
        <v>0.0</v>
      </c>
      <c r="Q1196" s="62">
        <v>0.0</v>
      </c>
      <c r="R1196" s="62">
        <v>18675.0</v>
      </c>
      <c r="S1196" s="62">
        <v>6311.0</v>
      </c>
      <c r="T1196" s="62">
        <v>0.0</v>
      </c>
      <c r="U1196" s="62">
        <v>0.0</v>
      </c>
      <c r="V1196" s="62">
        <v>0.0</v>
      </c>
      <c r="W1196" s="62">
        <v>0.0</v>
      </c>
      <c r="X1196" s="62">
        <v>0.0</v>
      </c>
      <c r="Y1196" s="62">
        <v>0.0</v>
      </c>
      <c r="Z1196" s="62">
        <v>0.0</v>
      </c>
      <c r="AA1196" s="62">
        <v>0.0</v>
      </c>
      <c r="AB1196" s="62">
        <v>0.0</v>
      </c>
      <c r="AC1196" s="62">
        <v>0.0</v>
      </c>
      <c r="AD1196" s="62">
        <v>0.256666666666666</v>
      </c>
      <c r="AE1196" s="62">
        <v>0.0</v>
      </c>
      <c r="AF1196" s="62">
        <v>0.0</v>
      </c>
    </row>
    <row r="1197">
      <c r="A1197" s="68">
        <v>46054.0</v>
      </c>
      <c r="B1197" s="62" t="s">
        <v>37</v>
      </c>
      <c r="C1197" s="62" t="s">
        <v>174</v>
      </c>
      <c r="D1197" s="62">
        <v>0.0</v>
      </c>
      <c r="E1197" s="62">
        <v>2.0</v>
      </c>
      <c r="F1197" s="62">
        <v>0.0</v>
      </c>
      <c r="G1197" s="62">
        <v>0.0</v>
      </c>
      <c r="H1197" s="62">
        <v>0.0</v>
      </c>
      <c r="I1197" s="62">
        <v>0.0</v>
      </c>
      <c r="J1197" s="62">
        <v>0.0</v>
      </c>
      <c r="K1197" s="62">
        <v>0.0</v>
      </c>
      <c r="L1197" s="62">
        <v>0.0</v>
      </c>
      <c r="M1197" s="62">
        <v>0.0</v>
      </c>
      <c r="N1197" s="62">
        <v>3.0</v>
      </c>
      <c r="O1197" s="62">
        <v>1.0</v>
      </c>
      <c r="P1197" s="62">
        <v>3.0</v>
      </c>
      <c r="Q1197" s="62">
        <v>0.0</v>
      </c>
      <c r="R1197" s="62">
        <v>0.0</v>
      </c>
      <c r="S1197" s="62">
        <v>4532.0</v>
      </c>
      <c r="T1197" s="62">
        <v>0.0</v>
      </c>
      <c r="U1197" s="62">
        <v>0.0</v>
      </c>
      <c r="V1197" s="62">
        <v>0.0</v>
      </c>
      <c r="W1197" s="62">
        <v>0.0</v>
      </c>
      <c r="X1197" s="62">
        <v>0.0</v>
      </c>
      <c r="Y1197" s="62">
        <v>0.0</v>
      </c>
      <c r="Z1197" s="62">
        <v>0.0</v>
      </c>
      <c r="AA1197" s="62">
        <v>0.0</v>
      </c>
      <c r="AB1197" s="62">
        <v>0.0</v>
      </c>
      <c r="AC1197" s="62">
        <v>0.775555555555555</v>
      </c>
      <c r="AD1197" s="62">
        <v>0.267777777777777</v>
      </c>
      <c r="AE1197" s="62">
        <v>0.775555555555555</v>
      </c>
      <c r="AF1197" s="62">
        <v>0.0</v>
      </c>
    </row>
    <row r="1198">
      <c r="A1198" s="68">
        <v>46054.0</v>
      </c>
      <c r="B1198" s="62" t="s">
        <v>81</v>
      </c>
      <c r="C1198" s="62" t="s">
        <v>187</v>
      </c>
      <c r="D1198" s="62">
        <v>0.0</v>
      </c>
      <c r="E1198" s="62">
        <v>2.0</v>
      </c>
      <c r="F1198" s="62">
        <v>0.0</v>
      </c>
      <c r="G1198" s="62">
        <v>0.0</v>
      </c>
      <c r="H1198" s="62">
        <v>0.0</v>
      </c>
      <c r="I1198" s="62">
        <v>0.0</v>
      </c>
      <c r="J1198" s="62">
        <v>0.0</v>
      </c>
      <c r="K1198" s="62">
        <v>0.0</v>
      </c>
      <c r="L1198" s="62">
        <v>0.0</v>
      </c>
      <c r="M1198" s="62">
        <v>0.0</v>
      </c>
      <c r="N1198" s="62">
        <v>0.0</v>
      </c>
      <c r="O1198" s="62">
        <v>0.0</v>
      </c>
      <c r="P1198" s="62">
        <v>0.0</v>
      </c>
      <c r="Q1198" s="62">
        <v>0.0</v>
      </c>
      <c r="R1198" s="62">
        <v>0.0</v>
      </c>
      <c r="S1198" s="62">
        <v>4873.0</v>
      </c>
      <c r="T1198" s="62">
        <v>0.0</v>
      </c>
      <c r="U1198" s="62">
        <v>0.0</v>
      </c>
      <c r="V1198" s="62">
        <v>0.0</v>
      </c>
      <c r="W1198" s="62">
        <v>0.0</v>
      </c>
      <c r="X1198" s="62">
        <v>0.0</v>
      </c>
      <c r="Y1198" s="62">
        <v>0.0</v>
      </c>
      <c r="Z1198" s="62">
        <v>0.0</v>
      </c>
      <c r="AA1198" s="62">
        <v>0.0</v>
      </c>
      <c r="AB1198" s="62">
        <v>0.0</v>
      </c>
      <c r="AC1198" s="62">
        <v>0.0</v>
      </c>
      <c r="AD1198" s="62">
        <v>0.0</v>
      </c>
      <c r="AE1198" s="62">
        <v>0.0</v>
      </c>
      <c r="AF1198" s="62">
        <v>0.0</v>
      </c>
    </row>
    <row r="1199">
      <c r="A1199" s="68">
        <v>46054.0</v>
      </c>
      <c r="B1199" s="62" t="s">
        <v>62</v>
      </c>
      <c r="C1199" s="62" t="s">
        <v>63</v>
      </c>
      <c r="D1199" s="62">
        <v>12.0</v>
      </c>
      <c r="E1199" s="62">
        <v>4.0</v>
      </c>
      <c r="F1199" s="62">
        <v>0.0</v>
      </c>
      <c r="G1199" s="62">
        <v>0.0</v>
      </c>
      <c r="H1199" s="62">
        <v>0.0</v>
      </c>
      <c r="I1199" s="62">
        <v>0.0</v>
      </c>
      <c r="J1199" s="62">
        <v>0.0</v>
      </c>
      <c r="K1199" s="62">
        <v>0.0</v>
      </c>
      <c r="L1199" s="62">
        <v>0.0</v>
      </c>
      <c r="M1199" s="62">
        <v>0.0</v>
      </c>
      <c r="N1199" s="62">
        <v>0.0</v>
      </c>
      <c r="O1199" s="62">
        <v>0.0</v>
      </c>
      <c r="P1199" s="62">
        <v>0.0</v>
      </c>
      <c r="Q1199" s="62">
        <v>0.0</v>
      </c>
      <c r="R1199" s="62">
        <v>31122.0</v>
      </c>
      <c r="S1199" s="62">
        <v>7756.0</v>
      </c>
      <c r="T1199" s="62">
        <v>0.0</v>
      </c>
      <c r="U1199" s="62">
        <v>0.0</v>
      </c>
      <c r="V1199" s="62">
        <v>0.0</v>
      </c>
      <c r="W1199" s="62">
        <v>0.0</v>
      </c>
      <c r="X1199" s="62">
        <v>0.0</v>
      </c>
      <c r="Y1199" s="62">
        <v>0.0</v>
      </c>
      <c r="Z1199" s="62">
        <v>0.0</v>
      </c>
      <c r="AA1199" s="62">
        <v>0.0</v>
      </c>
      <c r="AB1199" s="62">
        <v>0.0</v>
      </c>
      <c r="AC1199" s="62">
        <v>0.0</v>
      </c>
      <c r="AD1199" s="62">
        <v>0.0</v>
      </c>
      <c r="AE1199" s="62">
        <v>0.0</v>
      </c>
      <c r="AF1199" s="62">
        <v>0.0</v>
      </c>
    </row>
    <row r="1200">
      <c r="A1200" s="68">
        <v>46053.0</v>
      </c>
      <c r="B1200" s="62" t="s">
        <v>79</v>
      </c>
      <c r="C1200" s="62" t="s">
        <v>162</v>
      </c>
      <c r="D1200" s="62">
        <v>0.0</v>
      </c>
      <c r="E1200" s="62">
        <v>6.0</v>
      </c>
      <c r="F1200" s="62">
        <v>0.0</v>
      </c>
      <c r="G1200" s="62">
        <v>0.0</v>
      </c>
      <c r="H1200" s="62">
        <v>0.0</v>
      </c>
      <c r="I1200" s="62">
        <v>0.0</v>
      </c>
      <c r="J1200" s="62">
        <v>0.0</v>
      </c>
      <c r="K1200" s="62">
        <v>0.0</v>
      </c>
      <c r="L1200" s="62">
        <v>0.0</v>
      </c>
      <c r="M1200" s="62">
        <v>0.0</v>
      </c>
      <c r="N1200" s="62">
        <v>0.0</v>
      </c>
      <c r="O1200" s="62">
        <v>0.0</v>
      </c>
      <c r="P1200" s="62">
        <v>0.0</v>
      </c>
      <c r="Q1200" s="62">
        <v>0.0</v>
      </c>
      <c r="R1200" s="62">
        <v>0.0</v>
      </c>
      <c r="S1200" s="62">
        <v>11068.0</v>
      </c>
      <c r="T1200" s="62">
        <v>0.0</v>
      </c>
      <c r="U1200" s="62">
        <v>0.0</v>
      </c>
      <c r="V1200" s="62">
        <v>0.0</v>
      </c>
      <c r="W1200" s="62">
        <v>0.0</v>
      </c>
      <c r="X1200" s="62">
        <v>0.0</v>
      </c>
      <c r="Y1200" s="62">
        <v>0.0</v>
      </c>
      <c r="Z1200" s="62">
        <v>0.0</v>
      </c>
      <c r="AA1200" s="62">
        <v>0.0</v>
      </c>
      <c r="AB1200" s="62">
        <v>0.0</v>
      </c>
      <c r="AC1200" s="62">
        <v>0.0</v>
      </c>
      <c r="AD1200" s="62">
        <v>0.0</v>
      </c>
      <c r="AE1200" s="62">
        <v>0.0</v>
      </c>
      <c r="AF1200" s="62">
        <v>0.0</v>
      </c>
    </row>
    <row r="1201">
      <c r="A1201" s="68">
        <v>46053.0</v>
      </c>
      <c r="B1201" s="62" t="s">
        <v>71</v>
      </c>
      <c r="C1201" s="62" t="s">
        <v>163</v>
      </c>
      <c r="D1201" s="62">
        <v>0.0</v>
      </c>
      <c r="E1201" s="62">
        <v>6.0</v>
      </c>
      <c r="F1201" s="62">
        <v>0.0</v>
      </c>
      <c r="G1201" s="62">
        <v>0.0</v>
      </c>
      <c r="H1201" s="62">
        <v>0.0</v>
      </c>
      <c r="I1201" s="62">
        <v>0.0</v>
      </c>
      <c r="J1201" s="62">
        <v>0.0</v>
      </c>
      <c r="K1201" s="62">
        <v>0.0</v>
      </c>
      <c r="L1201" s="62">
        <v>1.0</v>
      </c>
      <c r="M1201" s="62">
        <v>1.0</v>
      </c>
      <c r="N1201" s="62">
        <v>2.0</v>
      </c>
      <c r="O1201" s="62">
        <v>1.0</v>
      </c>
      <c r="P1201" s="62">
        <v>2.0</v>
      </c>
      <c r="Q1201" s="62">
        <v>0.0</v>
      </c>
      <c r="R1201" s="62">
        <v>0.0</v>
      </c>
      <c r="S1201" s="62">
        <v>19331.0</v>
      </c>
      <c r="T1201" s="62">
        <v>0.563611111111111</v>
      </c>
      <c r="U1201" s="62">
        <v>0.0</v>
      </c>
      <c r="V1201" s="62">
        <v>0.0</v>
      </c>
      <c r="W1201" s="62">
        <v>0.0</v>
      </c>
      <c r="X1201" s="62">
        <v>0.0</v>
      </c>
      <c r="Y1201" s="62">
        <v>0.0</v>
      </c>
      <c r="Z1201" s="62">
        <v>0.0</v>
      </c>
      <c r="AA1201" s="62">
        <v>0.277222222222222</v>
      </c>
      <c r="AB1201" s="62">
        <v>0.277222222222222</v>
      </c>
      <c r="AC1201" s="62">
        <v>0.567222222222222</v>
      </c>
      <c r="AD1201" s="62">
        <v>0.2575</v>
      </c>
      <c r="AE1201" s="62">
        <v>0.567222222222222</v>
      </c>
      <c r="AF1201" s="62">
        <v>2.0</v>
      </c>
    </row>
    <row r="1202">
      <c r="A1202" s="68">
        <v>46053.0</v>
      </c>
      <c r="B1202" s="62" t="s">
        <v>32</v>
      </c>
      <c r="C1202" s="62" t="s">
        <v>168</v>
      </c>
      <c r="D1202" s="62">
        <v>0.0</v>
      </c>
      <c r="E1202" s="62">
        <v>3.0</v>
      </c>
      <c r="F1202" s="62">
        <v>0.0</v>
      </c>
      <c r="G1202" s="62">
        <v>0.0</v>
      </c>
      <c r="H1202" s="62">
        <v>0.0</v>
      </c>
      <c r="I1202" s="62">
        <v>0.0</v>
      </c>
      <c r="J1202" s="62">
        <v>0.0</v>
      </c>
      <c r="K1202" s="62">
        <v>0.0</v>
      </c>
      <c r="L1202" s="62">
        <v>0.0</v>
      </c>
      <c r="M1202" s="62">
        <v>0.0</v>
      </c>
      <c r="N1202" s="62">
        <v>0.0</v>
      </c>
      <c r="O1202" s="62">
        <v>1.0</v>
      </c>
      <c r="P1202" s="62">
        <v>0.0</v>
      </c>
      <c r="Q1202" s="62">
        <v>0.0</v>
      </c>
      <c r="R1202" s="62">
        <v>0.0</v>
      </c>
      <c r="S1202" s="62">
        <v>7658.0</v>
      </c>
      <c r="T1202" s="62">
        <v>0.724444444444444</v>
      </c>
      <c r="U1202" s="62">
        <v>0.0</v>
      </c>
      <c r="V1202" s="62">
        <v>0.0</v>
      </c>
      <c r="W1202" s="62">
        <v>0.0</v>
      </c>
      <c r="X1202" s="62">
        <v>0.0</v>
      </c>
      <c r="Y1202" s="62">
        <v>0.0</v>
      </c>
      <c r="Z1202" s="62">
        <v>0.0</v>
      </c>
      <c r="AA1202" s="62">
        <v>0.0</v>
      </c>
      <c r="AB1202" s="62">
        <v>0.0</v>
      </c>
      <c r="AC1202" s="62">
        <v>0.0</v>
      </c>
      <c r="AD1202" s="62">
        <v>0.215555555555555</v>
      </c>
      <c r="AE1202" s="62">
        <v>0.0</v>
      </c>
      <c r="AF1202" s="62">
        <v>3.0</v>
      </c>
    </row>
    <row r="1203">
      <c r="A1203" s="68">
        <v>46053.0</v>
      </c>
      <c r="B1203" s="62" t="s">
        <v>37</v>
      </c>
      <c r="C1203" s="62" t="s">
        <v>174</v>
      </c>
      <c r="D1203" s="62">
        <v>0.0</v>
      </c>
      <c r="E1203" s="62">
        <v>0.0</v>
      </c>
      <c r="F1203" s="62">
        <v>0.0</v>
      </c>
      <c r="G1203" s="62">
        <v>0.0</v>
      </c>
      <c r="H1203" s="62">
        <v>0.0</v>
      </c>
      <c r="I1203" s="62">
        <v>0.0</v>
      </c>
      <c r="J1203" s="62">
        <v>0.0</v>
      </c>
      <c r="K1203" s="62">
        <v>0.0</v>
      </c>
      <c r="L1203" s="62">
        <v>0.0</v>
      </c>
      <c r="M1203" s="62">
        <v>0.0</v>
      </c>
      <c r="N1203" s="62">
        <v>0.0</v>
      </c>
      <c r="O1203" s="62">
        <v>1.0</v>
      </c>
      <c r="P1203" s="62">
        <v>0.0</v>
      </c>
      <c r="Q1203" s="62">
        <v>0.0</v>
      </c>
      <c r="R1203" s="62">
        <v>0.0</v>
      </c>
      <c r="S1203" s="62">
        <v>0.0</v>
      </c>
      <c r="T1203" s="62">
        <v>1.25416666666666</v>
      </c>
      <c r="U1203" s="62">
        <v>0.0</v>
      </c>
      <c r="V1203" s="62">
        <v>0.0</v>
      </c>
      <c r="W1203" s="62">
        <v>0.0</v>
      </c>
      <c r="X1203" s="62">
        <v>0.0</v>
      </c>
      <c r="Y1203" s="62">
        <v>0.0</v>
      </c>
      <c r="Z1203" s="62">
        <v>0.0</v>
      </c>
      <c r="AA1203" s="62">
        <v>0.0</v>
      </c>
      <c r="AB1203" s="62">
        <v>0.0</v>
      </c>
      <c r="AC1203" s="62">
        <v>0.0</v>
      </c>
      <c r="AD1203" s="62">
        <v>0.260277777777777</v>
      </c>
      <c r="AE1203" s="62">
        <v>0.0</v>
      </c>
      <c r="AF1203" s="62">
        <v>5.0</v>
      </c>
    </row>
    <row r="1204">
      <c r="A1204" s="68">
        <v>46053.0</v>
      </c>
      <c r="B1204" s="62" t="s">
        <v>81</v>
      </c>
      <c r="C1204" s="62" t="s">
        <v>187</v>
      </c>
      <c r="D1204" s="62">
        <v>2.0</v>
      </c>
      <c r="E1204" s="62">
        <v>0.0</v>
      </c>
      <c r="F1204" s="62">
        <v>0.0</v>
      </c>
      <c r="G1204" s="62">
        <v>0.0</v>
      </c>
      <c r="H1204" s="62">
        <v>0.0</v>
      </c>
      <c r="I1204" s="62">
        <v>0.0</v>
      </c>
      <c r="J1204" s="62">
        <v>0.0</v>
      </c>
      <c r="K1204" s="62">
        <v>0.0</v>
      </c>
      <c r="L1204" s="62">
        <v>0.0</v>
      </c>
      <c r="M1204" s="62">
        <v>0.0</v>
      </c>
      <c r="N1204" s="62">
        <v>0.0</v>
      </c>
      <c r="O1204" s="62">
        <v>0.0</v>
      </c>
      <c r="P1204" s="62">
        <v>0.0</v>
      </c>
      <c r="Q1204" s="62">
        <v>0.0</v>
      </c>
      <c r="R1204" s="62">
        <v>4529.0</v>
      </c>
      <c r="S1204" s="62">
        <v>0.0</v>
      </c>
      <c r="T1204" s="62">
        <v>0.0</v>
      </c>
      <c r="U1204" s="62">
        <v>0.0</v>
      </c>
      <c r="V1204" s="62">
        <v>0.0</v>
      </c>
      <c r="W1204" s="62">
        <v>0.0</v>
      </c>
      <c r="X1204" s="62">
        <v>0.0</v>
      </c>
      <c r="Y1204" s="62">
        <v>0.0</v>
      </c>
      <c r="Z1204" s="62">
        <v>0.0</v>
      </c>
      <c r="AA1204" s="62">
        <v>0.0</v>
      </c>
      <c r="AB1204" s="62">
        <v>0.0</v>
      </c>
      <c r="AC1204" s="62">
        <v>0.0</v>
      </c>
      <c r="AD1204" s="62">
        <v>0.0</v>
      </c>
      <c r="AE1204" s="62">
        <v>0.0</v>
      </c>
      <c r="AF1204" s="62">
        <v>0.0</v>
      </c>
    </row>
    <row r="1205">
      <c r="A1205" s="68">
        <v>46053.0</v>
      </c>
      <c r="B1205" s="62" t="s">
        <v>26</v>
      </c>
      <c r="C1205" s="62" t="s">
        <v>178</v>
      </c>
      <c r="D1205" s="62">
        <v>0.0</v>
      </c>
      <c r="E1205" s="62">
        <v>5.0</v>
      </c>
      <c r="F1205" s="62">
        <v>0.0</v>
      </c>
      <c r="G1205" s="62">
        <v>0.0</v>
      </c>
      <c r="H1205" s="62">
        <v>0.0</v>
      </c>
      <c r="I1205" s="62">
        <v>0.0</v>
      </c>
      <c r="J1205" s="62">
        <v>0.0</v>
      </c>
      <c r="K1205" s="62">
        <v>0.0</v>
      </c>
      <c r="L1205" s="62">
        <v>0.0</v>
      </c>
      <c r="M1205" s="62">
        <v>0.0</v>
      </c>
      <c r="N1205" s="62">
        <v>0.0</v>
      </c>
      <c r="O1205" s="62">
        <v>1.0</v>
      </c>
      <c r="P1205" s="62">
        <v>0.0</v>
      </c>
      <c r="Q1205" s="62">
        <v>0.0</v>
      </c>
      <c r="R1205" s="62">
        <v>0.0</v>
      </c>
      <c r="S1205" s="62">
        <v>11027.0</v>
      </c>
      <c r="T1205" s="62">
        <v>0.0</v>
      </c>
      <c r="U1205" s="62">
        <v>0.0</v>
      </c>
      <c r="V1205" s="62">
        <v>0.0</v>
      </c>
      <c r="W1205" s="62">
        <v>0.0</v>
      </c>
      <c r="X1205" s="62">
        <v>0.0</v>
      </c>
      <c r="Y1205" s="62">
        <v>0.0</v>
      </c>
      <c r="Z1205" s="62">
        <v>0.0</v>
      </c>
      <c r="AA1205" s="62">
        <v>0.0</v>
      </c>
      <c r="AB1205" s="62">
        <v>0.0</v>
      </c>
      <c r="AC1205" s="62">
        <v>0.0</v>
      </c>
      <c r="AD1205" s="62">
        <v>0.182222222222222</v>
      </c>
      <c r="AE1205" s="62">
        <v>0.0</v>
      </c>
      <c r="AF1205" s="62">
        <v>0.0</v>
      </c>
    </row>
    <row r="1206">
      <c r="A1206" s="68">
        <v>46053.0</v>
      </c>
      <c r="B1206" s="62" t="s">
        <v>62</v>
      </c>
      <c r="C1206" s="62" t="s">
        <v>63</v>
      </c>
      <c r="D1206" s="62">
        <v>2.0</v>
      </c>
      <c r="E1206" s="62">
        <v>6.0</v>
      </c>
      <c r="F1206" s="62">
        <v>0.0</v>
      </c>
      <c r="G1206" s="62">
        <v>0.0</v>
      </c>
      <c r="H1206" s="62">
        <v>0.0</v>
      </c>
      <c r="I1206" s="62">
        <v>0.0</v>
      </c>
      <c r="J1206" s="62">
        <v>0.0</v>
      </c>
      <c r="K1206" s="62">
        <v>0.0</v>
      </c>
      <c r="L1206" s="62">
        <v>0.0</v>
      </c>
      <c r="M1206" s="62">
        <v>0.0</v>
      </c>
      <c r="N1206" s="62">
        <v>0.0</v>
      </c>
      <c r="O1206" s="62">
        <v>0.0</v>
      </c>
      <c r="P1206" s="62">
        <v>0.0</v>
      </c>
      <c r="Q1206" s="62">
        <v>0.0</v>
      </c>
      <c r="R1206" s="62">
        <v>5886.0</v>
      </c>
      <c r="S1206" s="62">
        <v>15091.0</v>
      </c>
      <c r="T1206" s="62">
        <v>0.0</v>
      </c>
      <c r="U1206" s="62">
        <v>0.0</v>
      </c>
      <c r="V1206" s="62">
        <v>0.0</v>
      </c>
      <c r="W1206" s="62">
        <v>0.0</v>
      </c>
      <c r="X1206" s="62">
        <v>0.0</v>
      </c>
      <c r="Y1206" s="62">
        <v>0.0</v>
      </c>
      <c r="Z1206" s="62">
        <v>0.0</v>
      </c>
      <c r="AA1206" s="62">
        <v>0.0</v>
      </c>
      <c r="AB1206" s="62">
        <v>0.0</v>
      </c>
      <c r="AC1206" s="62">
        <v>0.0</v>
      </c>
      <c r="AD1206" s="62">
        <v>0.0</v>
      </c>
      <c r="AE1206" s="62">
        <v>0.0</v>
      </c>
      <c r="AF1206" s="62">
        <v>0.0</v>
      </c>
    </row>
    <row r="1207">
      <c r="A1207" s="68">
        <v>46052.0</v>
      </c>
      <c r="B1207" s="62" t="s">
        <v>79</v>
      </c>
      <c r="C1207" s="62" t="s">
        <v>162</v>
      </c>
      <c r="D1207" s="62">
        <v>0.0</v>
      </c>
      <c r="E1207" s="62">
        <v>1.0</v>
      </c>
      <c r="F1207" s="62">
        <v>0.0</v>
      </c>
      <c r="G1207" s="62">
        <v>0.0</v>
      </c>
      <c r="H1207" s="62">
        <v>0.0</v>
      </c>
      <c r="I1207" s="62">
        <v>0.0</v>
      </c>
      <c r="J1207" s="62">
        <v>0.0</v>
      </c>
      <c r="K1207" s="62">
        <v>0.0</v>
      </c>
      <c r="L1207" s="62">
        <v>0.0</v>
      </c>
      <c r="M1207" s="62">
        <v>0.0</v>
      </c>
      <c r="N1207" s="62">
        <v>0.0</v>
      </c>
      <c r="O1207" s="62">
        <v>0.0</v>
      </c>
      <c r="P1207" s="62">
        <v>0.0</v>
      </c>
      <c r="Q1207" s="62">
        <v>0.0</v>
      </c>
      <c r="R1207" s="62">
        <v>0.0</v>
      </c>
      <c r="S1207" s="62">
        <v>1939.0</v>
      </c>
      <c r="T1207" s="62">
        <v>0.0</v>
      </c>
      <c r="U1207" s="62">
        <v>0.0</v>
      </c>
      <c r="V1207" s="62">
        <v>0.0</v>
      </c>
      <c r="W1207" s="62">
        <v>0.0</v>
      </c>
      <c r="X1207" s="62">
        <v>0.0</v>
      </c>
      <c r="Y1207" s="62">
        <v>0.0</v>
      </c>
      <c r="Z1207" s="62">
        <v>0.0</v>
      </c>
      <c r="AA1207" s="62">
        <v>0.0</v>
      </c>
      <c r="AB1207" s="62">
        <v>0.0</v>
      </c>
      <c r="AC1207" s="62">
        <v>0.0</v>
      </c>
      <c r="AD1207" s="62">
        <v>0.0</v>
      </c>
      <c r="AE1207" s="62">
        <v>0.0</v>
      </c>
      <c r="AF1207" s="62">
        <v>0.0</v>
      </c>
    </row>
    <row r="1208">
      <c r="A1208" s="68">
        <v>46052.0</v>
      </c>
      <c r="B1208" s="62" t="s">
        <v>71</v>
      </c>
      <c r="C1208" s="62" t="s">
        <v>163</v>
      </c>
      <c r="D1208" s="62">
        <v>5.0</v>
      </c>
      <c r="E1208" s="62">
        <v>6.0</v>
      </c>
      <c r="F1208" s="62">
        <v>2.0</v>
      </c>
      <c r="G1208" s="62">
        <v>1.0</v>
      </c>
      <c r="H1208" s="62">
        <v>2.0</v>
      </c>
      <c r="I1208" s="62">
        <v>0.0</v>
      </c>
      <c r="J1208" s="62">
        <v>3.0</v>
      </c>
      <c r="K1208" s="62">
        <v>3.0</v>
      </c>
      <c r="L1208" s="62">
        <v>2.0</v>
      </c>
      <c r="M1208" s="62">
        <v>4.0</v>
      </c>
      <c r="N1208" s="62">
        <v>3.0</v>
      </c>
      <c r="O1208" s="62">
        <v>1.0</v>
      </c>
      <c r="P1208" s="62">
        <v>3.0</v>
      </c>
      <c r="Q1208" s="62">
        <v>0.0</v>
      </c>
      <c r="R1208" s="62">
        <v>12601.0</v>
      </c>
      <c r="S1208" s="62">
        <v>19126.0</v>
      </c>
      <c r="T1208" s="62">
        <v>0.575833333333333</v>
      </c>
      <c r="U1208" s="62">
        <v>0.575833333333333</v>
      </c>
      <c r="V1208" s="62">
        <v>0.29</v>
      </c>
      <c r="W1208" s="62">
        <v>0.5675</v>
      </c>
      <c r="X1208" s="62">
        <v>0.0</v>
      </c>
      <c r="Y1208" s="62">
        <v>0.844722222222222</v>
      </c>
      <c r="Z1208" s="62">
        <v>0.794444444444444</v>
      </c>
      <c r="AA1208" s="62">
        <v>0.517222222222222</v>
      </c>
      <c r="AB1208" s="62">
        <v>1.08472222222222</v>
      </c>
      <c r="AC1208" s="62">
        <v>0.794722222222222</v>
      </c>
      <c r="AD1208" s="62">
        <v>0.259444444444444</v>
      </c>
      <c r="AE1208" s="62">
        <v>0.794722222222222</v>
      </c>
      <c r="AF1208" s="62">
        <v>2.0</v>
      </c>
    </row>
    <row r="1209">
      <c r="A1209" s="68">
        <v>46052.0</v>
      </c>
      <c r="B1209" s="62" t="s">
        <v>76</v>
      </c>
      <c r="C1209" s="62" t="s">
        <v>165</v>
      </c>
      <c r="D1209" s="62">
        <v>19.0</v>
      </c>
      <c r="E1209" s="62">
        <v>5.0</v>
      </c>
      <c r="F1209" s="62">
        <v>2.0</v>
      </c>
      <c r="G1209" s="62">
        <v>2.0</v>
      </c>
      <c r="H1209" s="62">
        <v>5.0</v>
      </c>
      <c r="I1209" s="62">
        <v>3.0</v>
      </c>
      <c r="J1209" s="62">
        <v>6.0</v>
      </c>
      <c r="K1209" s="62">
        <v>0.0</v>
      </c>
      <c r="L1209" s="62">
        <v>0.0</v>
      </c>
      <c r="M1209" s="62">
        <v>8.0</v>
      </c>
      <c r="N1209" s="62">
        <v>8.0</v>
      </c>
      <c r="O1209" s="62">
        <v>1.0</v>
      </c>
      <c r="P1209" s="62">
        <v>8.0</v>
      </c>
      <c r="Q1209" s="62">
        <v>0.0</v>
      </c>
      <c r="R1209" s="62">
        <v>55685.0</v>
      </c>
      <c r="S1209" s="62">
        <v>12979.0</v>
      </c>
      <c r="T1209" s="62">
        <v>0.9675</v>
      </c>
      <c r="U1209" s="62">
        <v>0.484166666666666</v>
      </c>
      <c r="V1209" s="62">
        <v>0.475833333333333</v>
      </c>
      <c r="W1209" s="62">
        <v>1.18416666666666</v>
      </c>
      <c r="X1209" s="62">
        <v>0.708333333333333</v>
      </c>
      <c r="Y1209" s="62">
        <v>1.41972222222222</v>
      </c>
      <c r="Z1209" s="62">
        <v>0.0</v>
      </c>
      <c r="AA1209" s="62">
        <v>0.0</v>
      </c>
      <c r="AB1209" s="62">
        <v>1.86944444444444</v>
      </c>
      <c r="AC1209" s="62">
        <v>1.86944444444444</v>
      </c>
      <c r="AD1209" s="62">
        <v>0.230833333333333</v>
      </c>
      <c r="AE1209" s="62">
        <v>1.86944444444444</v>
      </c>
      <c r="AF1209" s="62">
        <v>4.0</v>
      </c>
    </row>
    <row r="1210">
      <c r="A1210" s="68">
        <v>46052.0</v>
      </c>
      <c r="B1210" s="62" t="s">
        <v>32</v>
      </c>
      <c r="C1210" s="62" t="s">
        <v>168</v>
      </c>
      <c r="D1210" s="62">
        <v>0.0</v>
      </c>
      <c r="E1210" s="62">
        <v>7.0</v>
      </c>
      <c r="F1210" s="62">
        <v>1.0</v>
      </c>
      <c r="G1210" s="62">
        <v>0.0</v>
      </c>
      <c r="H1210" s="62">
        <v>5.0</v>
      </c>
      <c r="I1210" s="62">
        <v>2.0</v>
      </c>
      <c r="J1210" s="62">
        <v>7.0</v>
      </c>
      <c r="K1210" s="62">
        <v>0.0</v>
      </c>
      <c r="L1210" s="62">
        <v>0.0</v>
      </c>
      <c r="M1210" s="62">
        <v>7.0</v>
      </c>
      <c r="N1210" s="62">
        <v>10.0</v>
      </c>
      <c r="O1210" s="62">
        <v>1.0</v>
      </c>
      <c r="P1210" s="62">
        <v>10.0</v>
      </c>
      <c r="Q1210" s="62">
        <v>0.0</v>
      </c>
      <c r="R1210" s="62">
        <v>0.0</v>
      </c>
      <c r="S1210" s="62">
        <v>17928.0</v>
      </c>
      <c r="T1210" s="62">
        <v>1.52916666666666</v>
      </c>
      <c r="U1210" s="62">
        <v>0.267222222222222</v>
      </c>
      <c r="V1210" s="62">
        <v>0.0</v>
      </c>
      <c r="W1210" s="62">
        <v>1.30305555555555</v>
      </c>
      <c r="X1210" s="62">
        <v>0.515833333333333</v>
      </c>
      <c r="Y1210" s="62">
        <v>1.84277777777777</v>
      </c>
      <c r="Z1210" s="62">
        <v>0.0</v>
      </c>
      <c r="AA1210" s="62">
        <v>0.0</v>
      </c>
      <c r="AB1210" s="62">
        <v>1.80555555555555</v>
      </c>
      <c r="AC1210" s="62">
        <v>2.57138888888888</v>
      </c>
      <c r="AD1210" s="62">
        <v>0.227777777777777</v>
      </c>
      <c r="AE1210" s="62">
        <v>2.57138888888888</v>
      </c>
      <c r="AF1210" s="62">
        <v>6.0</v>
      </c>
    </row>
    <row r="1211">
      <c r="A1211" s="68">
        <v>46052.0</v>
      </c>
      <c r="B1211" s="62" t="s">
        <v>37</v>
      </c>
      <c r="C1211" s="62" t="s">
        <v>174</v>
      </c>
      <c r="D1211" s="62">
        <v>0.0</v>
      </c>
      <c r="E1211" s="62">
        <v>4.0</v>
      </c>
      <c r="F1211" s="62">
        <v>2.0</v>
      </c>
      <c r="G1211" s="62">
        <v>0.0</v>
      </c>
      <c r="H1211" s="62">
        <v>3.0</v>
      </c>
      <c r="I1211" s="62">
        <v>3.0</v>
      </c>
      <c r="J1211" s="62">
        <v>3.0</v>
      </c>
      <c r="K1211" s="62">
        <v>0.0</v>
      </c>
      <c r="L1211" s="62">
        <v>0.0</v>
      </c>
      <c r="M1211" s="62">
        <v>3.0</v>
      </c>
      <c r="N1211" s="62">
        <v>0.0</v>
      </c>
      <c r="O1211" s="62">
        <v>1.0</v>
      </c>
      <c r="P1211" s="62">
        <v>0.0</v>
      </c>
      <c r="Q1211" s="62">
        <v>0.0</v>
      </c>
      <c r="R1211" s="62">
        <v>0.0</v>
      </c>
      <c r="S1211" s="62">
        <v>9439.0</v>
      </c>
      <c r="T1211" s="62">
        <v>0.0</v>
      </c>
      <c r="U1211" s="62">
        <v>0.535</v>
      </c>
      <c r="V1211" s="62">
        <v>0.0</v>
      </c>
      <c r="W1211" s="62">
        <v>0.773333333333333</v>
      </c>
      <c r="X1211" s="62">
        <v>0.773333333333333</v>
      </c>
      <c r="Y1211" s="62">
        <v>0.775555555555555</v>
      </c>
      <c r="Z1211" s="62">
        <v>0.0</v>
      </c>
      <c r="AA1211" s="62">
        <v>0.0</v>
      </c>
      <c r="AB1211" s="62">
        <v>0.775555555555555</v>
      </c>
      <c r="AC1211" s="62">
        <v>0.0</v>
      </c>
      <c r="AD1211" s="62">
        <v>0.265555555555555</v>
      </c>
      <c r="AE1211" s="62">
        <v>0.0</v>
      </c>
      <c r="AF1211" s="62">
        <v>0.0</v>
      </c>
    </row>
    <row r="1212">
      <c r="A1212" s="68">
        <v>46052.0</v>
      </c>
      <c r="B1212" s="62" t="s">
        <v>81</v>
      </c>
      <c r="C1212" s="62" t="s">
        <v>187</v>
      </c>
      <c r="D1212" s="62">
        <v>0.0</v>
      </c>
      <c r="E1212" s="62">
        <v>2.0</v>
      </c>
      <c r="F1212" s="62">
        <v>0.0</v>
      </c>
      <c r="G1212" s="62">
        <v>0.0</v>
      </c>
      <c r="H1212" s="62">
        <v>0.0</v>
      </c>
      <c r="I1212" s="62">
        <v>0.0</v>
      </c>
      <c r="J1212" s="62">
        <v>0.0</v>
      </c>
      <c r="K1212" s="62">
        <v>0.0</v>
      </c>
      <c r="L1212" s="62">
        <v>0.0</v>
      </c>
      <c r="M1212" s="62">
        <v>0.0</v>
      </c>
      <c r="N1212" s="62">
        <v>0.0</v>
      </c>
      <c r="O1212" s="62">
        <v>0.0</v>
      </c>
      <c r="P1212" s="62">
        <v>0.0</v>
      </c>
      <c r="Q1212" s="62">
        <v>0.0</v>
      </c>
      <c r="R1212" s="62">
        <v>0.0</v>
      </c>
      <c r="S1212" s="62">
        <v>4731.0</v>
      </c>
      <c r="T1212" s="62">
        <v>0.0</v>
      </c>
      <c r="U1212" s="62">
        <v>0.0</v>
      </c>
      <c r="V1212" s="62">
        <v>0.0</v>
      </c>
      <c r="W1212" s="62">
        <v>0.0</v>
      </c>
      <c r="X1212" s="62">
        <v>0.0</v>
      </c>
      <c r="Y1212" s="62">
        <v>0.0</v>
      </c>
      <c r="Z1212" s="62">
        <v>0.0</v>
      </c>
      <c r="AA1212" s="62">
        <v>0.0</v>
      </c>
      <c r="AB1212" s="62">
        <v>0.0</v>
      </c>
      <c r="AC1212" s="62">
        <v>0.0</v>
      </c>
      <c r="AD1212" s="62">
        <v>0.0</v>
      </c>
      <c r="AE1212" s="62">
        <v>0.0</v>
      </c>
      <c r="AF1212" s="62">
        <v>0.0</v>
      </c>
    </row>
    <row r="1213">
      <c r="A1213" s="68">
        <v>46052.0</v>
      </c>
      <c r="B1213" s="62" t="s">
        <v>26</v>
      </c>
      <c r="C1213" s="62" t="s">
        <v>178</v>
      </c>
      <c r="D1213" s="62">
        <v>10.0</v>
      </c>
      <c r="E1213" s="62">
        <v>4.0</v>
      </c>
      <c r="F1213" s="62">
        <v>0.0</v>
      </c>
      <c r="G1213" s="62">
        <v>0.0</v>
      </c>
      <c r="H1213" s="62">
        <v>2.0</v>
      </c>
      <c r="I1213" s="62">
        <v>2.0</v>
      </c>
      <c r="J1213" s="62">
        <v>4.0</v>
      </c>
      <c r="K1213" s="62">
        <v>0.0</v>
      </c>
      <c r="L1213" s="62">
        <v>0.0</v>
      </c>
      <c r="M1213" s="62">
        <v>4.0</v>
      </c>
      <c r="N1213" s="62">
        <v>12.0</v>
      </c>
      <c r="O1213" s="62">
        <v>1.0</v>
      </c>
      <c r="P1213" s="62">
        <v>12.0</v>
      </c>
      <c r="Q1213" s="62">
        <v>0.0</v>
      </c>
      <c r="R1213" s="62">
        <v>22187.0</v>
      </c>
      <c r="S1213" s="62">
        <v>9357.0</v>
      </c>
      <c r="T1213" s="62">
        <v>0.0</v>
      </c>
      <c r="U1213" s="62">
        <v>0.0</v>
      </c>
      <c r="V1213" s="62">
        <v>0.0</v>
      </c>
      <c r="W1213" s="62">
        <v>0.505277777777777</v>
      </c>
      <c r="X1213" s="62">
        <v>0.505277777777777</v>
      </c>
      <c r="Y1213" s="62">
        <v>0.933888888888888</v>
      </c>
      <c r="Z1213" s="62">
        <v>0.0</v>
      </c>
      <c r="AA1213" s="62">
        <v>0.0</v>
      </c>
      <c r="AB1213" s="62">
        <v>0.933888888888888</v>
      </c>
      <c r="AC1213" s="62">
        <v>2.82194444444444</v>
      </c>
      <c r="AD1213" s="62">
        <v>0.176388888888888</v>
      </c>
      <c r="AE1213" s="62">
        <v>2.82194444444444</v>
      </c>
      <c r="AF1213" s="62">
        <v>0.0</v>
      </c>
    </row>
    <row r="1214">
      <c r="A1214" s="68">
        <v>46052.0</v>
      </c>
      <c r="B1214" s="62" t="s">
        <v>62</v>
      </c>
      <c r="C1214" s="62" t="s">
        <v>63</v>
      </c>
      <c r="D1214" s="62">
        <v>1.0</v>
      </c>
      <c r="E1214" s="62">
        <v>2.0</v>
      </c>
      <c r="F1214" s="62">
        <v>1.0</v>
      </c>
      <c r="G1214" s="62">
        <v>1.0</v>
      </c>
      <c r="H1214" s="62">
        <v>1.0</v>
      </c>
      <c r="I1214" s="62">
        <v>1.0</v>
      </c>
      <c r="J1214" s="62">
        <v>1.0</v>
      </c>
      <c r="K1214" s="62">
        <v>0.0</v>
      </c>
      <c r="L1214" s="62">
        <v>0.0</v>
      </c>
      <c r="M1214" s="62">
        <v>1.0</v>
      </c>
      <c r="N1214" s="62">
        <v>1.0</v>
      </c>
      <c r="O1214" s="62">
        <v>1.0</v>
      </c>
      <c r="P1214" s="62">
        <v>1.0</v>
      </c>
      <c r="Q1214" s="62">
        <v>0.0</v>
      </c>
      <c r="R1214" s="62">
        <v>2805.0</v>
      </c>
      <c r="S1214" s="62">
        <v>4897.0</v>
      </c>
      <c r="T1214" s="62">
        <v>0.0</v>
      </c>
      <c r="U1214" s="62">
        <v>0.253333333333333</v>
      </c>
      <c r="V1214" s="62">
        <v>0.251388888888888</v>
      </c>
      <c r="W1214" s="62">
        <v>0.253333333333333</v>
      </c>
      <c r="X1214" s="62">
        <v>0.253333333333333</v>
      </c>
      <c r="Y1214" s="62">
        <v>0.251388888888888</v>
      </c>
      <c r="Z1214" s="62">
        <v>0.0</v>
      </c>
      <c r="AA1214" s="62">
        <v>0.0</v>
      </c>
      <c r="AB1214" s="62">
        <v>0.251388888888888</v>
      </c>
      <c r="AC1214" s="62">
        <v>0.251388888888888</v>
      </c>
      <c r="AD1214" s="62">
        <v>0.251388888888888</v>
      </c>
      <c r="AE1214" s="62">
        <v>0.251388888888888</v>
      </c>
      <c r="AF1214" s="62">
        <v>0.0</v>
      </c>
    </row>
    <row r="1215">
      <c r="A1215" s="68">
        <v>46051.0</v>
      </c>
      <c r="B1215" s="62" t="s">
        <v>79</v>
      </c>
      <c r="C1215" s="62" t="s">
        <v>162</v>
      </c>
      <c r="D1215" s="62">
        <v>3.0</v>
      </c>
      <c r="E1215" s="62">
        <v>0.0</v>
      </c>
      <c r="F1215" s="62">
        <v>0.0</v>
      </c>
      <c r="G1215" s="62">
        <v>0.0</v>
      </c>
      <c r="H1215" s="62">
        <v>0.0</v>
      </c>
      <c r="I1215" s="62">
        <v>0.0</v>
      </c>
      <c r="J1215" s="62">
        <v>0.0</v>
      </c>
      <c r="K1215" s="62">
        <v>0.0</v>
      </c>
      <c r="L1215" s="62">
        <v>0.0</v>
      </c>
      <c r="M1215" s="62">
        <v>0.0</v>
      </c>
      <c r="N1215" s="62">
        <v>0.0</v>
      </c>
      <c r="O1215" s="62">
        <v>0.0</v>
      </c>
      <c r="P1215" s="62">
        <v>0.0</v>
      </c>
      <c r="Q1215" s="62">
        <v>0.0</v>
      </c>
      <c r="R1215" s="62">
        <v>6743.0</v>
      </c>
      <c r="S1215" s="62">
        <v>0.0</v>
      </c>
      <c r="T1215" s="62">
        <v>0.0</v>
      </c>
      <c r="U1215" s="62">
        <v>0.0</v>
      </c>
      <c r="V1215" s="62">
        <v>0.0</v>
      </c>
      <c r="W1215" s="62">
        <v>0.0</v>
      </c>
      <c r="X1215" s="62">
        <v>0.0</v>
      </c>
      <c r="Y1215" s="62">
        <v>0.0</v>
      </c>
      <c r="Z1215" s="62">
        <v>0.0</v>
      </c>
      <c r="AA1215" s="62">
        <v>0.0</v>
      </c>
      <c r="AB1215" s="62">
        <v>0.0</v>
      </c>
      <c r="AC1215" s="62">
        <v>0.0</v>
      </c>
      <c r="AD1215" s="62">
        <v>0.0</v>
      </c>
      <c r="AE1215" s="62">
        <v>0.0</v>
      </c>
      <c r="AF1215" s="62">
        <v>0.0</v>
      </c>
    </row>
    <row r="1216">
      <c r="A1216" s="68">
        <v>46051.0</v>
      </c>
      <c r="B1216" s="62" t="s">
        <v>71</v>
      </c>
      <c r="C1216" s="62" t="s">
        <v>163</v>
      </c>
      <c r="D1216" s="62">
        <v>0.0</v>
      </c>
      <c r="E1216" s="62">
        <v>0.0</v>
      </c>
      <c r="F1216" s="62">
        <v>2.0</v>
      </c>
      <c r="G1216" s="62">
        <v>2.0</v>
      </c>
      <c r="H1216" s="62">
        <v>3.0</v>
      </c>
      <c r="I1216" s="62">
        <v>1.0</v>
      </c>
      <c r="J1216" s="62">
        <v>2.0</v>
      </c>
      <c r="K1216" s="62">
        <v>0.0</v>
      </c>
      <c r="L1216" s="62">
        <v>0.0</v>
      </c>
      <c r="M1216" s="62">
        <v>0.0</v>
      </c>
      <c r="N1216" s="62">
        <v>0.0</v>
      </c>
      <c r="O1216" s="62">
        <v>1.0</v>
      </c>
      <c r="P1216" s="62">
        <v>0.0</v>
      </c>
      <c r="Q1216" s="62">
        <v>0.0</v>
      </c>
      <c r="R1216" s="62">
        <v>0.0</v>
      </c>
      <c r="S1216" s="62">
        <v>0.0</v>
      </c>
      <c r="T1216" s="62">
        <v>0.842777777777777</v>
      </c>
      <c r="U1216" s="62">
        <v>0.566111111111111</v>
      </c>
      <c r="V1216" s="62">
        <v>0.517222222222222</v>
      </c>
      <c r="W1216" s="62">
        <v>0.793888888888888</v>
      </c>
      <c r="X1216" s="62">
        <v>0.276666666666666</v>
      </c>
      <c r="Y1216" s="62">
        <v>0.517222222222222</v>
      </c>
      <c r="Z1216" s="62">
        <v>0.0</v>
      </c>
      <c r="AA1216" s="62">
        <v>0.0</v>
      </c>
      <c r="AB1216" s="62">
        <v>0.0</v>
      </c>
      <c r="AC1216" s="62">
        <v>0.0</v>
      </c>
      <c r="AD1216" s="62">
        <v>0.234722222222222</v>
      </c>
      <c r="AE1216" s="62">
        <v>0.0</v>
      </c>
      <c r="AF1216" s="62">
        <v>3.0</v>
      </c>
    </row>
    <row r="1217">
      <c r="A1217" s="68">
        <v>46051.0</v>
      </c>
      <c r="B1217" s="62" t="s">
        <v>76</v>
      </c>
      <c r="C1217" s="62" t="s">
        <v>165</v>
      </c>
      <c r="D1217" s="62">
        <v>1.0</v>
      </c>
      <c r="E1217" s="62">
        <v>7.0</v>
      </c>
      <c r="F1217" s="62">
        <v>3.0</v>
      </c>
      <c r="G1217" s="62">
        <v>4.0</v>
      </c>
      <c r="H1217" s="62">
        <v>9.0</v>
      </c>
      <c r="I1217" s="62">
        <v>5.0</v>
      </c>
      <c r="J1217" s="62">
        <v>6.0</v>
      </c>
      <c r="K1217" s="62">
        <v>1.0</v>
      </c>
      <c r="L1217" s="62">
        <v>1.0</v>
      </c>
      <c r="M1217" s="62">
        <v>4.0</v>
      </c>
      <c r="N1217" s="62">
        <v>5.0</v>
      </c>
      <c r="O1217" s="62">
        <v>1.0</v>
      </c>
      <c r="P1217" s="62">
        <v>5.0</v>
      </c>
      <c r="Q1217" s="62">
        <v>0.0</v>
      </c>
      <c r="R1217" s="62">
        <v>2572.0</v>
      </c>
      <c r="S1217" s="62">
        <v>14820.0</v>
      </c>
      <c r="T1217" s="62">
        <v>2.08138888888888</v>
      </c>
      <c r="U1217" s="62">
        <v>0.697222222222222</v>
      </c>
      <c r="V1217" s="62">
        <v>0.949722222222222</v>
      </c>
      <c r="W1217" s="62">
        <v>2.10972222222222</v>
      </c>
      <c r="X1217" s="62">
        <v>1.16</v>
      </c>
      <c r="Y1217" s="62">
        <v>1.39944444444444</v>
      </c>
      <c r="Z1217" s="62">
        <v>0.236666666666666</v>
      </c>
      <c r="AA1217" s="62">
        <v>0.236666666666666</v>
      </c>
      <c r="AB1217" s="62">
        <v>0.949722222222222</v>
      </c>
      <c r="AC1217" s="62">
        <v>1.18805555555555</v>
      </c>
      <c r="AD1217" s="62">
        <v>0.258055555555555</v>
      </c>
      <c r="AE1217" s="62">
        <v>1.18805555555555</v>
      </c>
      <c r="AF1217" s="62">
        <v>9.0</v>
      </c>
    </row>
    <row r="1218">
      <c r="A1218" s="68">
        <v>46051.0</v>
      </c>
      <c r="B1218" s="62" t="s">
        <v>32</v>
      </c>
      <c r="C1218" s="62" t="s">
        <v>168</v>
      </c>
      <c r="D1218" s="62">
        <v>0.0</v>
      </c>
      <c r="E1218" s="62">
        <v>2.0</v>
      </c>
      <c r="F1218" s="62">
        <v>1.0</v>
      </c>
      <c r="G1218" s="62">
        <v>0.0</v>
      </c>
      <c r="H1218" s="62">
        <v>4.0</v>
      </c>
      <c r="I1218" s="62">
        <v>3.0</v>
      </c>
      <c r="J1218" s="62">
        <v>2.0</v>
      </c>
      <c r="K1218" s="62">
        <v>0.0</v>
      </c>
      <c r="L1218" s="62">
        <v>0.0</v>
      </c>
      <c r="M1218" s="62">
        <v>3.0</v>
      </c>
      <c r="N1218" s="62">
        <v>2.0</v>
      </c>
      <c r="O1218" s="62">
        <v>1.0</v>
      </c>
      <c r="P1218" s="62">
        <v>2.0</v>
      </c>
      <c r="Q1218" s="62">
        <v>0.0</v>
      </c>
      <c r="R1218" s="62">
        <v>0.0</v>
      </c>
      <c r="S1218" s="62">
        <v>5280.0</v>
      </c>
      <c r="T1218" s="62">
        <v>1.0375</v>
      </c>
      <c r="U1218" s="62">
        <v>0.262222222222222</v>
      </c>
      <c r="V1218" s="62">
        <v>0.0</v>
      </c>
      <c r="W1218" s="62">
        <v>1.01</v>
      </c>
      <c r="X1218" s="62">
        <v>0.775277777777777</v>
      </c>
      <c r="Y1218" s="62">
        <v>0.486944444444444</v>
      </c>
      <c r="Z1218" s="62">
        <v>0.0</v>
      </c>
      <c r="AA1218" s="62">
        <v>0.0</v>
      </c>
      <c r="AB1218" s="62">
        <v>0.765833333333333</v>
      </c>
      <c r="AC1218" s="62">
        <v>0.489444444444444</v>
      </c>
      <c r="AD1218" s="62">
        <v>0.228611111111111</v>
      </c>
      <c r="AE1218" s="62">
        <v>0.489444444444444</v>
      </c>
      <c r="AF1218" s="62">
        <v>4.0</v>
      </c>
    </row>
    <row r="1219">
      <c r="A1219" s="68">
        <v>46051.0</v>
      </c>
      <c r="B1219" s="62" t="s">
        <v>37</v>
      </c>
      <c r="C1219" s="62" t="s">
        <v>174</v>
      </c>
      <c r="D1219" s="62">
        <v>0.0</v>
      </c>
      <c r="E1219" s="62">
        <v>6.0</v>
      </c>
      <c r="F1219" s="62">
        <v>0.0</v>
      </c>
      <c r="G1219" s="62">
        <v>0.0</v>
      </c>
      <c r="H1219" s="62">
        <v>0.0</v>
      </c>
      <c r="I1219" s="62">
        <v>0.0</v>
      </c>
      <c r="J1219" s="62">
        <v>0.0</v>
      </c>
      <c r="K1219" s="62">
        <v>0.0</v>
      </c>
      <c r="L1219" s="62">
        <v>0.0</v>
      </c>
      <c r="M1219" s="62">
        <v>0.0</v>
      </c>
      <c r="N1219" s="62">
        <v>0.0</v>
      </c>
      <c r="O1219" s="62">
        <v>1.0</v>
      </c>
      <c r="P1219" s="62">
        <v>0.0</v>
      </c>
      <c r="Q1219" s="62">
        <v>0.0</v>
      </c>
      <c r="R1219" s="62">
        <v>0.0</v>
      </c>
      <c r="S1219" s="62">
        <v>13716.0</v>
      </c>
      <c r="T1219" s="62">
        <v>1.30833333333333</v>
      </c>
      <c r="U1219" s="62">
        <v>0.0</v>
      </c>
      <c r="V1219" s="62">
        <v>0.0</v>
      </c>
      <c r="W1219" s="62">
        <v>0.0</v>
      </c>
      <c r="X1219" s="62">
        <v>0.0</v>
      </c>
      <c r="Y1219" s="62">
        <v>0.0</v>
      </c>
      <c r="Z1219" s="62">
        <v>0.0</v>
      </c>
      <c r="AA1219" s="62">
        <v>0.0</v>
      </c>
      <c r="AB1219" s="62">
        <v>0.0</v>
      </c>
      <c r="AC1219" s="62">
        <v>0.0</v>
      </c>
      <c r="AD1219" s="62">
        <v>0.274444444444444</v>
      </c>
      <c r="AE1219" s="62">
        <v>0.0</v>
      </c>
      <c r="AF1219" s="62">
        <v>5.0</v>
      </c>
    </row>
    <row r="1220">
      <c r="A1220" s="68">
        <v>46051.0</v>
      </c>
      <c r="B1220" s="62" t="s">
        <v>81</v>
      </c>
      <c r="C1220" s="62" t="s">
        <v>187</v>
      </c>
      <c r="D1220" s="62">
        <v>2.0</v>
      </c>
      <c r="E1220" s="62">
        <v>1.0</v>
      </c>
      <c r="F1220" s="62">
        <v>0.0</v>
      </c>
      <c r="G1220" s="62">
        <v>0.0</v>
      </c>
      <c r="H1220" s="62">
        <v>0.0</v>
      </c>
      <c r="I1220" s="62">
        <v>0.0</v>
      </c>
      <c r="J1220" s="62">
        <v>0.0</v>
      </c>
      <c r="K1220" s="62">
        <v>0.0</v>
      </c>
      <c r="L1220" s="62">
        <v>0.0</v>
      </c>
      <c r="M1220" s="62">
        <v>0.0</v>
      </c>
      <c r="N1220" s="62">
        <v>0.0</v>
      </c>
      <c r="O1220" s="62">
        <v>0.0</v>
      </c>
      <c r="P1220" s="62">
        <v>0.0</v>
      </c>
      <c r="Q1220" s="62">
        <v>0.0</v>
      </c>
      <c r="R1220" s="62">
        <v>4782.0</v>
      </c>
      <c r="S1220" s="62">
        <v>2398.0</v>
      </c>
      <c r="T1220" s="62">
        <v>0.0</v>
      </c>
      <c r="U1220" s="62">
        <v>0.0</v>
      </c>
      <c r="V1220" s="62">
        <v>0.0</v>
      </c>
      <c r="W1220" s="62">
        <v>0.0</v>
      </c>
      <c r="X1220" s="62">
        <v>0.0</v>
      </c>
      <c r="Y1220" s="62">
        <v>0.0</v>
      </c>
      <c r="Z1220" s="62">
        <v>0.0</v>
      </c>
      <c r="AA1220" s="62">
        <v>0.0</v>
      </c>
      <c r="AB1220" s="62">
        <v>0.0</v>
      </c>
      <c r="AC1220" s="62">
        <v>0.0</v>
      </c>
      <c r="AD1220" s="62">
        <v>0.0</v>
      </c>
      <c r="AE1220" s="62">
        <v>0.0</v>
      </c>
      <c r="AF1220" s="62">
        <v>0.0</v>
      </c>
    </row>
    <row r="1221">
      <c r="A1221" s="68">
        <v>46051.0</v>
      </c>
      <c r="B1221" s="62" t="s">
        <v>26</v>
      </c>
      <c r="C1221" s="62" t="s">
        <v>178</v>
      </c>
      <c r="D1221" s="62">
        <v>0.0</v>
      </c>
      <c r="E1221" s="62">
        <v>6.0</v>
      </c>
      <c r="F1221" s="62">
        <v>1.0</v>
      </c>
      <c r="G1221" s="62">
        <v>0.0</v>
      </c>
      <c r="H1221" s="62">
        <v>10.0</v>
      </c>
      <c r="I1221" s="62">
        <v>10.0</v>
      </c>
      <c r="J1221" s="62">
        <v>5.0</v>
      </c>
      <c r="K1221" s="62">
        <v>0.0</v>
      </c>
      <c r="L1221" s="62">
        <v>0.0</v>
      </c>
      <c r="M1221" s="62">
        <v>5.0</v>
      </c>
      <c r="N1221" s="62">
        <v>2.0</v>
      </c>
      <c r="O1221" s="62">
        <v>1.0</v>
      </c>
      <c r="P1221" s="62">
        <v>2.0</v>
      </c>
      <c r="Q1221" s="62">
        <v>0.0</v>
      </c>
      <c r="R1221" s="62">
        <v>0.0</v>
      </c>
      <c r="S1221" s="62">
        <v>13355.0</v>
      </c>
      <c r="T1221" s="62">
        <v>0.589166666666666</v>
      </c>
      <c r="U1221" s="62">
        <v>0.307222222222222</v>
      </c>
      <c r="V1221" s="62">
        <v>0.0</v>
      </c>
      <c r="W1221" s="62">
        <v>2.12444444444444</v>
      </c>
      <c r="X1221" s="62">
        <v>2.12444444444444</v>
      </c>
      <c r="Y1221" s="62">
        <v>1.20583333333333</v>
      </c>
      <c r="Z1221" s="62">
        <v>0.0</v>
      </c>
      <c r="AA1221" s="62">
        <v>0.0</v>
      </c>
      <c r="AB1221" s="62">
        <v>1.20583333333333</v>
      </c>
      <c r="AC1221" s="62">
        <v>0.536388888888888</v>
      </c>
      <c r="AD1221" s="62">
        <v>0.188055555555555</v>
      </c>
      <c r="AE1221" s="62">
        <v>0.536388888888888</v>
      </c>
      <c r="AF1221" s="62">
        <v>3.0</v>
      </c>
    </row>
    <row r="1222">
      <c r="A1222" s="68">
        <v>46051.0</v>
      </c>
      <c r="B1222" s="62" t="s">
        <v>62</v>
      </c>
      <c r="C1222" s="62" t="s">
        <v>63</v>
      </c>
      <c r="D1222" s="62">
        <v>0.0</v>
      </c>
      <c r="E1222" s="62">
        <v>6.0</v>
      </c>
      <c r="F1222" s="62">
        <v>0.0</v>
      </c>
      <c r="G1222" s="62">
        <v>0.0</v>
      </c>
      <c r="H1222" s="62">
        <v>0.0</v>
      </c>
      <c r="I1222" s="62">
        <v>0.0</v>
      </c>
      <c r="J1222" s="62">
        <v>0.0</v>
      </c>
      <c r="K1222" s="62">
        <v>0.0</v>
      </c>
      <c r="L1222" s="62">
        <v>0.0</v>
      </c>
      <c r="M1222" s="62">
        <v>0.0</v>
      </c>
      <c r="N1222" s="62">
        <v>0.0</v>
      </c>
      <c r="O1222" s="62">
        <v>0.0</v>
      </c>
      <c r="P1222" s="62">
        <v>0.0</v>
      </c>
      <c r="Q1222" s="62">
        <v>0.0</v>
      </c>
      <c r="R1222" s="62">
        <v>0.0</v>
      </c>
      <c r="S1222" s="62">
        <v>15642.0</v>
      </c>
      <c r="T1222" s="62">
        <v>0.0</v>
      </c>
      <c r="U1222" s="62">
        <v>0.0</v>
      </c>
      <c r="V1222" s="62">
        <v>0.0</v>
      </c>
      <c r="W1222" s="62">
        <v>0.0</v>
      </c>
      <c r="X1222" s="62">
        <v>0.0</v>
      </c>
      <c r="Y1222" s="62">
        <v>0.0</v>
      </c>
      <c r="Z1222" s="62">
        <v>0.0</v>
      </c>
      <c r="AA1222" s="62">
        <v>0.0</v>
      </c>
      <c r="AB1222" s="62">
        <v>0.0</v>
      </c>
      <c r="AC1222" s="62">
        <v>0.0</v>
      </c>
      <c r="AD1222" s="62">
        <v>0.0</v>
      </c>
      <c r="AE1222" s="62">
        <v>0.0</v>
      </c>
      <c r="AF1222" s="62">
        <v>0.0</v>
      </c>
    </row>
    <row r="1223">
      <c r="A1223" s="68">
        <v>46050.0</v>
      </c>
      <c r="B1223" s="62" t="s">
        <v>71</v>
      </c>
      <c r="C1223" s="62" t="s">
        <v>163</v>
      </c>
      <c r="D1223" s="62">
        <v>7.0</v>
      </c>
      <c r="E1223" s="62">
        <v>4.0</v>
      </c>
      <c r="F1223" s="62">
        <v>2.0</v>
      </c>
      <c r="G1223" s="62">
        <v>0.0</v>
      </c>
      <c r="H1223" s="62">
        <v>0.0</v>
      </c>
      <c r="I1223" s="62">
        <v>0.0</v>
      </c>
      <c r="J1223" s="62">
        <v>2.0</v>
      </c>
      <c r="K1223" s="62">
        <v>2.0</v>
      </c>
      <c r="L1223" s="62">
        <v>2.0</v>
      </c>
      <c r="M1223" s="62">
        <v>3.0</v>
      </c>
      <c r="N1223" s="62">
        <v>3.0</v>
      </c>
      <c r="O1223" s="62">
        <v>1.0</v>
      </c>
      <c r="P1223" s="62">
        <v>3.0</v>
      </c>
      <c r="Q1223" s="62">
        <v>0.0</v>
      </c>
      <c r="R1223" s="62">
        <v>21987.0</v>
      </c>
      <c r="S1223" s="62">
        <v>12598.0</v>
      </c>
      <c r="T1223" s="62">
        <v>0.516388888888888</v>
      </c>
      <c r="U1223" s="62">
        <v>0.516388888888888</v>
      </c>
      <c r="V1223" s="62">
        <v>0.0</v>
      </c>
      <c r="W1223" s="62">
        <v>0.0</v>
      </c>
      <c r="X1223" s="62">
        <v>0.0</v>
      </c>
      <c r="Y1223" s="62">
        <v>0.536944444444444</v>
      </c>
      <c r="Z1223" s="62">
        <v>0.542222222222222</v>
      </c>
      <c r="AA1223" s="62">
        <v>0.542222222222222</v>
      </c>
      <c r="AB1223" s="62">
        <v>0.814444444444444</v>
      </c>
      <c r="AC1223" s="62">
        <v>0.814444444444444</v>
      </c>
      <c r="AD1223" s="62">
        <v>0.235833333333333</v>
      </c>
      <c r="AE1223" s="62">
        <v>0.814444444444444</v>
      </c>
      <c r="AF1223" s="62">
        <v>2.0</v>
      </c>
    </row>
    <row r="1224">
      <c r="A1224" s="68">
        <v>46050.0</v>
      </c>
      <c r="B1224" s="62" t="s">
        <v>76</v>
      </c>
      <c r="C1224" s="62" t="s">
        <v>165</v>
      </c>
      <c r="D1224" s="62">
        <v>0.0</v>
      </c>
      <c r="E1224" s="62">
        <v>4.0</v>
      </c>
      <c r="F1224" s="62">
        <v>5.0</v>
      </c>
      <c r="G1224" s="62">
        <v>2.0</v>
      </c>
      <c r="H1224" s="62">
        <v>3.0</v>
      </c>
      <c r="I1224" s="62">
        <v>1.0</v>
      </c>
      <c r="J1224" s="62">
        <v>1.0</v>
      </c>
      <c r="K1224" s="62">
        <v>0.0</v>
      </c>
      <c r="L1224" s="62">
        <v>0.0</v>
      </c>
      <c r="M1224" s="62">
        <v>2.0</v>
      </c>
      <c r="N1224" s="62">
        <v>3.0</v>
      </c>
      <c r="O1224" s="62">
        <v>1.0</v>
      </c>
      <c r="P1224" s="62">
        <v>3.0</v>
      </c>
      <c r="Q1224" s="62">
        <v>0.0</v>
      </c>
      <c r="R1224" s="62">
        <v>0.0</v>
      </c>
      <c r="S1224" s="62">
        <v>9992.0</v>
      </c>
      <c r="T1224" s="62">
        <v>0.723888888888888</v>
      </c>
      <c r="U1224" s="62">
        <v>1.19638888888888</v>
      </c>
      <c r="V1224" s="62">
        <v>0.475277777777777</v>
      </c>
      <c r="W1224" s="62">
        <v>0.712777777777777</v>
      </c>
      <c r="X1224" s="62">
        <v>0.2375</v>
      </c>
      <c r="Y1224" s="62">
        <v>0.238333333333333</v>
      </c>
      <c r="Z1224" s="62">
        <v>0.0</v>
      </c>
      <c r="AA1224" s="62">
        <v>0.0</v>
      </c>
      <c r="AB1224" s="62">
        <v>0.479166666666666</v>
      </c>
      <c r="AC1224" s="62">
        <v>0.733333333333333</v>
      </c>
      <c r="AD1224" s="62">
        <v>0.244166666666666</v>
      </c>
      <c r="AE1224" s="62">
        <v>0.733333333333333</v>
      </c>
      <c r="AF1224" s="62">
        <v>3.0</v>
      </c>
    </row>
    <row r="1225">
      <c r="A1225" s="68">
        <v>46050.0</v>
      </c>
      <c r="B1225" s="62" t="s">
        <v>32</v>
      </c>
      <c r="C1225" s="62" t="s">
        <v>168</v>
      </c>
      <c r="D1225" s="62">
        <v>0.0</v>
      </c>
      <c r="E1225" s="62">
        <v>3.0</v>
      </c>
      <c r="F1225" s="62">
        <v>1.0</v>
      </c>
      <c r="G1225" s="62">
        <v>0.0</v>
      </c>
      <c r="H1225" s="62">
        <v>3.0</v>
      </c>
      <c r="I1225" s="62">
        <v>2.0</v>
      </c>
      <c r="J1225" s="62">
        <v>5.0</v>
      </c>
      <c r="K1225" s="62">
        <v>0.0</v>
      </c>
      <c r="L1225" s="62">
        <v>0.0</v>
      </c>
      <c r="M1225" s="62">
        <v>3.0</v>
      </c>
      <c r="N1225" s="62">
        <v>2.0</v>
      </c>
      <c r="O1225" s="62">
        <v>1.0</v>
      </c>
      <c r="P1225" s="62">
        <v>2.0</v>
      </c>
      <c r="Q1225" s="62">
        <v>0.0</v>
      </c>
      <c r="R1225" s="62">
        <v>0.0</v>
      </c>
      <c r="S1225" s="62">
        <v>8050.0</v>
      </c>
      <c r="T1225" s="62">
        <v>0.728333333333333</v>
      </c>
      <c r="U1225" s="62">
        <v>0.236388888888888</v>
      </c>
      <c r="V1225" s="62">
        <v>0.0</v>
      </c>
      <c r="W1225" s="62">
        <v>0.731666666666666</v>
      </c>
      <c r="X1225" s="62">
        <v>0.491944444444444</v>
      </c>
      <c r="Y1225" s="62">
        <v>1.25527777777777</v>
      </c>
      <c r="Z1225" s="62">
        <v>0.0</v>
      </c>
      <c r="AA1225" s="62">
        <v>0.0</v>
      </c>
      <c r="AB1225" s="62">
        <v>0.706666666666666</v>
      </c>
      <c r="AC1225" s="62">
        <v>0.4875</v>
      </c>
      <c r="AD1225" s="62">
        <v>0.211666666666666</v>
      </c>
      <c r="AE1225" s="62">
        <v>0.4875</v>
      </c>
      <c r="AF1225" s="62">
        <v>3.0</v>
      </c>
    </row>
    <row r="1226">
      <c r="A1226" s="68">
        <v>46050.0</v>
      </c>
      <c r="B1226" s="62" t="s">
        <v>37</v>
      </c>
      <c r="C1226" s="62" t="s">
        <v>174</v>
      </c>
      <c r="D1226" s="62">
        <v>2.0</v>
      </c>
      <c r="E1226" s="62">
        <v>4.0</v>
      </c>
      <c r="F1226" s="62">
        <v>0.0</v>
      </c>
      <c r="G1226" s="62">
        <v>0.0</v>
      </c>
      <c r="H1226" s="62">
        <v>0.0</v>
      </c>
      <c r="I1226" s="62">
        <v>0.0</v>
      </c>
      <c r="J1226" s="62">
        <v>1.0</v>
      </c>
      <c r="K1226" s="62">
        <v>0.0</v>
      </c>
      <c r="L1226" s="62">
        <v>0.0</v>
      </c>
      <c r="M1226" s="62">
        <v>1.0</v>
      </c>
      <c r="N1226" s="62">
        <v>4.0</v>
      </c>
      <c r="O1226" s="62">
        <v>1.0</v>
      </c>
      <c r="P1226" s="62">
        <v>4.0</v>
      </c>
      <c r="Q1226" s="62">
        <v>0.0</v>
      </c>
      <c r="R1226" s="62">
        <v>5037.0</v>
      </c>
      <c r="S1226" s="62">
        <v>9965.0</v>
      </c>
      <c r="T1226" s="62">
        <v>0.0</v>
      </c>
      <c r="U1226" s="62">
        <v>0.0</v>
      </c>
      <c r="V1226" s="62">
        <v>0.0</v>
      </c>
      <c r="W1226" s="62">
        <v>0.0</v>
      </c>
      <c r="X1226" s="62">
        <v>0.0</v>
      </c>
      <c r="Y1226" s="62">
        <v>0.277222222222222</v>
      </c>
      <c r="Z1226" s="62">
        <v>0.0</v>
      </c>
      <c r="AA1226" s="62">
        <v>0.0</v>
      </c>
      <c r="AB1226" s="62">
        <v>0.277222222222222</v>
      </c>
      <c r="AC1226" s="62">
        <v>1.0775</v>
      </c>
      <c r="AD1226" s="62">
        <v>0.277222222222222</v>
      </c>
      <c r="AE1226" s="62">
        <v>1.0775</v>
      </c>
      <c r="AF1226" s="62">
        <v>0.0</v>
      </c>
    </row>
    <row r="1227">
      <c r="A1227" s="68">
        <v>46050.0</v>
      </c>
      <c r="B1227" s="62" t="s">
        <v>81</v>
      </c>
      <c r="C1227" s="62" t="s">
        <v>187</v>
      </c>
      <c r="D1227" s="62">
        <v>2.0</v>
      </c>
      <c r="E1227" s="62">
        <v>0.0</v>
      </c>
      <c r="F1227" s="62">
        <v>0.0</v>
      </c>
      <c r="G1227" s="62">
        <v>0.0</v>
      </c>
      <c r="H1227" s="62">
        <v>0.0</v>
      </c>
      <c r="I1227" s="62">
        <v>0.0</v>
      </c>
      <c r="J1227" s="62">
        <v>0.0</v>
      </c>
      <c r="K1227" s="62">
        <v>0.0</v>
      </c>
      <c r="L1227" s="62">
        <v>0.0</v>
      </c>
      <c r="M1227" s="62">
        <v>0.0</v>
      </c>
      <c r="N1227" s="62">
        <v>0.0</v>
      </c>
      <c r="O1227" s="62">
        <v>0.0</v>
      </c>
      <c r="P1227" s="62">
        <v>0.0</v>
      </c>
      <c r="Q1227" s="62">
        <v>0.0</v>
      </c>
      <c r="R1227" s="62">
        <v>4873.0</v>
      </c>
      <c r="S1227" s="62">
        <v>0.0</v>
      </c>
      <c r="T1227" s="62">
        <v>0.0</v>
      </c>
      <c r="U1227" s="62">
        <v>0.0</v>
      </c>
      <c r="V1227" s="62">
        <v>0.0</v>
      </c>
      <c r="W1227" s="62">
        <v>0.0</v>
      </c>
      <c r="X1227" s="62">
        <v>0.0</v>
      </c>
      <c r="Y1227" s="62">
        <v>0.0</v>
      </c>
      <c r="Z1227" s="62">
        <v>0.0</v>
      </c>
      <c r="AA1227" s="62">
        <v>0.0</v>
      </c>
      <c r="AB1227" s="62">
        <v>0.0</v>
      </c>
      <c r="AC1227" s="62">
        <v>0.0</v>
      </c>
      <c r="AD1227" s="62">
        <v>0.0</v>
      </c>
      <c r="AE1227" s="62">
        <v>0.0</v>
      </c>
      <c r="AF1227" s="62">
        <v>0.0</v>
      </c>
    </row>
    <row r="1228">
      <c r="A1228" s="68">
        <v>46050.0</v>
      </c>
      <c r="B1228" s="62" t="s">
        <v>26</v>
      </c>
      <c r="C1228" s="62" t="s">
        <v>178</v>
      </c>
      <c r="D1228" s="62">
        <v>10.0</v>
      </c>
      <c r="E1228" s="62">
        <v>3.0</v>
      </c>
      <c r="F1228" s="62">
        <v>1.0</v>
      </c>
      <c r="G1228" s="62">
        <v>1.0</v>
      </c>
      <c r="H1228" s="62">
        <v>5.0</v>
      </c>
      <c r="I1228" s="62">
        <v>4.0</v>
      </c>
      <c r="J1228" s="62">
        <v>4.0</v>
      </c>
      <c r="K1228" s="62">
        <v>0.0</v>
      </c>
      <c r="L1228" s="62">
        <v>0.0</v>
      </c>
      <c r="M1228" s="62">
        <v>7.0</v>
      </c>
      <c r="N1228" s="62">
        <v>2.0</v>
      </c>
      <c r="O1228" s="62">
        <v>1.0</v>
      </c>
      <c r="P1228" s="62">
        <v>2.0</v>
      </c>
      <c r="Q1228" s="62">
        <v>0.0</v>
      </c>
      <c r="R1228" s="62">
        <v>22926.0</v>
      </c>
      <c r="S1228" s="62">
        <v>6922.0</v>
      </c>
      <c r="T1228" s="62">
        <v>2.04055555555555</v>
      </c>
      <c r="U1228" s="62">
        <v>0.267222222222222</v>
      </c>
      <c r="V1228" s="62">
        <v>0.268055555555555</v>
      </c>
      <c r="W1228" s="62">
        <v>1.19</v>
      </c>
      <c r="X1228" s="62">
        <v>0.921944444444444</v>
      </c>
      <c r="Y1228" s="62">
        <v>0.970277777777777</v>
      </c>
      <c r="Z1228" s="62">
        <v>0.0</v>
      </c>
      <c r="AA1228" s="62">
        <v>0.0</v>
      </c>
      <c r="AB1228" s="62">
        <v>1.67944444444444</v>
      </c>
      <c r="AC1228" s="62">
        <v>0.460833333333333</v>
      </c>
      <c r="AD1228" s="62">
        <v>0.197777777777777</v>
      </c>
      <c r="AE1228" s="62">
        <v>0.460833333333333</v>
      </c>
      <c r="AF1228" s="62">
        <v>9.0</v>
      </c>
    </row>
    <row r="1229">
      <c r="A1229" s="68">
        <v>46050.0</v>
      </c>
      <c r="B1229" s="62" t="s">
        <v>62</v>
      </c>
      <c r="C1229" s="62" t="s">
        <v>63</v>
      </c>
      <c r="D1229" s="62">
        <v>2.0</v>
      </c>
      <c r="E1229" s="62">
        <v>0.0</v>
      </c>
      <c r="F1229" s="62">
        <v>0.0</v>
      </c>
      <c r="G1229" s="62">
        <v>0.0</v>
      </c>
      <c r="H1229" s="62">
        <v>0.0</v>
      </c>
      <c r="I1229" s="62">
        <v>0.0</v>
      </c>
      <c r="J1229" s="62">
        <v>0.0</v>
      </c>
      <c r="K1229" s="62">
        <v>0.0</v>
      </c>
      <c r="L1229" s="62">
        <v>0.0</v>
      </c>
      <c r="M1229" s="62">
        <v>0.0</v>
      </c>
      <c r="N1229" s="62">
        <v>0.0</v>
      </c>
      <c r="O1229" s="62">
        <v>0.0</v>
      </c>
      <c r="P1229" s="62">
        <v>0.0</v>
      </c>
      <c r="Q1229" s="62">
        <v>0.0</v>
      </c>
      <c r="R1229" s="62">
        <v>5645.0</v>
      </c>
      <c r="S1229" s="62">
        <v>0.0</v>
      </c>
      <c r="T1229" s="62">
        <v>0.0</v>
      </c>
      <c r="U1229" s="62">
        <v>0.0</v>
      </c>
      <c r="V1229" s="62">
        <v>0.0</v>
      </c>
      <c r="W1229" s="62">
        <v>0.0</v>
      </c>
      <c r="X1229" s="62">
        <v>0.0</v>
      </c>
      <c r="Y1229" s="62">
        <v>0.0</v>
      </c>
      <c r="Z1229" s="62">
        <v>0.0</v>
      </c>
      <c r="AA1229" s="62">
        <v>0.0</v>
      </c>
      <c r="AB1229" s="62">
        <v>0.0</v>
      </c>
      <c r="AC1229" s="62">
        <v>0.0</v>
      </c>
      <c r="AD1229" s="62">
        <v>0.0</v>
      </c>
      <c r="AE1229" s="62">
        <v>0.0</v>
      </c>
      <c r="AF1229" s="62">
        <v>0.0</v>
      </c>
    </row>
    <row r="1230">
      <c r="A1230" s="68">
        <v>46049.0</v>
      </c>
      <c r="B1230" s="62" t="s">
        <v>79</v>
      </c>
      <c r="C1230" s="62" t="s">
        <v>162</v>
      </c>
      <c r="D1230" s="62">
        <v>3.0</v>
      </c>
      <c r="E1230" s="62">
        <v>0.0</v>
      </c>
      <c r="F1230" s="62">
        <v>0.0</v>
      </c>
      <c r="G1230" s="62">
        <v>0.0</v>
      </c>
      <c r="H1230" s="62">
        <v>0.0</v>
      </c>
      <c r="I1230" s="62">
        <v>0.0</v>
      </c>
      <c r="J1230" s="62">
        <v>0.0</v>
      </c>
      <c r="K1230" s="62">
        <v>0.0</v>
      </c>
      <c r="L1230" s="62">
        <v>0.0</v>
      </c>
      <c r="M1230" s="62">
        <v>0.0</v>
      </c>
      <c r="N1230" s="62">
        <v>0.0</v>
      </c>
      <c r="O1230" s="62">
        <v>0.0</v>
      </c>
      <c r="P1230" s="62">
        <v>0.0</v>
      </c>
      <c r="Q1230" s="62">
        <v>0.0</v>
      </c>
      <c r="R1230" s="62">
        <v>6664.0</v>
      </c>
      <c r="S1230" s="62">
        <v>0.0</v>
      </c>
      <c r="T1230" s="62">
        <v>0.0</v>
      </c>
      <c r="U1230" s="62">
        <v>0.0</v>
      </c>
      <c r="V1230" s="62">
        <v>0.0</v>
      </c>
      <c r="W1230" s="62">
        <v>0.0</v>
      </c>
      <c r="X1230" s="62">
        <v>0.0</v>
      </c>
      <c r="Y1230" s="62">
        <v>0.0</v>
      </c>
      <c r="Z1230" s="62">
        <v>0.0</v>
      </c>
      <c r="AA1230" s="62">
        <v>0.0</v>
      </c>
      <c r="AB1230" s="62">
        <v>0.0</v>
      </c>
      <c r="AC1230" s="62">
        <v>0.0</v>
      </c>
      <c r="AD1230" s="62">
        <v>0.0</v>
      </c>
      <c r="AE1230" s="62">
        <v>0.0</v>
      </c>
      <c r="AF1230" s="62">
        <v>0.0</v>
      </c>
    </row>
    <row r="1231">
      <c r="A1231" s="68">
        <v>46049.0</v>
      </c>
      <c r="B1231" s="62" t="s">
        <v>71</v>
      </c>
      <c r="C1231" s="62" t="s">
        <v>163</v>
      </c>
      <c r="D1231" s="62">
        <v>8.0</v>
      </c>
      <c r="E1231" s="62">
        <v>2.0</v>
      </c>
      <c r="F1231" s="62">
        <v>2.0</v>
      </c>
      <c r="G1231" s="62">
        <v>2.0</v>
      </c>
      <c r="H1231" s="62">
        <v>3.0</v>
      </c>
      <c r="I1231" s="62">
        <v>1.0</v>
      </c>
      <c r="J1231" s="62">
        <v>1.0</v>
      </c>
      <c r="K1231" s="62">
        <v>5.0</v>
      </c>
      <c r="L1231" s="62">
        <v>0.0</v>
      </c>
      <c r="M1231" s="62">
        <v>8.0</v>
      </c>
      <c r="N1231" s="62">
        <v>8.0</v>
      </c>
      <c r="O1231" s="62">
        <v>1.0</v>
      </c>
      <c r="P1231" s="62">
        <v>8.0</v>
      </c>
      <c r="Q1231" s="62">
        <v>0.0</v>
      </c>
      <c r="R1231" s="62">
        <v>24776.0</v>
      </c>
      <c r="S1231" s="62">
        <v>6002.0</v>
      </c>
      <c r="T1231" s="62">
        <v>0.0</v>
      </c>
      <c r="U1231" s="62">
        <v>0.535833333333333</v>
      </c>
      <c r="V1231" s="62">
        <v>0.536944444444444</v>
      </c>
      <c r="W1231" s="62">
        <v>0.813611111111111</v>
      </c>
      <c r="X1231" s="62">
        <v>0.276666666666666</v>
      </c>
      <c r="Y1231" s="62">
        <v>0.2775</v>
      </c>
      <c r="Z1231" s="62">
        <v>1.35638888888888</v>
      </c>
      <c r="AA1231" s="62">
        <v>0.0</v>
      </c>
      <c r="AB1231" s="62">
        <v>2.16833333333333</v>
      </c>
      <c r="AC1231" s="62">
        <v>2.16833333333333</v>
      </c>
      <c r="AD1231" s="62">
        <v>0.2825</v>
      </c>
      <c r="AE1231" s="62">
        <v>2.16833333333333</v>
      </c>
      <c r="AF1231" s="62">
        <v>0.0</v>
      </c>
    </row>
    <row r="1232">
      <c r="A1232" s="68">
        <v>46049.0</v>
      </c>
      <c r="B1232" s="62" t="s">
        <v>76</v>
      </c>
      <c r="C1232" s="62" t="s">
        <v>165</v>
      </c>
      <c r="D1232" s="62">
        <v>1.0</v>
      </c>
      <c r="E1232" s="62">
        <v>6.0</v>
      </c>
      <c r="F1232" s="62">
        <v>2.0</v>
      </c>
      <c r="G1232" s="62">
        <v>2.0</v>
      </c>
      <c r="H1232" s="62">
        <v>3.0</v>
      </c>
      <c r="I1232" s="62">
        <v>1.0</v>
      </c>
      <c r="J1232" s="62">
        <v>3.0</v>
      </c>
      <c r="K1232" s="62">
        <v>0.0</v>
      </c>
      <c r="L1232" s="62">
        <v>0.0</v>
      </c>
      <c r="M1232" s="62">
        <v>3.0</v>
      </c>
      <c r="N1232" s="62">
        <v>1.0</v>
      </c>
      <c r="O1232" s="62">
        <v>1.0</v>
      </c>
      <c r="P1232" s="62">
        <v>1.0</v>
      </c>
      <c r="Q1232" s="62">
        <v>0.0</v>
      </c>
      <c r="R1232" s="62">
        <v>2520.0</v>
      </c>
      <c r="S1232" s="62">
        <v>15399.0</v>
      </c>
      <c r="T1232" s="62">
        <v>0.71</v>
      </c>
      <c r="U1232" s="62">
        <v>0.491111111111111</v>
      </c>
      <c r="V1232" s="62">
        <v>0.491111111111111</v>
      </c>
      <c r="W1232" s="62">
        <v>0.732777777777777</v>
      </c>
      <c r="X1232" s="62">
        <v>0.241666666666666</v>
      </c>
      <c r="Y1232" s="62">
        <v>0.733333333333333</v>
      </c>
      <c r="Z1232" s="62">
        <v>0.0</v>
      </c>
      <c r="AA1232" s="62">
        <v>0.0</v>
      </c>
      <c r="AB1232" s="62">
        <v>0.719722222222222</v>
      </c>
      <c r="AC1232" s="62">
        <v>0.227222222222222</v>
      </c>
      <c r="AD1232" s="62">
        <v>0.2425</v>
      </c>
      <c r="AE1232" s="62">
        <v>0.227222222222222</v>
      </c>
      <c r="AF1232" s="62">
        <v>3.0</v>
      </c>
    </row>
    <row r="1233">
      <c r="A1233" s="68">
        <v>46049.0</v>
      </c>
      <c r="B1233" s="62" t="s">
        <v>32</v>
      </c>
      <c r="C1233" s="62" t="s">
        <v>168</v>
      </c>
      <c r="D1233" s="62">
        <v>0.0</v>
      </c>
      <c r="E1233" s="62">
        <v>0.0</v>
      </c>
      <c r="F1233" s="62">
        <v>3.0</v>
      </c>
      <c r="G1233" s="62">
        <v>0.0</v>
      </c>
      <c r="H1233" s="62">
        <v>2.0</v>
      </c>
      <c r="I1233" s="62">
        <v>2.0</v>
      </c>
      <c r="J1233" s="62">
        <v>1.0</v>
      </c>
      <c r="K1233" s="62">
        <v>1.0</v>
      </c>
      <c r="L1233" s="62">
        <v>0.0</v>
      </c>
      <c r="M1233" s="62">
        <v>1.0</v>
      </c>
      <c r="N1233" s="62">
        <v>0.0</v>
      </c>
      <c r="O1233" s="62">
        <v>1.0</v>
      </c>
      <c r="P1233" s="62">
        <v>0.0</v>
      </c>
      <c r="Q1233" s="62">
        <v>0.0</v>
      </c>
      <c r="R1233" s="62">
        <v>0.0</v>
      </c>
      <c r="S1233" s="62">
        <v>0.0</v>
      </c>
      <c r="T1233" s="62">
        <v>0.0</v>
      </c>
      <c r="U1233" s="62">
        <v>0.746111111111111</v>
      </c>
      <c r="V1233" s="62">
        <v>0.0</v>
      </c>
      <c r="W1233" s="62">
        <v>0.499166666666666</v>
      </c>
      <c r="X1233" s="62">
        <v>0.499166666666666</v>
      </c>
      <c r="Y1233" s="62">
        <v>0.217222222222222</v>
      </c>
      <c r="Z1233" s="62">
        <v>0.270277777777777</v>
      </c>
      <c r="AA1233" s="62">
        <v>0.0</v>
      </c>
      <c r="AB1233" s="62">
        <v>0.270277777777777</v>
      </c>
      <c r="AC1233" s="62">
        <v>0.0</v>
      </c>
      <c r="AD1233" s="62">
        <v>0.186111111111111</v>
      </c>
      <c r="AE1233" s="62">
        <v>0.0</v>
      </c>
      <c r="AF1233" s="62">
        <v>0.0</v>
      </c>
    </row>
    <row r="1234">
      <c r="A1234" s="68">
        <v>46049.0</v>
      </c>
      <c r="B1234" s="62" t="s">
        <v>37</v>
      </c>
      <c r="C1234" s="62" t="s">
        <v>174</v>
      </c>
      <c r="D1234" s="62">
        <v>0.0</v>
      </c>
      <c r="E1234" s="62">
        <v>1.0</v>
      </c>
      <c r="F1234" s="62">
        <v>0.0</v>
      </c>
      <c r="G1234" s="62">
        <v>3.0</v>
      </c>
      <c r="H1234" s="62">
        <v>3.0</v>
      </c>
      <c r="I1234" s="62">
        <v>0.0</v>
      </c>
      <c r="J1234" s="62">
        <v>2.0</v>
      </c>
      <c r="K1234" s="62">
        <v>0.0</v>
      </c>
      <c r="L1234" s="62">
        <v>0.0</v>
      </c>
      <c r="M1234" s="62">
        <v>3.0</v>
      </c>
      <c r="N1234" s="62">
        <v>0.0</v>
      </c>
      <c r="O1234" s="62">
        <v>0.0</v>
      </c>
      <c r="P1234" s="62">
        <v>0.0</v>
      </c>
      <c r="Q1234" s="62">
        <v>0.0</v>
      </c>
      <c r="R1234" s="62">
        <v>0.0</v>
      </c>
      <c r="S1234" s="62">
        <v>2306.0</v>
      </c>
      <c r="T1234" s="62">
        <v>0.0</v>
      </c>
      <c r="U1234" s="62">
        <v>0.0</v>
      </c>
      <c r="V1234" s="62">
        <v>0.803055555555555</v>
      </c>
      <c r="W1234" s="62">
        <v>0.803055555555555</v>
      </c>
      <c r="X1234" s="62">
        <v>0.0</v>
      </c>
      <c r="Y1234" s="62">
        <v>0.525833333333333</v>
      </c>
      <c r="Z1234" s="62">
        <v>0.0</v>
      </c>
      <c r="AA1234" s="62">
        <v>0.0</v>
      </c>
      <c r="AB1234" s="62">
        <v>0.800277777777777</v>
      </c>
      <c r="AC1234" s="62">
        <v>0.0</v>
      </c>
      <c r="AD1234" s="62">
        <v>0.0</v>
      </c>
      <c r="AE1234" s="62">
        <v>0.0</v>
      </c>
      <c r="AF1234" s="62">
        <v>0.0</v>
      </c>
    </row>
    <row r="1235">
      <c r="A1235" s="68">
        <v>46049.0</v>
      </c>
      <c r="B1235" s="62" t="s">
        <v>81</v>
      </c>
      <c r="C1235" s="62" t="s">
        <v>187</v>
      </c>
      <c r="D1235" s="62">
        <v>2.0</v>
      </c>
      <c r="E1235" s="62">
        <v>0.0</v>
      </c>
      <c r="F1235" s="62">
        <v>0.0</v>
      </c>
      <c r="G1235" s="62">
        <v>0.0</v>
      </c>
      <c r="H1235" s="62">
        <v>0.0</v>
      </c>
      <c r="I1235" s="62">
        <v>0.0</v>
      </c>
      <c r="J1235" s="62">
        <v>0.0</v>
      </c>
      <c r="K1235" s="62">
        <v>0.0</v>
      </c>
      <c r="L1235" s="62">
        <v>0.0</v>
      </c>
      <c r="M1235" s="62">
        <v>0.0</v>
      </c>
      <c r="N1235" s="62">
        <v>0.0</v>
      </c>
      <c r="O1235" s="62">
        <v>0.0</v>
      </c>
      <c r="P1235" s="62">
        <v>0.0</v>
      </c>
      <c r="Q1235" s="62">
        <v>0.0</v>
      </c>
      <c r="R1235" s="62">
        <v>4731.0</v>
      </c>
      <c r="S1235" s="62">
        <v>0.0</v>
      </c>
      <c r="T1235" s="62">
        <v>0.0</v>
      </c>
      <c r="U1235" s="62">
        <v>0.0</v>
      </c>
      <c r="V1235" s="62">
        <v>0.0</v>
      </c>
      <c r="W1235" s="62">
        <v>0.0</v>
      </c>
      <c r="X1235" s="62">
        <v>0.0</v>
      </c>
      <c r="Y1235" s="62">
        <v>0.0</v>
      </c>
      <c r="Z1235" s="62">
        <v>0.0</v>
      </c>
      <c r="AA1235" s="62">
        <v>0.0</v>
      </c>
      <c r="AB1235" s="62">
        <v>0.0</v>
      </c>
      <c r="AC1235" s="62">
        <v>0.0</v>
      </c>
      <c r="AD1235" s="62">
        <v>0.0</v>
      </c>
      <c r="AE1235" s="62">
        <v>0.0</v>
      </c>
      <c r="AF1235" s="62">
        <v>0.0</v>
      </c>
    </row>
    <row r="1236">
      <c r="A1236" s="68">
        <v>46049.0</v>
      </c>
      <c r="B1236" s="62" t="s">
        <v>26</v>
      </c>
      <c r="C1236" s="62" t="s">
        <v>178</v>
      </c>
      <c r="D1236" s="62">
        <v>0.0</v>
      </c>
      <c r="E1236" s="62">
        <v>2.0</v>
      </c>
      <c r="F1236" s="62">
        <v>1.0</v>
      </c>
      <c r="G1236" s="62">
        <v>1.0</v>
      </c>
      <c r="H1236" s="62">
        <v>4.0</v>
      </c>
      <c r="I1236" s="62">
        <v>3.0</v>
      </c>
      <c r="J1236" s="62">
        <v>3.0</v>
      </c>
      <c r="K1236" s="62">
        <v>0.0</v>
      </c>
      <c r="L1236" s="62">
        <v>0.0</v>
      </c>
      <c r="M1236" s="62">
        <v>0.0</v>
      </c>
      <c r="N1236" s="62">
        <v>0.0</v>
      </c>
      <c r="O1236" s="62">
        <v>1.0</v>
      </c>
      <c r="P1236" s="62">
        <v>0.0</v>
      </c>
      <c r="Q1236" s="62">
        <v>0.0</v>
      </c>
      <c r="R1236" s="62">
        <v>0.0</v>
      </c>
      <c r="S1236" s="62">
        <v>4609.0</v>
      </c>
      <c r="T1236" s="62">
        <v>2.18527777777777</v>
      </c>
      <c r="U1236" s="62">
        <v>0.287777777777777</v>
      </c>
      <c r="V1236" s="62">
        <v>0.288055555555555</v>
      </c>
      <c r="W1236" s="62">
        <v>0.996388888888888</v>
      </c>
      <c r="X1236" s="62">
        <v>0.708333333333333</v>
      </c>
      <c r="Y1236" s="62">
        <v>0.709166666666666</v>
      </c>
      <c r="Z1236" s="62">
        <v>0.0</v>
      </c>
      <c r="AA1236" s="62">
        <v>0.0</v>
      </c>
      <c r="AB1236" s="62">
        <v>0.0</v>
      </c>
      <c r="AC1236" s="62">
        <v>0.0</v>
      </c>
      <c r="AD1236" s="62">
        <v>0.2075</v>
      </c>
      <c r="AE1236" s="62">
        <v>0.0</v>
      </c>
      <c r="AF1236" s="62">
        <v>9.0</v>
      </c>
    </row>
    <row r="1237">
      <c r="A1237" s="68">
        <v>46048.0</v>
      </c>
      <c r="B1237" s="62" t="s">
        <v>71</v>
      </c>
      <c r="C1237" s="62" t="s">
        <v>163</v>
      </c>
      <c r="D1237" s="62">
        <v>0.0</v>
      </c>
      <c r="E1237" s="62">
        <v>0.0</v>
      </c>
      <c r="F1237" s="62">
        <v>0.0</v>
      </c>
      <c r="G1237" s="62">
        <v>0.0</v>
      </c>
      <c r="H1237" s="62">
        <v>0.0</v>
      </c>
      <c r="I1237" s="62">
        <v>0.0</v>
      </c>
      <c r="J1237" s="62">
        <v>0.0</v>
      </c>
      <c r="K1237" s="62">
        <v>0.0</v>
      </c>
      <c r="L1237" s="62">
        <v>0.0</v>
      </c>
      <c r="M1237" s="62">
        <v>0.0</v>
      </c>
      <c r="N1237" s="62">
        <v>0.0</v>
      </c>
      <c r="O1237" s="62">
        <v>1.0</v>
      </c>
      <c r="P1237" s="62">
        <v>0.0</v>
      </c>
      <c r="Q1237" s="62">
        <v>0.0</v>
      </c>
      <c r="R1237" s="62">
        <v>0.0</v>
      </c>
      <c r="S1237" s="62">
        <v>0.0</v>
      </c>
      <c r="T1237" s="62">
        <v>0.8125</v>
      </c>
      <c r="U1237" s="62">
        <v>0.0</v>
      </c>
      <c r="V1237" s="62">
        <v>0.0</v>
      </c>
      <c r="W1237" s="62">
        <v>0.0</v>
      </c>
      <c r="X1237" s="62">
        <v>0.0</v>
      </c>
      <c r="Y1237" s="62">
        <v>0.0</v>
      </c>
      <c r="Z1237" s="62">
        <v>0.0</v>
      </c>
      <c r="AA1237" s="62">
        <v>0.0</v>
      </c>
      <c r="AB1237" s="62">
        <v>0.0</v>
      </c>
      <c r="AC1237" s="62">
        <v>0.0</v>
      </c>
      <c r="AD1237" s="62">
        <v>0.266666666666666</v>
      </c>
      <c r="AE1237" s="62">
        <v>0.0</v>
      </c>
      <c r="AF1237" s="62">
        <v>3.0</v>
      </c>
    </row>
    <row r="1238">
      <c r="A1238" s="68">
        <v>46048.0</v>
      </c>
      <c r="B1238" s="62" t="s">
        <v>76</v>
      </c>
      <c r="C1238" s="62" t="s">
        <v>165</v>
      </c>
      <c r="D1238" s="62">
        <v>0.0</v>
      </c>
      <c r="E1238" s="62">
        <v>0.0</v>
      </c>
      <c r="F1238" s="62">
        <v>0.0</v>
      </c>
      <c r="G1238" s="62">
        <v>0.0</v>
      </c>
      <c r="H1238" s="62">
        <v>0.0</v>
      </c>
      <c r="I1238" s="62">
        <v>0.0</v>
      </c>
      <c r="J1238" s="62">
        <v>0.0</v>
      </c>
      <c r="K1238" s="62">
        <v>0.0</v>
      </c>
      <c r="L1238" s="62">
        <v>0.0</v>
      </c>
      <c r="M1238" s="62">
        <v>0.0</v>
      </c>
      <c r="N1238" s="62">
        <v>0.0</v>
      </c>
      <c r="O1238" s="62">
        <v>1.0</v>
      </c>
      <c r="P1238" s="62">
        <v>0.0</v>
      </c>
      <c r="Q1238" s="62">
        <v>0.0</v>
      </c>
      <c r="R1238" s="62">
        <v>0.0</v>
      </c>
      <c r="S1238" s="62">
        <v>0.0</v>
      </c>
      <c r="T1238" s="62">
        <v>0.732777777777777</v>
      </c>
      <c r="U1238" s="62">
        <v>0.0</v>
      </c>
      <c r="V1238" s="62">
        <v>0.0</v>
      </c>
      <c r="W1238" s="62">
        <v>0.0</v>
      </c>
      <c r="X1238" s="62">
        <v>0.0</v>
      </c>
      <c r="Y1238" s="62">
        <v>0.0</v>
      </c>
      <c r="Z1238" s="62">
        <v>0.0</v>
      </c>
      <c r="AA1238" s="62">
        <v>0.0</v>
      </c>
      <c r="AB1238" s="62">
        <v>0.0</v>
      </c>
      <c r="AC1238" s="62">
        <v>0.0</v>
      </c>
      <c r="AD1238" s="62">
        <v>0.235277777777777</v>
      </c>
      <c r="AE1238" s="62">
        <v>0.0</v>
      </c>
      <c r="AF1238" s="62">
        <v>3.0</v>
      </c>
    </row>
    <row r="1239">
      <c r="A1239" s="68">
        <v>46048.0</v>
      </c>
      <c r="B1239" s="62" t="s">
        <v>32</v>
      </c>
      <c r="C1239" s="62" t="s">
        <v>168</v>
      </c>
      <c r="D1239" s="62">
        <v>0.0</v>
      </c>
      <c r="E1239" s="62">
        <v>0.0</v>
      </c>
      <c r="F1239" s="62">
        <v>0.0</v>
      </c>
      <c r="G1239" s="62">
        <v>0.0</v>
      </c>
      <c r="H1239" s="62">
        <v>0.0</v>
      </c>
      <c r="I1239" s="62">
        <v>0.0</v>
      </c>
      <c r="J1239" s="62">
        <v>0.0</v>
      </c>
      <c r="K1239" s="62">
        <v>0.0</v>
      </c>
      <c r="L1239" s="62">
        <v>0.0</v>
      </c>
      <c r="M1239" s="62">
        <v>0.0</v>
      </c>
      <c r="N1239" s="62">
        <v>0.0</v>
      </c>
      <c r="O1239" s="62">
        <v>1.0</v>
      </c>
      <c r="P1239" s="62">
        <v>0.0</v>
      </c>
      <c r="Q1239" s="62">
        <v>0.0</v>
      </c>
      <c r="R1239" s="62">
        <v>0.0</v>
      </c>
      <c r="S1239" s="62">
        <v>0.0</v>
      </c>
      <c r="T1239" s="62">
        <v>1.24527777777777</v>
      </c>
      <c r="U1239" s="62">
        <v>0.0</v>
      </c>
      <c r="V1239" s="62">
        <v>0.0</v>
      </c>
      <c r="W1239" s="62">
        <v>0.0</v>
      </c>
      <c r="X1239" s="62">
        <v>0.0</v>
      </c>
      <c r="Y1239" s="62">
        <v>0.0</v>
      </c>
      <c r="Z1239" s="62">
        <v>0.0</v>
      </c>
      <c r="AA1239" s="62">
        <v>0.0</v>
      </c>
      <c r="AB1239" s="62">
        <v>0.0</v>
      </c>
      <c r="AC1239" s="62">
        <v>0.0</v>
      </c>
      <c r="AD1239" s="62">
        <v>0.196666666666666</v>
      </c>
      <c r="AE1239" s="62">
        <v>0.0</v>
      </c>
      <c r="AF1239" s="62">
        <v>5.0</v>
      </c>
    </row>
    <row r="1240">
      <c r="A1240" s="68">
        <v>46048.0</v>
      </c>
      <c r="B1240" s="62" t="s">
        <v>62</v>
      </c>
      <c r="C1240" s="62" t="s">
        <v>63</v>
      </c>
      <c r="D1240" s="62">
        <v>1.0</v>
      </c>
      <c r="E1240" s="62">
        <v>0.0</v>
      </c>
      <c r="F1240" s="62">
        <v>0.0</v>
      </c>
      <c r="G1240" s="62">
        <v>0.0</v>
      </c>
      <c r="H1240" s="62">
        <v>0.0</v>
      </c>
      <c r="I1240" s="62">
        <v>0.0</v>
      </c>
      <c r="J1240" s="62">
        <v>0.0</v>
      </c>
      <c r="K1240" s="62">
        <v>0.0</v>
      </c>
      <c r="L1240" s="62">
        <v>0.0</v>
      </c>
      <c r="M1240" s="62">
        <v>0.0</v>
      </c>
      <c r="N1240" s="62">
        <v>0.0</v>
      </c>
      <c r="O1240" s="62">
        <v>0.0</v>
      </c>
      <c r="P1240" s="62">
        <v>0.0</v>
      </c>
      <c r="Q1240" s="62">
        <v>0.0</v>
      </c>
      <c r="R1240" s="62">
        <v>2805.0</v>
      </c>
      <c r="S1240" s="62">
        <v>0.0</v>
      </c>
      <c r="T1240" s="62">
        <v>0.0</v>
      </c>
      <c r="U1240" s="62">
        <v>0.0</v>
      </c>
      <c r="V1240" s="62">
        <v>0.0</v>
      </c>
      <c r="W1240" s="62">
        <v>0.0</v>
      </c>
      <c r="X1240" s="62">
        <v>0.0</v>
      </c>
      <c r="Y1240" s="62">
        <v>0.0</v>
      </c>
      <c r="Z1240" s="62">
        <v>0.0</v>
      </c>
      <c r="AA1240" s="62">
        <v>0.0</v>
      </c>
      <c r="AB1240" s="62">
        <v>0.0</v>
      </c>
      <c r="AC1240" s="62">
        <v>0.0</v>
      </c>
      <c r="AD1240" s="62">
        <v>0.0</v>
      </c>
      <c r="AE1240" s="62">
        <v>0.0</v>
      </c>
      <c r="AF1240" s="62">
        <v>0.0</v>
      </c>
    </row>
    <row r="1241">
      <c r="A1241" s="68">
        <v>46047.0</v>
      </c>
      <c r="B1241" s="62" t="s">
        <v>71</v>
      </c>
      <c r="C1241" s="62" t="s">
        <v>163</v>
      </c>
      <c r="D1241" s="62">
        <v>6.0</v>
      </c>
      <c r="E1241" s="62">
        <v>0.0</v>
      </c>
      <c r="F1241" s="62">
        <v>0.0</v>
      </c>
      <c r="G1241" s="62">
        <v>0.0</v>
      </c>
      <c r="H1241" s="62">
        <v>0.0</v>
      </c>
      <c r="I1241" s="62">
        <v>0.0</v>
      </c>
      <c r="J1241" s="62">
        <v>0.0</v>
      </c>
      <c r="K1241" s="62">
        <v>0.0</v>
      </c>
      <c r="L1241" s="62">
        <v>0.0</v>
      </c>
      <c r="M1241" s="62">
        <v>0.0</v>
      </c>
      <c r="N1241" s="62">
        <v>0.0</v>
      </c>
      <c r="O1241" s="62">
        <v>1.0</v>
      </c>
      <c r="P1241" s="62">
        <v>0.0</v>
      </c>
      <c r="Q1241" s="62">
        <v>0.0</v>
      </c>
      <c r="R1241" s="62">
        <v>18274.0</v>
      </c>
      <c r="S1241" s="62">
        <v>0.0</v>
      </c>
      <c r="T1241" s="62">
        <v>0.0</v>
      </c>
      <c r="U1241" s="62">
        <v>0.0</v>
      </c>
      <c r="V1241" s="62">
        <v>0.0</v>
      </c>
      <c r="W1241" s="62">
        <v>0.0</v>
      </c>
      <c r="X1241" s="62">
        <v>0.0</v>
      </c>
      <c r="Y1241" s="62">
        <v>0.0</v>
      </c>
      <c r="Z1241" s="62">
        <v>0.0</v>
      </c>
      <c r="AA1241" s="62">
        <v>0.0</v>
      </c>
      <c r="AB1241" s="62">
        <v>0.0</v>
      </c>
      <c r="AC1241" s="62">
        <v>0.0</v>
      </c>
      <c r="AD1241" s="62">
        <v>0.246388888888888</v>
      </c>
      <c r="AE1241" s="62">
        <v>0.0</v>
      </c>
      <c r="AF1241" s="62">
        <v>0.0</v>
      </c>
    </row>
    <row r="1242">
      <c r="A1242" s="68">
        <v>46047.0</v>
      </c>
      <c r="B1242" s="62" t="s">
        <v>37</v>
      </c>
      <c r="C1242" s="62" t="s">
        <v>174</v>
      </c>
      <c r="D1242" s="62">
        <v>0.0</v>
      </c>
      <c r="E1242" s="62">
        <v>0.0</v>
      </c>
      <c r="F1242" s="62">
        <v>0.0</v>
      </c>
      <c r="G1242" s="62">
        <v>0.0</v>
      </c>
      <c r="H1242" s="62">
        <v>0.0</v>
      </c>
      <c r="I1242" s="62">
        <v>0.0</v>
      </c>
      <c r="J1242" s="62">
        <v>1.0</v>
      </c>
      <c r="K1242" s="62">
        <v>0.0</v>
      </c>
      <c r="L1242" s="62">
        <v>0.0</v>
      </c>
      <c r="M1242" s="62">
        <v>0.0</v>
      </c>
      <c r="N1242" s="62">
        <v>0.0</v>
      </c>
      <c r="O1242" s="62">
        <v>1.0</v>
      </c>
      <c r="P1242" s="62">
        <v>0.0</v>
      </c>
      <c r="Q1242" s="62">
        <v>0.0</v>
      </c>
      <c r="R1242" s="62">
        <v>0.0</v>
      </c>
      <c r="S1242" s="62">
        <v>0.0</v>
      </c>
      <c r="T1242" s="62">
        <v>0.0</v>
      </c>
      <c r="U1242" s="62">
        <v>0.0</v>
      </c>
      <c r="V1242" s="62">
        <v>0.0</v>
      </c>
      <c r="W1242" s="62">
        <v>0.0</v>
      </c>
      <c r="X1242" s="62">
        <v>0.0</v>
      </c>
      <c r="Y1242" s="62">
        <v>0.274444444444444</v>
      </c>
      <c r="Z1242" s="62">
        <v>0.0</v>
      </c>
      <c r="AA1242" s="62">
        <v>0.0</v>
      </c>
      <c r="AB1242" s="62">
        <v>0.0</v>
      </c>
      <c r="AC1242" s="62">
        <v>0.0</v>
      </c>
      <c r="AD1242" s="62">
        <v>0.254722222222222</v>
      </c>
      <c r="AE1242" s="62">
        <v>0.0</v>
      </c>
      <c r="AF1242" s="62">
        <v>0.0</v>
      </c>
    </row>
    <row r="1243">
      <c r="A1243" s="68">
        <v>46047.0</v>
      </c>
      <c r="B1243" s="62" t="s">
        <v>26</v>
      </c>
      <c r="C1243" s="62" t="s">
        <v>178</v>
      </c>
      <c r="D1243" s="62">
        <v>0.0</v>
      </c>
      <c r="E1243" s="62">
        <v>3.0</v>
      </c>
      <c r="F1243" s="62">
        <v>0.0</v>
      </c>
      <c r="G1243" s="62">
        <v>0.0</v>
      </c>
      <c r="H1243" s="62">
        <v>0.0</v>
      </c>
      <c r="I1243" s="62">
        <v>0.0</v>
      </c>
      <c r="J1243" s="62">
        <v>0.0</v>
      </c>
      <c r="K1243" s="62">
        <v>0.0</v>
      </c>
      <c r="L1243" s="62">
        <v>0.0</v>
      </c>
      <c r="M1243" s="62">
        <v>0.0</v>
      </c>
      <c r="N1243" s="62">
        <v>0.0</v>
      </c>
      <c r="O1243" s="62">
        <v>1.0</v>
      </c>
      <c r="P1243" s="62">
        <v>0.0</v>
      </c>
      <c r="Q1243" s="62">
        <v>0.0</v>
      </c>
      <c r="R1243" s="62">
        <v>0.0</v>
      </c>
      <c r="S1243" s="62">
        <v>6588.0</v>
      </c>
      <c r="T1243" s="62">
        <v>0.0</v>
      </c>
      <c r="U1243" s="62">
        <v>0.0</v>
      </c>
      <c r="V1243" s="62">
        <v>0.0</v>
      </c>
      <c r="W1243" s="62">
        <v>0.0</v>
      </c>
      <c r="X1243" s="62">
        <v>0.0</v>
      </c>
      <c r="Y1243" s="62">
        <v>0.0</v>
      </c>
      <c r="Z1243" s="62">
        <v>0.0</v>
      </c>
      <c r="AA1243" s="62">
        <v>0.0</v>
      </c>
      <c r="AB1243" s="62">
        <v>0.0</v>
      </c>
      <c r="AC1243" s="62">
        <v>0.0</v>
      </c>
      <c r="AD1243" s="62">
        <v>0.188055555555555</v>
      </c>
      <c r="AE1243" s="62">
        <v>0.0</v>
      </c>
      <c r="AF1243" s="62">
        <v>0.0</v>
      </c>
    </row>
    <row r="1244">
      <c r="A1244" s="68">
        <v>46047.0</v>
      </c>
      <c r="B1244" s="62" t="s">
        <v>62</v>
      </c>
      <c r="C1244" s="62" t="s">
        <v>63</v>
      </c>
      <c r="D1244" s="62">
        <v>1.0</v>
      </c>
      <c r="E1244" s="62">
        <v>0.0</v>
      </c>
      <c r="F1244" s="62">
        <v>0.0</v>
      </c>
      <c r="G1244" s="62">
        <v>0.0</v>
      </c>
      <c r="H1244" s="62">
        <v>0.0</v>
      </c>
      <c r="I1244" s="62">
        <v>0.0</v>
      </c>
      <c r="J1244" s="62">
        <v>0.0</v>
      </c>
      <c r="K1244" s="62">
        <v>0.0</v>
      </c>
      <c r="L1244" s="62">
        <v>0.0</v>
      </c>
      <c r="M1244" s="62">
        <v>0.0</v>
      </c>
      <c r="N1244" s="62">
        <v>0.0</v>
      </c>
      <c r="O1244" s="62">
        <v>0.0</v>
      </c>
      <c r="P1244" s="62">
        <v>0.0</v>
      </c>
      <c r="Q1244" s="62">
        <v>0.0</v>
      </c>
      <c r="R1244" s="62">
        <v>2759.0</v>
      </c>
      <c r="S1244" s="62">
        <v>0.0</v>
      </c>
      <c r="T1244" s="62">
        <v>0.0</v>
      </c>
      <c r="U1244" s="62">
        <v>0.0</v>
      </c>
      <c r="V1244" s="62">
        <v>0.0</v>
      </c>
      <c r="W1244" s="62">
        <v>0.0</v>
      </c>
      <c r="X1244" s="62">
        <v>0.0</v>
      </c>
      <c r="Y1244" s="62">
        <v>0.0</v>
      </c>
      <c r="Z1244" s="62">
        <v>0.0</v>
      </c>
      <c r="AA1244" s="62">
        <v>0.0</v>
      </c>
      <c r="AB1244" s="62">
        <v>0.0</v>
      </c>
      <c r="AC1244" s="62">
        <v>0.0</v>
      </c>
      <c r="AD1244" s="62">
        <v>0.0</v>
      </c>
      <c r="AE1244" s="62">
        <v>0.0</v>
      </c>
      <c r="AF1244" s="62">
        <v>0.0</v>
      </c>
    </row>
    <row r="1245">
      <c r="A1245" s="68">
        <v>46046.0</v>
      </c>
      <c r="B1245" s="62" t="s">
        <v>71</v>
      </c>
      <c r="C1245" s="62" t="s">
        <v>163</v>
      </c>
      <c r="D1245" s="62">
        <v>0.0</v>
      </c>
      <c r="E1245" s="62">
        <v>0.0</v>
      </c>
      <c r="F1245" s="62">
        <v>0.0</v>
      </c>
      <c r="G1245" s="62">
        <v>7.0</v>
      </c>
      <c r="H1245" s="62">
        <v>7.0</v>
      </c>
      <c r="I1245" s="62">
        <v>0.0</v>
      </c>
      <c r="J1245" s="62">
        <v>8.0</v>
      </c>
      <c r="K1245" s="62">
        <v>0.0</v>
      </c>
      <c r="L1245" s="62">
        <v>0.0</v>
      </c>
      <c r="M1245" s="62">
        <v>0.0</v>
      </c>
      <c r="N1245" s="62">
        <v>0.0</v>
      </c>
      <c r="O1245" s="62">
        <v>1.0</v>
      </c>
      <c r="P1245" s="62">
        <v>0.0</v>
      </c>
      <c r="Q1245" s="62">
        <v>0.0</v>
      </c>
      <c r="R1245" s="62">
        <v>0.0</v>
      </c>
      <c r="S1245" s="62">
        <v>0.0</v>
      </c>
      <c r="T1245" s="62">
        <v>0.0</v>
      </c>
      <c r="U1245" s="62">
        <v>0.0</v>
      </c>
      <c r="V1245" s="62">
        <v>1.895</v>
      </c>
      <c r="W1245" s="62">
        <v>1.895</v>
      </c>
      <c r="X1245" s="62">
        <v>0.0</v>
      </c>
      <c r="Y1245" s="62">
        <v>2.16833333333333</v>
      </c>
      <c r="Z1245" s="62">
        <v>0.0</v>
      </c>
      <c r="AA1245" s="62">
        <v>0.0</v>
      </c>
      <c r="AB1245" s="62">
        <v>0.0</v>
      </c>
      <c r="AC1245" s="62">
        <v>0.0</v>
      </c>
      <c r="AD1245" s="62">
        <v>0.253055555555555</v>
      </c>
      <c r="AE1245" s="62">
        <v>0.0</v>
      </c>
      <c r="AF1245" s="62">
        <v>0.0</v>
      </c>
    </row>
    <row r="1246">
      <c r="A1246" s="68">
        <v>46046.0</v>
      </c>
      <c r="B1246" s="62" t="s">
        <v>76</v>
      </c>
      <c r="C1246" s="62" t="s">
        <v>165</v>
      </c>
      <c r="D1246" s="62">
        <v>0.0</v>
      </c>
      <c r="E1246" s="62">
        <v>0.0</v>
      </c>
      <c r="F1246" s="62">
        <v>0.0</v>
      </c>
      <c r="G1246" s="62">
        <v>0.0</v>
      </c>
      <c r="H1246" s="62">
        <v>0.0</v>
      </c>
      <c r="I1246" s="62">
        <v>0.0</v>
      </c>
      <c r="J1246" s="62">
        <v>1.0</v>
      </c>
      <c r="K1246" s="62">
        <v>0.0</v>
      </c>
      <c r="L1246" s="62">
        <v>0.0</v>
      </c>
      <c r="M1246" s="62">
        <v>0.0</v>
      </c>
      <c r="N1246" s="62">
        <v>0.0</v>
      </c>
      <c r="O1246" s="62">
        <v>1.0</v>
      </c>
      <c r="P1246" s="62">
        <v>0.0</v>
      </c>
      <c r="Q1246" s="62">
        <v>0.0</v>
      </c>
      <c r="R1246" s="62">
        <v>0.0</v>
      </c>
      <c r="S1246" s="62">
        <v>0.0</v>
      </c>
      <c r="T1246" s="62">
        <v>0.0</v>
      </c>
      <c r="U1246" s="62">
        <v>0.0</v>
      </c>
      <c r="V1246" s="62">
        <v>0.0</v>
      </c>
      <c r="W1246" s="62">
        <v>0.0</v>
      </c>
      <c r="X1246" s="62">
        <v>0.0</v>
      </c>
      <c r="Y1246" s="62">
        <v>0.227222222222222</v>
      </c>
      <c r="Z1246" s="62">
        <v>0.0</v>
      </c>
      <c r="AA1246" s="62">
        <v>0.0</v>
      </c>
      <c r="AB1246" s="62">
        <v>0.0</v>
      </c>
      <c r="AC1246" s="62">
        <v>0.0</v>
      </c>
      <c r="AD1246" s="62">
        <v>0.238333333333333</v>
      </c>
      <c r="AE1246" s="62">
        <v>0.0</v>
      </c>
      <c r="AF1246" s="62">
        <v>0.0</v>
      </c>
    </row>
    <row r="1247">
      <c r="A1247" s="68">
        <v>46046.0</v>
      </c>
      <c r="B1247" s="62" t="s">
        <v>37</v>
      </c>
      <c r="C1247" s="62" t="s">
        <v>174</v>
      </c>
      <c r="D1247" s="62">
        <v>0.0</v>
      </c>
      <c r="E1247" s="62">
        <v>0.0</v>
      </c>
      <c r="F1247" s="62">
        <v>0.0</v>
      </c>
      <c r="G1247" s="62">
        <v>1.0</v>
      </c>
      <c r="H1247" s="62">
        <v>1.0</v>
      </c>
      <c r="I1247" s="62">
        <v>0.0</v>
      </c>
      <c r="J1247" s="62">
        <v>0.0</v>
      </c>
      <c r="K1247" s="62">
        <v>0.0</v>
      </c>
      <c r="L1247" s="62">
        <v>0.0</v>
      </c>
      <c r="M1247" s="62">
        <v>0.0</v>
      </c>
      <c r="N1247" s="62">
        <v>0.0</v>
      </c>
      <c r="O1247" s="62">
        <v>1.0</v>
      </c>
      <c r="P1247" s="62">
        <v>0.0</v>
      </c>
      <c r="Q1247" s="62">
        <v>0.0</v>
      </c>
      <c r="R1247" s="62">
        <v>0.0</v>
      </c>
      <c r="S1247" s="62">
        <v>0.0</v>
      </c>
      <c r="T1247" s="62">
        <v>0.0</v>
      </c>
      <c r="U1247" s="62">
        <v>0.0</v>
      </c>
      <c r="V1247" s="62">
        <v>0.274444444444444</v>
      </c>
      <c r="W1247" s="62">
        <v>0.274444444444444</v>
      </c>
      <c r="X1247" s="62">
        <v>0.0</v>
      </c>
      <c r="Y1247" s="62">
        <v>0.0</v>
      </c>
      <c r="Z1247" s="62">
        <v>0.0</v>
      </c>
      <c r="AA1247" s="62">
        <v>0.0</v>
      </c>
      <c r="AB1247" s="62">
        <v>0.0</v>
      </c>
      <c r="AC1247" s="62">
        <v>0.0</v>
      </c>
      <c r="AD1247" s="62">
        <v>0.320277777777777</v>
      </c>
      <c r="AE1247" s="62">
        <v>0.0</v>
      </c>
      <c r="AF1247" s="62">
        <v>0.0</v>
      </c>
    </row>
    <row r="1248">
      <c r="A1248" s="68">
        <v>46045.0</v>
      </c>
      <c r="B1248" s="62" t="s">
        <v>79</v>
      </c>
      <c r="C1248" s="62" t="s">
        <v>162</v>
      </c>
      <c r="D1248" s="62">
        <v>1.0</v>
      </c>
      <c r="E1248" s="62">
        <v>0.0</v>
      </c>
      <c r="F1248" s="62">
        <v>0.0</v>
      </c>
      <c r="G1248" s="62">
        <v>0.0</v>
      </c>
      <c r="H1248" s="62">
        <v>0.0</v>
      </c>
      <c r="I1248" s="62">
        <v>0.0</v>
      </c>
      <c r="J1248" s="62">
        <v>0.0</v>
      </c>
      <c r="K1248" s="62">
        <v>0.0</v>
      </c>
      <c r="L1248" s="62">
        <v>0.0</v>
      </c>
      <c r="M1248" s="62">
        <v>0.0</v>
      </c>
      <c r="N1248" s="62">
        <v>0.0</v>
      </c>
      <c r="O1248" s="62">
        <v>0.0</v>
      </c>
      <c r="P1248" s="62">
        <v>0.0</v>
      </c>
      <c r="Q1248" s="62">
        <v>0.0</v>
      </c>
      <c r="R1248" s="62">
        <v>2060.0</v>
      </c>
      <c r="S1248" s="62">
        <v>0.0</v>
      </c>
      <c r="T1248" s="62">
        <v>0.0</v>
      </c>
      <c r="U1248" s="62">
        <v>0.0</v>
      </c>
      <c r="V1248" s="62">
        <v>0.0</v>
      </c>
      <c r="W1248" s="62">
        <v>0.0</v>
      </c>
      <c r="X1248" s="62">
        <v>0.0</v>
      </c>
      <c r="Y1248" s="62">
        <v>0.0</v>
      </c>
      <c r="Z1248" s="62">
        <v>0.0</v>
      </c>
      <c r="AA1248" s="62">
        <v>0.0</v>
      </c>
      <c r="AB1248" s="62">
        <v>0.0</v>
      </c>
      <c r="AC1248" s="62">
        <v>0.0</v>
      </c>
      <c r="AD1248" s="62">
        <v>0.0</v>
      </c>
      <c r="AE1248" s="62">
        <v>0.0</v>
      </c>
      <c r="AF1248" s="62">
        <v>0.0</v>
      </c>
    </row>
    <row r="1249">
      <c r="A1249" s="68">
        <v>46045.0</v>
      </c>
      <c r="B1249" s="62" t="s">
        <v>71</v>
      </c>
      <c r="C1249" s="62" t="s">
        <v>163</v>
      </c>
      <c r="D1249" s="62">
        <v>9.0</v>
      </c>
      <c r="E1249" s="62">
        <v>0.0</v>
      </c>
      <c r="F1249" s="62">
        <v>2.0</v>
      </c>
      <c r="G1249" s="62">
        <v>1.0</v>
      </c>
      <c r="H1249" s="62">
        <v>1.0</v>
      </c>
      <c r="I1249" s="62">
        <v>0.0</v>
      </c>
      <c r="J1249" s="62">
        <v>0.0</v>
      </c>
      <c r="K1249" s="62">
        <v>0.0</v>
      </c>
      <c r="L1249" s="62">
        <v>2.0</v>
      </c>
      <c r="M1249" s="62">
        <v>2.0</v>
      </c>
      <c r="N1249" s="62">
        <v>3.0</v>
      </c>
      <c r="O1249" s="62">
        <v>1.0</v>
      </c>
      <c r="P1249" s="62">
        <v>3.0</v>
      </c>
      <c r="Q1249" s="62">
        <v>0.0</v>
      </c>
      <c r="R1249" s="62">
        <v>28598.0</v>
      </c>
      <c r="S1249" s="62">
        <v>0.0</v>
      </c>
      <c r="T1249" s="62">
        <v>0.532777777777777</v>
      </c>
      <c r="U1249" s="62">
        <v>0.532777777777777</v>
      </c>
      <c r="V1249" s="62">
        <v>0.273333333333333</v>
      </c>
      <c r="W1249" s="62">
        <v>0.273333333333333</v>
      </c>
      <c r="X1249" s="62">
        <v>0.0</v>
      </c>
      <c r="Y1249" s="62">
        <v>0.0</v>
      </c>
      <c r="Z1249" s="62">
        <v>0.0</v>
      </c>
      <c r="AA1249" s="62">
        <v>0.498055555555555</v>
      </c>
      <c r="AB1249" s="62">
        <v>0.498055555555555</v>
      </c>
      <c r="AC1249" s="62">
        <v>0.770277777777777</v>
      </c>
      <c r="AD1249" s="62">
        <v>0.2425</v>
      </c>
      <c r="AE1249" s="62">
        <v>0.770277777777777</v>
      </c>
      <c r="AF1249" s="62">
        <v>2.0</v>
      </c>
    </row>
    <row r="1250">
      <c r="A1250" s="68">
        <v>46045.0</v>
      </c>
      <c r="B1250" s="62" t="s">
        <v>76</v>
      </c>
      <c r="C1250" s="62" t="s">
        <v>165</v>
      </c>
      <c r="D1250" s="62">
        <v>20.0</v>
      </c>
      <c r="E1250" s="62">
        <v>2.0</v>
      </c>
      <c r="F1250" s="62">
        <v>2.0</v>
      </c>
      <c r="G1250" s="62">
        <v>5.0</v>
      </c>
      <c r="H1250" s="62">
        <v>6.0</v>
      </c>
      <c r="I1250" s="62">
        <v>1.0</v>
      </c>
      <c r="J1250" s="62">
        <v>10.0</v>
      </c>
      <c r="K1250" s="62">
        <v>0.0</v>
      </c>
      <c r="L1250" s="62">
        <v>0.0</v>
      </c>
      <c r="M1250" s="62">
        <v>11.0</v>
      </c>
      <c r="N1250" s="62">
        <v>11.0</v>
      </c>
      <c r="O1250" s="62">
        <v>1.0</v>
      </c>
      <c r="P1250" s="62">
        <v>11.0</v>
      </c>
      <c r="Q1250" s="62">
        <v>0.0</v>
      </c>
      <c r="R1250" s="62">
        <v>67016.0</v>
      </c>
      <c r="S1250" s="62">
        <v>5144.0</v>
      </c>
      <c r="T1250" s="62">
        <v>0.723888888888888</v>
      </c>
      <c r="U1250" s="62">
        <v>0.497222222222222</v>
      </c>
      <c r="V1250" s="62">
        <v>1.19333333333333</v>
      </c>
      <c r="W1250" s="62">
        <v>1.42</v>
      </c>
      <c r="X1250" s="62">
        <v>0.226666666666666</v>
      </c>
      <c r="Y1250" s="62">
        <v>2.35666666666666</v>
      </c>
      <c r="Z1250" s="62">
        <v>0.0</v>
      </c>
      <c r="AA1250" s="62">
        <v>0.0</v>
      </c>
      <c r="AB1250" s="62">
        <v>2.5925</v>
      </c>
      <c r="AC1250" s="62">
        <v>2.5925</v>
      </c>
      <c r="AD1250" s="62">
        <v>0.236666666666666</v>
      </c>
      <c r="AE1250" s="62">
        <v>2.5925</v>
      </c>
      <c r="AF1250" s="62">
        <v>3.0</v>
      </c>
    </row>
    <row r="1251">
      <c r="A1251" s="68">
        <v>46045.0</v>
      </c>
      <c r="B1251" s="62" t="s">
        <v>32</v>
      </c>
      <c r="C1251" s="62" t="s">
        <v>168</v>
      </c>
      <c r="D1251" s="62">
        <v>0.0</v>
      </c>
      <c r="E1251" s="62">
        <v>5.0</v>
      </c>
      <c r="F1251" s="62">
        <v>1.0</v>
      </c>
      <c r="G1251" s="62">
        <v>0.0</v>
      </c>
      <c r="H1251" s="62">
        <v>3.0</v>
      </c>
      <c r="I1251" s="62">
        <v>2.0</v>
      </c>
      <c r="J1251" s="62">
        <v>3.0</v>
      </c>
      <c r="K1251" s="62">
        <v>0.0</v>
      </c>
      <c r="L1251" s="62">
        <v>0.0</v>
      </c>
      <c r="M1251" s="62">
        <v>6.0</v>
      </c>
      <c r="N1251" s="62">
        <v>6.0</v>
      </c>
      <c r="O1251" s="62">
        <v>1.0</v>
      </c>
      <c r="P1251" s="62">
        <v>6.0</v>
      </c>
      <c r="Q1251" s="62">
        <v>0.0</v>
      </c>
      <c r="R1251" s="62">
        <v>0.0</v>
      </c>
      <c r="S1251" s="62">
        <v>13004.0</v>
      </c>
      <c r="T1251" s="62">
        <v>0.723888888888888</v>
      </c>
      <c r="U1251" s="62">
        <v>0.270277777777777</v>
      </c>
      <c r="V1251" s="62">
        <v>0.0</v>
      </c>
      <c r="W1251" s="62">
        <v>0.723888888888888</v>
      </c>
      <c r="X1251" s="62">
        <v>0.453611111111111</v>
      </c>
      <c r="Y1251" s="62">
        <v>0.740833333333333</v>
      </c>
      <c r="Z1251" s="62">
        <v>0.0</v>
      </c>
      <c r="AA1251" s="62">
        <v>0.0</v>
      </c>
      <c r="AB1251" s="62">
        <v>1.44861111111111</v>
      </c>
      <c r="AC1251" s="62">
        <v>1.44861111111111</v>
      </c>
      <c r="AD1251" s="62">
        <v>0.210277777777777</v>
      </c>
      <c r="AE1251" s="62">
        <v>1.44861111111111</v>
      </c>
      <c r="AF1251" s="62">
        <v>3.0</v>
      </c>
    </row>
    <row r="1252">
      <c r="A1252" s="68">
        <v>46045.0</v>
      </c>
      <c r="B1252" s="62" t="s">
        <v>37</v>
      </c>
      <c r="C1252" s="62" t="s">
        <v>174</v>
      </c>
      <c r="D1252" s="62">
        <v>2.0</v>
      </c>
      <c r="E1252" s="62">
        <v>0.0</v>
      </c>
      <c r="F1252" s="62">
        <v>5.0</v>
      </c>
      <c r="G1252" s="62">
        <v>2.0</v>
      </c>
      <c r="H1252" s="62">
        <v>2.0</v>
      </c>
      <c r="I1252" s="62">
        <v>0.0</v>
      </c>
      <c r="J1252" s="62">
        <v>3.0</v>
      </c>
      <c r="K1252" s="62">
        <v>1.0</v>
      </c>
      <c r="L1252" s="62">
        <v>1.0</v>
      </c>
      <c r="M1252" s="62">
        <v>4.0</v>
      </c>
      <c r="N1252" s="62">
        <v>4.0</v>
      </c>
      <c r="O1252" s="62">
        <v>1.0</v>
      </c>
      <c r="P1252" s="62">
        <v>4.0</v>
      </c>
      <c r="Q1252" s="62">
        <v>0.0</v>
      </c>
      <c r="R1252" s="62">
        <v>4738.0</v>
      </c>
      <c r="S1252" s="62">
        <v>0.0</v>
      </c>
      <c r="T1252" s="62">
        <v>0.0</v>
      </c>
      <c r="U1252" s="62">
        <v>1.42527777777777</v>
      </c>
      <c r="V1252" s="62">
        <v>0.543888888888888</v>
      </c>
      <c r="W1252" s="62">
        <v>0.543888888888888</v>
      </c>
      <c r="X1252" s="62">
        <v>0.0</v>
      </c>
      <c r="Y1252" s="62">
        <v>0.864166666666666</v>
      </c>
      <c r="Z1252" s="62">
        <v>0.276666666666666</v>
      </c>
      <c r="AA1252" s="62">
        <v>0.276666666666666</v>
      </c>
      <c r="AB1252" s="62">
        <v>1.14083333333333</v>
      </c>
      <c r="AC1252" s="62">
        <v>1.14083333333333</v>
      </c>
      <c r="AD1252" s="62">
        <v>0.276666666666666</v>
      </c>
      <c r="AE1252" s="62">
        <v>1.14083333333333</v>
      </c>
      <c r="AF1252" s="62">
        <v>0.0</v>
      </c>
    </row>
    <row r="1253">
      <c r="A1253" s="68">
        <v>46045.0</v>
      </c>
      <c r="B1253" s="62" t="s">
        <v>81</v>
      </c>
      <c r="C1253" s="62" t="s">
        <v>187</v>
      </c>
      <c r="D1253" s="62">
        <v>1.0</v>
      </c>
      <c r="E1253" s="62">
        <v>0.0</v>
      </c>
      <c r="F1253" s="62">
        <v>0.0</v>
      </c>
      <c r="G1253" s="62">
        <v>0.0</v>
      </c>
      <c r="H1253" s="62">
        <v>0.0</v>
      </c>
      <c r="I1253" s="62">
        <v>0.0</v>
      </c>
      <c r="J1253" s="62">
        <v>0.0</v>
      </c>
      <c r="K1253" s="62">
        <v>0.0</v>
      </c>
      <c r="L1253" s="62">
        <v>0.0</v>
      </c>
      <c r="M1253" s="62">
        <v>0.0</v>
      </c>
      <c r="N1253" s="62">
        <v>0.0</v>
      </c>
      <c r="O1253" s="62">
        <v>0.0</v>
      </c>
      <c r="P1253" s="62">
        <v>0.0</v>
      </c>
      <c r="Q1253" s="62">
        <v>0.0</v>
      </c>
      <c r="R1253" s="62">
        <v>2398.0</v>
      </c>
      <c r="S1253" s="62">
        <v>0.0</v>
      </c>
      <c r="T1253" s="62">
        <v>0.0</v>
      </c>
      <c r="U1253" s="62">
        <v>0.0</v>
      </c>
      <c r="V1253" s="62">
        <v>0.0</v>
      </c>
      <c r="W1253" s="62">
        <v>0.0</v>
      </c>
      <c r="X1253" s="62">
        <v>0.0</v>
      </c>
      <c r="Y1253" s="62">
        <v>0.0</v>
      </c>
      <c r="Z1253" s="62">
        <v>0.0</v>
      </c>
      <c r="AA1253" s="62">
        <v>0.0</v>
      </c>
      <c r="AB1253" s="62">
        <v>0.0</v>
      </c>
      <c r="AC1253" s="62">
        <v>0.0</v>
      </c>
      <c r="AD1253" s="62">
        <v>0.0</v>
      </c>
      <c r="AE1253" s="62">
        <v>0.0</v>
      </c>
      <c r="AF1253" s="62">
        <v>0.0</v>
      </c>
    </row>
    <row r="1254">
      <c r="A1254" s="68">
        <v>46045.0</v>
      </c>
      <c r="B1254" s="62" t="s">
        <v>26</v>
      </c>
      <c r="C1254" s="62" t="s">
        <v>178</v>
      </c>
      <c r="D1254" s="62">
        <v>12.0</v>
      </c>
      <c r="E1254" s="62">
        <v>5.0</v>
      </c>
      <c r="F1254" s="62">
        <v>2.0</v>
      </c>
      <c r="G1254" s="62">
        <v>5.0</v>
      </c>
      <c r="H1254" s="62">
        <v>6.0</v>
      </c>
      <c r="I1254" s="62">
        <v>1.0</v>
      </c>
      <c r="J1254" s="62">
        <v>6.0</v>
      </c>
      <c r="K1254" s="62">
        <v>4.0</v>
      </c>
      <c r="L1254" s="62">
        <v>4.0</v>
      </c>
      <c r="M1254" s="62">
        <v>7.0</v>
      </c>
      <c r="N1254" s="62">
        <v>11.0</v>
      </c>
      <c r="O1254" s="62">
        <v>1.0</v>
      </c>
      <c r="P1254" s="62">
        <v>11.0</v>
      </c>
      <c r="Q1254" s="62">
        <v>0.0</v>
      </c>
      <c r="R1254" s="62">
        <v>28100.0</v>
      </c>
      <c r="S1254" s="62">
        <v>12930.0</v>
      </c>
      <c r="T1254" s="62">
        <v>0.0</v>
      </c>
      <c r="U1254" s="62">
        <v>0.497222222222222</v>
      </c>
      <c r="V1254" s="62">
        <v>1.37722222222222</v>
      </c>
      <c r="W1254" s="62">
        <v>1.65166666666666</v>
      </c>
      <c r="X1254" s="62">
        <v>0.274444444444444</v>
      </c>
      <c r="Y1254" s="62">
        <v>1.65249999999999</v>
      </c>
      <c r="Z1254" s="62">
        <v>1.15055555555555</v>
      </c>
      <c r="AA1254" s="62">
        <v>1.15055555555555</v>
      </c>
      <c r="AB1254" s="62">
        <v>1.92277777777777</v>
      </c>
      <c r="AC1254" s="62">
        <v>2.78444444444444</v>
      </c>
      <c r="AD1254" s="62">
        <v>0.191944444444444</v>
      </c>
      <c r="AE1254" s="62">
        <v>2.78444444444444</v>
      </c>
      <c r="AF1254" s="62">
        <v>0.0</v>
      </c>
    </row>
    <row r="1255">
      <c r="A1255" s="68">
        <v>46045.0</v>
      </c>
      <c r="B1255" s="62" t="s">
        <v>62</v>
      </c>
      <c r="C1255" s="62" t="s">
        <v>63</v>
      </c>
      <c r="D1255" s="62">
        <v>1.0</v>
      </c>
      <c r="E1255" s="62">
        <v>1.0</v>
      </c>
      <c r="F1255" s="62">
        <v>0.0</v>
      </c>
      <c r="G1255" s="62">
        <v>0.0</v>
      </c>
      <c r="H1255" s="62">
        <v>0.0</v>
      </c>
      <c r="I1255" s="62">
        <v>0.0</v>
      </c>
      <c r="J1255" s="62">
        <v>0.0</v>
      </c>
      <c r="K1255" s="62">
        <v>0.0</v>
      </c>
      <c r="L1255" s="62">
        <v>0.0</v>
      </c>
      <c r="M1255" s="62">
        <v>0.0</v>
      </c>
      <c r="N1255" s="62">
        <v>0.0</v>
      </c>
      <c r="O1255" s="62">
        <v>0.0</v>
      </c>
      <c r="P1255" s="62">
        <v>0.0</v>
      </c>
      <c r="Q1255" s="62">
        <v>0.0</v>
      </c>
      <c r="R1255" s="62">
        <v>2474.0</v>
      </c>
      <c r="S1255" s="62">
        <v>2514.0</v>
      </c>
      <c r="T1255" s="62">
        <v>0.0</v>
      </c>
      <c r="U1255" s="62">
        <v>0.0</v>
      </c>
      <c r="V1255" s="62">
        <v>0.0</v>
      </c>
      <c r="W1255" s="62">
        <v>0.0</v>
      </c>
      <c r="X1255" s="62">
        <v>0.0</v>
      </c>
      <c r="Y1255" s="62">
        <v>0.0</v>
      </c>
      <c r="Z1255" s="62">
        <v>0.0</v>
      </c>
      <c r="AA1255" s="62">
        <v>0.0</v>
      </c>
      <c r="AB1255" s="62">
        <v>0.0</v>
      </c>
      <c r="AC1255" s="62">
        <v>0.0</v>
      </c>
      <c r="AD1255" s="62">
        <v>0.0</v>
      </c>
      <c r="AE1255" s="62">
        <v>0.0</v>
      </c>
      <c r="AF1255" s="62">
        <v>0.0</v>
      </c>
    </row>
    <row r="1256">
      <c r="A1256" s="68">
        <v>46044.0</v>
      </c>
      <c r="B1256" s="62" t="s">
        <v>79</v>
      </c>
      <c r="C1256" s="62" t="s">
        <v>162</v>
      </c>
      <c r="D1256" s="62">
        <v>4.0</v>
      </c>
      <c r="E1256" s="62">
        <v>0.0</v>
      </c>
      <c r="F1256" s="62">
        <v>0.0</v>
      </c>
      <c r="G1256" s="62">
        <v>0.0</v>
      </c>
      <c r="H1256" s="62">
        <v>0.0</v>
      </c>
      <c r="I1256" s="62">
        <v>0.0</v>
      </c>
      <c r="J1256" s="62">
        <v>0.0</v>
      </c>
      <c r="K1256" s="62">
        <v>0.0</v>
      </c>
      <c r="L1256" s="62">
        <v>0.0</v>
      </c>
      <c r="M1256" s="62">
        <v>0.0</v>
      </c>
      <c r="N1256" s="62">
        <v>0.0</v>
      </c>
      <c r="O1256" s="62">
        <v>0.0</v>
      </c>
      <c r="P1256" s="62">
        <v>0.0</v>
      </c>
      <c r="Q1256" s="62">
        <v>0.0</v>
      </c>
      <c r="R1256" s="62">
        <v>8427.0</v>
      </c>
      <c r="S1256" s="62">
        <v>0.0</v>
      </c>
      <c r="T1256" s="62">
        <v>0.0</v>
      </c>
      <c r="U1256" s="62">
        <v>0.0</v>
      </c>
      <c r="V1256" s="62">
        <v>0.0</v>
      </c>
      <c r="W1256" s="62">
        <v>0.0</v>
      </c>
      <c r="X1256" s="62">
        <v>0.0</v>
      </c>
      <c r="Y1256" s="62">
        <v>0.0</v>
      </c>
      <c r="Z1256" s="62">
        <v>0.0</v>
      </c>
      <c r="AA1256" s="62">
        <v>0.0</v>
      </c>
      <c r="AB1256" s="62">
        <v>0.0</v>
      </c>
      <c r="AC1256" s="62">
        <v>0.0</v>
      </c>
      <c r="AD1256" s="62">
        <v>0.0</v>
      </c>
      <c r="AE1256" s="62">
        <v>0.0</v>
      </c>
      <c r="AF1256" s="62">
        <v>0.0</v>
      </c>
    </row>
    <row r="1257">
      <c r="A1257" s="68">
        <v>46044.0</v>
      </c>
      <c r="B1257" s="62" t="s">
        <v>71</v>
      </c>
      <c r="C1257" s="62" t="s">
        <v>163</v>
      </c>
      <c r="D1257" s="62">
        <v>5.0</v>
      </c>
      <c r="E1257" s="62">
        <v>4.0</v>
      </c>
      <c r="F1257" s="62">
        <v>3.0</v>
      </c>
      <c r="G1257" s="62">
        <v>0.0</v>
      </c>
      <c r="H1257" s="62">
        <v>0.0</v>
      </c>
      <c r="I1257" s="62">
        <v>0.0</v>
      </c>
      <c r="J1257" s="62">
        <v>0.0</v>
      </c>
      <c r="K1257" s="62">
        <v>1.0</v>
      </c>
      <c r="L1257" s="62">
        <v>0.0</v>
      </c>
      <c r="M1257" s="62">
        <v>1.0</v>
      </c>
      <c r="N1257" s="62">
        <v>0.0</v>
      </c>
      <c r="O1257" s="62">
        <v>1.0</v>
      </c>
      <c r="P1257" s="62">
        <v>0.0</v>
      </c>
      <c r="Q1257" s="62">
        <v>0.0</v>
      </c>
      <c r="R1257" s="62">
        <v>16381.0</v>
      </c>
      <c r="S1257" s="62">
        <v>12413.0</v>
      </c>
      <c r="T1257" s="62">
        <v>0.793611111111111</v>
      </c>
      <c r="U1257" s="62">
        <v>0.793611111111111</v>
      </c>
      <c r="V1257" s="62">
        <v>0.0</v>
      </c>
      <c r="W1257" s="62">
        <v>0.0</v>
      </c>
      <c r="X1257" s="62">
        <v>0.0</v>
      </c>
      <c r="Y1257" s="62">
        <v>0.0</v>
      </c>
      <c r="Z1257" s="62">
        <v>0.246666666666666</v>
      </c>
      <c r="AA1257" s="62">
        <v>0.0</v>
      </c>
      <c r="AB1257" s="62">
        <v>0.272222222222222</v>
      </c>
      <c r="AC1257" s="62">
        <v>0.0</v>
      </c>
      <c r="AD1257" s="62">
        <v>0.229166666666666</v>
      </c>
      <c r="AE1257" s="62">
        <v>0.0</v>
      </c>
      <c r="AF1257" s="62">
        <v>3.0</v>
      </c>
    </row>
    <row r="1258">
      <c r="A1258" s="68">
        <v>46044.0</v>
      </c>
      <c r="B1258" s="62" t="s">
        <v>76</v>
      </c>
      <c r="C1258" s="62" t="s">
        <v>165</v>
      </c>
      <c r="D1258" s="62">
        <v>0.0</v>
      </c>
      <c r="E1258" s="62">
        <v>8.0</v>
      </c>
      <c r="F1258" s="62">
        <v>4.0</v>
      </c>
      <c r="G1258" s="62">
        <v>3.0</v>
      </c>
      <c r="H1258" s="62">
        <v>5.0</v>
      </c>
      <c r="I1258" s="62">
        <v>2.0</v>
      </c>
      <c r="J1258" s="62">
        <v>3.0</v>
      </c>
      <c r="K1258" s="62">
        <v>0.0</v>
      </c>
      <c r="L1258" s="62">
        <v>0.0</v>
      </c>
      <c r="M1258" s="62">
        <v>2.0</v>
      </c>
      <c r="N1258" s="62">
        <v>2.0</v>
      </c>
      <c r="O1258" s="62">
        <v>1.0</v>
      </c>
      <c r="P1258" s="62">
        <v>2.0</v>
      </c>
      <c r="Q1258" s="62">
        <v>0.0</v>
      </c>
      <c r="R1258" s="62">
        <v>0.0</v>
      </c>
      <c r="S1258" s="62">
        <v>19650.0</v>
      </c>
      <c r="T1258" s="62">
        <v>1.155</v>
      </c>
      <c r="U1258" s="62">
        <v>0.926666666666666</v>
      </c>
      <c r="V1258" s="62">
        <v>0.703333333333333</v>
      </c>
      <c r="W1258" s="62">
        <v>1.16138888888888</v>
      </c>
      <c r="X1258" s="62">
        <v>0.458055555555555</v>
      </c>
      <c r="Y1258" s="62">
        <v>0.740277777777777</v>
      </c>
      <c r="Z1258" s="62">
        <v>0.0</v>
      </c>
      <c r="AA1258" s="62">
        <v>0.0</v>
      </c>
      <c r="AB1258" s="62">
        <v>0.504444444444444</v>
      </c>
      <c r="AC1258" s="62">
        <v>0.504444444444444</v>
      </c>
      <c r="AD1258" s="62">
        <v>0.236666666666666</v>
      </c>
      <c r="AE1258" s="62">
        <v>0.504444444444444</v>
      </c>
      <c r="AF1258" s="62">
        <v>5.0</v>
      </c>
    </row>
    <row r="1259">
      <c r="A1259" s="68">
        <v>46044.0</v>
      </c>
      <c r="B1259" s="62" t="s">
        <v>32</v>
      </c>
      <c r="C1259" s="62" t="s">
        <v>168</v>
      </c>
      <c r="D1259" s="62">
        <v>0.0</v>
      </c>
      <c r="E1259" s="62">
        <v>3.0</v>
      </c>
      <c r="F1259" s="62">
        <v>0.0</v>
      </c>
      <c r="G1259" s="62">
        <v>0.0</v>
      </c>
      <c r="H1259" s="62">
        <v>5.0</v>
      </c>
      <c r="I1259" s="62">
        <v>5.0</v>
      </c>
      <c r="J1259" s="62">
        <v>4.0</v>
      </c>
      <c r="K1259" s="62">
        <v>0.0</v>
      </c>
      <c r="L1259" s="62">
        <v>0.0</v>
      </c>
      <c r="M1259" s="62">
        <v>1.0</v>
      </c>
      <c r="N1259" s="62">
        <v>1.0</v>
      </c>
      <c r="O1259" s="62">
        <v>1.0</v>
      </c>
      <c r="P1259" s="62">
        <v>1.0</v>
      </c>
      <c r="Q1259" s="62">
        <v>0.0</v>
      </c>
      <c r="R1259" s="62">
        <v>0.0</v>
      </c>
      <c r="S1259" s="62">
        <v>7757.0</v>
      </c>
      <c r="T1259" s="62">
        <v>1.2075</v>
      </c>
      <c r="U1259" s="62">
        <v>0.0</v>
      </c>
      <c r="V1259" s="62">
        <v>0.0</v>
      </c>
      <c r="W1259" s="62">
        <v>1.2075</v>
      </c>
      <c r="X1259" s="62">
        <v>1.2075</v>
      </c>
      <c r="Y1259" s="62">
        <v>0.978055555555555</v>
      </c>
      <c r="Z1259" s="62">
        <v>0.0</v>
      </c>
      <c r="AA1259" s="62">
        <v>0.0</v>
      </c>
      <c r="AB1259" s="62">
        <v>0.250277777777777</v>
      </c>
      <c r="AC1259" s="62">
        <v>0.250277777777777</v>
      </c>
      <c r="AD1259" s="62">
        <v>0.2075</v>
      </c>
      <c r="AE1259" s="62">
        <v>0.250277777777777</v>
      </c>
      <c r="AF1259" s="62">
        <v>5.0</v>
      </c>
    </row>
    <row r="1260">
      <c r="A1260" s="68">
        <v>46044.0</v>
      </c>
      <c r="B1260" s="62" t="s">
        <v>37</v>
      </c>
      <c r="C1260" s="62" t="s">
        <v>174</v>
      </c>
      <c r="D1260" s="62">
        <v>23.0</v>
      </c>
      <c r="E1260" s="62">
        <v>0.0</v>
      </c>
      <c r="F1260" s="62">
        <v>0.0</v>
      </c>
      <c r="G1260" s="62">
        <v>3.0</v>
      </c>
      <c r="H1260" s="62">
        <v>3.0</v>
      </c>
      <c r="I1260" s="62">
        <v>0.0</v>
      </c>
      <c r="J1260" s="62">
        <v>2.0</v>
      </c>
      <c r="K1260" s="62">
        <v>0.0</v>
      </c>
      <c r="L1260" s="62">
        <v>0.0</v>
      </c>
      <c r="M1260" s="62">
        <v>1.0</v>
      </c>
      <c r="N1260" s="62">
        <v>1.0</v>
      </c>
      <c r="O1260" s="62">
        <v>1.0</v>
      </c>
      <c r="P1260" s="62">
        <v>1.0</v>
      </c>
      <c r="Q1260" s="62">
        <v>0.0</v>
      </c>
      <c r="R1260" s="62">
        <v>47364.0</v>
      </c>
      <c r="S1260" s="62">
        <v>0.0</v>
      </c>
      <c r="T1260" s="62">
        <v>1.42527777777777</v>
      </c>
      <c r="U1260" s="62">
        <v>0.0</v>
      </c>
      <c r="V1260" s="62">
        <v>0.853611111111111</v>
      </c>
      <c r="W1260" s="62">
        <v>0.853611111111111</v>
      </c>
      <c r="X1260" s="62">
        <v>0.0</v>
      </c>
      <c r="Y1260" s="62">
        <v>0.533333333333333</v>
      </c>
      <c r="Z1260" s="62">
        <v>0.0</v>
      </c>
      <c r="AA1260" s="62">
        <v>0.0</v>
      </c>
      <c r="AB1260" s="62">
        <v>0.256666666666666</v>
      </c>
      <c r="AC1260" s="62">
        <v>0.256666666666666</v>
      </c>
      <c r="AD1260" s="62">
        <v>0.256666666666666</v>
      </c>
      <c r="AE1260" s="62">
        <v>0.256666666666666</v>
      </c>
      <c r="AF1260" s="62">
        <v>5.0</v>
      </c>
    </row>
    <row r="1261">
      <c r="A1261" s="68">
        <v>46044.0</v>
      </c>
      <c r="B1261" s="62" t="s">
        <v>26</v>
      </c>
      <c r="C1261" s="62" t="s">
        <v>178</v>
      </c>
      <c r="D1261" s="62">
        <v>7.0</v>
      </c>
      <c r="E1261" s="62">
        <v>5.0</v>
      </c>
      <c r="F1261" s="62">
        <v>3.0</v>
      </c>
      <c r="G1261" s="62">
        <v>0.0</v>
      </c>
      <c r="H1261" s="62">
        <v>1.0</v>
      </c>
      <c r="I1261" s="62">
        <v>1.0</v>
      </c>
      <c r="J1261" s="62">
        <v>4.0</v>
      </c>
      <c r="K1261" s="62">
        <v>0.0</v>
      </c>
      <c r="L1261" s="62">
        <v>0.0</v>
      </c>
      <c r="M1261" s="62">
        <v>5.0</v>
      </c>
      <c r="N1261" s="62">
        <v>1.0</v>
      </c>
      <c r="O1261" s="62">
        <v>1.0</v>
      </c>
      <c r="P1261" s="62">
        <v>1.0</v>
      </c>
      <c r="Q1261" s="62">
        <v>0.0</v>
      </c>
      <c r="R1261" s="62">
        <v>16364.0</v>
      </c>
      <c r="S1261" s="62">
        <v>13183.0</v>
      </c>
      <c r="T1261" s="62">
        <v>1.92083333333333</v>
      </c>
      <c r="U1261" s="62">
        <v>0.879444444444444</v>
      </c>
      <c r="V1261" s="62">
        <v>0.0</v>
      </c>
      <c r="W1261" s="62">
        <v>0.269722222222222</v>
      </c>
      <c r="X1261" s="62">
        <v>0.269722222222222</v>
      </c>
      <c r="Y1261" s="62">
        <v>0.934999999999999</v>
      </c>
      <c r="Z1261" s="62">
        <v>0.0</v>
      </c>
      <c r="AA1261" s="62">
        <v>0.0</v>
      </c>
      <c r="AB1261" s="62">
        <v>1.06916666666666</v>
      </c>
      <c r="AC1261" s="62">
        <v>0.2075</v>
      </c>
      <c r="AD1261" s="62">
        <v>0.210277777777777</v>
      </c>
      <c r="AE1261" s="62">
        <v>0.2075</v>
      </c>
      <c r="AF1261" s="62">
        <v>7.0</v>
      </c>
    </row>
    <row r="1262">
      <c r="A1262" s="68">
        <v>46044.0</v>
      </c>
      <c r="B1262" s="62" t="s">
        <v>62</v>
      </c>
      <c r="C1262" s="62" t="s">
        <v>63</v>
      </c>
      <c r="D1262" s="62">
        <v>2.0</v>
      </c>
      <c r="E1262" s="62">
        <v>0.0</v>
      </c>
      <c r="F1262" s="62">
        <v>0.0</v>
      </c>
      <c r="G1262" s="62">
        <v>0.0</v>
      </c>
      <c r="H1262" s="62">
        <v>0.0</v>
      </c>
      <c r="I1262" s="62">
        <v>0.0</v>
      </c>
      <c r="J1262" s="62">
        <v>0.0</v>
      </c>
      <c r="K1262" s="62">
        <v>0.0</v>
      </c>
      <c r="L1262" s="62">
        <v>0.0</v>
      </c>
      <c r="M1262" s="62">
        <v>0.0</v>
      </c>
      <c r="N1262" s="62">
        <v>0.0</v>
      </c>
      <c r="O1262" s="62">
        <v>0.0</v>
      </c>
      <c r="P1262" s="62">
        <v>0.0</v>
      </c>
      <c r="Q1262" s="62">
        <v>0.0</v>
      </c>
      <c r="R1262" s="62">
        <v>5168.0</v>
      </c>
      <c r="S1262" s="62">
        <v>0.0</v>
      </c>
      <c r="T1262" s="62">
        <v>0.0</v>
      </c>
      <c r="U1262" s="62">
        <v>0.0</v>
      </c>
      <c r="V1262" s="62">
        <v>0.0</v>
      </c>
      <c r="W1262" s="62">
        <v>0.0</v>
      </c>
      <c r="X1262" s="62">
        <v>0.0</v>
      </c>
      <c r="Y1262" s="62">
        <v>0.0</v>
      </c>
      <c r="Z1262" s="62">
        <v>0.0</v>
      </c>
      <c r="AA1262" s="62">
        <v>0.0</v>
      </c>
      <c r="AB1262" s="62">
        <v>0.0</v>
      </c>
      <c r="AC1262" s="62">
        <v>0.0</v>
      </c>
      <c r="AD1262" s="62">
        <v>0.0</v>
      </c>
      <c r="AE1262" s="62">
        <v>0.0</v>
      </c>
      <c r="AF1262" s="62">
        <v>0.0</v>
      </c>
    </row>
    <row r="1263">
      <c r="A1263" s="68">
        <v>46043.0</v>
      </c>
      <c r="B1263" s="62" t="s">
        <v>79</v>
      </c>
      <c r="C1263" s="62" t="s">
        <v>162</v>
      </c>
      <c r="D1263" s="62">
        <v>3.0</v>
      </c>
      <c r="E1263" s="62">
        <v>0.0</v>
      </c>
      <c r="F1263" s="62">
        <v>0.0</v>
      </c>
      <c r="G1263" s="62">
        <v>0.0</v>
      </c>
      <c r="H1263" s="62">
        <v>0.0</v>
      </c>
      <c r="I1263" s="62">
        <v>0.0</v>
      </c>
      <c r="J1263" s="62">
        <v>0.0</v>
      </c>
      <c r="K1263" s="62">
        <v>0.0</v>
      </c>
      <c r="L1263" s="62">
        <v>0.0</v>
      </c>
      <c r="M1263" s="62">
        <v>0.0</v>
      </c>
      <c r="N1263" s="62">
        <v>0.0</v>
      </c>
      <c r="O1263" s="62">
        <v>0.0</v>
      </c>
      <c r="P1263" s="62">
        <v>0.0</v>
      </c>
      <c r="Q1263" s="62">
        <v>0.0</v>
      </c>
      <c r="R1263" s="62">
        <v>5703.0</v>
      </c>
      <c r="S1263" s="62">
        <v>0.0</v>
      </c>
      <c r="T1263" s="62">
        <v>0.0</v>
      </c>
      <c r="U1263" s="62">
        <v>0.0</v>
      </c>
      <c r="V1263" s="62">
        <v>0.0</v>
      </c>
      <c r="W1263" s="62">
        <v>0.0</v>
      </c>
      <c r="X1263" s="62">
        <v>0.0</v>
      </c>
      <c r="Y1263" s="62">
        <v>0.0</v>
      </c>
      <c r="Z1263" s="62">
        <v>0.0</v>
      </c>
      <c r="AA1263" s="62">
        <v>0.0</v>
      </c>
      <c r="AB1263" s="62">
        <v>0.0</v>
      </c>
      <c r="AC1263" s="62">
        <v>0.0</v>
      </c>
      <c r="AD1263" s="62">
        <v>0.0</v>
      </c>
      <c r="AE1263" s="62">
        <v>0.0</v>
      </c>
      <c r="AF1263" s="62">
        <v>0.0</v>
      </c>
    </row>
    <row r="1264">
      <c r="A1264" s="68">
        <v>46043.0</v>
      </c>
      <c r="B1264" s="62" t="s">
        <v>71</v>
      </c>
      <c r="C1264" s="62" t="s">
        <v>163</v>
      </c>
      <c r="D1264" s="62">
        <v>0.0</v>
      </c>
      <c r="E1264" s="62">
        <v>4.0</v>
      </c>
      <c r="F1264" s="62">
        <v>2.0</v>
      </c>
      <c r="G1264" s="62">
        <v>2.0</v>
      </c>
      <c r="H1264" s="62">
        <v>2.0</v>
      </c>
      <c r="I1264" s="62">
        <v>0.0</v>
      </c>
      <c r="J1264" s="62">
        <v>4.0</v>
      </c>
      <c r="K1264" s="62">
        <v>1.0</v>
      </c>
      <c r="L1264" s="62">
        <v>0.0</v>
      </c>
      <c r="M1264" s="62">
        <v>1.0</v>
      </c>
      <c r="N1264" s="62">
        <v>2.0</v>
      </c>
      <c r="O1264" s="62">
        <v>1.0</v>
      </c>
      <c r="P1264" s="62">
        <v>2.0</v>
      </c>
      <c r="Q1264" s="62">
        <v>0.0</v>
      </c>
      <c r="R1264" s="62">
        <v>0.0</v>
      </c>
      <c r="S1264" s="62">
        <v>12534.0</v>
      </c>
      <c r="T1264" s="62">
        <v>0.570833333333333</v>
      </c>
      <c r="U1264" s="62">
        <v>0.570833333333333</v>
      </c>
      <c r="V1264" s="62">
        <v>0.486111111111111</v>
      </c>
      <c r="W1264" s="62">
        <v>0.486111111111111</v>
      </c>
      <c r="X1264" s="62">
        <v>0.0</v>
      </c>
      <c r="Y1264" s="62">
        <v>1.04333333333333</v>
      </c>
      <c r="Z1264" s="62">
        <v>0.239444444444444</v>
      </c>
      <c r="AA1264" s="62">
        <v>0.0</v>
      </c>
      <c r="AB1264" s="62">
        <v>0.285</v>
      </c>
      <c r="AC1264" s="62">
        <v>0.557222222222222</v>
      </c>
      <c r="AD1264" s="62">
        <v>0.238333333333333</v>
      </c>
      <c r="AE1264" s="62">
        <v>0.557222222222222</v>
      </c>
      <c r="AF1264" s="62">
        <v>2.0</v>
      </c>
    </row>
    <row r="1265">
      <c r="A1265" s="68">
        <v>46043.0</v>
      </c>
      <c r="B1265" s="62" t="s">
        <v>76</v>
      </c>
      <c r="C1265" s="62" t="s">
        <v>165</v>
      </c>
      <c r="D1265" s="62">
        <v>0.0</v>
      </c>
      <c r="E1265" s="62">
        <v>3.0</v>
      </c>
      <c r="F1265" s="62">
        <v>4.0</v>
      </c>
      <c r="G1265" s="62">
        <v>2.0</v>
      </c>
      <c r="H1265" s="62">
        <v>4.0</v>
      </c>
      <c r="I1265" s="62">
        <v>2.0</v>
      </c>
      <c r="J1265" s="62">
        <v>1.0</v>
      </c>
      <c r="K1265" s="62">
        <v>0.0</v>
      </c>
      <c r="L1265" s="62">
        <v>0.0</v>
      </c>
      <c r="M1265" s="62">
        <v>1.0</v>
      </c>
      <c r="N1265" s="62">
        <v>6.0</v>
      </c>
      <c r="O1265" s="62">
        <v>1.0</v>
      </c>
      <c r="P1265" s="62">
        <v>6.0</v>
      </c>
      <c r="Q1265" s="62">
        <v>0.0</v>
      </c>
      <c r="R1265" s="62">
        <v>0.0</v>
      </c>
      <c r="S1265" s="62">
        <v>7466.0</v>
      </c>
      <c r="T1265" s="62">
        <v>0.936111111111111</v>
      </c>
      <c r="U1265" s="62">
        <v>0.978611111111111</v>
      </c>
      <c r="V1265" s="62">
        <v>0.504444444444444</v>
      </c>
      <c r="W1265" s="62">
        <v>0.992777777777777</v>
      </c>
      <c r="X1265" s="62">
        <v>0.488333333333333</v>
      </c>
      <c r="Y1265" s="62">
        <v>0.254722222222222</v>
      </c>
      <c r="Z1265" s="62">
        <v>0.0</v>
      </c>
      <c r="AA1265" s="62">
        <v>0.0</v>
      </c>
      <c r="AB1265" s="62">
        <v>0.254722222222222</v>
      </c>
      <c r="AC1265" s="62">
        <v>1.44916666666666</v>
      </c>
      <c r="AD1265" s="62">
        <v>0.239166666666666</v>
      </c>
      <c r="AE1265" s="62">
        <v>1.44916666666666</v>
      </c>
      <c r="AF1265" s="62">
        <v>4.0</v>
      </c>
    </row>
    <row r="1266">
      <c r="A1266" s="68">
        <v>46043.0</v>
      </c>
      <c r="B1266" s="62" t="s">
        <v>32</v>
      </c>
      <c r="C1266" s="62" t="s">
        <v>168</v>
      </c>
      <c r="D1266" s="62">
        <v>0.0</v>
      </c>
      <c r="E1266" s="62">
        <v>4.0</v>
      </c>
      <c r="F1266" s="62">
        <v>0.0</v>
      </c>
      <c r="G1266" s="62">
        <v>0.0</v>
      </c>
      <c r="H1266" s="62">
        <v>7.0</v>
      </c>
      <c r="I1266" s="62">
        <v>7.0</v>
      </c>
      <c r="J1266" s="62">
        <v>10.0</v>
      </c>
      <c r="K1266" s="62">
        <v>0.0</v>
      </c>
      <c r="L1266" s="62">
        <v>0.0</v>
      </c>
      <c r="M1266" s="62">
        <v>9.0</v>
      </c>
      <c r="N1266" s="62">
        <v>9.0</v>
      </c>
      <c r="O1266" s="62">
        <v>1.0</v>
      </c>
      <c r="P1266" s="62">
        <v>9.0</v>
      </c>
      <c r="Q1266" s="62">
        <v>0.0</v>
      </c>
      <c r="R1266" s="62">
        <v>0.0</v>
      </c>
      <c r="S1266" s="62">
        <v>7987.0</v>
      </c>
      <c r="T1266" s="62">
        <v>1.05527777777777</v>
      </c>
      <c r="U1266" s="62">
        <v>0.0</v>
      </c>
      <c r="V1266" s="62">
        <v>0.0</v>
      </c>
      <c r="W1266" s="62">
        <v>1.78055555555555</v>
      </c>
      <c r="X1266" s="62">
        <v>1.78055555555555</v>
      </c>
      <c r="Y1266" s="62">
        <v>2.49138888888888</v>
      </c>
      <c r="Z1266" s="62">
        <v>0.0</v>
      </c>
      <c r="AA1266" s="62">
        <v>0.0</v>
      </c>
      <c r="AB1266" s="62">
        <v>2.24111111111111</v>
      </c>
      <c r="AC1266" s="62">
        <v>2.24111111111111</v>
      </c>
      <c r="AD1266" s="62">
        <v>0.217222222222222</v>
      </c>
      <c r="AE1266" s="62">
        <v>2.24111111111111</v>
      </c>
      <c r="AF1266" s="62">
        <v>4.0</v>
      </c>
    </row>
    <row r="1267">
      <c r="A1267" s="68">
        <v>46043.0</v>
      </c>
      <c r="B1267" s="62" t="s">
        <v>37</v>
      </c>
      <c r="C1267" s="62" t="s">
        <v>174</v>
      </c>
      <c r="D1267" s="62">
        <v>5.0</v>
      </c>
      <c r="E1267" s="62">
        <v>0.0</v>
      </c>
      <c r="F1267" s="62">
        <v>4.0</v>
      </c>
      <c r="G1267" s="62">
        <v>0.0</v>
      </c>
      <c r="H1267" s="62">
        <v>1.0</v>
      </c>
      <c r="I1267" s="62">
        <v>1.0</v>
      </c>
      <c r="J1267" s="62">
        <v>1.0</v>
      </c>
      <c r="K1267" s="62">
        <v>0.0</v>
      </c>
      <c r="L1267" s="62">
        <v>0.0</v>
      </c>
      <c r="M1267" s="62">
        <v>1.0</v>
      </c>
      <c r="N1267" s="62">
        <v>1.0</v>
      </c>
      <c r="O1267" s="62">
        <v>1.0</v>
      </c>
      <c r="P1267" s="62">
        <v>1.0</v>
      </c>
      <c r="Q1267" s="62">
        <v>0.0</v>
      </c>
      <c r="R1267" s="62">
        <v>11601.0</v>
      </c>
      <c r="S1267" s="62">
        <v>0.0</v>
      </c>
      <c r="T1267" s="62">
        <v>0.0</v>
      </c>
      <c r="U1267" s="62">
        <v>1.16055555555555</v>
      </c>
      <c r="V1267" s="62">
        <v>0.0</v>
      </c>
      <c r="W1267" s="62">
        <v>0.2975</v>
      </c>
      <c r="X1267" s="62">
        <v>0.2975</v>
      </c>
      <c r="Y1267" s="62">
        <v>0.281388888888888</v>
      </c>
      <c r="Z1267" s="62">
        <v>0.0</v>
      </c>
      <c r="AA1267" s="62">
        <v>0.0</v>
      </c>
      <c r="AB1267" s="62">
        <v>0.281388888888888</v>
      </c>
      <c r="AC1267" s="62">
        <v>0.281388888888888</v>
      </c>
      <c r="AD1267" s="62">
        <v>0.281388888888888</v>
      </c>
      <c r="AE1267" s="62">
        <v>0.281388888888888</v>
      </c>
      <c r="AF1267" s="62">
        <v>0.0</v>
      </c>
    </row>
    <row r="1268">
      <c r="A1268" s="68">
        <v>46043.0</v>
      </c>
      <c r="B1268" s="62" t="s">
        <v>26</v>
      </c>
      <c r="C1268" s="62" t="s">
        <v>178</v>
      </c>
      <c r="D1268" s="62">
        <v>0.0</v>
      </c>
      <c r="E1268" s="62">
        <v>2.0</v>
      </c>
      <c r="F1268" s="62">
        <v>0.0</v>
      </c>
      <c r="G1268" s="62">
        <v>2.0</v>
      </c>
      <c r="H1268" s="62">
        <v>4.0</v>
      </c>
      <c r="I1268" s="62">
        <v>2.0</v>
      </c>
      <c r="J1268" s="62">
        <v>3.0</v>
      </c>
      <c r="K1268" s="62">
        <v>0.0</v>
      </c>
      <c r="L1268" s="62">
        <v>0.0</v>
      </c>
      <c r="M1268" s="62">
        <v>1.0</v>
      </c>
      <c r="N1268" s="62">
        <v>7.0</v>
      </c>
      <c r="O1268" s="62">
        <v>1.0</v>
      </c>
      <c r="P1268" s="62">
        <v>7.0</v>
      </c>
      <c r="Q1268" s="62">
        <v>0.0</v>
      </c>
      <c r="R1268" s="62">
        <v>0.0</v>
      </c>
      <c r="S1268" s="62">
        <v>4969.0</v>
      </c>
      <c r="T1268" s="62">
        <v>0.405833333333333</v>
      </c>
      <c r="U1268" s="62">
        <v>0.0</v>
      </c>
      <c r="V1268" s="62">
        <v>0.453888888888888</v>
      </c>
      <c r="W1268" s="62">
        <v>0.859722222222222</v>
      </c>
      <c r="X1268" s="62">
        <v>0.405833333333333</v>
      </c>
      <c r="Y1268" s="62">
        <v>0.653888888888888</v>
      </c>
      <c r="Z1268" s="62">
        <v>0.0</v>
      </c>
      <c r="AA1268" s="62">
        <v>0.0</v>
      </c>
      <c r="AB1268" s="62">
        <v>0.249444444444444</v>
      </c>
      <c r="AC1268" s="62">
        <v>1.57083333333333</v>
      </c>
      <c r="AD1268" s="62">
        <v>0.205833333333333</v>
      </c>
      <c r="AE1268" s="62">
        <v>1.57083333333333</v>
      </c>
      <c r="AF1268" s="62">
        <v>2.0</v>
      </c>
    </row>
    <row r="1269">
      <c r="A1269" s="68">
        <v>46043.0</v>
      </c>
      <c r="B1269" s="62" t="s">
        <v>62</v>
      </c>
      <c r="C1269" s="62" t="s">
        <v>63</v>
      </c>
      <c r="D1269" s="62">
        <v>2.0</v>
      </c>
      <c r="E1269" s="62">
        <v>0.0</v>
      </c>
      <c r="F1269" s="62">
        <v>0.0</v>
      </c>
      <c r="G1269" s="62">
        <v>0.0</v>
      </c>
      <c r="H1269" s="62">
        <v>0.0</v>
      </c>
      <c r="I1269" s="62">
        <v>0.0</v>
      </c>
      <c r="J1269" s="62">
        <v>0.0</v>
      </c>
      <c r="K1269" s="62">
        <v>0.0</v>
      </c>
      <c r="L1269" s="62">
        <v>0.0</v>
      </c>
      <c r="M1269" s="62">
        <v>0.0</v>
      </c>
      <c r="N1269" s="62">
        <v>0.0</v>
      </c>
      <c r="O1269" s="62">
        <v>0.0</v>
      </c>
      <c r="P1269" s="62">
        <v>0.0</v>
      </c>
      <c r="Q1269" s="62">
        <v>0.0</v>
      </c>
      <c r="R1269" s="62">
        <v>4999.0</v>
      </c>
      <c r="S1269" s="62">
        <v>0.0</v>
      </c>
      <c r="T1269" s="62">
        <v>0.0</v>
      </c>
      <c r="U1269" s="62">
        <v>0.0</v>
      </c>
      <c r="V1269" s="62">
        <v>0.0</v>
      </c>
      <c r="W1269" s="62">
        <v>0.0</v>
      </c>
      <c r="X1269" s="62">
        <v>0.0</v>
      </c>
      <c r="Y1269" s="62">
        <v>0.0</v>
      </c>
      <c r="Z1269" s="62">
        <v>0.0</v>
      </c>
      <c r="AA1269" s="62">
        <v>0.0</v>
      </c>
      <c r="AB1269" s="62">
        <v>0.0</v>
      </c>
      <c r="AC1269" s="62">
        <v>0.0</v>
      </c>
      <c r="AD1269" s="62">
        <v>0.0</v>
      </c>
      <c r="AE1269" s="62">
        <v>0.0</v>
      </c>
      <c r="AF1269" s="62">
        <v>0.0</v>
      </c>
    </row>
    <row r="1270">
      <c r="A1270" s="68">
        <v>46042.0</v>
      </c>
      <c r="B1270" s="62" t="s">
        <v>79</v>
      </c>
      <c r="C1270" s="62" t="s">
        <v>162</v>
      </c>
      <c r="D1270" s="62">
        <v>3.0</v>
      </c>
      <c r="E1270" s="62">
        <v>1.0</v>
      </c>
      <c r="F1270" s="62">
        <v>0.0</v>
      </c>
      <c r="G1270" s="62">
        <v>0.0</v>
      </c>
      <c r="H1270" s="62">
        <v>0.0</v>
      </c>
      <c r="I1270" s="62">
        <v>0.0</v>
      </c>
      <c r="J1270" s="62">
        <v>0.0</v>
      </c>
      <c r="K1270" s="62">
        <v>0.0</v>
      </c>
      <c r="L1270" s="62">
        <v>0.0</v>
      </c>
      <c r="M1270" s="62">
        <v>0.0</v>
      </c>
      <c r="N1270" s="62">
        <v>0.0</v>
      </c>
      <c r="O1270" s="62">
        <v>0.0</v>
      </c>
      <c r="P1270" s="62">
        <v>0.0</v>
      </c>
      <c r="Q1270" s="62">
        <v>0.0</v>
      </c>
      <c r="R1270" s="62">
        <v>6021.0</v>
      </c>
      <c r="S1270" s="62">
        <v>2581.0</v>
      </c>
      <c r="T1270" s="62">
        <v>0.0</v>
      </c>
      <c r="U1270" s="62">
        <v>0.0</v>
      </c>
      <c r="V1270" s="62">
        <v>0.0</v>
      </c>
      <c r="W1270" s="62">
        <v>0.0</v>
      </c>
      <c r="X1270" s="62">
        <v>0.0</v>
      </c>
      <c r="Y1270" s="62">
        <v>0.0</v>
      </c>
      <c r="Z1270" s="62">
        <v>0.0</v>
      </c>
      <c r="AA1270" s="62">
        <v>0.0</v>
      </c>
      <c r="AB1270" s="62">
        <v>0.0</v>
      </c>
      <c r="AC1270" s="62">
        <v>0.0</v>
      </c>
      <c r="AD1270" s="62">
        <v>0.0</v>
      </c>
      <c r="AE1270" s="62">
        <v>0.0</v>
      </c>
      <c r="AF1270" s="62">
        <v>0.0</v>
      </c>
    </row>
    <row r="1271">
      <c r="A1271" s="68">
        <v>46042.0</v>
      </c>
      <c r="B1271" s="62" t="s">
        <v>71</v>
      </c>
      <c r="C1271" s="62" t="s">
        <v>163</v>
      </c>
      <c r="D1271" s="62">
        <v>10.0</v>
      </c>
      <c r="E1271" s="62">
        <v>2.0</v>
      </c>
      <c r="F1271" s="62">
        <v>2.0</v>
      </c>
      <c r="G1271" s="62">
        <v>4.0</v>
      </c>
      <c r="H1271" s="62">
        <v>5.0</v>
      </c>
      <c r="I1271" s="62">
        <v>1.0</v>
      </c>
      <c r="J1271" s="62">
        <v>3.0</v>
      </c>
      <c r="K1271" s="62">
        <v>0.0</v>
      </c>
      <c r="L1271" s="62">
        <v>0.0</v>
      </c>
      <c r="M1271" s="62">
        <v>3.0</v>
      </c>
      <c r="N1271" s="62">
        <v>2.0</v>
      </c>
      <c r="O1271" s="62">
        <v>1.0</v>
      </c>
      <c r="P1271" s="62">
        <v>2.0</v>
      </c>
      <c r="Q1271" s="62">
        <v>0.0</v>
      </c>
      <c r="R1271" s="62">
        <v>31061.0</v>
      </c>
      <c r="S1271" s="62">
        <v>6312.0</v>
      </c>
      <c r="T1271" s="62">
        <v>0.79</v>
      </c>
      <c r="U1271" s="62">
        <v>0.518333333333333</v>
      </c>
      <c r="V1271" s="62">
        <v>1.11166666666666</v>
      </c>
      <c r="W1271" s="62">
        <v>1.38333333333333</v>
      </c>
      <c r="X1271" s="62">
        <v>0.271666666666666</v>
      </c>
      <c r="Y1271" s="62">
        <v>0.826666666666666</v>
      </c>
      <c r="Z1271" s="62">
        <v>0.0</v>
      </c>
      <c r="AA1271" s="62">
        <v>0.0</v>
      </c>
      <c r="AB1271" s="62">
        <v>0.826666666666666</v>
      </c>
      <c r="AC1271" s="62">
        <v>0.554444444444444</v>
      </c>
      <c r="AD1271" s="62">
        <v>0.250833333333333</v>
      </c>
      <c r="AE1271" s="62">
        <v>0.554444444444444</v>
      </c>
      <c r="AF1271" s="62">
        <v>3.0</v>
      </c>
    </row>
    <row r="1272">
      <c r="A1272" s="68">
        <v>46042.0</v>
      </c>
      <c r="B1272" s="62" t="s">
        <v>76</v>
      </c>
      <c r="C1272" s="62" t="s">
        <v>165</v>
      </c>
      <c r="D1272" s="62">
        <v>0.0</v>
      </c>
      <c r="E1272" s="62">
        <v>4.0</v>
      </c>
      <c r="F1272" s="62">
        <v>1.0</v>
      </c>
      <c r="G1272" s="62">
        <v>1.0</v>
      </c>
      <c r="H1272" s="62">
        <v>3.0</v>
      </c>
      <c r="I1272" s="62">
        <v>2.0</v>
      </c>
      <c r="J1272" s="62">
        <v>5.0</v>
      </c>
      <c r="K1272" s="62">
        <v>0.0</v>
      </c>
      <c r="L1272" s="62">
        <v>0.0</v>
      </c>
      <c r="M1272" s="62">
        <v>7.0</v>
      </c>
      <c r="N1272" s="62">
        <v>2.0</v>
      </c>
      <c r="O1272" s="62">
        <v>1.0</v>
      </c>
      <c r="P1272" s="62">
        <v>2.0</v>
      </c>
      <c r="Q1272" s="62">
        <v>0.0</v>
      </c>
      <c r="R1272" s="62">
        <v>0.0</v>
      </c>
      <c r="S1272" s="62">
        <v>10011.0</v>
      </c>
      <c r="T1272" s="62">
        <v>1.47055555555555</v>
      </c>
      <c r="U1272" s="62">
        <v>0.2375</v>
      </c>
      <c r="V1272" s="62">
        <v>0.236666666666666</v>
      </c>
      <c r="W1272" s="62">
        <v>0.709166666666666</v>
      </c>
      <c r="X1272" s="62">
        <v>0.4725</v>
      </c>
      <c r="Y1272" s="62">
        <v>1.19694444444444</v>
      </c>
      <c r="Z1272" s="62">
        <v>0.0</v>
      </c>
      <c r="AA1272" s="62">
        <v>0.0</v>
      </c>
      <c r="AB1272" s="62">
        <v>1.69222222222222</v>
      </c>
      <c r="AC1272" s="62">
        <v>0.497777777777777</v>
      </c>
      <c r="AD1272" s="62">
        <v>0.238055555555555</v>
      </c>
      <c r="AE1272" s="62">
        <v>0.497777777777777</v>
      </c>
      <c r="AF1272" s="62">
        <v>6.0</v>
      </c>
    </row>
    <row r="1273">
      <c r="A1273" s="68">
        <v>46042.0</v>
      </c>
      <c r="B1273" s="62" t="s">
        <v>32</v>
      </c>
      <c r="C1273" s="62" t="s">
        <v>168</v>
      </c>
      <c r="D1273" s="62">
        <v>0.0</v>
      </c>
      <c r="E1273" s="62">
        <v>6.0</v>
      </c>
      <c r="F1273" s="62">
        <v>0.0</v>
      </c>
      <c r="G1273" s="62">
        <v>0.0</v>
      </c>
      <c r="H1273" s="62">
        <v>3.0</v>
      </c>
      <c r="I1273" s="62">
        <v>3.0</v>
      </c>
      <c r="J1273" s="62">
        <v>0.0</v>
      </c>
      <c r="K1273" s="62">
        <v>0.0</v>
      </c>
      <c r="L1273" s="62">
        <v>0.0</v>
      </c>
      <c r="M1273" s="62">
        <v>0.0</v>
      </c>
      <c r="N1273" s="62">
        <v>0.0</v>
      </c>
      <c r="O1273" s="62">
        <v>1.0</v>
      </c>
      <c r="P1273" s="62">
        <v>0.0</v>
      </c>
      <c r="Q1273" s="62">
        <v>0.0</v>
      </c>
      <c r="R1273" s="62">
        <v>0.0</v>
      </c>
      <c r="S1273" s="62">
        <v>15738.0</v>
      </c>
      <c r="T1273" s="62">
        <v>1.45888888888888</v>
      </c>
      <c r="U1273" s="62">
        <v>0.0</v>
      </c>
      <c r="V1273" s="62">
        <v>0.0</v>
      </c>
      <c r="W1273" s="62">
        <v>0.733611111111111</v>
      </c>
      <c r="X1273" s="62">
        <v>0.733611111111111</v>
      </c>
      <c r="Y1273" s="62">
        <v>0.0</v>
      </c>
      <c r="Z1273" s="62">
        <v>0.0</v>
      </c>
      <c r="AA1273" s="62">
        <v>0.0</v>
      </c>
      <c r="AB1273" s="62">
        <v>0.0</v>
      </c>
      <c r="AC1273" s="62">
        <v>0.0</v>
      </c>
      <c r="AD1273" s="62">
        <v>0.1925</v>
      </c>
      <c r="AE1273" s="62">
        <v>0.0</v>
      </c>
      <c r="AF1273" s="62">
        <v>6.0</v>
      </c>
    </row>
    <row r="1274">
      <c r="A1274" s="68">
        <v>46042.0</v>
      </c>
      <c r="B1274" s="62" t="s">
        <v>26</v>
      </c>
      <c r="C1274" s="62" t="s">
        <v>178</v>
      </c>
      <c r="D1274" s="62">
        <v>6.0</v>
      </c>
      <c r="E1274" s="62">
        <v>0.0</v>
      </c>
      <c r="F1274" s="62">
        <v>2.0</v>
      </c>
      <c r="G1274" s="62">
        <v>1.0</v>
      </c>
      <c r="H1274" s="62">
        <v>4.0</v>
      </c>
      <c r="I1274" s="62">
        <v>3.0</v>
      </c>
      <c r="J1274" s="62">
        <v>5.0</v>
      </c>
      <c r="K1274" s="62">
        <v>0.0</v>
      </c>
      <c r="L1274" s="62">
        <v>0.0</v>
      </c>
      <c r="M1274" s="62">
        <v>7.0</v>
      </c>
      <c r="N1274" s="62">
        <v>1.0</v>
      </c>
      <c r="O1274" s="62">
        <v>1.0</v>
      </c>
      <c r="P1274" s="62">
        <v>1.0</v>
      </c>
      <c r="Q1274" s="62">
        <v>0.0</v>
      </c>
      <c r="R1274" s="62">
        <v>14678.0</v>
      </c>
      <c r="S1274" s="62">
        <v>0.0</v>
      </c>
      <c r="T1274" s="62">
        <v>1.06611111111111</v>
      </c>
      <c r="U1274" s="62">
        <v>0.452222222222222</v>
      </c>
      <c r="V1274" s="62">
        <v>0.249444444444444</v>
      </c>
      <c r="W1274" s="62">
        <v>0.863333333333333</v>
      </c>
      <c r="X1274" s="62">
        <v>0.613888888888888</v>
      </c>
      <c r="Y1274" s="62">
        <v>1.12111111111111</v>
      </c>
      <c r="Z1274" s="62">
        <v>0.0</v>
      </c>
      <c r="AA1274" s="62">
        <v>0.0</v>
      </c>
      <c r="AB1274" s="62">
        <v>1.50194444444444</v>
      </c>
      <c r="AC1274" s="62">
        <v>0.180555555555555</v>
      </c>
      <c r="AD1274" s="62">
        <v>0.188888888888888</v>
      </c>
      <c r="AE1274" s="62">
        <v>0.180555555555555</v>
      </c>
      <c r="AF1274" s="62">
        <v>5.0</v>
      </c>
    </row>
    <row r="1275">
      <c r="A1275" s="68">
        <v>46042.0</v>
      </c>
      <c r="B1275" s="62" t="s">
        <v>62</v>
      </c>
      <c r="C1275" s="62" t="s">
        <v>63</v>
      </c>
      <c r="D1275" s="62">
        <v>3.0</v>
      </c>
      <c r="E1275" s="62">
        <v>0.0</v>
      </c>
      <c r="F1275" s="62">
        <v>0.0</v>
      </c>
      <c r="G1275" s="62">
        <v>0.0</v>
      </c>
      <c r="H1275" s="62">
        <v>0.0</v>
      </c>
      <c r="I1275" s="62">
        <v>0.0</v>
      </c>
      <c r="J1275" s="62">
        <v>0.0</v>
      </c>
      <c r="K1275" s="62">
        <v>0.0</v>
      </c>
      <c r="L1275" s="62">
        <v>0.0</v>
      </c>
      <c r="M1275" s="62">
        <v>0.0</v>
      </c>
      <c r="N1275" s="62">
        <v>0.0</v>
      </c>
      <c r="O1275" s="62">
        <v>0.0</v>
      </c>
      <c r="P1275" s="62">
        <v>0.0</v>
      </c>
      <c r="Q1275" s="62">
        <v>0.0</v>
      </c>
      <c r="R1275" s="62">
        <v>7699.0</v>
      </c>
      <c r="S1275" s="62">
        <v>0.0</v>
      </c>
      <c r="T1275" s="62">
        <v>0.0</v>
      </c>
      <c r="U1275" s="62">
        <v>0.0</v>
      </c>
      <c r="V1275" s="62">
        <v>0.0</v>
      </c>
      <c r="W1275" s="62">
        <v>0.0</v>
      </c>
      <c r="X1275" s="62">
        <v>0.0</v>
      </c>
      <c r="Y1275" s="62">
        <v>0.0</v>
      </c>
      <c r="Z1275" s="62">
        <v>0.0</v>
      </c>
      <c r="AA1275" s="62">
        <v>0.0</v>
      </c>
      <c r="AB1275" s="62">
        <v>0.0</v>
      </c>
      <c r="AC1275" s="62">
        <v>0.0</v>
      </c>
      <c r="AD1275" s="62">
        <v>0.0</v>
      </c>
      <c r="AE1275" s="62">
        <v>0.0</v>
      </c>
      <c r="AF1275" s="62">
        <v>0.0</v>
      </c>
    </row>
    <row r="1276">
      <c r="A1276" s="68">
        <v>46041.0</v>
      </c>
      <c r="B1276" s="62" t="s">
        <v>79</v>
      </c>
      <c r="C1276" s="62" t="s">
        <v>162</v>
      </c>
      <c r="D1276" s="62">
        <v>5.0</v>
      </c>
      <c r="E1276" s="62">
        <v>0.0</v>
      </c>
      <c r="F1276" s="62">
        <v>0.0</v>
      </c>
      <c r="G1276" s="62">
        <v>0.0</v>
      </c>
      <c r="H1276" s="62">
        <v>0.0</v>
      </c>
      <c r="I1276" s="62">
        <v>0.0</v>
      </c>
      <c r="J1276" s="62">
        <v>0.0</v>
      </c>
      <c r="K1276" s="62">
        <v>0.0</v>
      </c>
      <c r="L1276" s="62">
        <v>0.0</v>
      </c>
      <c r="M1276" s="62">
        <v>0.0</v>
      </c>
      <c r="N1276" s="62">
        <v>0.0</v>
      </c>
      <c r="O1276" s="62">
        <v>0.0</v>
      </c>
      <c r="P1276" s="62">
        <v>0.0</v>
      </c>
      <c r="Q1276" s="62">
        <v>0.0</v>
      </c>
      <c r="R1276" s="62">
        <v>7289.0</v>
      </c>
      <c r="S1276" s="62">
        <v>0.0</v>
      </c>
      <c r="T1276" s="62">
        <v>0.0</v>
      </c>
      <c r="U1276" s="62">
        <v>0.0</v>
      </c>
      <c r="V1276" s="62">
        <v>0.0</v>
      </c>
      <c r="W1276" s="62">
        <v>0.0</v>
      </c>
      <c r="X1276" s="62">
        <v>0.0</v>
      </c>
      <c r="Y1276" s="62">
        <v>0.0</v>
      </c>
      <c r="Z1276" s="62">
        <v>0.0</v>
      </c>
      <c r="AA1276" s="62">
        <v>0.0</v>
      </c>
      <c r="AB1276" s="62">
        <v>0.0</v>
      </c>
      <c r="AC1276" s="62">
        <v>0.0</v>
      </c>
      <c r="AD1276" s="62">
        <v>0.0</v>
      </c>
      <c r="AE1276" s="62">
        <v>0.0</v>
      </c>
      <c r="AF1276" s="62">
        <v>0.0</v>
      </c>
    </row>
    <row r="1277">
      <c r="A1277" s="68">
        <v>46041.0</v>
      </c>
      <c r="B1277" s="62" t="s">
        <v>71</v>
      </c>
      <c r="C1277" s="62" t="s">
        <v>163</v>
      </c>
      <c r="D1277" s="62">
        <v>0.0</v>
      </c>
      <c r="E1277" s="62">
        <v>1.0</v>
      </c>
      <c r="F1277" s="62">
        <v>3.0</v>
      </c>
      <c r="G1277" s="62">
        <v>0.0</v>
      </c>
      <c r="H1277" s="62">
        <v>0.0</v>
      </c>
      <c r="I1277" s="62">
        <v>0.0</v>
      </c>
      <c r="J1277" s="62">
        <v>0.0</v>
      </c>
      <c r="K1277" s="62">
        <v>0.0</v>
      </c>
      <c r="L1277" s="62">
        <v>1.0</v>
      </c>
      <c r="M1277" s="62">
        <v>1.0</v>
      </c>
      <c r="N1277" s="62">
        <v>4.0</v>
      </c>
      <c r="O1277" s="62">
        <v>1.0</v>
      </c>
      <c r="P1277" s="62">
        <v>4.0</v>
      </c>
      <c r="Q1277" s="62">
        <v>0.0</v>
      </c>
      <c r="R1277" s="62">
        <v>0.0</v>
      </c>
      <c r="S1277" s="62">
        <v>3159.0</v>
      </c>
      <c r="T1277" s="62">
        <v>0.809444444444444</v>
      </c>
      <c r="U1277" s="62">
        <v>0.809722222222222</v>
      </c>
      <c r="V1277" s="62">
        <v>0.0</v>
      </c>
      <c r="W1277" s="62">
        <v>0.0</v>
      </c>
      <c r="X1277" s="62">
        <v>0.0</v>
      </c>
      <c r="Y1277" s="62">
        <v>0.0</v>
      </c>
      <c r="Z1277" s="62">
        <v>0.0</v>
      </c>
      <c r="AA1277" s="62">
        <v>0.286944444444444</v>
      </c>
      <c r="AB1277" s="62">
        <v>0.286944444444444</v>
      </c>
      <c r="AC1277" s="62">
        <v>1.18138888888888</v>
      </c>
      <c r="AD1277" s="62">
        <v>0.260833333333333</v>
      </c>
      <c r="AE1277" s="62">
        <v>1.18138888888888</v>
      </c>
      <c r="AF1277" s="62">
        <v>3.0</v>
      </c>
    </row>
    <row r="1278">
      <c r="A1278" s="68">
        <v>46041.0</v>
      </c>
      <c r="B1278" s="62" t="s">
        <v>76</v>
      </c>
      <c r="C1278" s="62" t="s">
        <v>165</v>
      </c>
      <c r="D1278" s="62">
        <v>0.0</v>
      </c>
      <c r="E1278" s="62">
        <v>3.0</v>
      </c>
      <c r="F1278" s="62">
        <v>1.0</v>
      </c>
      <c r="G1278" s="62">
        <v>2.0</v>
      </c>
      <c r="H1278" s="62">
        <v>4.0</v>
      </c>
      <c r="I1278" s="62">
        <v>2.0</v>
      </c>
      <c r="J1278" s="62">
        <v>2.0</v>
      </c>
      <c r="K1278" s="62">
        <v>0.0</v>
      </c>
      <c r="L1278" s="62">
        <v>0.0</v>
      </c>
      <c r="M1278" s="62">
        <v>0.0</v>
      </c>
      <c r="N1278" s="62">
        <v>0.0</v>
      </c>
      <c r="O1278" s="62">
        <v>1.0</v>
      </c>
      <c r="P1278" s="62">
        <v>0.0</v>
      </c>
      <c r="Q1278" s="62">
        <v>0.0</v>
      </c>
      <c r="R1278" s="62">
        <v>0.0</v>
      </c>
      <c r="S1278" s="62">
        <v>7433.0</v>
      </c>
      <c r="T1278" s="62">
        <v>0.733055555555555</v>
      </c>
      <c r="U1278" s="62">
        <v>0.238888888888888</v>
      </c>
      <c r="V1278" s="62">
        <v>0.485555555555555</v>
      </c>
      <c r="W1278" s="62">
        <v>0.979722222222222</v>
      </c>
      <c r="X1278" s="62">
        <v>0.494166666666666</v>
      </c>
      <c r="Y1278" s="62">
        <v>0.495277777777777</v>
      </c>
      <c r="Z1278" s="62">
        <v>0.0</v>
      </c>
      <c r="AA1278" s="62">
        <v>0.0</v>
      </c>
      <c r="AB1278" s="62">
        <v>0.0</v>
      </c>
      <c r="AC1278" s="62">
        <v>0.0</v>
      </c>
      <c r="AD1278" s="62">
        <v>0.240277777777777</v>
      </c>
      <c r="AE1278" s="62">
        <v>0.0</v>
      </c>
      <c r="AF1278" s="62">
        <v>3.0</v>
      </c>
    </row>
    <row r="1279">
      <c r="A1279" s="68">
        <v>46041.0</v>
      </c>
      <c r="B1279" s="62" t="s">
        <v>32</v>
      </c>
      <c r="C1279" s="62" t="s">
        <v>168</v>
      </c>
      <c r="D1279" s="62">
        <v>0.0</v>
      </c>
      <c r="E1279" s="62">
        <v>6.0</v>
      </c>
      <c r="F1279" s="62">
        <v>0.0</v>
      </c>
      <c r="G1279" s="62">
        <v>0.0</v>
      </c>
      <c r="H1279" s="62">
        <v>0.0</v>
      </c>
      <c r="I1279" s="62">
        <v>0.0</v>
      </c>
      <c r="J1279" s="62">
        <v>0.0</v>
      </c>
      <c r="K1279" s="62">
        <v>1.0</v>
      </c>
      <c r="L1279" s="62">
        <v>0.0</v>
      </c>
      <c r="M1279" s="62">
        <v>2.0</v>
      </c>
      <c r="N1279" s="62">
        <v>2.0</v>
      </c>
      <c r="O1279" s="62">
        <v>1.0</v>
      </c>
      <c r="P1279" s="62">
        <v>2.0</v>
      </c>
      <c r="Q1279" s="62">
        <v>0.0</v>
      </c>
      <c r="R1279" s="62">
        <v>0.0</v>
      </c>
      <c r="S1279" s="62">
        <v>14863.0</v>
      </c>
      <c r="T1279" s="62">
        <v>0.0</v>
      </c>
      <c r="U1279" s="62">
        <v>0.0</v>
      </c>
      <c r="V1279" s="62">
        <v>0.0</v>
      </c>
      <c r="W1279" s="62">
        <v>0.0</v>
      </c>
      <c r="X1279" s="62">
        <v>0.0</v>
      </c>
      <c r="Y1279" s="62">
        <v>0.0</v>
      </c>
      <c r="Z1279" s="62">
        <v>0.238611111111111</v>
      </c>
      <c r="AA1279" s="62">
        <v>0.0</v>
      </c>
      <c r="AB1279" s="62">
        <v>0.459722222222222</v>
      </c>
      <c r="AC1279" s="62">
        <v>0.459722222222222</v>
      </c>
      <c r="AD1279" s="62">
        <v>0.213333333333333</v>
      </c>
      <c r="AE1279" s="62">
        <v>0.459722222222222</v>
      </c>
      <c r="AF1279" s="62">
        <v>0.0</v>
      </c>
    </row>
    <row r="1280">
      <c r="A1280" s="68">
        <v>46041.0</v>
      </c>
      <c r="B1280" s="62" t="s">
        <v>37</v>
      </c>
      <c r="C1280" s="62" t="s">
        <v>174</v>
      </c>
      <c r="D1280" s="62">
        <v>1.0</v>
      </c>
      <c r="E1280" s="62">
        <v>3.0</v>
      </c>
      <c r="F1280" s="62">
        <v>0.0</v>
      </c>
      <c r="G1280" s="62">
        <v>0.0</v>
      </c>
      <c r="H1280" s="62">
        <v>0.0</v>
      </c>
      <c r="I1280" s="62">
        <v>0.0</v>
      </c>
      <c r="J1280" s="62">
        <v>0.0</v>
      </c>
      <c r="K1280" s="62">
        <v>0.0</v>
      </c>
      <c r="L1280" s="62">
        <v>0.0</v>
      </c>
      <c r="M1280" s="62">
        <v>0.0</v>
      </c>
      <c r="N1280" s="62">
        <v>0.0</v>
      </c>
      <c r="O1280" s="62">
        <v>0.0</v>
      </c>
      <c r="P1280" s="62">
        <v>0.0</v>
      </c>
      <c r="Q1280" s="62">
        <v>0.0</v>
      </c>
      <c r="R1280" s="62">
        <v>2591.0</v>
      </c>
      <c r="S1280" s="62">
        <v>7538.0</v>
      </c>
      <c r="T1280" s="62">
        <v>1.16055555555555</v>
      </c>
      <c r="U1280" s="62">
        <v>0.0</v>
      </c>
      <c r="V1280" s="62">
        <v>0.0</v>
      </c>
      <c r="W1280" s="62">
        <v>0.0</v>
      </c>
      <c r="X1280" s="62">
        <v>0.0</v>
      </c>
      <c r="Y1280" s="62">
        <v>0.0</v>
      </c>
      <c r="Z1280" s="62">
        <v>0.0</v>
      </c>
      <c r="AA1280" s="62">
        <v>0.0</v>
      </c>
      <c r="AB1280" s="62">
        <v>0.0</v>
      </c>
      <c r="AC1280" s="62">
        <v>0.0</v>
      </c>
      <c r="AD1280" s="62">
        <v>0.0</v>
      </c>
      <c r="AE1280" s="62">
        <v>0.0</v>
      </c>
      <c r="AF1280" s="62">
        <v>4.0</v>
      </c>
    </row>
    <row r="1281">
      <c r="A1281" s="68">
        <v>46041.0</v>
      </c>
      <c r="B1281" s="62" t="s">
        <v>26</v>
      </c>
      <c r="C1281" s="62" t="s">
        <v>178</v>
      </c>
      <c r="D1281" s="62">
        <v>0.0</v>
      </c>
      <c r="E1281" s="62">
        <v>4.0</v>
      </c>
      <c r="F1281" s="62">
        <v>2.0</v>
      </c>
      <c r="G1281" s="62">
        <v>1.0</v>
      </c>
      <c r="H1281" s="62">
        <v>5.0</v>
      </c>
      <c r="I1281" s="62">
        <v>4.0</v>
      </c>
      <c r="J1281" s="62">
        <v>2.0</v>
      </c>
      <c r="K1281" s="62">
        <v>0.0</v>
      </c>
      <c r="L1281" s="62">
        <v>0.0</v>
      </c>
      <c r="M1281" s="62">
        <v>1.0</v>
      </c>
      <c r="N1281" s="62">
        <v>1.0</v>
      </c>
      <c r="O1281" s="62">
        <v>1.0</v>
      </c>
      <c r="P1281" s="62">
        <v>1.0</v>
      </c>
      <c r="Q1281" s="62">
        <v>0.0</v>
      </c>
      <c r="R1281" s="62">
        <v>0.0</v>
      </c>
      <c r="S1281" s="62">
        <v>10877.0</v>
      </c>
      <c r="T1281" s="62">
        <v>1.335</v>
      </c>
      <c r="U1281" s="62">
        <v>0.514722222222222</v>
      </c>
      <c r="V1281" s="62">
        <v>0.268333333333333</v>
      </c>
      <c r="W1281" s="62">
        <v>1.08861111111111</v>
      </c>
      <c r="X1281" s="62">
        <v>0.820277777777777</v>
      </c>
      <c r="Y1281" s="62">
        <v>0.380833333333333</v>
      </c>
      <c r="Z1281" s="62">
        <v>0.0</v>
      </c>
      <c r="AA1281" s="62">
        <v>0.0</v>
      </c>
      <c r="AB1281" s="62">
        <v>0.179722222222222</v>
      </c>
      <c r="AC1281" s="62">
        <v>0.179722222222222</v>
      </c>
      <c r="AD1281" s="62">
        <v>0.197222222222222</v>
      </c>
      <c r="AE1281" s="62">
        <v>0.179722222222222</v>
      </c>
      <c r="AF1281" s="62">
        <v>6.0</v>
      </c>
    </row>
    <row r="1282">
      <c r="A1282" s="68">
        <v>46041.0</v>
      </c>
      <c r="B1282" s="62" t="s">
        <v>62</v>
      </c>
      <c r="C1282" s="62" t="s">
        <v>63</v>
      </c>
      <c r="D1282" s="62">
        <v>0.0</v>
      </c>
      <c r="E1282" s="62">
        <v>0.0</v>
      </c>
      <c r="F1282" s="62">
        <v>0.0</v>
      </c>
      <c r="G1282" s="62">
        <v>0.0</v>
      </c>
      <c r="H1282" s="62">
        <v>0.0</v>
      </c>
      <c r="I1282" s="62">
        <v>0.0</v>
      </c>
      <c r="J1282" s="62">
        <v>0.0</v>
      </c>
      <c r="K1282" s="62">
        <v>0.0</v>
      </c>
      <c r="L1282" s="62">
        <v>0.0</v>
      </c>
      <c r="M1282" s="62">
        <v>0.0</v>
      </c>
      <c r="N1282" s="62">
        <v>0.0</v>
      </c>
      <c r="O1282" s="62">
        <v>0.0</v>
      </c>
      <c r="P1282" s="62">
        <v>0.0</v>
      </c>
      <c r="Q1282" s="62">
        <v>0.0</v>
      </c>
      <c r="R1282" s="62">
        <v>0.0</v>
      </c>
      <c r="S1282" s="62">
        <v>0.0</v>
      </c>
      <c r="T1282" s="62">
        <v>0.253333333333333</v>
      </c>
      <c r="U1282" s="62">
        <v>0.0</v>
      </c>
      <c r="V1282" s="62">
        <v>0.0</v>
      </c>
      <c r="W1282" s="62">
        <v>0.0</v>
      </c>
      <c r="X1282" s="62">
        <v>0.0</v>
      </c>
      <c r="Y1282" s="62">
        <v>0.0</v>
      </c>
      <c r="Z1282" s="62">
        <v>0.0</v>
      </c>
      <c r="AA1282" s="62">
        <v>0.0</v>
      </c>
      <c r="AB1282" s="62">
        <v>0.0</v>
      </c>
      <c r="AC1282" s="62">
        <v>0.0</v>
      </c>
      <c r="AD1282" s="62">
        <v>0.0</v>
      </c>
      <c r="AE1282" s="62">
        <v>0.0</v>
      </c>
      <c r="AF1282" s="62">
        <v>1.0</v>
      </c>
    </row>
    <row r="1283">
      <c r="A1283" s="68">
        <v>46040.0</v>
      </c>
      <c r="B1283" s="62" t="s">
        <v>71</v>
      </c>
      <c r="C1283" s="62" t="s">
        <v>163</v>
      </c>
      <c r="D1283" s="62">
        <v>0.0</v>
      </c>
      <c r="E1283" s="62">
        <v>0.0</v>
      </c>
      <c r="F1283" s="62">
        <v>0.0</v>
      </c>
      <c r="G1283" s="62">
        <v>0.0</v>
      </c>
      <c r="H1283" s="62">
        <v>0.0</v>
      </c>
      <c r="I1283" s="62">
        <v>0.0</v>
      </c>
      <c r="J1283" s="62">
        <v>0.0</v>
      </c>
      <c r="K1283" s="62">
        <v>0.0</v>
      </c>
      <c r="L1283" s="62">
        <v>0.0</v>
      </c>
      <c r="M1283" s="62">
        <v>2.0</v>
      </c>
      <c r="N1283" s="62">
        <v>3.0</v>
      </c>
      <c r="O1283" s="62">
        <v>1.0</v>
      </c>
      <c r="P1283" s="62">
        <v>3.0</v>
      </c>
      <c r="Q1283" s="62">
        <v>0.0</v>
      </c>
      <c r="R1283" s="62">
        <v>0.0</v>
      </c>
      <c r="S1283" s="62">
        <v>0.0</v>
      </c>
      <c r="T1283" s="62">
        <v>0.0</v>
      </c>
      <c r="U1283" s="62">
        <v>0.0</v>
      </c>
      <c r="V1283" s="62">
        <v>0.0</v>
      </c>
      <c r="W1283" s="62">
        <v>0.0</v>
      </c>
      <c r="X1283" s="62">
        <v>0.0</v>
      </c>
      <c r="Y1283" s="62">
        <v>0.0</v>
      </c>
      <c r="Z1283" s="62">
        <v>0.0</v>
      </c>
      <c r="AA1283" s="62">
        <v>0.0</v>
      </c>
      <c r="AB1283" s="62">
        <v>0.614444444444444</v>
      </c>
      <c r="AC1283" s="62">
        <v>0.815277777777777</v>
      </c>
      <c r="AD1283" s="62">
        <v>0.261666666666666</v>
      </c>
      <c r="AE1283" s="62">
        <v>0.815277777777777</v>
      </c>
      <c r="AF1283" s="62">
        <v>0.0</v>
      </c>
    </row>
    <row r="1284">
      <c r="A1284" s="68">
        <v>46040.0</v>
      </c>
      <c r="B1284" s="62" t="s">
        <v>32</v>
      </c>
      <c r="C1284" s="62" t="s">
        <v>168</v>
      </c>
      <c r="D1284" s="62">
        <v>0.0</v>
      </c>
      <c r="E1284" s="62">
        <v>0.0</v>
      </c>
      <c r="F1284" s="62">
        <v>0.0</v>
      </c>
      <c r="G1284" s="62">
        <v>0.0</v>
      </c>
      <c r="H1284" s="62">
        <v>0.0</v>
      </c>
      <c r="I1284" s="62">
        <v>0.0</v>
      </c>
      <c r="J1284" s="62">
        <v>1.0</v>
      </c>
      <c r="K1284" s="62">
        <v>0.0</v>
      </c>
      <c r="L1284" s="62">
        <v>0.0</v>
      </c>
      <c r="M1284" s="62">
        <v>0.0</v>
      </c>
      <c r="N1284" s="62">
        <v>0.0</v>
      </c>
      <c r="O1284" s="62">
        <v>1.0</v>
      </c>
      <c r="P1284" s="62">
        <v>0.0</v>
      </c>
      <c r="Q1284" s="62">
        <v>0.0</v>
      </c>
      <c r="R1284" s="62">
        <v>0.0</v>
      </c>
      <c r="S1284" s="62">
        <v>0.0</v>
      </c>
      <c r="T1284" s="62">
        <v>0.0</v>
      </c>
      <c r="U1284" s="62">
        <v>0.0</v>
      </c>
      <c r="V1284" s="62">
        <v>0.0</v>
      </c>
      <c r="W1284" s="62">
        <v>0.0</v>
      </c>
      <c r="X1284" s="62">
        <v>0.0</v>
      </c>
      <c r="Y1284" s="62">
        <v>0.221111111111111</v>
      </c>
      <c r="Z1284" s="62">
        <v>0.0</v>
      </c>
      <c r="AA1284" s="62">
        <v>0.0</v>
      </c>
      <c r="AB1284" s="62">
        <v>0.0</v>
      </c>
      <c r="AC1284" s="62">
        <v>0.0</v>
      </c>
      <c r="AD1284" s="62">
        <v>0.186944444444444</v>
      </c>
      <c r="AE1284" s="62">
        <v>0.0</v>
      </c>
      <c r="AF1284" s="62">
        <v>0.0</v>
      </c>
    </row>
    <row r="1285">
      <c r="A1285" s="68">
        <v>46040.0</v>
      </c>
      <c r="B1285" s="62" t="s">
        <v>26</v>
      </c>
      <c r="C1285" s="62" t="s">
        <v>178</v>
      </c>
      <c r="D1285" s="62">
        <v>0.0</v>
      </c>
      <c r="E1285" s="62">
        <v>0.0</v>
      </c>
      <c r="F1285" s="62">
        <v>0.0</v>
      </c>
      <c r="G1285" s="62">
        <v>0.0</v>
      </c>
      <c r="H1285" s="62">
        <v>0.0</v>
      </c>
      <c r="I1285" s="62">
        <v>0.0</v>
      </c>
      <c r="J1285" s="62">
        <v>0.0</v>
      </c>
      <c r="K1285" s="62">
        <v>0.0</v>
      </c>
      <c r="L1285" s="62">
        <v>0.0</v>
      </c>
      <c r="M1285" s="62">
        <v>0.0</v>
      </c>
      <c r="N1285" s="62">
        <v>1.0</v>
      </c>
      <c r="O1285" s="62">
        <v>1.0</v>
      </c>
      <c r="P1285" s="62">
        <v>1.0</v>
      </c>
      <c r="Q1285" s="62">
        <v>0.0</v>
      </c>
      <c r="R1285" s="62">
        <v>0.0</v>
      </c>
      <c r="S1285" s="62">
        <v>0.0</v>
      </c>
      <c r="T1285" s="62">
        <v>0.0</v>
      </c>
      <c r="U1285" s="62">
        <v>0.0</v>
      </c>
      <c r="V1285" s="62">
        <v>0.0</v>
      </c>
      <c r="W1285" s="62">
        <v>0.0</v>
      </c>
      <c r="X1285" s="62">
        <v>0.0</v>
      </c>
      <c r="Y1285" s="62">
        <v>0.0</v>
      </c>
      <c r="Z1285" s="62">
        <v>0.0</v>
      </c>
      <c r="AA1285" s="62">
        <v>0.0</v>
      </c>
      <c r="AB1285" s="62">
        <v>0.0</v>
      </c>
      <c r="AC1285" s="62">
        <v>0.184444444444444</v>
      </c>
      <c r="AD1285" s="62">
        <v>0.186944444444444</v>
      </c>
      <c r="AE1285" s="62">
        <v>0.184444444444444</v>
      </c>
      <c r="AF1285" s="62">
        <v>0.0</v>
      </c>
    </row>
    <row r="1286">
      <c r="A1286" s="68">
        <v>46040.0</v>
      </c>
      <c r="B1286" s="62" t="s">
        <v>62</v>
      </c>
      <c r="C1286" s="62" t="s">
        <v>63</v>
      </c>
      <c r="D1286" s="62">
        <v>4.0</v>
      </c>
      <c r="E1286" s="62">
        <v>0.0</v>
      </c>
      <c r="F1286" s="62">
        <v>0.0</v>
      </c>
      <c r="G1286" s="62">
        <v>0.0</v>
      </c>
      <c r="H1286" s="62">
        <v>0.0</v>
      </c>
      <c r="I1286" s="62">
        <v>0.0</v>
      </c>
      <c r="J1286" s="62">
        <v>0.0</v>
      </c>
      <c r="K1286" s="62">
        <v>0.0</v>
      </c>
      <c r="L1286" s="62">
        <v>0.0</v>
      </c>
      <c r="M1286" s="62">
        <v>0.0</v>
      </c>
      <c r="N1286" s="62">
        <v>0.0</v>
      </c>
      <c r="O1286" s="62">
        <v>0.0</v>
      </c>
      <c r="P1286" s="62">
        <v>0.0</v>
      </c>
      <c r="Q1286" s="62">
        <v>0.0</v>
      </c>
      <c r="R1286" s="62">
        <v>9812.0</v>
      </c>
      <c r="S1286" s="62">
        <v>0.0</v>
      </c>
      <c r="T1286" s="62">
        <v>0.0</v>
      </c>
      <c r="U1286" s="62">
        <v>0.0</v>
      </c>
      <c r="V1286" s="62">
        <v>0.0</v>
      </c>
      <c r="W1286" s="62">
        <v>0.0</v>
      </c>
      <c r="X1286" s="62">
        <v>0.0</v>
      </c>
      <c r="Y1286" s="62">
        <v>0.0</v>
      </c>
      <c r="Z1286" s="62">
        <v>0.0</v>
      </c>
      <c r="AA1286" s="62">
        <v>0.0</v>
      </c>
      <c r="AB1286" s="62">
        <v>0.0</v>
      </c>
      <c r="AC1286" s="62">
        <v>0.0</v>
      </c>
      <c r="AD1286" s="62">
        <v>0.0</v>
      </c>
      <c r="AE1286" s="62">
        <v>0.0</v>
      </c>
      <c r="AF1286" s="62">
        <v>0.0</v>
      </c>
    </row>
    <row r="1287">
      <c r="A1287" s="68">
        <v>46039.0</v>
      </c>
      <c r="B1287" s="62" t="s">
        <v>71</v>
      </c>
      <c r="C1287" s="62" t="s">
        <v>163</v>
      </c>
      <c r="D1287" s="62">
        <v>5.0</v>
      </c>
      <c r="E1287" s="62">
        <v>0.0</v>
      </c>
      <c r="F1287" s="62">
        <v>0.0</v>
      </c>
      <c r="G1287" s="62">
        <v>0.0</v>
      </c>
      <c r="H1287" s="62">
        <v>0.0</v>
      </c>
      <c r="I1287" s="62">
        <v>0.0</v>
      </c>
      <c r="J1287" s="62">
        <v>0.0</v>
      </c>
      <c r="K1287" s="62">
        <v>0.0</v>
      </c>
      <c r="L1287" s="62">
        <v>5.0</v>
      </c>
      <c r="M1287" s="62">
        <v>3.0</v>
      </c>
      <c r="N1287" s="62">
        <v>0.0</v>
      </c>
      <c r="O1287" s="62">
        <v>1.0</v>
      </c>
      <c r="P1287" s="62">
        <v>0.0</v>
      </c>
      <c r="Q1287" s="62">
        <v>0.0</v>
      </c>
      <c r="R1287" s="62">
        <v>16261.0</v>
      </c>
      <c r="S1287" s="62">
        <v>0.0</v>
      </c>
      <c r="T1287" s="62">
        <v>0.0</v>
      </c>
      <c r="U1287" s="62">
        <v>0.0</v>
      </c>
      <c r="V1287" s="62">
        <v>0.0</v>
      </c>
      <c r="W1287" s="62">
        <v>0.0</v>
      </c>
      <c r="X1287" s="62">
        <v>0.0</v>
      </c>
      <c r="Y1287" s="62">
        <v>0.0</v>
      </c>
      <c r="Z1287" s="62">
        <v>0.0</v>
      </c>
      <c r="AA1287" s="62">
        <v>1.40972222222222</v>
      </c>
      <c r="AB1287" s="62">
        <v>0.795277777777777</v>
      </c>
      <c r="AC1287" s="62">
        <v>0.0</v>
      </c>
      <c r="AD1287" s="62">
        <v>0.249722222222222</v>
      </c>
      <c r="AE1287" s="62">
        <v>0.0</v>
      </c>
      <c r="AF1287" s="62">
        <v>0.0</v>
      </c>
    </row>
    <row r="1288">
      <c r="A1288" s="68">
        <v>46039.0</v>
      </c>
      <c r="B1288" s="62" t="s">
        <v>32</v>
      </c>
      <c r="C1288" s="62" t="s">
        <v>168</v>
      </c>
      <c r="D1288" s="62">
        <v>0.0</v>
      </c>
      <c r="E1288" s="62">
        <v>1.0</v>
      </c>
      <c r="F1288" s="62">
        <v>0.0</v>
      </c>
      <c r="G1288" s="62">
        <v>0.0</v>
      </c>
      <c r="H1288" s="62">
        <v>0.0</v>
      </c>
      <c r="I1288" s="62">
        <v>0.0</v>
      </c>
      <c r="J1288" s="62">
        <v>0.0</v>
      </c>
      <c r="K1288" s="62">
        <v>0.0</v>
      </c>
      <c r="L1288" s="62">
        <v>0.0</v>
      </c>
      <c r="M1288" s="62">
        <v>0.0</v>
      </c>
      <c r="N1288" s="62">
        <v>0.0</v>
      </c>
      <c r="O1288" s="62">
        <v>1.0</v>
      </c>
      <c r="P1288" s="62">
        <v>0.0</v>
      </c>
      <c r="Q1288" s="62">
        <v>0.0</v>
      </c>
      <c r="R1288" s="62">
        <v>0.0</v>
      </c>
      <c r="S1288" s="62">
        <v>2387.0</v>
      </c>
      <c r="T1288" s="62">
        <v>0.0</v>
      </c>
      <c r="U1288" s="62">
        <v>0.0</v>
      </c>
      <c r="V1288" s="62">
        <v>0.0</v>
      </c>
      <c r="W1288" s="62">
        <v>0.0</v>
      </c>
      <c r="X1288" s="62">
        <v>0.0</v>
      </c>
      <c r="Y1288" s="62">
        <v>0.0</v>
      </c>
      <c r="Z1288" s="62">
        <v>0.0</v>
      </c>
      <c r="AA1288" s="62">
        <v>0.0</v>
      </c>
      <c r="AB1288" s="62">
        <v>0.0</v>
      </c>
      <c r="AC1288" s="62">
        <v>0.0</v>
      </c>
      <c r="AD1288" s="62">
        <v>0.166388888888888</v>
      </c>
      <c r="AE1288" s="62">
        <v>0.0</v>
      </c>
      <c r="AF1288" s="62">
        <v>0.0</v>
      </c>
    </row>
    <row r="1289">
      <c r="A1289" s="68">
        <v>46039.0</v>
      </c>
      <c r="B1289" s="62" t="s">
        <v>26</v>
      </c>
      <c r="C1289" s="62" t="s">
        <v>178</v>
      </c>
      <c r="D1289" s="62">
        <v>0.0</v>
      </c>
      <c r="E1289" s="62">
        <v>0.0</v>
      </c>
      <c r="F1289" s="62">
        <v>0.0</v>
      </c>
      <c r="G1289" s="62">
        <v>0.0</v>
      </c>
      <c r="H1289" s="62">
        <v>0.0</v>
      </c>
      <c r="I1289" s="62">
        <v>0.0</v>
      </c>
      <c r="J1289" s="62">
        <v>0.0</v>
      </c>
      <c r="K1289" s="62">
        <v>0.0</v>
      </c>
      <c r="L1289" s="62">
        <v>0.0</v>
      </c>
      <c r="M1289" s="62">
        <v>1.0</v>
      </c>
      <c r="N1289" s="62">
        <v>0.0</v>
      </c>
      <c r="O1289" s="62">
        <v>1.0</v>
      </c>
      <c r="P1289" s="62">
        <v>0.0</v>
      </c>
      <c r="Q1289" s="62">
        <v>0.0</v>
      </c>
      <c r="R1289" s="62">
        <v>0.0</v>
      </c>
      <c r="S1289" s="62">
        <v>0.0</v>
      </c>
      <c r="T1289" s="62">
        <v>0.0</v>
      </c>
      <c r="U1289" s="62">
        <v>0.0</v>
      </c>
      <c r="V1289" s="62">
        <v>0.0</v>
      </c>
      <c r="W1289" s="62">
        <v>0.0</v>
      </c>
      <c r="X1289" s="62">
        <v>0.0</v>
      </c>
      <c r="Y1289" s="62">
        <v>0.0</v>
      </c>
      <c r="Z1289" s="62">
        <v>0.0</v>
      </c>
      <c r="AA1289" s="62">
        <v>0.0</v>
      </c>
      <c r="AB1289" s="62">
        <v>0.184444444444444</v>
      </c>
      <c r="AC1289" s="62">
        <v>0.0</v>
      </c>
      <c r="AD1289" s="62">
        <v>0.201388888888888</v>
      </c>
      <c r="AE1289" s="62">
        <v>0.0</v>
      </c>
      <c r="AF1289" s="62">
        <v>0.0</v>
      </c>
    </row>
    <row r="1290">
      <c r="A1290" s="68">
        <v>46038.0</v>
      </c>
      <c r="B1290" s="62" t="s">
        <v>79</v>
      </c>
      <c r="C1290" s="62" t="s">
        <v>162</v>
      </c>
      <c r="D1290" s="62">
        <v>4.0</v>
      </c>
      <c r="E1290" s="62">
        <v>0.0</v>
      </c>
      <c r="F1290" s="62">
        <v>0.0</v>
      </c>
      <c r="G1290" s="62">
        <v>0.0</v>
      </c>
      <c r="H1290" s="62">
        <v>0.0</v>
      </c>
      <c r="I1290" s="62">
        <v>0.0</v>
      </c>
      <c r="J1290" s="62">
        <v>0.0</v>
      </c>
      <c r="K1290" s="62">
        <v>0.0</v>
      </c>
      <c r="L1290" s="62">
        <v>0.0</v>
      </c>
      <c r="M1290" s="62">
        <v>0.0</v>
      </c>
      <c r="N1290" s="62">
        <v>0.0</v>
      </c>
      <c r="O1290" s="62">
        <v>0.0</v>
      </c>
      <c r="P1290" s="62">
        <v>0.0</v>
      </c>
      <c r="Q1290" s="62">
        <v>0.0</v>
      </c>
      <c r="R1290" s="62">
        <v>7050.0</v>
      </c>
      <c r="S1290" s="62">
        <v>0.0</v>
      </c>
      <c r="T1290" s="62">
        <v>0.0</v>
      </c>
      <c r="U1290" s="62">
        <v>0.0</v>
      </c>
      <c r="V1290" s="62">
        <v>0.0</v>
      </c>
      <c r="W1290" s="62">
        <v>0.0</v>
      </c>
      <c r="X1290" s="62">
        <v>0.0</v>
      </c>
      <c r="Y1290" s="62">
        <v>0.0</v>
      </c>
      <c r="Z1290" s="62">
        <v>0.0</v>
      </c>
      <c r="AA1290" s="62">
        <v>0.0</v>
      </c>
      <c r="AB1290" s="62">
        <v>0.0</v>
      </c>
      <c r="AC1290" s="62">
        <v>0.0</v>
      </c>
      <c r="AD1290" s="62">
        <v>0.0</v>
      </c>
      <c r="AE1290" s="62">
        <v>0.0</v>
      </c>
      <c r="AF1290" s="62">
        <v>0.0</v>
      </c>
    </row>
    <row r="1291">
      <c r="A1291" s="68">
        <v>46038.0</v>
      </c>
      <c r="B1291" s="62" t="s">
        <v>71</v>
      </c>
      <c r="C1291" s="62" t="s">
        <v>163</v>
      </c>
      <c r="D1291" s="62">
        <v>0.0</v>
      </c>
      <c r="E1291" s="62">
        <v>3.0</v>
      </c>
      <c r="F1291" s="62">
        <v>0.0</v>
      </c>
      <c r="G1291" s="62">
        <v>8.0</v>
      </c>
      <c r="H1291" s="62">
        <v>8.0</v>
      </c>
      <c r="I1291" s="62">
        <v>0.0</v>
      </c>
      <c r="J1291" s="62">
        <v>9.0</v>
      </c>
      <c r="K1291" s="62">
        <v>6.0</v>
      </c>
      <c r="L1291" s="62">
        <v>0.0</v>
      </c>
      <c r="M1291" s="62">
        <v>3.0</v>
      </c>
      <c r="N1291" s="62">
        <v>2.0</v>
      </c>
      <c r="O1291" s="62">
        <v>1.0</v>
      </c>
      <c r="P1291" s="62">
        <v>2.0</v>
      </c>
      <c r="Q1291" s="62">
        <v>0.0</v>
      </c>
      <c r="R1291" s="62">
        <v>0.0</v>
      </c>
      <c r="S1291" s="62">
        <v>9197.0</v>
      </c>
      <c r="T1291" s="62">
        <v>0.0</v>
      </c>
      <c r="U1291" s="62">
        <v>0.0</v>
      </c>
      <c r="V1291" s="62">
        <v>2.34333333333333</v>
      </c>
      <c r="W1291" s="62">
        <v>2.34333333333333</v>
      </c>
      <c r="X1291" s="62">
        <v>0.0</v>
      </c>
      <c r="Y1291" s="62">
        <v>2.60111111111111</v>
      </c>
      <c r="Z1291" s="62">
        <v>1.69694444444444</v>
      </c>
      <c r="AA1291" s="62">
        <v>0.0</v>
      </c>
      <c r="AB1291" s="62">
        <v>0.904166666666666</v>
      </c>
      <c r="AC1291" s="62">
        <v>0.604166666666666</v>
      </c>
      <c r="AD1291" s="62">
        <v>0.258333333333333</v>
      </c>
      <c r="AE1291" s="62">
        <v>0.604166666666666</v>
      </c>
      <c r="AF1291" s="62">
        <v>0.0</v>
      </c>
    </row>
    <row r="1292">
      <c r="A1292" s="68">
        <v>46038.0</v>
      </c>
      <c r="B1292" s="62" t="s">
        <v>76</v>
      </c>
      <c r="C1292" s="62" t="s">
        <v>165</v>
      </c>
      <c r="D1292" s="62">
        <v>18.0</v>
      </c>
      <c r="E1292" s="62">
        <v>6.0</v>
      </c>
      <c r="F1292" s="62">
        <v>2.0</v>
      </c>
      <c r="G1292" s="62">
        <v>3.0</v>
      </c>
      <c r="H1292" s="62">
        <v>4.0</v>
      </c>
      <c r="I1292" s="62">
        <v>1.0</v>
      </c>
      <c r="J1292" s="62">
        <v>5.0</v>
      </c>
      <c r="K1292" s="62">
        <v>0.0</v>
      </c>
      <c r="L1292" s="62">
        <v>0.0</v>
      </c>
      <c r="M1292" s="62">
        <v>5.0</v>
      </c>
      <c r="N1292" s="62">
        <v>9.0</v>
      </c>
      <c r="O1292" s="62">
        <v>1.0</v>
      </c>
      <c r="P1292" s="62">
        <v>9.0</v>
      </c>
      <c r="Q1292" s="62">
        <v>0.0</v>
      </c>
      <c r="R1292" s="62">
        <v>53702.0</v>
      </c>
      <c r="S1292" s="62">
        <v>15064.0</v>
      </c>
      <c r="T1292" s="62">
        <v>0.696944444444444</v>
      </c>
      <c r="U1292" s="62">
        <v>0.449722222222222</v>
      </c>
      <c r="V1292" s="62">
        <v>0.746944444444444</v>
      </c>
      <c r="W1292" s="62">
        <v>0.994166666666666</v>
      </c>
      <c r="X1292" s="62">
        <v>0.247222222222222</v>
      </c>
      <c r="Y1292" s="62">
        <v>1.23583333333333</v>
      </c>
      <c r="Z1292" s="62">
        <v>0.0</v>
      </c>
      <c r="AA1292" s="62">
        <v>0.0</v>
      </c>
      <c r="AB1292" s="62">
        <v>1.23583333333333</v>
      </c>
      <c r="AC1292" s="62">
        <v>2.205</v>
      </c>
      <c r="AD1292" s="62">
        <v>0.254166666666666</v>
      </c>
      <c r="AE1292" s="62">
        <v>2.205</v>
      </c>
      <c r="AF1292" s="62">
        <v>3.0</v>
      </c>
    </row>
    <row r="1293">
      <c r="A1293" s="68">
        <v>46038.0</v>
      </c>
      <c r="B1293" s="62" t="s">
        <v>32</v>
      </c>
      <c r="C1293" s="62" t="s">
        <v>168</v>
      </c>
      <c r="D1293" s="62">
        <v>1.0</v>
      </c>
      <c r="E1293" s="62">
        <v>3.0</v>
      </c>
      <c r="F1293" s="62">
        <v>0.0</v>
      </c>
      <c r="G1293" s="62">
        <v>0.0</v>
      </c>
      <c r="H1293" s="62">
        <v>0.0</v>
      </c>
      <c r="I1293" s="62">
        <v>0.0</v>
      </c>
      <c r="J1293" s="62">
        <v>9.0</v>
      </c>
      <c r="K1293" s="62">
        <v>0.0</v>
      </c>
      <c r="L1293" s="62">
        <v>0.0</v>
      </c>
      <c r="M1293" s="62">
        <v>9.0</v>
      </c>
      <c r="N1293" s="62">
        <v>10.0</v>
      </c>
      <c r="O1293" s="62">
        <v>1.0</v>
      </c>
      <c r="P1293" s="62">
        <v>10.0</v>
      </c>
      <c r="Q1293" s="62">
        <v>0.0</v>
      </c>
      <c r="R1293" s="62">
        <v>2813.0</v>
      </c>
      <c r="S1293" s="62">
        <v>7663.0</v>
      </c>
      <c r="T1293" s="62">
        <v>0.0</v>
      </c>
      <c r="U1293" s="62">
        <v>0.0</v>
      </c>
      <c r="V1293" s="62">
        <v>0.0</v>
      </c>
      <c r="W1293" s="62">
        <v>0.0</v>
      </c>
      <c r="X1293" s="62">
        <v>0.0</v>
      </c>
      <c r="Y1293" s="62">
        <v>2.355</v>
      </c>
      <c r="Z1293" s="62">
        <v>0.0</v>
      </c>
      <c r="AA1293" s="62">
        <v>0.0</v>
      </c>
      <c r="AB1293" s="62">
        <v>2.34694444444444</v>
      </c>
      <c r="AC1293" s="62">
        <v>2.63</v>
      </c>
      <c r="AD1293" s="62">
        <v>0.178333333333333</v>
      </c>
      <c r="AE1293" s="62">
        <v>2.63</v>
      </c>
      <c r="AF1293" s="62">
        <v>0.0</v>
      </c>
    </row>
    <row r="1294">
      <c r="A1294" s="68">
        <v>46038.0</v>
      </c>
      <c r="B1294" s="62" t="s">
        <v>26</v>
      </c>
      <c r="C1294" s="62" t="s">
        <v>178</v>
      </c>
      <c r="D1294" s="62">
        <v>0.0</v>
      </c>
      <c r="E1294" s="62">
        <v>3.0</v>
      </c>
      <c r="F1294" s="62">
        <v>1.0</v>
      </c>
      <c r="G1294" s="62">
        <v>3.0</v>
      </c>
      <c r="H1294" s="62">
        <v>6.0</v>
      </c>
      <c r="I1294" s="62">
        <v>3.0</v>
      </c>
      <c r="J1294" s="62">
        <v>9.0</v>
      </c>
      <c r="K1294" s="62">
        <v>1.0</v>
      </c>
      <c r="L1294" s="62">
        <v>1.0</v>
      </c>
      <c r="M1294" s="62">
        <v>8.0</v>
      </c>
      <c r="N1294" s="62">
        <v>9.0</v>
      </c>
      <c r="O1294" s="62">
        <v>1.0</v>
      </c>
      <c r="P1294" s="62">
        <v>9.0</v>
      </c>
      <c r="Q1294" s="62">
        <v>0.0</v>
      </c>
      <c r="R1294" s="62">
        <v>0.0</v>
      </c>
      <c r="S1294" s="62">
        <v>10002.0</v>
      </c>
      <c r="T1294" s="62">
        <v>0.731666666666666</v>
      </c>
      <c r="U1294" s="62">
        <v>0.188611111111111</v>
      </c>
      <c r="V1294" s="62">
        <v>0.576944444444444</v>
      </c>
      <c r="W1294" s="62">
        <v>1.12</v>
      </c>
      <c r="X1294" s="62">
        <v>0.543055555555555</v>
      </c>
      <c r="Y1294" s="62">
        <v>1.71611111111111</v>
      </c>
      <c r="Z1294" s="62">
        <v>0.184444444444444</v>
      </c>
      <c r="AA1294" s="62">
        <v>0.184444444444444</v>
      </c>
      <c r="AB1294" s="62">
        <v>1.54638888888888</v>
      </c>
      <c r="AC1294" s="62">
        <v>1.74472222222222</v>
      </c>
      <c r="AD1294" s="62">
        <v>0.208055555555555</v>
      </c>
      <c r="AE1294" s="62">
        <v>1.74472222222222</v>
      </c>
      <c r="AF1294" s="62">
        <v>4.0</v>
      </c>
    </row>
    <row r="1295">
      <c r="A1295" s="68">
        <v>46038.0</v>
      </c>
      <c r="B1295" s="62" t="s">
        <v>62</v>
      </c>
      <c r="C1295" s="62" t="s">
        <v>63</v>
      </c>
      <c r="D1295" s="62">
        <v>2.0</v>
      </c>
      <c r="E1295" s="62">
        <v>0.0</v>
      </c>
      <c r="F1295" s="62">
        <v>0.0</v>
      </c>
      <c r="G1295" s="62">
        <v>0.0</v>
      </c>
      <c r="H1295" s="62">
        <v>0.0</v>
      </c>
      <c r="I1295" s="62">
        <v>0.0</v>
      </c>
      <c r="J1295" s="62">
        <v>0.0</v>
      </c>
      <c r="K1295" s="62">
        <v>0.0</v>
      </c>
      <c r="L1295" s="62">
        <v>0.0</v>
      </c>
      <c r="M1295" s="62">
        <v>0.0</v>
      </c>
      <c r="N1295" s="62">
        <v>0.0</v>
      </c>
      <c r="O1295" s="62">
        <v>0.0</v>
      </c>
      <c r="P1295" s="62">
        <v>0.0</v>
      </c>
      <c r="Q1295" s="62">
        <v>0.0</v>
      </c>
      <c r="R1295" s="62">
        <v>4908.0</v>
      </c>
      <c r="S1295" s="62">
        <v>0.0</v>
      </c>
      <c r="T1295" s="62">
        <v>0.0</v>
      </c>
      <c r="U1295" s="62">
        <v>0.0</v>
      </c>
      <c r="V1295" s="62">
        <v>0.0</v>
      </c>
      <c r="W1295" s="62">
        <v>0.0</v>
      </c>
      <c r="X1295" s="62">
        <v>0.0</v>
      </c>
      <c r="Y1295" s="62">
        <v>0.0</v>
      </c>
      <c r="Z1295" s="62">
        <v>0.0</v>
      </c>
      <c r="AA1295" s="62">
        <v>0.0</v>
      </c>
      <c r="AB1295" s="62">
        <v>0.0</v>
      </c>
      <c r="AC1295" s="62">
        <v>0.0</v>
      </c>
      <c r="AD1295" s="62">
        <v>0.0</v>
      </c>
      <c r="AE1295" s="62">
        <v>0.0</v>
      </c>
      <c r="AF1295" s="62">
        <v>0.0</v>
      </c>
    </row>
    <row r="1296">
      <c r="A1296" s="68">
        <v>46037.0</v>
      </c>
      <c r="B1296" s="62" t="s">
        <v>79</v>
      </c>
      <c r="C1296" s="62" t="s">
        <v>162</v>
      </c>
      <c r="D1296" s="62">
        <v>3.0</v>
      </c>
      <c r="E1296" s="62">
        <v>0.0</v>
      </c>
      <c r="F1296" s="62">
        <v>0.0</v>
      </c>
      <c r="G1296" s="62">
        <v>0.0</v>
      </c>
      <c r="H1296" s="62">
        <v>0.0</v>
      </c>
      <c r="I1296" s="62">
        <v>0.0</v>
      </c>
      <c r="J1296" s="62">
        <v>0.0</v>
      </c>
      <c r="K1296" s="62">
        <v>0.0</v>
      </c>
      <c r="L1296" s="62">
        <v>0.0</v>
      </c>
      <c r="M1296" s="62">
        <v>0.0</v>
      </c>
      <c r="N1296" s="62">
        <v>0.0</v>
      </c>
      <c r="O1296" s="62">
        <v>0.0</v>
      </c>
      <c r="P1296" s="62">
        <v>0.0</v>
      </c>
      <c r="Q1296" s="62">
        <v>0.0</v>
      </c>
      <c r="R1296" s="62">
        <v>6519.0</v>
      </c>
      <c r="S1296" s="62">
        <v>0.0</v>
      </c>
      <c r="T1296" s="62">
        <v>0.0</v>
      </c>
      <c r="U1296" s="62">
        <v>0.0</v>
      </c>
      <c r="V1296" s="62">
        <v>0.0</v>
      </c>
      <c r="W1296" s="62">
        <v>0.0</v>
      </c>
      <c r="X1296" s="62">
        <v>0.0</v>
      </c>
      <c r="Y1296" s="62">
        <v>0.0</v>
      </c>
      <c r="Z1296" s="62">
        <v>0.0</v>
      </c>
      <c r="AA1296" s="62">
        <v>0.0</v>
      </c>
      <c r="AB1296" s="62">
        <v>0.0</v>
      </c>
      <c r="AC1296" s="62">
        <v>0.0</v>
      </c>
      <c r="AD1296" s="62">
        <v>0.0</v>
      </c>
      <c r="AE1296" s="62">
        <v>0.0</v>
      </c>
      <c r="AF1296" s="62">
        <v>0.0</v>
      </c>
    </row>
    <row r="1297">
      <c r="A1297" s="68">
        <v>46037.0</v>
      </c>
      <c r="B1297" s="62" t="s">
        <v>71</v>
      </c>
      <c r="C1297" s="62" t="s">
        <v>163</v>
      </c>
      <c r="D1297" s="62">
        <v>5.0</v>
      </c>
      <c r="E1297" s="62">
        <v>2.0</v>
      </c>
      <c r="F1297" s="62">
        <v>4.0</v>
      </c>
      <c r="G1297" s="62">
        <v>4.0</v>
      </c>
      <c r="H1297" s="62">
        <v>4.0</v>
      </c>
      <c r="I1297" s="62">
        <v>0.0</v>
      </c>
      <c r="J1297" s="62">
        <v>4.0</v>
      </c>
      <c r="K1297" s="62">
        <v>0.0</v>
      </c>
      <c r="L1297" s="62">
        <v>0.0</v>
      </c>
      <c r="M1297" s="62">
        <v>4.0</v>
      </c>
      <c r="N1297" s="62">
        <v>5.0</v>
      </c>
      <c r="O1297" s="62">
        <v>1.0</v>
      </c>
      <c r="P1297" s="62">
        <v>5.0</v>
      </c>
      <c r="Q1297" s="62">
        <v>0.0</v>
      </c>
      <c r="R1297" s="62">
        <v>16007.0</v>
      </c>
      <c r="S1297" s="62">
        <v>6435.0</v>
      </c>
      <c r="T1297" s="62">
        <v>1.17611111111111</v>
      </c>
      <c r="U1297" s="62">
        <v>1.17611111111111</v>
      </c>
      <c r="V1297" s="62">
        <v>1.04111111111111</v>
      </c>
      <c r="W1297" s="62">
        <v>1.04111111111111</v>
      </c>
      <c r="X1297" s="62">
        <v>0.0</v>
      </c>
      <c r="Y1297" s="62">
        <v>1.04111111111111</v>
      </c>
      <c r="Z1297" s="62">
        <v>0.0</v>
      </c>
      <c r="AA1297" s="62">
        <v>0.0</v>
      </c>
      <c r="AB1297" s="62">
        <v>1.04111111111111</v>
      </c>
      <c r="AC1297" s="62">
        <v>1.33027777777777</v>
      </c>
      <c r="AD1297" s="62">
        <v>0.261944444444444</v>
      </c>
      <c r="AE1297" s="62">
        <v>1.33027777777777</v>
      </c>
      <c r="AF1297" s="62">
        <v>4.0</v>
      </c>
    </row>
    <row r="1298">
      <c r="A1298" s="68">
        <v>46037.0</v>
      </c>
      <c r="B1298" s="62" t="s">
        <v>76</v>
      </c>
      <c r="C1298" s="62" t="s">
        <v>165</v>
      </c>
      <c r="D1298" s="62">
        <v>0.0</v>
      </c>
      <c r="E1298" s="62">
        <v>3.0</v>
      </c>
      <c r="F1298" s="62">
        <v>3.0</v>
      </c>
      <c r="G1298" s="62">
        <v>2.0</v>
      </c>
      <c r="H1298" s="62">
        <v>3.0</v>
      </c>
      <c r="I1298" s="62">
        <v>1.0</v>
      </c>
      <c r="J1298" s="62">
        <v>4.0</v>
      </c>
      <c r="K1298" s="62">
        <v>0.0</v>
      </c>
      <c r="L1298" s="62">
        <v>0.0</v>
      </c>
      <c r="M1298" s="62">
        <v>5.0</v>
      </c>
      <c r="N1298" s="62">
        <v>3.0</v>
      </c>
      <c r="O1298" s="62">
        <v>1.0</v>
      </c>
      <c r="P1298" s="62">
        <v>3.0</v>
      </c>
      <c r="Q1298" s="62">
        <v>0.0</v>
      </c>
      <c r="R1298" s="62">
        <v>0.0</v>
      </c>
      <c r="S1298" s="62">
        <v>7341.0</v>
      </c>
      <c r="T1298" s="62">
        <v>0.75</v>
      </c>
      <c r="U1298" s="62">
        <v>0.75</v>
      </c>
      <c r="V1298" s="62">
        <v>0.484166666666666</v>
      </c>
      <c r="W1298" s="62">
        <v>0.741944444444444</v>
      </c>
      <c r="X1298" s="62">
        <v>0.257777777777777</v>
      </c>
      <c r="Y1298" s="62">
        <v>0.981388888888888</v>
      </c>
      <c r="Z1298" s="62">
        <v>0.0</v>
      </c>
      <c r="AA1298" s="62">
        <v>0.0</v>
      </c>
      <c r="AB1298" s="62">
        <v>1.22361111111111</v>
      </c>
      <c r="AC1298" s="62">
        <v>0.718888888888888</v>
      </c>
      <c r="AD1298" s="62">
        <v>0.2425</v>
      </c>
      <c r="AE1298" s="62">
        <v>0.718888888888888</v>
      </c>
      <c r="AF1298" s="62">
        <v>3.0</v>
      </c>
    </row>
    <row r="1299">
      <c r="A1299" s="68">
        <v>46037.0</v>
      </c>
      <c r="B1299" s="62" t="s">
        <v>32</v>
      </c>
      <c r="C1299" s="62" t="s">
        <v>168</v>
      </c>
      <c r="D1299" s="62">
        <v>2.0</v>
      </c>
      <c r="E1299" s="62">
        <v>5.0</v>
      </c>
      <c r="F1299" s="62">
        <v>0.0</v>
      </c>
      <c r="G1299" s="62">
        <v>0.0</v>
      </c>
      <c r="H1299" s="62">
        <v>6.0</v>
      </c>
      <c r="I1299" s="62">
        <v>6.0</v>
      </c>
      <c r="J1299" s="62">
        <v>2.0</v>
      </c>
      <c r="K1299" s="62">
        <v>0.0</v>
      </c>
      <c r="L1299" s="62">
        <v>0.0</v>
      </c>
      <c r="M1299" s="62">
        <v>4.0</v>
      </c>
      <c r="N1299" s="62">
        <v>4.0</v>
      </c>
      <c r="O1299" s="62">
        <v>1.0</v>
      </c>
      <c r="P1299" s="62">
        <v>4.0</v>
      </c>
      <c r="Q1299" s="62">
        <v>0.0</v>
      </c>
      <c r="R1299" s="62">
        <v>4835.0</v>
      </c>
      <c r="S1299" s="62">
        <v>13239.0</v>
      </c>
      <c r="T1299" s="62">
        <v>0.0</v>
      </c>
      <c r="U1299" s="62">
        <v>0.0</v>
      </c>
      <c r="V1299" s="62">
        <v>0.0</v>
      </c>
      <c r="W1299" s="62">
        <v>1.465</v>
      </c>
      <c r="X1299" s="62">
        <v>1.465</v>
      </c>
      <c r="Y1299" s="62">
        <v>0.513611111111111</v>
      </c>
      <c r="Z1299" s="62">
        <v>0.0</v>
      </c>
      <c r="AA1299" s="62">
        <v>0.0</v>
      </c>
      <c r="AB1299" s="62">
        <v>1.0425</v>
      </c>
      <c r="AC1299" s="62">
        <v>1.0425</v>
      </c>
      <c r="AD1299" s="62">
        <v>0.235833333333333</v>
      </c>
      <c r="AE1299" s="62">
        <v>1.0425</v>
      </c>
      <c r="AF1299" s="62">
        <v>0.0</v>
      </c>
    </row>
    <row r="1300">
      <c r="A1300" s="68">
        <v>46037.0</v>
      </c>
      <c r="B1300" s="62" t="s">
        <v>37</v>
      </c>
      <c r="C1300" s="62" t="s">
        <v>174</v>
      </c>
      <c r="D1300" s="62">
        <v>2.0</v>
      </c>
      <c r="E1300" s="62">
        <v>2.0</v>
      </c>
      <c r="F1300" s="62">
        <v>0.0</v>
      </c>
      <c r="G1300" s="62">
        <v>0.0</v>
      </c>
      <c r="H1300" s="62">
        <v>0.0</v>
      </c>
      <c r="I1300" s="62">
        <v>0.0</v>
      </c>
      <c r="J1300" s="62">
        <v>0.0</v>
      </c>
      <c r="K1300" s="62">
        <v>0.0</v>
      </c>
      <c r="L1300" s="62">
        <v>0.0</v>
      </c>
      <c r="M1300" s="62">
        <v>0.0</v>
      </c>
      <c r="N1300" s="62">
        <v>0.0</v>
      </c>
      <c r="O1300" s="62">
        <v>0.0</v>
      </c>
      <c r="P1300" s="62">
        <v>0.0</v>
      </c>
      <c r="Q1300" s="62">
        <v>0.0</v>
      </c>
      <c r="R1300" s="62">
        <v>4947.0</v>
      </c>
      <c r="S1300" s="62">
        <v>5096.0</v>
      </c>
      <c r="T1300" s="62">
        <v>0.2975</v>
      </c>
      <c r="U1300" s="62">
        <v>0.0</v>
      </c>
      <c r="V1300" s="62">
        <v>0.0</v>
      </c>
      <c r="W1300" s="62">
        <v>0.0</v>
      </c>
      <c r="X1300" s="62">
        <v>0.0</v>
      </c>
      <c r="Y1300" s="62">
        <v>0.0</v>
      </c>
      <c r="Z1300" s="62">
        <v>0.0</v>
      </c>
      <c r="AA1300" s="62">
        <v>0.0</v>
      </c>
      <c r="AB1300" s="62">
        <v>0.0</v>
      </c>
      <c r="AC1300" s="62">
        <v>0.0</v>
      </c>
      <c r="AD1300" s="62">
        <v>0.0</v>
      </c>
      <c r="AE1300" s="62">
        <v>0.0</v>
      </c>
      <c r="AF1300" s="62">
        <v>1.0</v>
      </c>
    </row>
    <row r="1301">
      <c r="A1301" s="68">
        <v>46037.0</v>
      </c>
      <c r="B1301" s="62" t="s">
        <v>26</v>
      </c>
      <c r="C1301" s="62" t="s">
        <v>178</v>
      </c>
      <c r="D1301" s="62">
        <v>1.0</v>
      </c>
      <c r="E1301" s="62">
        <v>4.0</v>
      </c>
      <c r="F1301" s="62">
        <v>1.0</v>
      </c>
      <c r="G1301" s="62">
        <v>0.0</v>
      </c>
      <c r="H1301" s="62">
        <v>3.0</v>
      </c>
      <c r="I1301" s="62">
        <v>3.0</v>
      </c>
      <c r="J1301" s="62">
        <v>0.0</v>
      </c>
      <c r="K1301" s="62">
        <v>0.0</v>
      </c>
      <c r="L1301" s="62">
        <v>1.0</v>
      </c>
      <c r="M1301" s="62">
        <v>0.0</v>
      </c>
      <c r="N1301" s="62">
        <v>1.0</v>
      </c>
      <c r="O1301" s="62">
        <v>1.0</v>
      </c>
      <c r="P1301" s="62">
        <v>1.0</v>
      </c>
      <c r="Q1301" s="62">
        <v>0.0</v>
      </c>
      <c r="R1301" s="62">
        <v>2384.0</v>
      </c>
      <c r="S1301" s="62">
        <v>9432.0</v>
      </c>
      <c r="T1301" s="62">
        <v>0.0</v>
      </c>
      <c r="U1301" s="62">
        <v>0.183333333333333</v>
      </c>
      <c r="V1301" s="62">
        <v>0.0</v>
      </c>
      <c r="W1301" s="62">
        <v>0.590555555555555</v>
      </c>
      <c r="X1301" s="62">
        <v>0.590555555555555</v>
      </c>
      <c r="Y1301" s="62">
        <v>0.0</v>
      </c>
      <c r="Z1301" s="62">
        <v>0.0</v>
      </c>
      <c r="AA1301" s="62">
        <v>0.194444444444444</v>
      </c>
      <c r="AB1301" s="62">
        <v>0.0</v>
      </c>
      <c r="AC1301" s="62">
        <v>0.216666666666666</v>
      </c>
      <c r="AD1301" s="62">
        <v>0.2</v>
      </c>
      <c r="AE1301" s="62">
        <v>0.216666666666666</v>
      </c>
      <c r="AF1301" s="62">
        <v>0.0</v>
      </c>
    </row>
    <row r="1302">
      <c r="A1302" s="68">
        <v>46037.0</v>
      </c>
      <c r="B1302" s="62" t="s">
        <v>62</v>
      </c>
      <c r="C1302" s="62" t="s">
        <v>63</v>
      </c>
      <c r="D1302" s="62">
        <v>1.0</v>
      </c>
      <c r="E1302" s="62">
        <v>2.0</v>
      </c>
      <c r="F1302" s="62">
        <v>0.0</v>
      </c>
      <c r="G1302" s="62">
        <v>0.0</v>
      </c>
      <c r="H1302" s="62">
        <v>0.0</v>
      </c>
      <c r="I1302" s="62">
        <v>0.0</v>
      </c>
      <c r="J1302" s="62">
        <v>0.0</v>
      </c>
      <c r="K1302" s="62">
        <v>0.0</v>
      </c>
      <c r="L1302" s="62">
        <v>0.0</v>
      </c>
      <c r="M1302" s="62">
        <v>0.0</v>
      </c>
      <c r="N1302" s="62">
        <v>0.0</v>
      </c>
      <c r="O1302" s="62">
        <v>0.0</v>
      </c>
      <c r="P1302" s="62">
        <v>0.0</v>
      </c>
      <c r="Q1302" s="62">
        <v>0.0</v>
      </c>
      <c r="R1302" s="62">
        <v>2522.0</v>
      </c>
      <c r="S1302" s="62">
        <v>5278.0</v>
      </c>
      <c r="T1302" s="62">
        <v>0.0</v>
      </c>
      <c r="U1302" s="62">
        <v>0.0</v>
      </c>
      <c r="V1302" s="62">
        <v>0.0</v>
      </c>
      <c r="W1302" s="62">
        <v>0.0</v>
      </c>
      <c r="X1302" s="62">
        <v>0.0</v>
      </c>
      <c r="Y1302" s="62">
        <v>0.0</v>
      </c>
      <c r="Z1302" s="62">
        <v>0.0</v>
      </c>
      <c r="AA1302" s="62">
        <v>0.0</v>
      </c>
      <c r="AB1302" s="62">
        <v>0.0</v>
      </c>
      <c r="AC1302" s="62">
        <v>0.0</v>
      </c>
      <c r="AD1302" s="62">
        <v>0.0</v>
      </c>
      <c r="AE1302" s="62">
        <v>0.0</v>
      </c>
      <c r="AF1302" s="62">
        <v>0.0</v>
      </c>
    </row>
    <row r="1303">
      <c r="A1303" s="68">
        <v>46036.0</v>
      </c>
      <c r="B1303" s="62" t="s">
        <v>71</v>
      </c>
      <c r="C1303" s="62" t="s">
        <v>163</v>
      </c>
      <c r="D1303" s="62">
        <v>0.0</v>
      </c>
      <c r="E1303" s="62">
        <v>3.0</v>
      </c>
      <c r="F1303" s="62">
        <v>3.0</v>
      </c>
      <c r="G1303" s="62">
        <v>0.0</v>
      </c>
      <c r="H1303" s="62">
        <v>1.0</v>
      </c>
      <c r="I1303" s="62">
        <v>1.0</v>
      </c>
      <c r="J1303" s="62">
        <v>0.0</v>
      </c>
      <c r="K1303" s="62">
        <v>0.0</v>
      </c>
      <c r="L1303" s="62">
        <v>0.0</v>
      </c>
      <c r="M1303" s="62">
        <v>0.0</v>
      </c>
      <c r="N1303" s="62">
        <v>0.0</v>
      </c>
      <c r="O1303" s="62">
        <v>1.0</v>
      </c>
      <c r="P1303" s="62">
        <v>0.0</v>
      </c>
      <c r="Q1303" s="62">
        <v>0.0</v>
      </c>
      <c r="R1303" s="62">
        <v>0.0</v>
      </c>
      <c r="S1303" s="62">
        <v>9636.0</v>
      </c>
      <c r="T1303" s="62">
        <v>1.08444444444444</v>
      </c>
      <c r="U1303" s="62">
        <v>0.827222222222222</v>
      </c>
      <c r="V1303" s="62">
        <v>0.0</v>
      </c>
      <c r="W1303" s="62">
        <v>0.257222222222222</v>
      </c>
      <c r="X1303" s="62">
        <v>0.257222222222222</v>
      </c>
      <c r="Y1303" s="62">
        <v>0.0</v>
      </c>
      <c r="Z1303" s="62">
        <v>0.0</v>
      </c>
      <c r="AA1303" s="62">
        <v>0.0</v>
      </c>
      <c r="AB1303" s="62">
        <v>0.0</v>
      </c>
      <c r="AC1303" s="62">
        <v>0.0</v>
      </c>
      <c r="AD1303" s="62">
        <v>0.233888888888888</v>
      </c>
      <c r="AE1303" s="62">
        <v>0.0</v>
      </c>
      <c r="AF1303" s="62">
        <v>4.0</v>
      </c>
    </row>
    <row r="1304">
      <c r="A1304" s="68">
        <v>46036.0</v>
      </c>
      <c r="B1304" s="62" t="s">
        <v>76</v>
      </c>
      <c r="C1304" s="62" t="s">
        <v>165</v>
      </c>
      <c r="D1304" s="62">
        <v>0.0</v>
      </c>
      <c r="E1304" s="62">
        <v>6.0</v>
      </c>
      <c r="F1304" s="62">
        <v>3.0</v>
      </c>
      <c r="G1304" s="62">
        <v>2.0</v>
      </c>
      <c r="H1304" s="62">
        <v>3.0</v>
      </c>
      <c r="I1304" s="62">
        <v>1.0</v>
      </c>
      <c r="J1304" s="62">
        <v>1.0</v>
      </c>
      <c r="K1304" s="62">
        <v>0.0</v>
      </c>
      <c r="L1304" s="62">
        <v>0.0</v>
      </c>
      <c r="M1304" s="62">
        <v>2.0</v>
      </c>
      <c r="N1304" s="62">
        <v>9.0</v>
      </c>
      <c r="O1304" s="62">
        <v>1.0</v>
      </c>
      <c r="P1304" s="62">
        <v>9.0</v>
      </c>
      <c r="Q1304" s="62">
        <v>0.0</v>
      </c>
      <c r="R1304" s="62">
        <v>0.0</v>
      </c>
      <c r="S1304" s="62">
        <v>14936.0</v>
      </c>
      <c r="T1304" s="62">
        <v>0.948055555555555</v>
      </c>
      <c r="U1304" s="62">
        <v>0.706666666666666</v>
      </c>
      <c r="V1304" s="62">
        <v>0.479166666666666</v>
      </c>
      <c r="W1304" s="62">
        <v>0.720555555555555</v>
      </c>
      <c r="X1304" s="62">
        <v>0.241388888888888</v>
      </c>
      <c r="Y1304" s="62">
        <v>0.242222222222222</v>
      </c>
      <c r="Z1304" s="62">
        <v>0.0</v>
      </c>
      <c r="AA1304" s="62">
        <v>0.0</v>
      </c>
      <c r="AB1304" s="62">
        <v>0.464444444444444</v>
      </c>
      <c r="AC1304" s="62">
        <v>2.1925</v>
      </c>
      <c r="AD1304" s="62">
        <v>0.216111111111111</v>
      </c>
      <c r="AE1304" s="62">
        <v>2.1925</v>
      </c>
      <c r="AF1304" s="62">
        <v>4.0</v>
      </c>
    </row>
    <row r="1305">
      <c r="A1305" s="68">
        <v>46036.0</v>
      </c>
      <c r="B1305" s="62" t="s">
        <v>32</v>
      </c>
      <c r="C1305" s="62" t="s">
        <v>168</v>
      </c>
      <c r="D1305" s="62">
        <v>0.0</v>
      </c>
      <c r="E1305" s="62">
        <v>0.0</v>
      </c>
      <c r="F1305" s="62">
        <v>0.0</v>
      </c>
      <c r="G1305" s="62">
        <v>0.0</v>
      </c>
      <c r="H1305" s="62">
        <v>5.0</v>
      </c>
      <c r="I1305" s="62">
        <v>4.0</v>
      </c>
      <c r="J1305" s="62">
        <v>4.0</v>
      </c>
      <c r="K1305" s="62">
        <v>5.0</v>
      </c>
      <c r="L1305" s="62">
        <v>0.0</v>
      </c>
      <c r="M1305" s="62">
        <v>3.0</v>
      </c>
      <c r="N1305" s="62">
        <v>5.0</v>
      </c>
      <c r="O1305" s="62">
        <v>1.0</v>
      </c>
      <c r="P1305" s="62">
        <v>5.0</v>
      </c>
      <c r="Q1305" s="62">
        <v>0.0</v>
      </c>
      <c r="R1305" s="62">
        <v>0.0</v>
      </c>
      <c r="S1305" s="62">
        <v>0.0</v>
      </c>
      <c r="T1305" s="62">
        <v>2.55694444444444</v>
      </c>
      <c r="U1305" s="62">
        <v>0.0</v>
      </c>
      <c r="V1305" s="62">
        <v>0.0</v>
      </c>
      <c r="W1305" s="62">
        <v>1.35861111111111</v>
      </c>
      <c r="X1305" s="62">
        <v>1.09194444444444</v>
      </c>
      <c r="Y1305" s="62">
        <v>1.0425</v>
      </c>
      <c r="Z1305" s="62">
        <v>1.315</v>
      </c>
      <c r="AA1305" s="62">
        <v>0.0</v>
      </c>
      <c r="AB1305" s="62">
        <v>0.816666666666666</v>
      </c>
      <c r="AC1305" s="62">
        <v>1.31027777777777</v>
      </c>
      <c r="AD1305" s="62">
        <v>0.211944444444444</v>
      </c>
      <c r="AE1305" s="62">
        <v>1.31027777777777</v>
      </c>
      <c r="AF1305" s="62">
        <v>10.0</v>
      </c>
    </row>
    <row r="1306">
      <c r="A1306" s="68">
        <v>46036.0</v>
      </c>
      <c r="B1306" s="62" t="s">
        <v>26</v>
      </c>
      <c r="C1306" s="62" t="s">
        <v>178</v>
      </c>
      <c r="D1306" s="62">
        <v>8.0</v>
      </c>
      <c r="E1306" s="62">
        <v>12.0</v>
      </c>
      <c r="F1306" s="62">
        <v>0.0</v>
      </c>
      <c r="G1306" s="62">
        <v>0.0</v>
      </c>
      <c r="H1306" s="62">
        <v>0.0</v>
      </c>
      <c r="I1306" s="62">
        <v>0.0</v>
      </c>
      <c r="J1306" s="62">
        <v>4.0</v>
      </c>
      <c r="K1306" s="62">
        <v>1.0</v>
      </c>
      <c r="L1306" s="62">
        <v>2.0</v>
      </c>
      <c r="M1306" s="62">
        <v>4.0</v>
      </c>
      <c r="N1306" s="62">
        <v>7.0</v>
      </c>
      <c r="O1306" s="62">
        <v>1.0</v>
      </c>
      <c r="P1306" s="62">
        <v>7.0</v>
      </c>
      <c r="Q1306" s="62">
        <v>0.0</v>
      </c>
      <c r="R1306" s="62">
        <v>18785.0</v>
      </c>
      <c r="S1306" s="62">
        <v>27258.0</v>
      </c>
      <c r="T1306" s="62">
        <v>0.773888888888888</v>
      </c>
      <c r="U1306" s="62">
        <v>0.0</v>
      </c>
      <c r="V1306" s="62">
        <v>0.0</v>
      </c>
      <c r="W1306" s="62">
        <v>0.0</v>
      </c>
      <c r="X1306" s="62">
        <v>0.0</v>
      </c>
      <c r="Y1306" s="62">
        <v>0.814166666666666</v>
      </c>
      <c r="Z1306" s="62">
        <v>0.194444444444444</v>
      </c>
      <c r="AA1306" s="62">
        <v>0.383055555555555</v>
      </c>
      <c r="AB1306" s="62">
        <v>0.818611111111111</v>
      </c>
      <c r="AC1306" s="62">
        <v>1.35777777777777</v>
      </c>
      <c r="AD1306" s="62">
        <v>0.215</v>
      </c>
      <c r="AE1306" s="62">
        <v>1.35777777777777</v>
      </c>
      <c r="AF1306" s="62">
        <v>4.0</v>
      </c>
    </row>
    <row r="1307">
      <c r="A1307" s="68">
        <v>46036.0</v>
      </c>
      <c r="B1307" s="62" t="s">
        <v>62</v>
      </c>
      <c r="C1307" s="62" t="s">
        <v>63</v>
      </c>
      <c r="D1307" s="62">
        <v>0.0</v>
      </c>
      <c r="E1307" s="62">
        <v>2.0</v>
      </c>
      <c r="F1307" s="62">
        <v>0.0</v>
      </c>
      <c r="G1307" s="62">
        <v>0.0</v>
      </c>
      <c r="H1307" s="62">
        <v>0.0</v>
      </c>
      <c r="I1307" s="62">
        <v>0.0</v>
      </c>
      <c r="J1307" s="62">
        <v>0.0</v>
      </c>
      <c r="K1307" s="62">
        <v>0.0</v>
      </c>
      <c r="L1307" s="62">
        <v>0.0</v>
      </c>
      <c r="M1307" s="62">
        <v>0.0</v>
      </c>
      <c r="N1307" s="62">
        <v>0.0</v>
      </c>
      <c r="O1307" s="62">
        <v>0.0</v>
      </c>
      <c r="P1307" s="62">
        <v>0.0</v>
      </c>
      <c r="Q1307" s="62">
        <v>0.0</v>
      </c>
      <c r="R1307" s="62">
        <v>0.0</v>
      </c>
      <c r="S1307" s="62">
        <v>5261.0</v>
      </c>
      <c r="T1307" s="62">
        <v>0.0</v>
      </c>
      <c r="U1307" s="62">
        <v>0.0</v>
      </c>
      <c r="V1307" s="62">
        <v>0.0</v>
      </c>
      <c r="W1307" s="62">
        <v>0.0</v>
      </c>
      <c r="X1307" s="62">
        <v>0.0</v>
      </c>
      <c r="Y1307" s="62">
        <v>0.0</v>
      </c>
      <c r="Z1307" s="62">
        <v>0.0</v>
      </c>
      <c r="AA1307" s="62">
        <v>0.0</v>
      </c>
      <c r="AB1307" s="62">
        <v>0.0</v>
      </c>
      <c r="AC1307" s="62">
        <v>0.0</v>
      </c>
      <c r="AD1307" s="62">
        <v>0.0</v>
      </c>
      <c r="AE1307" s="62">
        <v>0.0</v>
      </c>
      <c r="AF1307" s="62">
        <v>0.0</v>
      </c>
    </row>
    <row r="1308">
      <c r="A1308" s="68">
        <v>46035.0</v>
      </c>
      <c r="B1308" s="62" t="s">
        <v>71</v>
      </c>
      <c r="C1308" s="62" t="s">
        <v>163</v>
      </c>
      <c r="D1308" s="62">
        <v>0.0</v>
      </c>
      <c r="E1308" s="62">
        <v>1.0</v>
      </c>
      <c r="F1308" s="62">
        <v>3.0</v>
      </c>
      <c r="G1308" s="62">
        <v>0.0</v>
      </c>
      <c r="H1308" s="62">
        <v>0.0</v>
      </c>
      <c r="I1308" s="62">
        <v>0.0</v>
      </c>
      <c r="J1308" s="62">
        <v>0.0</v>
      </c>
      <c r="K1308" s="62">
        <v>0.0</v>
      </c>
      <c r="L1308" s="62">
        <v>0.0</v>
      </c>
      <c r="M1308" s="62">
        <v>1.0</v>
      </c>
      <c r="N1308" s="62">
        <v>2.0</v>
      </c>
      <c r="O1308" s="62">
        <v>1.0</v>
      </c>
      <c r="P1308" s="62">
        <v>2.0</v>
      </c>
      <c r="Q1308" s="62">
        <v>0.0</v>
      </c>
      <c r="R1308" s="62">
        <v>0.0</v>
      </c>
      <c r="S1308" s="62">
        <v>3367.0</v>
      </c>
      <c r="T1308" s="62">
        <v>0.898055555555555</v>
      </c>
      <c r="U1308" s="62">
        <v>0.898055555555555</v>
      </c>
      <c r="V1308" s="62">
        <v>0.0</v>
      </c>
      <c r="W1308" s="62">
        <v>0.0</v>
      </c>
      <c r="X1308" s="62">
        <v>0.0</v>
      </c>
      <c r="Y1308" s="62">
        <v>0.0</v>
      </c>
      <c r="Z1308" s="62">
        <v>0.0</v>
      </c>
      <c r="AA1308" s="62">
        <v>0.0</v>
      </c>
      <c r="AB1308" s="62">
        <v>0.289166666666666</v>
      </c>
      <c r="AC1308" s="62">
        <v>0.520555555555555</v>
      </c>
      <c r="AD1308" s="62">
        <v>0.248611111111111</v>
      </c>
      <c r="AE1308" s="62">
        <v>0.520555555555555</v>
      </c>
      <c r="AF1308" s="62">
        <v>3.0</v>
      </c>
    </row>
    <row r="1309">
      <c r="A1309" s="68">
        <v>46035.0</v>
      </c>
      <c r="B1309" s="62" t="s">
        <v>76</v>
      </c>
      <c r="C1309" s="62" t="s">
        <v>165</v>
      </c>
      <c r="D1309" s="62">
        <v>1.0</v>
      </c>
      <c r="E1309" s="62">
        <v>5.0</v>
      </c>
      <c r="F1309" s="62">
        <v>2.0</v>
      </c>
      <c r="G1309" s="62">
        <v>1.0</v>
      </c>
      <c r="H1309" s="62">
        <v>3.0</v>
      </c>
      <c r="I1309" s="62">
        <v>2.0</v>
      </c>
      <c r="J1309" s="62">
        <v>6.0</v>
      </c>
      <c r="K1309" s="62">
        <v>0.0</v>
      </c>
      <c r="L1309" s="62">
        <v>0.0</v>
      </c>
      <c r="M1309" s="62">
        <v>7.0</v>
      </c>
      <c r="N1309" s="62">
        <v>1.0</v>
      </c>
      <c r="O1309" s="62">
        <v>1.0</v>
      </c>
      <c r="P1309" s="62">
        <v>1.0</v>
      </c>
      <c r="Q1309" s="62">
        <v>0.0</v>
      </c>
      <c r="R1309" s="62">
        <v>2563.0</v>
      </c>
      <c r="S1309" s="62">
        <v>12632.0</v>
      </c>
      <c r="T1309" s="62">
        <v>0.949166666666666</v>
      </c>
      <c r="U1309" s="62">
        <v>0.476944444444444</v>
      </c>
      <c r="V1309" s="62">
        <v>0.23</v>
      </c>
      <c r="W1309" s="62">
        <v>0.702222222222222</v>
      </c>
      <c r="X1309" s="62">
        <v>0.472222222222222</v>
      </c>
      <c r="Y1309" s="62">
        <v>1.43944444444444</v>
      </c>
      <c r="Z1309" s="62">
        <v>0.0</v>
      </c>
      <c r="AA1309" s="62">
        <v>0.0</v>
      </c>
      <c r="AB1309" s="62">
        <v>1.69916666666666</v>
      </c>
      <c r="AC1309" s="62">
        <v>0.2525</v>
      </c>
      <c r="AD1309" s="62">
        <v>0.243055555555555</v>
      </c>
      <c r="AE1309" s="62">
        <v>0.2525</v>
      </c>
      <c r="AF1309" s="62">
        <v>4.0</v>
      </c>
    </row>
    <row r="1310">
      <c r="A1310" s="68">
        <v>46035.0</v>
      </c>
      <c r="B1310" s="62" t="s">
        <v>32</v>
      </c>
      <c r="C1310" s="62" t="s">
        <v>168</v>
      </c>
      <c r="D1310" s="62">
        <v>0.0</v>
      </c>
      <c r="E1310" s="62">
        <v>1.0</v>
      </c>
      <c r="F1310" s="62">
        <v>3.0</v>
      </c>
      <c r="G1310" s="62">
        <v>0.0</v>
      </c>
      <c r="H1310" s="62">
        <v>6.0</v>
      </c>
      <c r="I1310" s="62">
        <v>5.0</v>
      </c>
      <c r="J1310" s="62">
        <v>4.0</v>
      </c>
      <c r="K1310" s="62">
        <v>0.0</v>
      </c>
      <c r="L1310" s="62">
        <v>0.0</v>
      </c>
      <c r="M1310" s="62">
        <v>3.0</v>
      </c>
      <c r="N1310" s="62">
        <v>0.0</v>
      </c>
      <c r="O1310" s="62">
        <v>1.0</v>
      </c>
      <c r="P1310" s="62">
        <v>0.0</v>
      </c>
      <c r="Q1310" s="62">
        <v>0.0</v>
      </c>
      <c r="R1310" s="62">
        <v>0.0</v>
      </c>
      <c r="S1310" s="62">
        <v>2461.0</v>
      </c>
      <c r="T1310" s="62">
        <v>1.83444444444444</v>
      </c>
      <c r="U1310" s="62">
        <v>0.791111111111111</v>
      </c>
      <c r="V1310" s="62">
        <v>0.0</v>
      </c>
      <c r="W1310" s="62">
        <v>1.565</v>
      </c>
      <c r="X1310" s="62">
        <v>1.30388888888888</v>
      </c>
      <c r="Y1310" s="62">
        <v>1.04555555555555</v>
      </c>
      <c r="Z1310" s="62">
        <v>0.0</v>
      </c>
      <c r="AA1310" s="62">
        <v>0.0</v>
      </c>
      <c r="AB1310" s="62">
        <v>0.776666666666666</v>
      </c>
      <c r="AC1310" s="62">
        <v>0.0</v>
      </c>
      <c r="AD1310" s="62">
        <v>0.215277777777777</v>
      </c>
      <c r="AE1310" s="62">
        <v>0.0</v>
      </c>
      <c r="AF1310" s="62">
        <v>7.0</v>
      </c>
    </row>
    <row r="1311">
      <c r="A1311" s="68">
        <v>46035.0</v>
      </c>
      <c r="B1311" s="62" t="s">
        <v>37</v>
      </c>
      <c r="C1311" s="62" t="s">
        <v>174</v>
      </c>
      <c r="D1311" s="62">
        <v>0.0</v>
      </c>
      <c r="E1311" s="62">
        <v>5.0</v>
      </c>
      <c r="F1311" s="62">
        <v>0.0</v>
      </c>
      <c r="G1311" s="62">
        <v>0.0</v>
      </c>
      <c r="H1311" s="62">
        <v>0.0</v>
      </c>
      <c r="I1311" s="62">
        <v>0.0</v>
      </c>
      <c r="J1311" s="62">
        <v>0.0</v>
      </c>
      <c r="K1311" s="62">
        <v>0.0</v>
      </c>
      <c r="L1311" s="62">
        <v>0.0</v>
      </c>
      <c r="M1311" s="62">
        <v>0.0</v>
      </c>
      <c r="N1311" s="62">
        <v>0.0</v>
      </c>
      <c r="O1311" s="62">
        <v>0.0</v>
      </c>
      <c r="P1311" s="62">
        <v>0.0</v>
      </c>
      <c r="Q1311" s="62">
        <v>0.0</v>
      </c>
      <c r="R1311" s="62">
        <v>0.0</v>
      </c>
      <c r="S1311" s="62">
        <v>12751.0</v>
      </c>
      <c r="T1311" s="62">
        <v>0.0</v>
      </c>
      <c r="U1311" s="62">
        <v>0.0</v>
      </c>
      <c r="V1311" s="62">
        <v>0.0</v>
      </c>
      <c r="W1311" s="62">
        <v>0.0</v>
      </c>
      <c r="X1311" s="62">
        <v>0.0</v>
      </c>
      <c r="Y1311" s="62">
        <v>0.0</v>
      </c>
      <c r="Z1311" s="62">
        <v>0.0</v>
      </c>
      <c r="AA1311" s="62">
        <v>0.0</v>
      </c>
      <c r="AB1311" s="62">
        <v>0.0</v>
      </c>
      <c r="AC1311" s="62">
        <v>0.0</v>
      </c>
      <c r="AD1311" s="62">
        <v>0.0</v>
      </c>
      <c r="AE1311" s="62">
        <v>0.0</v>
      </c>
      <c r="AF1311" s="62">
        <v>0.0</v>
      </c>
    </row>
    <row r="1312">
      <c r="A1312" s="68">
        <v>46035.0</v>
      </c>
      <c r="B1312" s="62" t="s">
        <v>26</v>
      </c>
      <c r="C1312" s="62" t="s">
        <v>178</v>
      </c>
      <c r="D1312" s="62">
        <v>12.0</v>
      </c>
      <c r="E1312" s="62">
        <v>0.0</v>
      </c>
      <c r="F1312" s="62">
        <v>2.0</v>
      </c>
      <c r="G1312" s="62">
        <v>2.0</v>
      </c>
      <c r="H1312" s="62">
        <v>5.0</v>
      </c>
      <c r="I1312" s="62">
        <v>3.0</v>
      </c>
      <c r="J1312" s="62">
        <v>7.0</v>
      </c>
      <c r="K1312" s="62">
        <v>2.0</v>
      </c>
      <c r="L1312" s="62">
        <v>0.0</v>
      </c>
      <c r="M1312" s="62">
        <v>6.0</v>
      </c>
      <c r="N1312" s="62">
        <v>1.0</v>
      </c>
      <c r="O1312" s="62">
        <v>1.0</v>
      </c>
      <c r="P1312" s="62">
        <v>1.0</v>
      </c>
      <c r="Q1312" s="62">
        <v>0.0</v>
      </c>
      <c r="R1312" s="62">
        <v>31532.0</v>
      </c>
      <c r="S1312" s="62">
        <v>0.0</v>
      </c>
      <c r="T1312" s="62">
        <v>0.0</v>
      </c>
      <c r="U1312" s="62">
        <v>0.416111111111111</v>
      </c>
      <c r="V1312" s="62">
        <v>0.411111111111111</v>
      </c>
      <c r="W1312" s="62">
        <v>1.01777777777777</v>
      </c>
      <c r="X1312" s="62">
        <v>0.606666666666666</v>
      </c>
      <c r="Y1312" s="62">
        <v>1.35527777777777</v>
      </c>
      <c r="Z1312" s="62">
        <v>0.383055555555555</v>
      </c>
      <c r="AA1312" s="62">
        <v>0.0</v>
      </c>
      <c r="AB1312" s="62">
        <v>1.15638888888888</v>
      </c>
      <c r="AC1312" s="62">
        <v>0.202222222222222</v>
      </c>
      <c r="AD1312" s="62">
        <v>0.226388888888888</v>
      </c>
      <c r="AE1312" s="62">
        <v>0.202222222222222</v>
      </c>
      <c r="AF1312" s="62">
        <v>0.0</v>
      </c>
    </row>
    <row r="1313">
      <c r="A1313" s="68">
        <v>46035.0</v>
      </c>
      <c r="B1313" s="62" t="s">
        <v>62</v>
      </c>
      <c r="C1313" s="62" t="s">
        <v>63</v>
      </c>
      <c r="D1313" s="62">
        <v>1.0</v>
      </c>
      <c r="E1313" s="62">
        <v>1.0</v>
      </c>
      <c r="F1313" s="62">
        <v>0.0</v>
      </c>
      <c r="G1313" s="62">
        <v>0.0</v>
      </c>
      <c r="H1313" s="62">
        <v>0.0</v>
      </c>
      <c r="I1313" s="62">
        <v>0.0</v>
      </c>
      <c r="J1313" s="62">
        <v>0.0</v>
      </c>
      <c r="K1313" s="62">
        <v>0.0</v>
      </c>
      <c r="L1313" s="62">
        <v>0.0</v>
      </c>
      <c r="M1313" s="62">
        <v>0.0</v>
      </c>
      <c r="N1313" s="62">
        <v>0.0</v>
      </c>
      <c r="O1313" s="62">
        <v>0.0</v>
      </c>
      <c r="P1313" s="62">
        <v>0.0</v>
      </c>
      <c r="Q1313" s="62">
        <v>0.0</v>
      </c>
      <c r="R1313" s="62">
        <v>2588.0</v>
      </c>
      <c r="S1313" s="62">
        <v>2691.0</v>
      </c>
      <c r="T1313" s="62">
        <v>0.0</v>
      </c>
      <c r="U1313" s="62">
        <v>0.0</v>
      </c>
      <c r="V1313" s="62">
        <v>0.0</v>
      </c>
      <c r="W1313" s="62">
        <v>0.0</v>
      </c>
      <c r="X1313" s="62">
        <v>0.0</v>
      </c>
      <c r="Y1313" s="62">
        <v>0.0</v>
      </c>
      <c r="Z1313" s="62">
        <v>0.0</v>
      </c>
      <c r="AA1313" s="62">
        <v>0.0</v>
      </c>
      <c r="AB1313" s="62">
        <v>0.0</v>
      </c>
      <c r="AC1313" s="62">
        <v>0.0</v>
      </c>
      <c r="AD1313" s="62">
        <v>0.0</v>
      </c>
      <c r="AE1313" s="62">
        <v>0.0</v>
      </c>
      <c r="AF1313" s="62">
        <v>0.0</v>
      </c>
    </row>
    <row r="1314">
      <c r="A1314" s="68">
        <v>46034.0</v>
      </c>
      <c r="B1314" s="62" t="s">
        <v>71</v>
      </c>
      <c r="C1314" s="62" t="s">
        <v>163</v>
      </c>
      <c r="D1314" s="62">
        <v>15.0</v>
      </c>
      <c r="E1314" s="62">
        <v>0.0</v>
      </c>
      <c r="F1314" s="62">
        <v>4.0</v>
      </c>
      <c r="G1314" s="62">
        <v>5.0</v>
      </c>
      <c r="H1314" s="62">
        <v>5.0</v>
      </c>
      <c r="I1314" s="62">
        <v>0.0</v>
      </c>
      <c r="J1314" s="62">
        <v>5.0</v>
      </c>
      <c r="K1314" s="62">
        <v>0.0</v>
      </c>
      <c r="L1314" s="62">
        <v>0.0</v>
      </c>
      <c r="M1314" s="62">
        <v>4.0</v>
      </c>
      <c r="N1314" s="62">
        <v>2.0</v>
      </c>
      <c r="O1314" s="62">
        <v>1.0</v>
      </c>
      <c r="P1314" s="62">
        <v>2.0</v>
      </c>
      <c r="Q1314" s="62">
        <v>0.0</v>
      </c>
      <c r="R1314" s="62">
        <v>46630.0</v>
      </c>
      <c r="S1314" s="62">
        <v>0.0</v>
      </c>
      <c r="T1314" s="62">
        <v>1.03777777777777</v>
      </c>
      <c r="U1314" s="62">
        <v>1.03777777777777</v>
      </c>
      <c r="V1314" s="62">
        <v>1.34777777777777</v>
      </c>
      <c r="W1314" s="62">
        <v>1.34777777777777</v>
      </c>
      <c r="X1314" s="62">
        <v>0.0</v>
      </c>
      <c r="Y1314" s="62">
        <v>1.34777777777777</v>
      </c>
      <c r="Z1314" s="62">
        <v>0.0</v>
      </c>
      <c r="AA1314" s="62">
        <v>0.0</v>
      </c>
      <c r="AB1314" s="62">
        <v>1.05861111111111</v>
      </c>
      <c r="AC1314" s="62">
        <v>0.538055555555555</v>
      </c>
      <c r="AD1314" s="62">
        <v>0.280555555555555</v>
      </c>
      <c r="AE1314" s="62">
        <v>0.538055555555555</v>
      </c>
      <c r="AF1314" s="62">
        <v>4.0</v>
      </c>
    </row>
    <row r="1315">
      <c r="A1315" s="68">
        <v>46034.0</v>
      </c>
      <c r="B1315" s="62" t="s">
        <v>76</v>
      </c>
      <c r="C1315" s="62" t="s">
        <v>165</v>
      </c>
      <c r="D1315" s="62">
        <v>0.0</v>
      </c>
      <c r="E1315" s="62">
        <v>0.0</v>
      </c>
      <c r="F1315" s="62">
        <v>4.0</v>
      </c>
      <c r="G1315" s="62">
        <v>4.0</v>
      </c>
      <c r="H1315" s="62">
        <v>8.0</v>
      </c>
      <c r="I1315" s="62">
        <v>4.0</v>
      </c>
      <c r="J1315" s="62">
        <v>6.0</v>
      </c>
      <c r="K1315" s="62">
        <v>1.0</v>
      </c>
      <c r="L1315" s="62">
        <v>1.0</v>
      </c>
      <c r="M1315" s="62">
        <v>3.0</v>
      </c>
      <c r="N1315" s="62">
        <v>0.0</v>
      </c>
      <c r="O1315" s="62">
        <v>1.0</v>
      </c>
      <c r="P1315" s="62">
        <v>0.0</v>
      </c>
      <c r="Q1315" s="62">
        <v>0.0</v>
      </c>
      <c r="R1315" s="62">
        <v>0.0</v>
      </c>
      <c r="S1315" s="62">
        <v>0.0</v>
      </c>
      <c r="T1315" s="62">
        <v>0.996388888888889</v>
      </c>
      <c r="U1315" s="62">
        <v>0.991666666666666</v>
      </c>
      <c r="V1315" s="62">
        <v>0.975555555555555</v>
      </c>
      <c r="W1315" s="62">
        <v>1.94888888888888</v>
      </c>
      <c r="X1315" s="62">
        <v>0.973333333333333</v>
      </c>
      <c r="Y1315" s="62">
        <v>1.47</v>
      </c>
      <c r="Z1315" s="62">
        <v>0.2525</v>
      </c>
      <c r="AA1315" s="62">
        <v>0.2525</v>
      </c>
      <c r="AB1315" s="62">
        <v>0.745833333333333</v>
      </c>
      <c r="AC1315" s="62">
        <v>0.0</v>
      </c>
      <c r="AD1315" s="62">
        <v>0.239444444444444</v>
      </c>
      <c r="AE1315" s="62">
        <v>0.0</v>
      </c>
      <c r="AF1315" s="62">
        <v>4.0</v>
      </c>
    </row>
    <row r="1316">
      <c r="A1316" s="68">
        <v>46034.0</v>
      </c>
      <c r="B1316" s="62" t="s">
        <v>32</v>
      </c>
      <c r="C1316" s="62" t="s">
        <v>168</v>
      </c>
      <c r="D1316" s="62">
        <v>0.0</v>
      </c>
      <c r="E1316" s="62">
        <v>14.0</v>
      </c>
      <c r="F1316" s="62">
        <v>0.0</v>
      </c>
      <c r="G1316" s="62">
        <v>0.0</v>
      </c>
      <c r="H1316" s="62">
        <v>4.0</v>
      </c>
      <c r="I1316" s="62">
        <v>3.0</v>
      </c>
      <c r="J1316" s="62">
        <v>2.0</v>
      </c>
      <c r="K1316" s="62">
        <v>1.0</v>
      </c>
      <c r="L1316" s="62">
        <v>0.0</v>
      </c>
      <c r="M1316" s="62">
        <v>1.0</v>
      </c>
      <c r="N1316" s="62">
        <v>1.0</v>
      </c>
      <c r="O1316" s="62">
        <v>1.0</v>
      </c>
      <c r="P1316" s="62">
        <v>1.0</v>
      </c>
      <c r="Q1316" s="62">
        <v>0.0</v>
      </c>
      <c r="R1316" s="62">
        <v>0.0</v>
      </c>
      <c r="S1316" s="62">
        <v>36134.0</v>
      </c>
      <c r="T1316" s="62">
        <v>0.784166666666666</v>
      </c>
      <c r="U1316" s="62">
        <v>0.0</v>
      </c>
      <c r="V1316" s="62">
        <v>0.0</v>
      </c>
      <c r="W1316" s="62">
        <v>1.04888888888888</v>
      </c>
      <c r="X1316" s="62">
        <v>0.784166666666666</v>
      </c>
      <c r="Y1316" s="62">
        <v>0.543055555555555</v>
      </c>
      <c r="Z1316" s="62">
        <v>0.264722222222222</v>
      </c>
      <c r="AA1316" s="62">
        <v>0.0</v>
      </c>
      <c r="AB1316" s="62">
        <v>0.278333333333333</v>
      </c>
      <c r="AC1316" s="62">
        <v>0.278333333333333</v>
      </c>
      <c r="AD1316" s="62">
        <v>0.194444444444444</v>
      </c>
      <c r="AE1316" s="62">
        <v>0.278333333333333</v>
      </c>
      <c r="AF1316" s="62">
        <v>3.0</v>
      </c>
    </row>
    <row r="1317">
      <c r="A1317" s="68">
        <v>46034.0</v>
      </c>
      <c r="B1317" s="62" t="s">
        <v>26</v>
      </c>
      <c r="C1317" s="62" t="s">
        <v>178</v>
      </c>
      <c r="D1317" s="62">
        <v>0.0</v>
      </c>
      <c r="E1317" s="62">
        <v>4.0</v>
      </c>
      <c r="F1317" s="62">
        <v>2.0</v>
      </c>
      <c r="G1317" s="62">
        <v>0.0</v>
      </c>
      <c r="H1317" s="62">
        <v>6.0</v>
      </c>
      <c r="I1317" s="62">
        <v>6.0</v>
      </c>
      <c r="J1317" s="62">
        <v>0.0</v>
      </c>
      <c r="K1317" s="62">
        <v>0.0</v>
      </c>
      <c r="L1317" s="62">
        <v>0.0</v>
      </c>
      <c r="M1317" s="62">
        <v>0.0</v>
      </c>
      <c r="N1317" s="62">
        <v>2.0</v>
      </c>
      <c r="O1317" s="62">
        <v>1.0</v>
      </c>
      <c r="P1317" s="62">
        <v>2.0</v>
      </c>
      <c r="Q1317" s="62">
        <v>0.0</v>
      </c>
      <c r="R1317" s="62">
        <v>0.0</v>
      </c>
      <c r="S1317" s="62">
        <v>8386.0</v>
      </c>
      <c r="T1317" s="62">
        <v>2.36305555555555</v>
      </c>
      <c r="U1317" s="62">
        <v>0.410555555555555</v>
      </c>
      <c r="V1317" s="62">
        <v>0.0</v>
      </c>
      <c r="W1317" s="62">
        <v>1.14527777777777</v>
      </c>
      <c r="X1317" s="62">
        <v>1.14527777777777</v>
      </c>
      <c r="Y1317" s="62">
        <v>0.0</v>
      </c>
      <c r="Z1317" s="62">
        <v>0.0</v>
      </c>
      <c r="AA1317" s="62">
        <v>0.0</v>
      </c>
      <c r="AB1317" s="62">
        <v>0.0</v>
      </c>
      <c r="AC1317" s="62">
        <v>0.381666666666666</v>
      </c>
      <c r="AD1317" s="62">
        <v>0.213888888888888</v>
      </c>
      <c r="AE1317" s="62">
        <v>0.381666666666666</v>
      </c>
      <c r="AF1317" s="62">
        <v>12.0</v>
      </c>
    </row>
    <row r="1318">
      <c r="A1318" s="68">
        <v>46032.0</v>
      </c>
      <c r="B1318" s="62" t="s">
        <v>76</v>
      </c>
      <c r="C1318" s="62" t="s">
        <v>165</v>
      </c>
      <c r="D1318" s="62">
        <v>0.0</v>
      </c>
      <c r="E1318" s="62">
        <v>0.0</v>
      </c>
      <c r="F1318" s="62">
        <v>0.0</v>
      </c>
      <c r="G1318" s="62">
        <v>1.0</v>
      </c>
      <c r="H1318" s="62">
        <v>1.0</v>
      </c>
      <c r="I1318" s="62">
        <v>0.0</v>
      </c>
      <c r="J1318" s="62">
        <v>0.0</v>
      </c>
      <c r="K1318" s="62">
        <v>0.0</v>
      </c>
      <c r="L1318" s="62">
        <v>0.0</v>
      </c>
      <c r="M1318" s="62">
        <v>0.0</v>
      </c>
      <c r="N1318" s="62">
        <v>0.0</v>
      </c>
      <c r="O1318" s="62">
        <v>1.0</v>
      </c>
      <c r="P1318" s="62">
        <v>0.0</v>
      </c>
      <c r="Q1318" s="62">
        <v>0.0</v>
      </c>
      <c r="R1318" s="62">
        <v>0.0</v>
      </c>
      <c r="S1318" s="62">
        <v>0.0</v>
      </c>
      <c r="T1318" s="62">
        <v>0.0</v>
      </c>
      <c r="U1318" s="62">
        <v>0.0</v>
      </c>
      <c r="V1318" s="62">
        <v>0.2525</v>
      </c>
      <c r="W1318" s="62">
        <v>0.2525</v>
      </c>
      <c r="X1318" s="62">
        <v>0.0</v>
      </c>
      <c r="Y1318" s="62">
        <v>0.0</v>
      </c>
      <c r="Z1318" s="62">
        <v>0.0</v>
      </c>
      <c r="AA1318" s="62">
        <v>0.0</v>
      </c>
      <c r="AB1318" s="62">
        <v>0.0</v>
      </c>
      <c r="AC1318" s="62">
        <v>0.0</v>
      </c>
      <c r="AD1318" s="62">
        <v>0.234722222222222</v>
      </c>
      <c r="AE1318" s="62">
        <v>0.0</v>
      </c>
      <c r="AF1318" s="62">
        <v>0.0</v>
      </c>
    </row>
    <row r="1319">
      <c r="A1319" s="68">
        <v>46031.0</v>
      </c>
      <c r="B1319" s="62" t="s">
        <v>71</v>
      </c>
      <c r="C1319" s="62" t="s">
        <v>163</v>
      </c>
      <c r="D1319" s="62">
        <v>0.0</v>
      </c>
      <c r="E1319" s="62">
        <v>5.0</v>
      </c>
      <c r="F1319" s="62">
        <v>3.0</v>
      </c>
      <c r="G1319" s="62">
        <v>2.0</v>
      </c>
      <c r="H1319" s="62">
        <v>2.0</v>
      </c>
      <c r="I1319" s="62">
        <v>0.0</v>
      </c>
      <c r="J1319" s="62">
        <v>2.0</v>
      </c>
      <c r="K1319" s="62">
        <v>0.0</v>
      </c>
      <c r="L1319" s="62">
        <v>0.0</v>
      </c>
      <c r="M1319" s="62">
        <v>2.0</v>
      </c>
      <c r="N1319" s="62">
        <v>6.0</v>
      </c>
      <c r="O1319" s="62">
        <v>1.0</v>
      </c>
      <c r="P1319" s="62">
        <v>6.0</v>
      </c>
      <c r="Q1319" s="62">
        <v>0.0</v>
      </c>
      <c r="R1319" s="62">
        <v>0.0</v>
      </c>
      <c r="S1319" s="62">
        <v>15650.0</v>
      </c>
      <c r="T1319" s="62">
        <v>0.808611111111111</v>
      </c>
      <c r="U1319" s="62">
        <v>0.808611111111111</v>
      </c>
      <c r="V1319" s="62">
        <v>0.516944444444444</v>
      </c>
      <c r="W1319" s="62">
        <v>0.516944444444444</v>
      </c>
      <c r="X1319" s="62">
        <v>0.0</v>
      </c>
      <c r="Y1319" s="62">
        <v>0.516944444444444</v>
      </c>
      <c r="Z1319" s="62">
        <v>0.0</v>
      </c>
      <c r="AA1319" s="62">
        <v>0.0</v>
      </c>
      <c r="AB1319" s="62">
        <v>0.516944444444444</v>
      </c>
      <c r="AC1319" s="62">
        <v>1.53666666666666</v>
      </c>
      <c r="AD1319" s="62">
        <v>0.238333333333333</v>
      </c>
      <c r="AE1319" s="62">
        <v>1.53666666666666</v>
      </c>
      <c r="AF1319" s="62">
        <v>3.0</v>
      </c>
    </row>
    <row r="1320">
      <c r="A1320" s="68">
        <v>46031.0</v>
      </c>
      <c r="B1320" s="62" t="s">
        <v>76</v>
      </c>
      <c r="C1320" s="62" t="s">
        <v>165</v>
      </c>
      <c r="D1320" s="62">
        <v>19.0</v>
      </c>
      <c r="E1320" s="62">
        <v>6.0</v>
      </c>
      <c r="F1320" s="62">
        <v>0.0</v>
      </c>
      <c r="G1320" s="62">
        <v>0.0</v>
      </c>
      <c r="H1320" s="62">
        <v>0.0</v>
      </c>
      <c r="I1320" s="62">
        <v>0.0</v>
      </c>
      <c r="J1320" s="62">
        <v>4.0</v>
      </c>
      <c r="K1320" s="62">
        <v>2.0</v>
      </c>
      <c r="L1320" s="62">
        <v>2.0</v>
      </c>
      <c r="M1320" s="62">
        <v>4.0</v>
      </c>
      <c r="N1320" s="62">
        <v>6.0</v>
      </c>
      <c r="O1320" s="62">
        <v>1.0</v>
      </c>
      <c r="P1320" s="62">
        <v>6.0</v>
      </c>
      <c r="Q1320" s="62">
        <v>0.0</v>
      </c>
      <c r="R1320" s="62">
        <v>58795.0</v>
      </c>
      <c r="S1320" s="62">
        <v>14963.0</v>
      </c>
      <c r="T1320" s="62">
        <v>0.968611111111111</v>
      </c>
      <c r="U1320" s="62">
        <v>0.0</v>
      </c>
      <c r="V1320" s="62">
        <v>0.0</v>
      </c>
      <c r="W1320" s="62">
        <v>0.0</v>
      </c>
      <c r="X1320" s="62">
        <v>0.0</v>
      </c>
      <c r="Y1320" s="62">
        <v>0.9975</v>
      </c>
      <c r="Z1320" s="62">
        <v>0.509444444444444</v>
      </c>
      <c r="AA1320" s="62">
        <v>0.509444444444444</v>
      </c>
      <c r="AB1320" s="62">
        <v>0.9975</v>
      </c>
      <c r="AC1320" s="62">
        <v>1.49972222222222</v>
      </c>
      <c r="AD1320" s="62">
        <v>0.250555555555555</v>
      </c>
      <c r="AE1320" s="62">
        <v>1.49972222222222</v>
      </c>
      <c r="AF1320" s="62">
        <v>4.0</v>
      </c>
    </row>
    <row r="1321">
      <c r="A1321" s="68">
        <v>46031.0</v>
      </c>
      <c r="B1321" s="62" t="s">
        <v>32</v>
      </c>
      <c r="C1321" s="62" t="s">
        <v>168</v>
      </c>
      <c r="D1321" s="62">
        <v>2.0</v>
      </c>
      <c r="E1321" s="62">
        <v>3.0</v>
      </c>
      <c r="F1321" s="62">
        <v>2.0</v>
      </c>
      <c r="G1321" s="62">
        <v>0.0</v>
      </c>
      <c r="H1321" s="62">
        <v>5.0</v>
      </c>
      <c r="I1321" s="62">
        <v>3.0</v>
      </c>
      <c r="J1321" s="62">
        <v>5.0</v>
      </c>
      <c r="K1321" s="62">
        <v>0.0</v>
      </c>
      <c r="L1321" s="62">
        <v>0.0</v>
      </c>
      <c r="M1321" s="62">
        <v>5.0</v>
      </c>
      <c r="N1321" s="62">
        <v>10.0</v>
      </c>
      <c r="O1321" s="62">
        <v>1.0</v>
      </c>
      <c r="P1321" s="62">
        <v>10.0</v>
      </c>
      <c r="Q1321" s="62">
        <v>0.0</v>
      </c>
      <c r="R1321" s="62">
        <v>5031.0</v>
      </c>
      <c r="S1321" s="62">
        <v>7973.0</v>
      </c>
      <c r="T1321" s="62">
        <v>1.33805555555555</v>
      </c>
      <c r="U1321" s="62">
        <v>0.534166666666666</v>
      </c>
      <c r="V1321" s="62">
        <v>0.0</v>
      </c>
      <c r="W1321" s="62">
        <v>1.33638888888888</v>
      </c>
      <c r="X1321" s="62">
        <v>0.803888888888888</v>
      </c>
      <c r="Y1321" s="62">
        <v>1.31638888888888</v>
      </c>
      <c r="Z1321" s="62">
        <v>0.0</v>
      </c>
      <c r="AA1321" s="62">
        <v>0.0</v>
      </c>
      <c r="AB1321" s="62">
        <v>1.31638888888888</v>
      </c>
      <c r="AC1321" s="62">
        <v>2.66444444444444</v>
      </c>
      <c r="AD1321" s="62">
        <v>0.241666666666666</v>
      </c>
      <c r="AE1321" s="62">
        <v>2.66444444444444</v>
      </c>
      <c r="AF1321" s="62">
        <v>5.0</v>
      </c>
    </row>
    <row r="1322">
      <c r="A1322" s="68">
        <v>46031.0</v>
      </c>
      <c r="B1322" s="62" t="s">
        <v>26</v>
      </c>
      <c r="C1322" s="62" t="s">
        <v>178</v>
      </c>
      <c r="D1322" s="62">
        <v>0.0</v>
      </c>
      <c r="E1322" s="62">
        <v>5.0</v>
      </c>
      <c r="F1322" s="62">
        <v>0.0</v>
      </c>
      <c r="G1322" s="62">
        <v>0.0</v>
      </c>
      <c r="H1322" s="62">
        <v>0.0</v>
      </c>
      <c r="I1322" s="62">
        <v>0.0</v>
      </c>
      <c r="J1322" s="62">
        <v>1.0</v>
      </c>
      <c r="K1322" s="62">
        <v>0.0</v>
      </c>
      <c r="L1322" s="62">
        <v>0.0</v>
      </c>
      <c r="M1322" s="62">
        <v>1.0</v>
      </c>
      <c r="N1322" s="62">
        <v>13.0</v>
      </c>
      <c r="O1322" s="62">
        <v>1.0</v>
      </c>
      <c r="P1322" s="62">
        <v>13.0</v>
      </c>
      <c r="Q1322" s="62">
        <v>0.0</v>
      </c>
      <c r="R1322" s="62">
        <v>0.0</v>
      </c>
      <c r="S1322" s="62">
        <v>10731.0</v>
      </c>
      <c r="T1322" s="62">
        <v>0.0</v>
      </c>
      <c r="U1322" s="62">
        <v>0.0</v>
      </c>
      <c r="V1322" s="62">
        <v>0.0</v>
      </c>
      <c r="W1322" s="62">
        <v>0.0</v>
      </c>
      <c r="X1322" s="62">
        <v>0.0</v>
      </c>
      <c r="Y1322" s="62">
        <v>0.208888888888888</v>
      </c>
      <c r="Z1322" s="62">
        <v>0.0</v>
      </c>
      <c r="AA1322" s="62">
        <v>0.0</v>
      </c>
      <c r="AB1322" s="62">
        <v>0.208888888888888</v>
      </c>
      <c r="AC1322" s="62">
        <v>2.6425</v>
      </c>
      <c r="AD1322" s="62">
        <v>0.199166666666666</v>
      </c>
      <c r="AE1322" s="62">
        <v>2.6425</v>
      </c>
      <c r="AF1322" s="62">
        <v>0.0</v>
      </c>
    </row>
    <row r="1323">
      <c r="A1323" s="68">
        <v>46030.0</v>
      </c>
      <c r="B1323" s="62" t="s">
        <v>71</v>
      </c>
      <c r="C1323" s="62" t="s">
        <v>163</v>
      </c>
      <c r="D1323" s="62">
        <v>0.0</v>
      </c>
      <c r="E1323" s="62">
        <v>4.0</v>
      </c>
      <c r="F1323" s="62">
        <v>3.0</v>
      </c>
      <c r="G1323" s="62">
        <v>3.0</v>
      </c>
      <c r="H1323" s="62">
        <v>3.0</v>
      </c>
      <c r="I1323" s="62">
        <v>0.0</v>
      </c>
      <c r="J1323" s="62">
        <v>3.0</v>
      </c>
      <c r="K1323" s="62">
        <v>0.0</v>
      </c>
      <c r="L1323" s="62">
        <v>0.0</v>
      </c>
      <c r="M1323" s="62">
        <v>5.0</v>
      </c>
      <c r="N1323" s="62">
        <v>1.0</v>
      </c>
      <c r="O1323" s="62">
        <v>1.0</v>
      </c>
      <c r="P1323" s="62">
        <v>1.0</v>
      </c>
      <c r="Q1323" s="62">
        <v>0.0</v>
      </c>
      <c r="R1323" s="62">
        <v>0.0</v>
      </c>
      <c r="S1323" s="62">
        <v>12191.0</v>
      </c>
      <c r="T1323" s="62">
        <v>0.793611111111111</v>
      </c>
      <c r="U1323" s="62">
        <v>0.793611111111111</v>
      </c>
      <c r="V1323" s="62">
        <v>0.753055555555555</v>
      </c>
      <c r="W1323" s="62">
        <v>0.753055555555555</v>
      </c>
      <c r="X1323" s="62">
        <v>0.0</v>
      </c>
      <c r="Y1323" s="62">
        <v>0.753055555555555</v>
      </c>
      <c r="Z1323" s="62">
        <v>0.0</v>
      </c>
      <c r="AA1323" s="62">
        <v>0.0</v>
      </c>
      <c r="AB1323" s="62">
        <v>1.26611111111111</v>
      </c>
      <c r="AC1323" s="62">
        <v>0.246388888888888</v>
      </c>
      <c r="AD1323" s="62">
        <v>0.241944444444444</v>
      </c>
      <c r="AE1323" s="62">
        <v>0.246388888888888</v>
      </c>
      <c r="AF1323" s="62">
        <v>3.0</v>
      </c>
    </row>
    <row r="1324">
      <c r="A1324" s="68">
        <v>46030.0</v>
      </c>
      <c r="B1324" s="62" t="s">
        <v>76</v>
      </c>
      <c r="C1324" s="62" t="s">
        <v>165</v>
      </c>
      <c r="D1324" s="62">
        <v>0.0</v>
      </c>
      <c r="E1324" s="62">
        <v>3.0</v>
      </c>
      <c r="F1324" s="62">
        <v>3.0</v>
      </c>
      <c r="G1324" s="62">
        <v>4.0</v>
      </c>
      <c r="H1324" s="62">
        <v>5.0</v>
      </c>
      <c r="I1324" s="62">
        <v>1.0</v>
      </c>
      <c r="J1324" s="62">
        <v>2.0</v>
      </c>
      <c r="K1324" s="62">
        <v>0.0</v>
      </c>
      <c r="L1324" s="62">
        <v>0.0</v>
      </c>
      <c r="M1324" s="62">
        <v>2.0</v>
      </c>
      <c r="N1324" s="62">
        <v>0.0</v>
      </c>
      <c r="O1324" s="62">
        <v>1.0</v>
      </c>
      <c r="P1324" s="62">
        <v>0.0</v>
      </c>
      <c r="Q1324" s="62">
        <v>0.0</v>
      </c>
      <c r="R1324" s="62">
        <v>0.0</v>
      </c>
      <c r="S1324" s="62">
        <v>7518.0</v>
      </c>
      <c r="T1324" s="62">
        <v>1.01444444444444</v>
      </c>
      <c r="U1324" s="62">
        <v>0.764444444444444</v>
      </c>
      <c r="V1324" s="62">
        <v>0.9975</v>
      </c>
      <c r="W1324" s="62">
        <v>1.2475</v>
      </c>
      <c r="X1324" s="62">
        <v>0.25</v>
      </c>
      <c r="Y1324" s="62">
        <v>0.502222222222222</v>
      </c>
      <c r="Z1324" s="62">
        <v>0.0</v>
      </c>
      <c r="AA1324" s="62">
        <v>0.0</v>
      </c>
      <c r="AB1324" s="62">
        <v>0.502222222222222</v>
      </c>
      <c r="AC1324" s="62">
        <v>0.0</v>
      </c>
      <c r="AD1324" s="62">
        <v>0.235833333333333</v>
      </c>
      <c r="AE1324" s="62">
        <v>0.0</v>
      </c>
      <c r="AF1324" s="62">
        <v>4.0</v>
      </c>
    </row>
    <row r="1325">
      <c r="A1325" s="68">
        <v>46030.0</v>
      </c>
      <c r="B1325" s="62" t="s">
        <v>32</v>
      </c>
      <c r="C1325" s="62" t="s">
        <v>168</v>
      </c>
      <c r="D1325" s="62">
        <v>0.0</v>
      </c>
      <c r="E1325" s="62">
        <v>3.0</v>
      </c>
      <c r="F1325" s="62">
        <v>1.0</v>
      </c>
      <c r="G1325" s="62">
        <v>0.0</v>
      </c>
      <c r="H1325" s="62">
        <v>3.0</v>
      </c>
      <c r="I1325" s="62">
        <v>3.0</v>
      </c>
      <c r="J1325" s="62">
        <v>4.0</v>
      </c>
      <c r="K1325" s="62">
        <v>1.0</v>
      </c>
      <c r="L1325" s="62">
        <v>0.0</v>
      </c>
      <c r="M1325" s="62">
        <v>6.0</v>
      </c>
      <c r="N1325" s="62">
        <v>1.0</v>
      </c>
      <c r="O1325" s="62">
        <v>1.0</v>
      </c>
      <c r="P1325" s="62">
        <v>1.0</v>
      </c>
      <c r="Q1325" s="62">
        <v>0.0</v>
      </c>
      <c r="R1325" s="62">
        <v>0.0</v>
      </c>
      <c r="S1325" s="62">
        <v>8079.0</v>
      </c>
      <c r="T1325" s="62">
        <v>1.07305555555555</v>
      </c>
      <c r="U1325" s="62">
        <v>0.265555555555555</v>
      </c>
      <c r="V1325" s="62">
        <v>0.0</v>
      </c>
      <c r="W1325" s="62">
        <v>0.8075</v>
      </c>
      <c r="X1325" s="62">
        <v>0.807499999999999</v>
      </c>
      <c r="Y1325" s="62">
        <v>1.07194444444444</v>
      </c>
      <c r="Z1325" s="62">
        <v>0.276111111111111</v>
      </c>
      <c r="AA1325" s="62">
        <v>0.0</v>
      </c>
      <c r="AB1325" s="62">
        <v>1.62444444444444</v>
      </c>
      <c r="AC1325" s="62">
        <v>0.276388888888888</v>
      </c>
      <c r="AD1325" s="62">
        <v>0.241944444444444</v>
      </c>
      <c r="AE1325" s="62">
        <v>0.276388888888888</v>
      </c>
      <c r="AF1325" s="62">
        <v>4.0</v>
      </c>
    </row>
    <row r="1326">
      <c r="A1326" s="68">
        <v>46030.0</v>
      </c>
      <c r="B1326" s="62" t="s">
        <v>26</v>
      </c>
      <c r="C1326" s="62" t="s">
        <v>178</v>
      </c>
      <c r="D1326" s="62">
        <v>5.0</v>
      </c>
      <c r="E1326" s="62">
        <v>0.0</v>
      </c>
      <c r="F1326" s="62">
        <v>0.0</v>
      </c>
      <c r="G1326" s="62">
        <v>1.0</v>
      </c>
      <c r="H1326" s="62">
        <v>1.0</v>
      </c>
      <c r="I1326" s="62">
        <v>0.0</v>
      </c>
      <c r="J1326" s="62">
        <v>4.0</v>
      </c>
      <c r="K1326" s="62">
        <v>0.0</v>
      </c>
      <c r="L1326" s="62">
        <v>1.0</v>
      </c>
      <c r="M1326" s="62">
        <v>5.0</v>
      </c>
      <c r="N1326" s="62">
        <v>1.0</v>
      </c>
      <c r="O1326" s="62">
        <v>1.0</v>
      </c>
      <c r="P1326" s="62">
        <v>1.0</v>
      </c>
      <c r="Q1326" s="62">
        <v>0.0</v>
      </c>
      <c r="R1326" s="62">
        <v>12109.0</v>
      </c>
      <c r="S1326" s="62">
        <v>0.0</v>
      </c>
      <c r="T1326" s="62">
        <v>0.0</v>
      </c>
      <c r="U1326" s="62">
        <v>0.0</v>
      </c>
      <c r="V1326" s="62">
        <v>0.208888888888888</v>
      </c>
      <c r="W1326" s="62">
        <v>0.208888888888888</v>
      </c>
      <c r="X1326" s="62">
        <v>0.0</v>
      </c>
      <c r="Y1326" s="62">
        <v>0.7825</v>
      </c>
      <c r="Z1326" s="62">
        <v>0.0</v>
      </c>
      <c r="AA1326" s="62">
        <v>0.202222222222222</v>
      </c>
      <c r="AB1326" s="62">
        <v>0.984722222222222</v>
      </c>
      <c r="AC1326" s="62">
        <v>0.201388888888888</v>
      </c>
      <c r="AD1326" s="62">
        <v>0.208611111111111</v>
      </c>
      <c r="AE1326" s="62">
        <v>0.201388888888888</v>
      </c>
      <c r="AF1326" s="62">
        <v>0.0</v>
      </c>
    </row>
    <row r="1327">
      <c r="A1327" s="68">
        <v>46030.0</v>
      </c>
      <c r="B1327" s="62" t="s">
        <v>62</v>
      </c>
      <c r="C1327" s="62" t="s">
        <v>63</v>
      </c>
      <c r="D1327" s="62">
        <v>1.0</v>
      </c>
      <c r="E1327" s="62">
        <v>0.0</v>
      </c>
      <c r="F1327" s="62">
        <v>0.0</v>
      </c>
      <c r="G1327" s="62">
        <v>0.0</v>
      </c>
      <c r="H1327" s="62">
        <v>0.0</v>
      </c>
      <c r="I1327" s="62">
        <v>0.0</v>
      </c>
      <c r="J1327" s="62">
        <v>0.0</v>
      </c>
      <c r="K1327" s="62">
        <v>0.0</v>
      </c>
      <c r="L1327" s="62">
        <v>0.0</v>
      </c>
      <c r="M1327" s="62">
        <v>0.0</v>
      </c>
      <c r="N1327" s="62">
        <v>0.0</v>
      </c>
      <c r="O1327" s="62">
        <v>0.0</v>
      </c>
      <c r="P1327" s="62">
        <v>0.0</v>
      </c>
      <c r="Q1327" s="62">
        <v>0.0</v>
      </c>
      <c r="R1327" s="62">
        <v>2615.0</v>
      </c>
      <c r="S1327" s="62">
        <v>0.0</v>
      </c>
      <c r="T1327" s="62">
        <v>0.0</v>
      </c>
      <c r="U1327" s="62">
        <v>0.0</v>
      </c>
      <c r="V1327" s="62">
        <v>0.0</v>
      </c>
      <c r="W1327" s="62">
        <v>0.0</v>
      </c>
      <c r="X1327" s="62">
        <v>0.0</v>
      </c>
      <c r="Y1327" s="62">
        <v>0.0</v>
      </c>
      <c r="Z1327" s="62">
        <v>0.0</v>
      </c>
      <c r="AA1327" s="62">
        <v>0.0</v>
      </c>
      <c r="AB1327" s="62">
        <v>0.0</v>
      </c>
      <c r="AC1327" s="62">
        <v>0.0</v>
      </c>
      <c r="AD1327" s="62">
        <v>0.0</v>
      </c>
      <c r="AE1327" s="62">
        <v>0.0</v>
      </c>
      <c r="AF1327" s="62">
        <v>0.0</v>
      </c>
    </row>
    <row r="1328">
      <c r="A1328" s="68">
        <v>46029.0</v>
      </c>
      <c r="B1328" s="62" t="s">
        <v>71</v>
      </c>
      <c r="C1328" s="62" t="s">
        <v>163</v>
      </c>
      <c r="D1328" s="62">
        <v>5.0</v>
      </c>
      <c r="E1328" s="62">
        <v>5.0</v>
      </c>
      <c r="F1328" s="62">
        <v>3.0</v>
      </c>
      <c r="G1328" s="62">
        <v>2.0</v>
      </c>
      <c r="H1328" s="62">
        <v>2.0</v>
      </c>
      <c r="I1328" s="62">
        <v>0.0</v>
      </c>
      <c r="J1328" s="62">
        <v>3.0</v>
      </c>
      <c r="K1328" s="62">
        <v>0.0</v>
      </c>
      <c r="L1328" s="62">
        <v>0.0</v>
      </c>
      <c r="M1328" s="62">
        <v>2.0</v>
      </c>
      <c r="N1328" s="62">
        <v>2.0</v>
      </c>
      <c r="O1328" s="62">
        <v>1.0</v>
      </c>
      <c r="P1328" s="62">
        <v>2.0</v>
      </c>
      <c r="Q1328" s="62">
        <v>0.0</v>
      </c>
      <c r="R1328" s="62">
        <v>15734.0</v>
      </c>
      <c r="S1328" s="62">
        <v>14986.0</v>
      </c>
      <c r="T1328" s="62">
        <v>0.73</v>
      </c>
      <c r="U1328" s="62">
        <v>0.73</v>
      </c>
      <c r="V1328" s="62">
        <v>0.519722222222222</v>
      </c>
      <c r="W1328" s="62">
        <v>0.519722222222222</v>
      </c>
      <c r="X1328" s="62">
        <v>0.0</v>
      </c>
      <c r="Y1328" s="62">
        <v>0.766111111111111</v>
      </c>
      <c r="Z1328" s="62">
        <v>0.0</v>
      </c>
      <c r="AA1328" s="62">
        <v>0.0</v>
      </c>
      <c r="AB1328" s="62">
        <v>0.495555555555555</v>
      </c>
      <c r="AC1328" s="62">
        <v>0.495555555555555</v>
      </c>
      <c r="AD1328" s="62">
        <v>0.247222222222222</v>
      </c>
      <c r="AE1328" s="62">
        <v>0.495555555555555</v>
      </c>
      <c r="AF1328" s="62">
        <v>3.0</v>
      </c>
    </row>
    <row r="1329">
      <c r="A1329" s="68">
        <v>46029.0</v>
      </c>
      <c r="B1329" s="62" t="s">
        <v>76</v>
      </c>
      <c r="C1329" s="62" t="s">
        <v>165</v>
      </c>
      <c r="D1329" s="62">
        <v>0.0</v>
      </c>
      <c r="E1329" s="62">
        <v>3.0</v>
      </c>
      <c r="F1329" s="62">
        <v>5.0</v>
      </c>
      <c r="G1329" s="62">
        <v>4.0</v>
      </c>
      <c r="H1329" s="62">
        <v>4.0</v>
      </c>
      <c r="I1329" s="62">
        <v>0.0</v>
      </c>
      <c r="J1329" s="62">
        <v>5.0</v>
      </c>
      <c r="K1329" s="62">
        <v>0.0</v>
      </c>
      <c r="L1329" s="62">
        <v>0.0</v>
      </c>
      <c r="M1329" s="62">
        <v>6.0</v>
      </c>
      <c r="N1329" s="62">
        <v>9.0</v>
      </c>
      <c r="O1329" s="62">
        <v>1.0</v>
      </c>
      <c r="P1329" s="62">
        <v>9.0</v>
      </c>
      <c r="Q1329" s="62">
        <v>0.0</v>
      </c>
      <c r="R1329" s="62">
        <v>0.0</v>
      </c>
      <c r="S1329" s="62">
        <v>7488.0</v>
      </c>
      <c r="T1329" s="62">
        <v>0.740833333333333</v>
      </c>
      <c r="U1329" s="62">
        <v>1.22555555555555</v>
      </c>
      <c r="V1329" s="62">
        <v>0.985833333333333</v>
      </c>
      <c r="W1329" s="62">
        <v>0.985833333333333</v>
      </c>
      <c r="X1329" s="62">
        <v>0.0</v>
      </c>
      <c r="Y1329" s="62">
        <v>1.22805555555555</v>
      </c>
      <c r="Z1329" s="62">
        <v>0.0</v>
      </c>
      <c r="AA1329" s="62">
        <v>0.0</v>
      </c>
      <c r="AB1329" s="62">
        <v>1.47055555555555</v>
      </c>
      <c r="AC1329" s="62">
        <v>2.19</v>
      </c>
      <c r="AD1329" s="62">
        <v>0.235</v>
      </c>
      <c r="AE1329" s="62">
        <v>2.19</v>
      </c>
      <c r="AF1329" s="62">
        <v>3.0</v>
      </c>
    </row>
    <row r="1330">
      <c r="A1330" s="68">
        <v>46029.0</v>
      </c>
      <c r="B1330" s="62" t="s">
        <v>32</v>
      </c>
      <c r="C1330" s="62" t="s">
        <v>168</v>
      </c>
      <c r="D1330" s="62">
        <v>0.0</v>
      </c>
      <c r="E1330" s="62">
        <v>4.0</v>
      </c>
      <c r="F1330" s="62">
        <v>0.0</v>
      </c>
      <c r="G1330" s="62">
        <v>0.0</v>
      </c>
      <c r="H1330" s="62">
        <v>4.0</v>
      </c>
      <c r="I1330" s="62">
        <v>4.0</v>
      </c>
      <c r="J1330" s="62">
        <v>2.0</v>
      </c>
      <c r="K1330" s="62">
        <v>0.0</v>
      </c>
      <c r="L1330" s="62">
        <v>0.0</v>
      </c>
      <c r="M1330" s="62">
        <v>3.0</v>
      </c>
      <c r="N1330" s="62">
        <v>6.0</v>
      </c>
      <c r="O1330" s="62">
        <v>1.0</v>
      </c>
      <c r="P1330" s="62">
        <v>6.0</v>
      </c>
      <c r="Q1330" s="62">
        <v>0.0</v>
      </c>
      <c r="R1330" s="62">
        <v>0.0</v>
      </c>
      <c r="S1330" s="62">
        <v>11012.0</v>
      </c>
      <c r="T1330" s="62">
        <v>1.07861111111111</v>
      </c>
      <c r="U1330" s="62">
        <v>0.0</v>
      </c>
      <c r="V1330" s="62">
        <v>0.0</v>
      </c>
      <c r="W1330" s="62">
        <v>1.07861111111111</v>
      </c>
      <c r="X1330" s="62">
        <v>1.07861111111111</v>
      </c>
      <c r="Y1330" s="62">
        <v>0.5525</v>
      </c>
      <c r="Z1330" s="62">
        <v>0.0</v>
      </c>
      <c r="AA1330" s="62">
        <v>0.0</v>
      </c>
      <c r="AB1330" s="62">
        <v>0.770833333333333</v>
      </c>
      <c r="AC1330" s="62">
        <v>1.55055555555555</v>
      </c>
      <c r="AD1330" s="62">
        <v>0.236388888888888</v>
      </c>
      <c r="AE1330" s="62">
        <v>1.55055555555555</v>
      </c>
      <c r="AF1330" s="62">
        <v>4.0</v>
      </c>
    </row>
    <row r="1331">
      <c r="A1331" s="68">
        <v>46029.0</v>
      </c>
      <c r="B1331" s="62" t="s">
        <v>26</v>
      </c>
      <c r="C1331" s="62" t="s">
        <v>178</v>
      </c>
      <c r="D1331" s="62">
        <v>7.0</v>
      </c>
      <c r="E1331" s="62">
        <v>5.0</v>
      </c>
      <c r="F1331" s="62">
        <v>0.0</v>
      </c>
      <c r="G1331" s="62">
        <v>3.0</v>
      </c>
      <c r="H1331" s="62">
        <v>7.0</v>
      </c>
      <c r="I1331" s="62">
        <v>4.0</v>
      </c>
      <c r="J1331" s="62">
        <v>3.0</v>
      </c>
      <c r="K1331" s="62">
        <v>1.0</v>
      </c>
      <c r="L1331" s="62">
        <v>0.0</v>
      </c>
      <c r="M1331" s="62">
        <v>6.0</v>
      </c>
      <c r="N1331" s="62">
        <v>0.0</v>
      </c>
      <c r="O1331" s="62">
        <v>1.0</v>
      </c>
      <c r="P1331" s="62">
        <v>0.0</v>
      </c>
      <c r="Q1331" s="62">
        <v>0.0</v>
      </c>
      <c r="R1331" s="62">
        <v>16294.0</v>
      </c>
      <c r="S1331" s="62">
        <v>10656.0</v>
      </c>
      <c r="T1331" s="62">
        <v>0.0</v>
      </c>
      <c r="U1331" s="62">
        <v>0.0</v>
      </c>
      <c r="V1331" s="62">
        <v>0.616666666666666</v>
      </c>
      <c r="W1331" s="62">
        <v>1.39333333333333</v>
      </c>
      <c r="X1331" s="62">
        <v>0.776666666666666</v>
      </c>
      <c r="Y1331" s="62">
        <v>0.616666666666666</v>
      </c>
      <c r="Z1331" s="62">
        <v>0.202222222222222</v>
      </c>
      <c r="AA1331" s="62">
        <v>0.0</v>
      </c>
      <c r="AB1331" s="62">
        <v>1.22499999999999</v>
      </c>
      <c r="AC1331" s="62">
        <v>0.0</v>
      </c>
      <c r="AD1331" s="62">
        <v>0.210833333333333</v>
      </c>
      <c r="AE1331" s="62">
        <v>0.0</v>
      </c>
      <c r="AF1331" s="62">
        <v>0.0</v>
      </c>
    </row>
    <row r="1332">
      <c r="A1332" s="68">
        <v>46028.0</v>
      </c>
      <c r="B1332" s="62" t="s">
        <v>71</v>
      </c>
      <c r="C1332" s="62" t="s">
        <v>163</v>
      </c>
      <c r="D1332" s="62">
        <v>15.0</v>
      </c>
      <c r="E1332" s="62">
        <v>0.0</v>
      </c>
      <c r="F1332" s="62">
        <v>2.0</v>
      </c>
      <c r="G1332" s="62">
        <v>3.0</v>
      </c>
      <c r="H1332" s="62">
        <v>4.0</v>
      </c>
      <c r="I1332" s="62">
        <v>1.0</v>
      </c>
      <c r="J1332" s="62">
        <v>3.0</v>
      </c>
      <c r="K1332" s="62">
        <v>0.0</v>
      </c>
      <c r="L1332" s="62">
        <v>0.0</v>
      </c>
      <c r="M1332" s="62">
        <v>2.0</v>
      </c>
      <c r="N1332" s="62">
        <v>2.0</v>
      </c>
      <c r="O1332" s="62">
        <v>1.0</v>
      </c>
      <c r="P1332" s="62">
        <v>2.0</v>
      </c>
      <c r="Q1332" s="62">
        <v>0.0</v>
      </c>
      <c r="R1332" s="62">
        <v>46678.0</v>
      </c>
      <c r="S1332" s="62">
        <v>0.0</v>
      </c>
      <c r="T1332" s="62">
        <v>0.795277777777777</v>
      </c>
      <c r="U1332" s="62">
        <v>0.549166666666666</v>
      </c>
      <c r="V1332" s="62">
        <v>0.71</v>
      </c>
      <c r="W1332" s="62">
        <v>0.956111111111111</v>
      </c>
      <c r="X1332" s="62">
        <v>0.246111111111111</v>
      </c>
      <c r="Y1332" s="62">
        <v>0.71</v>
      </c>
      <c r="Z1332" s="62">
        <v>0.0</v>
      </c>
      <c r="AA1332" s="62">
        <v>0.0</v>
      </c>
      <c r="AB1332" s="62">
        <v>0.4675</v>
      </c>
      <c r="AC1332" s="62">
        <v>0.4675</v>
      </c>
      <c r="AD1332" s="62">
        <v>0.259722222222222</v>
      </c>
      <c r="AE1332" s="62">
        <v>0.4675</v>
      </c>
      <c r="AF1332" s="62">
        <v>3.0</v>
      </c>
    </row>
    <row r="1333">
      <c r="A1333" s="68">
        <v>46028.0</v>
      </c>
      <c r="B1333" s="62" t="s">
        <v>76</v>
      </c>
      <c r="C1333" s="62" t="s">
        <v>165</v>
      </c>
      <c r="D1333" s="62">
        <v>0.0</v>
      </c>
      <c r="E1333" s="62">
        <v>7.0</v>
      </c>
      <c r="F1333" s="62">
        <v>3.0</v>
      </c>
      <c r="G1333" s="62">
        <v>2.0</v>
      </c>
      <c r="H1333" s="62">
        <v>5.0</v>
      </c>
      <c r="I1333" s="62">
        <v>3.0</v>
      </c>
      <c r="J1333" s="62">
        <v>3.0</v>
      </c>
      <c r="K1333" s="62">
        <v>0.0</v>
      </c>
      <c r="L1333" s="62">
        <v>0.0</v>
      </c>
      <c r="M1333" s="62">
        <v>3.0</v>
      </c>
      <c r="N1333" s="62">
        <v>1.0</v>
      </c>
      <c r="O1333" s="62">
        <v>1.0</v>
      </c>
      <c r="P1333" s="62">
        <v>1.0</v>
      </c>
      <c r="Q1333" s="62">
        <v>0.0</v>
      </c>
      <c r="R1333" s="62">
        <v>0.0</v>
      </c>
      <c r="S1333" s="62">
        <v>17546.0</v>
      </c>
      <c r="T1333" s="62">
        <v>0.978333333333333</v>
      </c>
      <c r="U1333" s="62">
        <v>0.745</v>
      </c>
      <c r="V1333" s="62">
        <v>0.494166666666666</v>
      </c>
      <c r="W1333" s="62">
        <v>1.21388888888888</v>
      </c>
      <c r="X1333" s="62">
        <v>0.719722222222222</v>
      </c>
      <c r="Y1333" s="62">
        <v>0.723055555555555</v>
      </c>
      <c r="Z1333" s="62">
        <v>0.0</v>
      </c>
      <c r="AA1333" s="62">
        <v>0.0</v>
      </c>
      <c r="AB1333" s="62">
        <v>0.719166666666666</v>
      </c>
      <c r="AC1333" s="62">
        <v>0.238611111111111</v>
      </c>
      <c r="AD1333" s="62">
        <v>0.231111111111111</v>
      </c>
      <c r="AE1333" s="62">
        <v>0.238611111111111</v>
      </c>
      <c r="AF1333" s="62">
        <v>4.0</v>
      </c>
    </row>
    <row r="1334">
      <c r="A1334" s="68">
        <v>46028.0</v>
      </c>
      <c r="B1334" s="62" t="s">
        <v>32</v>
      </c>
      <c r="C1334" s="62" t="s">
        <v>168</v>
      </c>
      <c r="D1334" s="62">
        <v>0.0</v>
      </c>
      <c r="E1334" s="62">
        <v>3.0</v>
      </c>
      <c r="F1334" s="62">
        <v>1.0</v>
      </c>
      <c r="G1334" s="62">
        <v>0.0</v>
      </c>
      <c r="H1334" s="62">
        <v>3.0</v>
      </c>
      <c r="I1334" s="62">
        <v>2.0</v>
      </c>
      <c r="J1334" s="62">
        <v>5.0</v>
      </c>
      <c r="K1334" s="62">
        <v>0.0</v>
      </c>
      <c r="L1334" s="62">
        <v>0.0</v>
      </c>
      <c r="M1334" s="62">
        <v>4.0</v>
      </c>
      <c r="N1334" s="62">
        <v>1.0</v>
      </c>
      <c r="O1334" s="62">
        <v>1.0</v>
      </c>
      <c r="P1334" s="62">
        <v>1.0</v>
      </c>
      <c r="Q1334" s="62">
        <v>0.0</v>
      </c>
      <c r="R1334" s="62">
        <v>0.0</v>
      </c>
      <c r="S1334" s="62">
        <v>8271.0</v>
      </c>
      <c r="T1334" s="62">
        <v>0.771388888888888</v>
      </c>
      <c r="U1334" s="62">
        <v>0.256944444444444</v>
      </c>
      <c r="V1334" s="62">
        <v>0.0</v>
      </c>
      <c r="W1334" s="62">
        <v>0.771666666666666</v>
      </c>
      <c r="X1334" s="62">
        <v>0.514444444444444</v>
      </c>
      <c r="Y1334" s="62">
        <v>1.28416666666666</v>
      </c>
      <c r="Z1334" s="62">
        <v>0.0</v>
      </c>
      <c r="AA1334" s="62">
        <v>0.0</v>
      </c>
      <c r="AB1334" s="62">
        <v>1.02916666666666</v>
      </c>
      <c r="AC1334" s="62">
        <v>0.249444444444444</v>
      </c>
      <c r="AD1334" s="62">
        <v>0.215833333333333</v>
      </c>
      <c r="AE1334" s="62">
        <v>0.249444444444444</v>
      </c>
      <c r="AF1334" s="62">
        <v>3.0</v>
      </c>
    </row>
    <row r="1335">
      <c r="A1335" s="68">
        <v>46028.0</v>
      </c>
      <c r="B1335" s="62" t="s">
        <v>26</v>
      </c>
      <c r="C1335" s="62" t="s">
        <v>178</v>
      </c>
      <c r="D1335" s="62">
        <v>7.0</v>
      </c>
      <c r="E1335" s="62">
        <v>3.0</v>
      </c>
      <c r="F1335" s="62">
        <v>4.0</v>
      </c>
      <c r="G1335" s="62">
        <v>0.0</v>
      </c>
      <c r="H1335" s="62">
        <v>4.0</v>
      </c>
      <c r="I1335" s="62">
        <v>4.0</v>
      </c>
      <c r="J1335" s="62">
        <v>4.0</v>
      </c>
      <c r="K1335" s="62">
        <v>0.0</v>
      </c>
      <c r="L1335" s="62">
        <v>0.0</v>
      </c>
      <c r="M1335" s="62">
        <v>2.0</v>
      </c>
      <c r="N1335" s="62">
        <v>0.0</v>
      </c>
      <c r="O1335" s="62">
        <v>1.0</v>
      </c>
      <c r="P1335" s="62">
        <v>0.0</v>
      </c>
      <c r="Q1335" s="62">
        <v>0.0</v>
      </c>
      <c r="R1335" s="62">
        <v>17523.0</v>
      </c>
      <c r="S1335" s="62">
        <v>6209.0</v>
      </c>
      <c r="T1335" s="62">
        <v>0.776666666666666</v>
      </c>
      <c r="U1335" s="62">
        <v>0.820555555555555</v>
      </c>
      <c r="V1335" s="62">
        <v>0.0</v>
      </c>
      <c r="W1335" s="62">
        <v>0.806666666666666</v>
      </c>
      <c r="X1335" s="62">
        <v>0.806666666666666</v>
      </c>
      <c r="Y1335" s="62">
        <v>0.810555555555555</v>
      </c>
      <c r="Z1335" s="62">
        <v>0.0</v>
      </c>
      <c r="AA1335" s="62">
        <v>0.0</v>
      </c>
      <c r="AB1335" s="62">
        <v>0.401944444444444</v>
      </c>
      <c r="AC1335" s="62">
        <v>0.0</v>
      </c>
      <c r="AD1335" s="62">
        <v>0.201111111111111</v>
      </c>
      <c r="AE1335" s="62">
        <v>0.0</v>
      </c>
      <c r="AF1335" s="62">
        <v>4.0</v>
      </c>
    </row>
    <row r="1336">
      <c r="A1336" s="68">
        <v>46027.0</v>
      </c>
      <c r="B1336" s="62" t="s">
        <v>71</v>
      </c>
      <c r="C1336" s="62" t="s">
        <v>163</v>
      </c>
      <c r="D1336" s="62">
        <v>0.0</v>
      </c>
      <c r="E1336" s="62">
        <v>0.0</v>
      </c>
      <c r="F1336" s="62">
        <v>4.0</v>
      </c>
      <c r="G1336" s="62">
        <v>1.0</v>
      </c>
      <c r="H1336" s="62">
        <v>1.0</v>
      </c>
      <c r="I1336" s="62">
        <v>0.0</v>
      </c>
      <c r="J1336" s="62">
        <v>2.0</v>
      </c>
      <c r="K1336" s="62">
        <v>1.0</v>
      </c>
      <c r="L1336" s="62">
        <v>1.0</v>
      </c>
      <c r="M1336" s="62">
        <v>3.0</v>
      </c>
      <c r="N1336" s="62">
        <v>3.0</v>
      </c>
      <c r="O1336" s="62">
        <v>1.0</v>
      </c>
      <c r="P1336" s="62">
        <v>3.0</v>
      </c>
      <c r="Q1336" s="62">
        <v>0.0</v>
      </c>
      <c r="R1336" s="62">
        <v>0.0</v>
      </c>
      <c r="S1336" s="62">
        <v>0.0</v>
      </c>
      <c r="T1336" s="62">
        <v>0.963333333333333</v>
      </c>
      <c r="U1336" s="62">
        <v>0.963333333333333</v>
      </c>
      <c r="V1336" s="62">
        <v>0.250833333333333</v>
      </c>
      <c r="W1336" s="62">
        <v>0.250833333333333</v>
      </c>
      <c r="X1336" s="62">
        <v>0.0</v>
      </c>
      <c r="Y1336" s="62">
        <v>0.511666666666666</v>
      </c>
      <c r="Z1336" s="62">
        <v>0.261666666666666</v>
      </c>
      <c r="AA1336" s="62">
        <v>0.261666666666666</v>
      </c>
      <c r="AB1336" s="62">
        <v>0.773333333333333</v>
      </c>
      <c r="AC1336" s="62">
        <v>0.773333333333333</v>
      </c>
      <c r="AD1336" s="62">
        <v>0.291111111111111</v>
      </c>
      <c r="AE1336" s="62">
        <v>0.773333333333333</v>
      </c>
      <c r="AF1336" s="62">
        <v>4.0</v>
      </c>
    </row>
    <row r="1337">
      <c r="A1337" s="68">
        <v>46027.0</v>
      </c>
      <c r="B1337" s="62" t="s">
        <v>76</v>
      </c>
      <c r="C1337" s="62" t="s">
        <v>165</v>
      </c>
      <c r="D1337" s="62">
        <v>0.0</v>
      </c>
      <c r="E1337" s="62">
        <v>9.0</v>
      </c>
      <c r="F1337" s="62">
        <v>0.0</v>
      </c>
      <c r="G1337" s="62">
        <v>3.0</v>
      </c>
      <c r="H1337" s="62">
        <v>3.0</v>
      </c>
      <c r="I1337" s="62">
        <v>0.0</v>
      </c>
      <c r="J1337" s="62">
        <v>3.0</v>
      </c>
      <c r="K1337" s="62">
        <v>1.0</v>
      </c>
      <c r="L1337" s="62">
        <v>1.0</v>
      </c>
      <c r="M1337" s="62">
        <v>2.0</v>
      </c>
      <c r="N1337" s="62">
        <v>1.0</v>
      </c>
      <c r="O1337" s="62">
        <v>1.0</v>
      </c>
      <c r="P1337" s="62">
        <v>1.0</v>
      </c>
      <c r="Q1337" s="62">
        <v>0.0</v>
      </c>
      <c r="R1337" s="62">
        <v>0.0</v>
      </c>
      <c r="S1337" s="62">
        <v>22522.0</v>
      </c>
      <c r="T1337" s="62">
        <v>0.971111111111111</v>
      </c>
      <c r="U1337" s="62">
        <v>0.0</v>
      </c>
      <c r="V1337" s="62">
        <v>0.693611111111111</v>
      </c>
      <c r="W1337" s="62">
        <v>0.693611111111111</v>
      </c>
      <c r="X1337" s="62">
        <v>0.0</v>
      </c>
      <c r="Y1337" s="62">
        <v>0.693611111111111</v>
      </c>
      <c r="Z1337" s="62">
        <v>0.238611111111111</v>
      </c>
      <c r="AA1337" s="62">
        <v>0.238611111111111</v>
      </c>
      <c r="AB1337" s="62">
        <v>0.455</v>
      </c>
      <c r="AC1337" s="62">
        <v>0.216111111111111</v>
      </c>
      <c r="AD1337" s="62">
        <v>0.231666666666666</v>
      </c>
      <c r="AE1337" s="62">
        <v>0.216111111111111</v>
      </c>
      <c r="AF1337" s="62">
        <v>4.0</v>
      </c>
    </row>
    <row r="1338">
      <c r="A1338" s="68">
        <v>46027.0</v>
      </c>
      <c r="B1338" s="62" t="s">
        <v>32</v>
      </c>
      <c r="C1338" s="62" t="s">
        <v>168</v>
      </c>
      <c r="D1338" s="62">
        <v>0.0</v>
      </c>
      <c r="E1338" s="62">
        <v>3.0</v>
      </c>
      <c r="F1338" s="62">
        <v>0.0</v>
      </c>
      <c r="G1338" s="62">
        <v>0.0</v>
      </c>
      <c r="H1338" s="62">
        <v>3.0</v>
      </c>
      <c r="I1338" s="62">
        <v>3.0</v>
      </c>
      <c r="J1338" s="62">
        <v>2.0</v>
      </c>
      <c r="K1338" s="62">
        <v>0.0</v>
      </c>
      <c r="L1338" s="62">
        <v>0.0</v>
      </c>
      <c r="M1338" s="62">
        <v>0.0</v>
      </c>
      <c r="N1338" s="62">
        <v>1.0</v>
      </c>
      <c r="O1338" s="62">
        <v>1.0</v>
      </c>
      <c r="P1338" s="62">
        <v>1.0</v>
      </c>
      <c r="Q1338" s="62">
        <v>0.0</v>
      </c>
      <c r="R1338" s="62">
        <v>0.0</v>
      </c>
      <c r="S1338" s="62">
        <v>7777.0</v>
      </c>
      <c r="T1338" s="62">
        <v>0.782222222222222</v>
      </c>
      <c r="U1338" s="62">
        <v>0.0</v>
      </c>
      <c r="V1338" s="62">
        <v>0.0</v>
      </c>
      <c r="W1338" s="62">
        <v>0.782222222222222</v>
      </c>
      <c r="X1338" s="62">
        <v>0.782222222222222</v>
      </c>
      <c r="Y1338" s="62">
        <v>0.515833333333333</v>
      </c>
      <c r="Z1338" s="62">
        <v>0.0</v>
      </c>
      <c r="AA1338" s="62">
        <v>0.0</v>
      </c>
      <c r="AB1338" s="62">
        <v>0.0</v>
      </c>
      <c r="AC1338" s="62">
        <v>0.256944444444444</v>
      </c>
      <c r="AD1338" s="62">
        <v>0.206111111111111</v>
      </c>
      <c r="AE1338" s="62">
        <v>0.256944444444444</v>
      </c>
      <c r="AF1338" s="62">
        <v>3.0</v>
      </c>
    </row>
    <row r="1339">
      <c r="A1339" s="68">
        <v>46027.0</v>
      </c>
      <c r="B1339" s="62" t="s">
        <v>26</v>
      </c>
      <c r="C1339" s="62" t="s">
        <v>178</v>
      </c>
      <c r="D1339" s="62">
        <v>1.0</v>
      </c>
      <c r="E1339" s="62">
        <v>4.0</v>
      </c>
      <c r="F1339" s="62">
        <v>0.0</v>
      </c>
      <c r="G1339" s="62">
        <v>0.0</v>
      </c>
      <c r="H1339" s="62">
        <v>0.0</v>
      </c>
      <c r="I1339" s="62">
        <v>0.0</v>
      </c>
      <c r="J1339" s="62">
        <v>2.0</v>
      </c>
      <c r="K1339" s="62">
        <v>2.0</v>
      </c>
      <c r="L1339" s="62">
        <v>2.0</v>
      </c>
      <c r="M1339" s="62">
        <v>0.0</v>
      </c>
      <c r="N1339" s="62">
        <v>1.0</v>
      </c>
      <c r="O1339" s="62">
        <v>1.0</v>
      </c>
      <c r="P1339" s="62">
        <v>1.0</v>
      </c>
      <c r="Q1339" s="62">
        <v>0.0</v>
      </c>
      <c r="R1339" s="62">
        <v>2092.0</v>
      </c>
      <c r="S1339" s="62">
        <v>6129.0</v>
      </c>
      <c r="T1339" s="62">
        <v>1.62722222222222</v>
      </c>
      <c r="U1339" s="62">
        <v>0.0</v>
      </c>
      <c r="V1339" s="62">
        <v>0.0</v>
      </c>
      <c r="W1339" s="62">
        <v>0.0</v>
      </c>
      <c r="X1339" s="62">
        <v>0.0</v>
      </c>
      <c r="Y1339" s="62">
        <v>0.401666666666666</v>
      </c>
      <c r="Z1339" s="62">
        <v>0.401666666666666</v>
      </c>
      <c r="AA1339" s="62">
        <v>0.401944444444444</v>
      </c>
      <c r="AB1339" s="62">
        <v>0.0</v>
      </c>
      <c r="AC1339" s="62">
        <v>0.193888888888888</v>
      </c>
      <c r="AD1339" s="62">
        <v>0.195555555555555</v>
      </c>
      <c r="AE1339" s="62">
        <v>0.193888888888888</v>
      </c>
      <c r="AF1339" s="62">
        <v>8.0</v>
      </c>
    </row>
    <row r="1340">
      <c r="A1340" s="68">
        <v>46025.0</v>
      </c>
      <c r="B1340" s="62" t="s">
        <v>26</v>
      </c>
      <c r="C1340" s="62" t="s">
        <v>178</v>
      </c>
      <c r="D1340" s="62">
        <v>0.0</v>
      </c>
      <c r="E1340" s="62">
        <v>3.0</v>
      </c>
      <c r="F1340" s="62">
        <v>0.0</v>
      </c>
      <c r="G1340" s="62">
        <v>0.0</v>
      </c>
      <c r="H1340" s="62">
        <v>0.0</v>
      </c>
      <c r="I1340" s="62">
        <v>0.0</v>
      </c>
      <c r="J1340" s="62">
        <v>0.0</v>
      </c>
      <c r="K1340" s="62">
        <v>0.0</v>
      </c>
      <c r="L1340" s="62">
        <v>0.0</v>
      </c>
      <c r="M1340" s="62">
        <v>0.0</v>
      </c>
      <c r="N1340" s="62">
        <v>0.0</v>
      </c>
      <c r="O1340" s="62">
        <v>1.0</v>
      </c>
      <c r="P1340" s="62">
        <v>0.0</v>
      </c>
      <c r="Q1340" s="62">
        <v>0.0</v>
      </c>
      <c r="R1340" s="62">
        <v>0.0</v>
      </c>
      <c r="S1340" s="62">
        <v>6272.0</v>
      </c>
      <c r="T1340" s="62">
        <v>0.0</v>
      </c>
      <c r="U1340" s="62">
        <v>0.0</v>
      </c>
      <c r="V1340" s="62">
        <v>0.0</v>
      </c>
      <c r="W1340" s="62">
        <v>0.0</v>
      </c>
      <c r="X1340" s="62">
        <v>0.0</v>
      </c>
      <c r="Y1340" s="62">
        <v>0.0</v>
      </c>
      <c r="Z1340" s="62">
        <v>0.0</v>
      </c>
      <c r="AA1340" s="62">
        <v>0.0</v>
      </c>
      <c r="AB1340" s="62">
        <v>0.0</v>
      </c>
      <c r="AC1340" s="62">
        <v>0.0</v>
      </c>
      <c r="AD1340" s="62">
        <v>0.2125</v>
      </c>
      <c r="AE1340" s="62">
        <v>0.0</v>
      </c>
      <c r="AF1340" s="62">
        <v>0.0</v>
      </c>
    </row>
    <row r="1341">
      <c r="A1341" s="68">
        <v>46024.0</v>
      </c>
      <c r="B1341" s="62" t="s">
        <v>71</v>
      </c>
      <c r="C1341" s="62" t="s">
        <v>163</v>
      </c>
      <c r="D1341" s="62">
        <v>1.0</v>
      </c>
      <c r="E1341" s="62">
        <v>4.0</v>
      </c>
      <c r="F1341" s="62">
        <v>1.0</v>
      </c>
      <c r="G1341" s="62">
        <v>2.0</v>
      </c>
      <c r="H1341" s="62">
        <v>3.0</v>
      </c>
      <c r="I1341" s="62">
        <v>1.0</v>
      </c>
      <c r="J1341" s="62">
        <v>2.0</v>
      </c>
      <c r="K1341" s="62">
        <v>0.0</v>
      </c>
      <c r="L1341" s="62">
        <v>0.0</v>
      </c>
      <c r="M1341" s="62">
        <v>1.0</v>
      </c>
      <c r="N1341" s="62">
        <v>1.0</v>
      </c>
      <c r="O1341" s="62">
        <v>1.0</v>
      </c>
      <c r="P1341" s="62">
        <v>1.0</v>
      </c>
      <c r="Q1341" s="62">
        <v>0.0</v>
      </c>
      <c r="R1341" s="62">
        <v>2840.0</v>
      </c>
      <c r="S1341" s="62">
        <v>11937.0</v>
      </c>
      <c r="T1341" s="62">
        <v>0.0</v>
      </c>
      <c r="U1341" s="62">
        <v>0.251388888888888</v>
      </c>
      <c r="V1341" s="62">
        <v>0.511388888888888</v>
      </c>
      <c r="W1341" s="62">
        <v>0.772222222222222</v>
      </c>
      <c r="X1341" s="62">
        <v>0.260833333333333</v>
      </c>
      <c r="Y1341" s="62">
        <v>0.511388888888888</v>
      </c>
      <c r="Z1341" s="62">
        <v>0.0</v>
      </c>
      <c r="AA1341" s="62">
        <v>0.0</v>
      </c>
      <c r="AB1341" s="62">
        <v>0.249722222222222</v>
      </c>
      <c r="AC1341" s="62">
        <v>0.249722222222222</v>
      </c>
      <c r="AD1341" s="62">
        <v>0.259444444444444</v>
      </c>
      <c r="AE1341" s="62">
        <v>0.249722222222222</v>
      </c>
      <c r="AF1341" s="62">
        <v>0.0</v>
      </c>
    </row>
    <row r="1342">
      <c r="A1342" s="68">
        <v>46024.0</v>
      </c>
      <c r="B1342" s="62" t="s">
        <v>76</v>
      </c>
      <c r="C1342" s="62" t="s">
        <v>165</v>
      </c>
      <c r="D1342" s="62">
        <v>17.0</v>
      </c>
      <c r="E1342" s="62">
        <v>3.0</v>
      </c>
      <c r="F1342" s="62">
        <v>2.0</v>
      </c>
      <c r="G1342" s="62">
        <v>1.0</v>
      </c>
      <c r="H1342" s="62">
        <v>1.0</v>
      </c>
      <c r="I1342" s="62">
        <v>0.0</v>
      </c>
      <c r="J1342" s="62">
        <v>2.0</v>
      </c>
      <c r="K1342" s="62">
        <v>1.0</v>
      </c>
      <c r="L1342" s="62">
        <v>1.0</v>
      </c>
      <c r="M1342" s="62">
        <v>6.0</v>
      </c>
      <c r="N1342" s="62">
        <v>6.0</v>
      </c>
      <c r="O1342" s="62">
        <v>1.0</v>
      </c>
      <c r="P1342" s="62">
        <v>6.0</v>
      </c>
      <c r="Q1342" s="62">
        <v>0.0</v>
      </c>
      <c r="R1342" s="62">
        <v>46935.0</v>
      </c>
      <c r="S1342" s="62">
        <v>7398.0</v>
      </c>
      <c r="T1342" s="62">
        <v>0.0</v>
      </c>
      <c r="U1342" s="62">
        <v>0.476111111111111</v>
      </c>
      <c r="V1342" s="62">
        <v>0.235555555555555</v>
      </c>
      <c r="W1342" s="62">
        <v>0.235555555555555</v>
      </c>
      <c r="X1342" s="62">
        <v>0.0</v>
      </c>
      <c r="Y1342" s="62">
        <v>0.4475</v>
      </c>
      <c r="Z1342" s="62">
        <v>0.242777777777777</v>
      </c>
      <c r="AA1342" s="62">
        <v>0.242777777777777</v>
      </c>
      <c r="AB1342" s="62">
        <v>1.40333333333333</v>
      </c>
      <c r="AC1342" s="62">
        <v>1.40333333333333</v>
      </c>
      <c r="AD1342" s="62">
        <v>0.239444444444444</v>
      </c>
      <c r="AE1342" s="62">
        <v>1.40333333333333</v>
      </c>
      <c r="AF1342" s="62">
        <v>0.0</v>
      </c>
    </row>
    <row r="1343">
      <c r="A1343" s="68">
        <v>46024.0</v>
      </c>
      <c r="B1343" s="62" t="s">
        <v>32</v>
      </c>
      <c r="C1343" s="62" t="s">
        <v>168</v>
      </c>
      <c r="D1343" s="62">
        <v>0.0</v>
      </c>
      <c r="E1343" s="62">
        <v>3.0</v>
      </c>
      <c r="F1343" s="62">
        <v>1.0</v>
      </c>
      <c r="G1343" s="62">
        <v>0.0</v>
      </c>
      <c r="H1343" s="62">
        <v>3.0</v>
      </c>
      <c r="I1343" s="62">
        <v>2.0</v>
      </c>
      <c r="J1343" s="62">
        <v>3.0</v>
      </c>
      <c r="K1343" s="62">
        <v>0.0</v>
      </c>
      <c r="L1343" s="62">
        <v>0.0</v>
      </c>
      <c r="M1343" s="62">
        <v>5.0</v>
      </c>
      <c r="N1343" s="62">
        <v>4.0</v>
      </c>
      <c r="O1343" s="62">
        <v>1.0</v>
      </c>
      <c r="P1343" s="62">
        <v>4.0</v>
      </c>
      <c r="Q1343" s="62">
        <v>0.0</v>
      </c>
      <c r="R1343" s="62">
        <v>0.0</v>
      </c>
      <c r="S1343" s="62">
        <v>8096.0</v>
      </c>
      <c r="T1343" s="62">
        <v>0.788333333333333</v>
      </c>
      <c r="U1343" s="62">
        <v>0.280277777777777</v>
      </c>
      <c r="V1343" s="62">
        <v>0.0</v>
      </c>
      <c r="W1343" s="62">
        <v>0.786388888888888</v>
      </c>
      <c r="X1343" s="62">
        <v>0.508055555555555</v>
      </c>
      <c r="Y1343" s="62">
        <v>0.774166666666666</v>
      </c>
      <c r="Z1343" s="62">
        <v>0.0</v>
      </c>
      <c r="AA1343" s="62">
        <v>0.0</v>
      </c>
      <c r="AB1343" s="62">
        <v>1.27305555555555</v>
      </c>
      <c r="AC1343" s="62">
        <v>1.01611111111111</v>
      </c>
      <c r="AD1343" s="62">
        <v>0.216944444444444</v>
      </c>
      <c r="AE1343" s="62">
        <v>1.01611111111111</v>
      </c>
      <c r="AF1343" s="62">
        <v>3.0</v>
      </c>
    </row>
    <row r="1344">
      <c r="A1344" s="68">
        <v>46024.0</v>
      </c>
      <c r="B1344" s="62" t="s">
        <v>26</v>
      </c>
      <c r="C1344" s="62" t="s">
        <v>178</v>
      </c>
      <c r="D1344" s="62">
        <v>12.0</v>
      </c>
      <c r="E1344" s="62">
        <v>0.0</v>
      </c>
      <c r="F1344" s="62">
        <v>0.0</v>
      </c>
      <c r="G1344" s="62">
        <v>2.0</v>
      </c>
      <c r="H1344" s="62">
        <v>2.0</v>
      </c>
      <c r="I1344" s="62">
        <v>0.0</v>
      </c>
      <c r="J1344" s="62">
        <v>1.0</v>
      </c>
      <c r="K1344" s="62">
        <v>1.0</v>
      </c>
      <c r="L1344" s="62">
        <v>1.0</v>
      </c>
      <c r="M1344" s="62">
        <v>5.0</v>
      </c>
      <c r="N1344" s="62">
        <v>3.0</v>
      </c>
      <c r="O1344" s="62">
        <v>1.0</v>
      </c>
      <c r="P1344" s="62">
        <v>3.0</v>
      </c>
      <c r="Q1344" s="62">
        <v>0.0</v>
      </c>
      <c r="R1344" s="62">
        <v>28726.0</v>
      </c>
      <c r="S1344" s="62">
        <v>0.0</v>
      </c>
      <c r="T1344" s="62">
        <v>0.0</v>
      </c>
      <c r="U1344" s="62">
        <v>0.0</v>
      </c>
      <c r="V1344" s="62">
        <v>0.401666666666666</v>
      </c>
      <c r="W1344" s="62">
        <v>0.401666666666666</v>
      </c>
      <c r="X1344" s="62">
        <v>0.0</v>
      </c>
      <c r="Y1344" s="62">
        <v>0.207777777777777</v>
      </c>
      <c r="Z1344" s="62">
        <v>0.184166666666666</v>
      </c>
      <c r="AA1344" s="62">
        <v>0.184166666666666</v>
      </c>
      <c r="AB1344" s="62">
        <v>1.01277777777777</v>
      </c>
      <c r="AC1344" s="62">
        <v>0.593888888888888</v>
      </c>
      <c r="AD1344" s="62">
        <v>0.218888888888888</v>
      </c>
      <c r="AE1344" s="62">
        <v>0.593888888888888</v>
      </c>
      <c r="AF1344" s="62">
        <v>0.0</v>
      </c>
    </row>
    <row r="1345">
      <c r="A1345" s="68">
        <v>46023.0</v>
      </c>
      <c r="B1345" s="62" t="s">
        <v>26</v>
      </c>
      <c r="C1345" s="62" t="s">
        <v>178</v>
      </c>
      <c r="D1345" s="62">
        <v>0.0</v>
      </c>
      <c r="E1345" s="62">
        <v>3.0</v>
      </c>
      <c r="F1345" s="62">
        <v>0.0</v>
      </c>
      <c r="G1345" s="62">
        <v>0.0</v>
      </c>
      <c r="H1345" s="62">
        <v>0.0</v>
      </c>
      <c r="I1345" s="62">
        <v>0.0</v>
      </c>
      <c r="J1345" s="62">
        <v>0.0</v>
      </c>
      <c r="K1345" s="62">
        <v>0.0</v>
      </c>
      <c r="L1345" s="62">
        <v>0.0</v>
      </c>
      <c r="M1345" s="62">
        <v>0.0</v>
      </c>
      <c r="N1345" s="62">
        <v>0.0</v>
      </c>
      <c r="O1345" s="62">
        <v>1.0</v>
      </c>
      <c r="P1345" s="62">
        <v>0.0</v>
      </c>
      <c r="Q1345" s="62">
        <v>0.0</v>
      </c>
      <c r="R1345" s="62">
        <v>0.0</v>
      </c>
      <c r="S1345" s="62">
        <v>6684.0</v>
      </c>
      <c r="T1345" s="62">
        <v>0.0</v>
      </c>
      <c r="U1345" s="62">
        <v>0.0</v>
      </c>
      <c r="V1345" s="62">
        <v>0.0</v>
      </c>
      <c r="W1345" s="62">
        <v>0.0</v>
      </c>
      <c r="X1345" s="62">
        <v>0.0</v>
      </c>
      <c r="Y1345" s="62">
        <v>0.0</v>
      </c>
      <c r="Z1345" s="62">
        <v>0.0</v>
      </c>
      <c r="AA1345" s="62">
        <v>0.0</v>
      </c>
      <c r="AB1345" s="62">
        <v>0.0</v>
      </c>
      <c r="AC1345" s="62">
        <v>0.0</v>
      </c>
      <c r="AD1345" s="62">
        <v>0.205277777777777</v>
      </c>
      <c r="AE1345" s="62">
        <v>0.0</v>
      </c>
      <c r="AF1345" s="62">
        <v>0.0</v>
      </c>
    </row>
    <row r="1346">
      <c r="A1346" s="68">
        <v>46022.0</v>
      </c>
      <c r="B1346" s="62" t="s">
        <v>71</v>
      </c>
      <c r="C1346" s="62" t="s">
        <v>163</v>
      </c>
      <c r="D1346" s="62">
        <v>4.0</v>
      </c>
      <c r="E1346" s="62">
        <v>8.0</v>
      </c>
      <c r="F1346" s="62">
        <v>2.0</v>
      </c>
      <c r="G1346" s="62">
        <v>2.0</v>
      </c>
      <c r="H1346" s="62">
        <v>2.0</v>
      </c>
      <c r="I1346" s="62">
        <v>0.0</v>
      </c>
      <c r="J1346" s="62">
        <v>2.0</v>
      </c>
      <c r="K1346" s="62">
        <v>0.0</v>
      </c>
      <c r="L1346" s="62">
        <v>0.0</v>
      </c>
      <c r="M1346" s="62">
        <v>2.0</v>
      </c>
      <c r="N1346" s="62">
        <v>4.0</v>
      </c>
      <c r="O1346" s="62">
        <v>1.0</v>
      </c>
      <c r="P1346" s="62">
        <v>4.0</v>
      </c>
      <c r="Q1346" s="62">
        <v>0.0</v>
      </c>
      <c r="R1346" s="62">
        <v>11937.0</v>
      </c>
      <c r="S1346" s="62">
        <v>22621.0</v>
      </c>
      <c r="T1346" s="62">
        <v>1.02333333333333</v>
      </c>
      <c r="U1346" s="62">
        <v>0.511111111111111</v>
      </c>
      <c r="V1346" s="62">
        <v>0.520277777777777</v>
      </c>
      <c r="W1346" s="62">
        <v>0.520277777777777</v>
      </c>
      <c r="X1346" s="62">
        <v>0.0</v>
      </c>
      <c r="Y1346" s="62">
        <v>0.520277777777777</v>
      </c>
      <c r="Z1346" s="62">
        <v>0.0</v>
      </c>
      <c r="AA1346" s="62">
        <v>0.0</v>
      </c>
      <c r="AB1346" s="62">
        <v>0.520277777777777</v>
      </c>
      <c r="AC1346" s="62">
        <v>1.00277777777777</v>
      </c>
      <c r="AD1346" s="62">
        <v>0.26</v>
      </c>
      <c r="AE1346" s="62">
        <v>1.00277777777777</v>
      </c>
      <c r="AF1346" s="62">
        <v>4.0</v>
      </c>
    </row>
    <row r="1347">
      <c r="A1347" s="68">
        <v>46022.0</v>
      </c>
      <c r="B1347" s="62" t="s">
        <v>76</v>
      </c>
      <c r="C1347" s="62" t="s">
        <v>165</v>
      </c>
      <c r="D1347" s="62">
        <v>0.0</v>
      </c>
      <c r="E1347" s="62">
        <v>2.0</v>
      </c>
      <c r="F1347" s="62">
        <v>0.0</v>
      </c>
      <c r="G1347" s="62">
        <v>4.0</v>
      </c>
      <c r="H1347" s="62">
        <v>4.0</v>
      </c>
      <c r="I1347" s="62">
        <v>0.0</v>
      </c>
      <c r="J1347" s="62">
        <v>7.0</v>
      </c>
      <c r="K1347" s="62">
        <v>0.0</v>
      </c>
      <c r="L1347" s="62">
        <v>0.0</v>
      </c>
      <c r="M1347" s="62">
        <v>4.0</v>
      </c>
      <c r="N1347" s="62">
        <v>4.0</v>
      </c>
      <c r="O1347" s="62">
        <v>1.0</v>
      </c>
      <c r="P1347" s="62">
        <v>4.0</v>
      </c>
      <c r="Q1347" s="62">
        <v>0.0</v>
      </c>
      <c r="R1347" s="62">
        <v>0.0</v>
      </c>
      <c r="S1347" s="62">
        <v>5014.0</v>
      </c>
      <c r="T1347" s="62">
        <v>0.476111111111111</v>
      </c>
      <c r="U1347" s="62">
        <v>0.0</v>
      </c>
      <c r="V1347" s="62">
        <v>0.955833333333333</v>
      </c>
      <c r="W1347" s="62">
        <v>0.955833333333333</v>
      </c>
      <c r="X1347" s="62">
        <v>0.0</v>
      </c>
      <c r="Y1347" s="62">
        <v>1.67555555555555</v>
      </c>
      <c r="Z1347" s="62">
        <v>0.0</v>
      </c>
      <c r="AA1347" s="62">
        <v>0.0</v>
      </c>
      <c r="AB1347" s="62">
        <v>0.980833333333333</v>
      </c>
      <c r="AC1347" s="62">
        <v>0.980833333333333</v>
      </c>
      <c r="AD1347" s="62">
        <v>0.242777777777777</v>
      </c>
      <c r="AE1347" s="62">
        <v>0.980833333333333</v>
      </c>
      <c r="AF1347" s="62">
        <v>2.0</v>
      </c>
    </row>
    <row r="1348">
      <c r="A1348" s="68">
        <v>46022.0</v>
      </c>
      <c r="B1348" s="62" t="s">
        <v>32</v>
      </c>
      <c r="C1348" s="62" t="s">
        <v>168</v>
      </c>
      <c r="D1348" s="62">
        <v>0.0</v>
      </c>
      <c r="E1348" s="62">
        <v>0.0</v>
      </c>
      <c r="F1348" s="62">
        <v>0.0</v>
      </c>
      <c r="G1348" s="62">
        <v>0.0</v>
      </c>
      <c r="H1348" s="62">
        <v>3.0</v>
      </c>
      <c r="I1348" s="62">
        <v>3.0</v>
      </c>
      <c r="J1348" s="62">
        <v>4.0</v>
      </c>
      <c r="K1348" s="62">
        <v>0.0</v>
      </c>
      <c r="L1348" s="62">
        <v>0.0</v>
      </c>
      <c r="M1348" s="62">
        <v>3.0</v>
      </c>
      <c r="N1348" s="62">
        <v>3.0</v>
      </c>
      <c r="O1348" s="62">
        <v>1.0</v>
      </c>
      <c r="P1348" s="62">
        <v>3.0</v>
      </c>
      <c r="Q1348" s="62">
        <v>0.0</v>
      </c>
      <c r="R1348" s="62">
        <v>0.0</v>
      </c>
      <c r="S1348" s="62">
        <v>0.0</v>
      </c>
      <c r="T1348" s="62">
        <v>0.24</v>
      </c>
      <c r="U1348" s="62">
        <v>0.0</v>
      </c>
      <c r="V1348" s="62">
        <v>0.0</v>
      </c>
      <c r="W1348" s="62">
        <v>0.738888888888888</v>
      </c>
      <c r="X1348" s="62">
        <v>0.738888888888888</v>
      </c>
      <c r="Y1348" s="62">
        <v>0.999166666666666</v>
      </c>
      <c r="Z1348" s="62">
        <v>0.0</v>
      </c>
      <c r="AA1348" s="62">
        <v>0.0</v>
      </c>
      <c r="AB1348" s="62">
        <v>0.751944444444444</v>
      </c>
      <c r="AC1348" s="62">
        <v>0.751944444444444</v>
      </c>
      <c r="AD1348" s="62">
        <v>0.218055555555555</v>
      </c>
      <c r="AE1348" s="62">
        <v>0.751944444444444</v>
      </c>
      <c r="AF1348" s="62">
        <v>1.0</v>
      </c>
    </row>
    <row r="1349">
      <c r="A1349" s="68">
        <v>46022.0</v>
      </c>
      <c r="B1349" s="62" t="s">
        <v>26</v>
      </c>
      <c r="C1349" s="62" t="s">
        <v>178</v>
      </c>
      <c r="D1349" s="62">
        <v>0.0</v>
      </c>
      <c r="E1349" s="62">
        <v>0.0</v>
      </c>
      <c r="F1349" s="62">
        <v>2.0</v>
      </c>
      <c r="G1349" s="62">
        <v>4.0</v>
      </c>
      <c r="H1349" s="62">
        <v>5.0</v>
      </c>
      <c r="I1349" s="62">
        <v>1.0</v>
      </c>
      <c r="J1349" s="62">
        <v>5.0</v>
      </c>
      <c r="K1349" s="62">
        <v>0.0</v>
      </c>
      <c r="L1349" s="62">
        <v>1.0</v>
      </c>
      <c r="M1349" s="62">
        <v>3.0</v>
      </c>
      <c r="N1349" s="62">
        <v>5.0</v>
      </c>
      <c r="O1349" s="62">
        <v>1.0</v>
      </c>
      <c r="P1349" s="62">
        <v>5.0</v>
      </c>
      <c r="Q1349" s="62">
        <v>0.0</v>
      </c>
      <c r="R1349" s="62">
        <v>0.0</v>
      </c>
      <c r="S1349" s="62">
        <v>0.0</v>
      </c>
      <c r="T1349" s="62">
        <v>0.601111111111111</v>
      </c>
      <c r="U1349" s="62">
        <v>0.399166666666666</v>
      </c>
      <c r="V1349" s="62">
        <v>0.788333333333333</v>
      </c>
      <c r="W1349" s="62">
        <v>0.990277777777777</v>
      </c>
      <c r="X1349" s="62">
        <v>0.201944444444444</v>
      </c>
      <c r="Y1349" s="62">
        <v>0.989722222222222</v>
      </c>
      <c r="Z1349" s="62">
        <v>0.0</v>
      </c>
      <c r="AA1349" s="62">
        <v>0.191944444444444</v>
      </c>
      <c r="AB1349" s="62">
        <v>0.579444444444444</v>
      </c>
      <c r="AC1349" s="62">
        <v>0.979166666666666</v>
      </c>
      <c r="AD1349" s="62">
        <v>0.201111111111111</v>
      </c>
      <c r="AE1349" s="62">
        <v>0.979166666666666</v>
      </c>
      <c r="AF1349" s="62">
        <v>3.0</v>
      </c>
    </row>
    <row r="1350">
      <c r="A1350" s="68">
        <v>46021.0</v>
      </c>
      <c r="B1350" s="62" t="s">
        <v>71</v>
      </c>
      <c r="C1350" s="62" t="s">
        <v>163</v>
      </c>
      <c r="D1350" s="62">
        <v>0.0</v>
      </c>
      <c r="E1350" s="62">
        <v>0.0</v>
      </c>
      <c r="F1350" s="62">
        <v>2.0</v>
      </c>
      <c r="G1350" s="62">
        <v>0.0</v>
      </c>
      <c r="H1350" s="62">
        <v>0.0</v>
      </c>
      <c r="I1350" s="62">
        <v>0.0</v>
      </c>
      <c r="J1350" s="62">
        <v>0.0</v>
      </c>
      <c r="K1350" s="62">
        <v>0.0</v>
      </c>
      <c r="L1350" s="62">
        <v>0.0</v>
      </c>
      <c r="M1350" s="62">
        <v>2.0</v>
      </c>
      <c r="N1350" s="62">
        <v>0.0</v>
      </c>
      <c r="O1350" s="62">
        <v>1.0</v>
      </c>
      <c r="P1350" s="62">
        <v>0.0</v>
      </c>
      <c r="Q1350" s="62">
        <v>0.0</v>
      </c>
      <c r="R1350" s="62">
        <v>0.0</v>
      </c>
      <c r="S1350" s="62">
        <v>0.0</v>
      </c>
      <c r="T1350" s="62">
        <v>0.52</v>
      </c>
      <c r="U1350" s="62">
        <v>0.52</v>
      </c>
      <c r="V1350" s="62">
        <v>0.0</v>
      </c>
      <c r="W1350" s="62">
        <v>0.0</v>
      </c>
      <c r="X1350" s="62">
        <v>0.0</v>
      </c>
      <c r="Y1350" s="62">
        <v>0.0</v>
      </c>
      <c r="Z1350" s="62">
        <v>0.0</v>
      </c>
      <c r="AA1350" s="62">
        <v>0.0</v>
      </c>
      <c r="AB1350" s="62">
        <v>0.4825</v>
      </c>
      <c r="AC1350" s="62">
        <v>0.0</v>
      </c>
      <c r="AD1350" s="62">
        <v>0.231388888888888</v>
      </c>
      <c r="AE1350" s="62">
        <v>0.0</v>
      </c>
      <c r="AF1350" s="62">
        <v>2.0</v>
      </c>
    </row>
    <row r="1351">
      <c r="A1351" s="68">
        <v>46021.0</v>
      </c>
      <c r="B1351" s="62" t="s">
        <v>76</v>
      </c>
      <c r="C1351" s="62" t="s">
        <v>165</v>
      </c>
      <c r="D1351" s="62">
        <v>0.0</v>
      </c>
      <c r="E1351" s="62">
        <v>3.0</v>
      </c>
      <c r="F1351" s="62">
        <v>2.0</v>
      </c>
      <c r="G1351" s="62">
        <v>3.0</v>
      </c>
      <c r="H1351" s="62">
        <v>4.0</v>
      </c>
      <c r="I1351" s="62">
        <v>1.0</v>
      </c>
      <c r="J1351" s="62">
        <v>2.0</v>
      </c>
      <c r="K1351" s="62">
        <v>0.0</v>
      </c>
      <c r="L1351" s="62">
        <v>0.0</v>
      </c>
      <c r="M1351" s="62">
        <v>1.0</v>
      </c>
      <c r="N1351" s="62">
        <v>7.0</v>
      </c>
      <c r="O1351" s="62">
        <v>1.0</v>
      </c>
      <c r="P1351" s="62">
        <v>7.0</v>
      </c>
      <c r="Q1351" s="62">
        <v>0.0</v>
      </c>
      <c r="R1351" s="62">
        <v>0.0</v>
      </c>
      <c r="S1351" s="62">
        <v>7537.0</v>
      </c>
      <c r="T1351" s="62">
        <v>0.661666666666666</v>
      </c>
      <c r="U1351" s="62">
        <v>0.450833333333333</v>
      </c>
      <c r="V1351" s="62">
        <v>0.719722222222222</v>
      </c>
      <c r="W1351" s="62">
        <v>0.930555555555555</v>
      </c>
      <c r="X1351" s="62">
        <v>0.210833333333333</v>
      </c>
      <c r="Y1351" s="62">
        <v>0.486944444444444</v>
      </c>
      <c r="Z1351" s="62">
        <v>0.0</v>
      </c>
      <c r="AA1351" s="62">
        <v>0.0</v>
      </c>
      <c r="AB1351" s="62">
        <v>0.225833333333333</v>
      </c>
      <c r="AC1351" s="62">
        <v>1.58083333333333</v>
      </c>
      <c r="AD1351" s="62">
        <v>0.235277777777777</v>
      </c>
      <c r="AE1351" s="62">
        <v>1.58083333333333</v>
      </c>
      <c r="AF1351" s="62">
        <v>3.0</v>
      </c>
    </row>
    <row r="1352">
      <c r="A1352" s="68">
        <v>46021.0</v>
      </c>
      <c r="B1352" s="62" t="s">
        <v>32</v>
      </c>
      <c r="C1352" s="62" t="s">
        <v>168</v>
      </c>
      <c r="D1352" s="62">
        <v>0.0</v>
      </c>
      <c r="E1352" s="62">
        <v>4.0</v>
      </c>
      <c r="F1352" s="62">
        <v>0.0</v>
      </c>
      <c r="G1352" s="62">
        <v>0.0</v>
      </c>
      <c r="H1352" s="62">
        <v>2.0</v>
      </c>
      <c r="I1352" s="62">
        <v>2.0</v>
      </c>
      <c r="J1352" s="62">
        <v>3.0</v>
      </c>
      <c r="K1352" s="62">
        <v>0.0</v>
      </c>
      <c r="L1352" s="62">
        <v>0.0</v>
      </c>
      <c r="M1352" s="62">
        <v>4.0</v>
      </c>
      <c r="N1352" s="62">
        <v>4.0</v>
      </c>
      <c r="O1352" s="62">
        <v>1.0</v>
      </c>
      <c r="P1352" s="62">
        <v>4.0</v>
      </c>
      <c r="Q1352" s="62">
        <v>0.0</v>
      </c>
      <c r="R1352" s="62">
        <v>0.0</v>
      </c>
      <c r="S1352" s="62">
        <v>10603.0</v>
      </c>
      <c r="T1352" s="62">
        <v>0.998888888888888</v>
      </c>
      <c r="U1352" s="62">
        <v>0.0</v>
      </c>
      <c r="V1352" s="62">
        <v>0.0</v>
      </c>
      <c r="W1352" s="62">
        <v>0.5</v>
      </c>
      <c r="X1352" s="62">
        <v>0.5</v>
      </c>
      <c r="Y1352" s="62">
        <v>0.788055555555555</v>
      </c>
      <c r="Z1352" s="62">
        <v>0.0</v>
      </c>
      <c r="AA1352" s="62">
        <v>0.0</v>
      </c>
      <c r="AB1352" s="62">
        <v>1.04861111111111</v>
      </c>
      <c r="AC1352" s="62">
        <v>1.04861111111111</v>
      </c>
      <c r="AD1352" s="62">
        <v>0.236944444444444</v>
      </c>
      <c r="AE1352" s="62">
        <v>1.04861111111111</v>
      </c>
      <c r="AF1352" s="62">
        <v>4.0</v>
      </c>
    </row>
    <row r="1353">
      <c r="A1353" s="68">
        <v>46021.0</v>
      </c>
      <c r="B1353" s="62" t="s">
        <v>56</v>
      </c>
      <c r="C1353" s="62" t="s">
        <v>176</v>
      </c>
      <c r="D1353" s="62">
        <v>0.0</v>
      </c>
      <c r="E1353" s="62">
        <v>0.0</v>
      </c>
      <c r="F1353" s="62">
        <v>0.0</v>
      </c>
      <c r="G1353" s="62">
        <v>0.0</v>
      </c>
      <c r="H1353" s="62">
        <v>0.0</v>
      </c>
      <c r="I1353" s="62">
        <v>0.0</v>
      </c>
      <c r="J1353" s="62">
        <v>0.0</v>
      </c>
      <c r="K1353" s="62">
        <v>0.0</v>
      </c>
      <c r="L1353" s="62">
        <v>0.0</v>
      </c>
      <c r="M1353" s="62">
        <v>0.0</v>
      </c>
      <c r="N1353" s="62">
        <v>2.0</v>
      </c>
      <c r="O1353" s="62">
        <v>1.0</v>
      </c>
      <c r="P1353" s="62">
        <v>2.0</v>
      </c>
      <c r="Q1353" s="62">
        <v>0.0</v>
      </c>
      <c r="R1353" s="62">
        <v>0.0</v>
      </c>
      <c r="S1353" s="62">
        <v>0.0</v>
      </c>
      <c r="T1353" s="62">
        <v>0.0</v>
      </c>
      <c r="U1353" s="62">
        <v>0.0</v>
      </c>
      <c r="V1353" s="62">
        <v>0.0</v>
      </c>
      <c r="W1353" s="62">
        <v>0.0</v>
      </c>
      <c r="X1353" s="62">
        <v>0.0</v>
      </c>
      <c r="Y1353" s="62">
        <v>0.0</v>
      </c>
      <c r="Z1353" s="62">
        <v>0.0</v>
      </c>
      <c r="AA1353" s="62">
        <v>0.0</v>
      </c>
      <c r="AB1353" s="62">
        <v>0.0</v>
      </c>
      <c r="AC1353" s="62">
        <v>0.466666666666666</v>
      </c>
      <c r="AD1353" s="62">
        <v>0.191111111111111</v>
      </c>
      <c r="AE1353" s="62">
        <v>0.466666666666666</v>
      </c>
      <c r="AF1353" s="62">
        <v>0.0</v>
      </c>
    </row>
    <row r="1354">
      <c r="A1354" s="68">
        <v>46021.0</v>
      </c>
      <c r="B1354" s="62" t="s">
        <v>26</v>
      </c>
      <c r="C1354" s="62" t="s">
        <v>178</v>
      </c>
      <c r="D1354" s="62">
        <v>0.0</v>
      </c>
      <c r="E1354" s="62">
        <v>1.0</v>
      </c>
      <c r="F1354" s="62">
        <v>2.0</v>
      </c>
      <c r="G1354" s="62">
        <v>1.0</v>
      </c>
      <c r="H1354" s="62">
        <v>4.0</v>
      </c>
      <c r="I1354" s="62">
        <v>3.0</v>
      </c>
      <c r="J1354" s="62">
        <v>5.0</v>
      </c>
      <c r="K1354" s="62">
        <v>1.0</v>
      </c>
      <c r="L1354" s="62">
        <v>0.0</v>
      </c>
      <c r="M1354" s="62">
        <v>2.0</v>
      </c>
      <c r="N1354" s="62">
        <v>0.0</v>
      </c>
      <c r="O1354" s="62">
        <v>1.0</v>
      </c>
      <c r="P1354" s="62">
        <v>0.0</v>
      </c>
      <c r="Q1354" s="62">
        <v>0.0</v>
      </c>
      <c r="R1354" s="62">
        <v>0.0</v>
      </c>
      <c r="S1354" s="62">
        <v>2147.0</v>
      </c>
      <c r="T1354" s="62">
        <v>0.976111111111111</v>
      </c>
      <c r="U1354" s="62">
        <v>0.395555555555555</v>
      </c>
      <c r="V1354" s="62">
        <v>0.191944444444444</v>
      </c>
      <c r="W1354" s="62">
        <v>0.7725</v>
      </c>
      <c r="X1354" s="62">
        <v>0.580555555555555</v>
      </c>
      <c r="Y1354" s="62">
        <v>0.978611111111111</v>
      </c>
      <c r="Z1354" s="62">
        <v>0.191944444444444</v>
      </c>
      <c r="AA1354" s="62">
        <v>0.0</v>
      </c>
      <c r="AB1354" s="62">
        <v>0.399722222222222</v>
      </c>
      <c r="AC1354" s="62">
        <v>0.0</v>
      </c>
      <c r="AD1354" s="62">
        <v>0.214444444444444</v>
      </c>
      <c r="AE1354" s="62">
        <v>0.0</v>
      </c>
      <c r="AF1354" s="62">
        <v>5.0</v>
      </c>
    </row>
    <row r="1355">
      <c r="A1355" s="68">
        <v>46020.0</v>
      </c>
      <c r="B1355" s="62" t="s">
        <v>71</v>
      </c>
      <c r="C1355" s="62" t="s">
        <v>163</v>
      </c>
      <c r="D1355" s="62">
        <v>0.0</v>
      </c>
      <c r="E1355" s="62">
        <v>7.0</v>
      </c>
      <c r="F1355" s="62">
        <v>0.0</v>
      </c>
      <c r="G1355" s="62">
        <v>2.0</v>
      </c>
      <c r="H1355" s="62">
        <v>2.0</v>
      </c>
      <c r="I1355" s="62">
        <v>0.0</v>
      </c>
      <c r="J1355" s="62">
        <v>2.0</v>
      </c>
      <c r="K1355" s="62">
        <v>0.0</v>
      </c>
      <c r="L1355" s="62">
        <v>0.0</v>
      </c>
      <c r="M1355" s="62">
        <v>3.0</v>
      </c>
      <c r="N1355" s="62">
        <v>3.0</v>
      </c>
      <c r="O1355" s="62">
        <v>1.0</v>
      </c>
      <c r="P1355" s="62">
        <v>3.0</v>
      </c>
      <c r="Q1355" s="62">
        <v>0.0</v>
      </c>
      <c r="R1355" s="62">
        <v>0.0</v>
      </c>
      <c r="S1355" s="62">
        <v>20643.0</v>
      </c>
      <c r="T1355" s="62">
        <v>0.0</v>
      </c>
      <c r="U1355" s="62">
        <v>0.0</v>
      </c>
      <c r="V1355" s="62">
        <v>0.4825</v>
      </c>
      <c r="W1355" s="62">
        <v>0.4825</v>
      </c>
      <c r="X1355" s="62">
        <v>0.0</v>
      </c>
      <c r="Y1355" s="62">
        <v>0.4825</v>
      </c>
      <c r="Z1355" s="62">
        <v>0.0</v>
      </c>
      <c r="AA1355" s="62">
        <v>0.0</v>
      </c>
      <c r="AB1355" s="62">
        <v>0.828611111111111</v>
      </c>
      <c r="AC1355" s="62">
        <v>0.828611111111111</v>
      </c>
      <c r="AD1355" s="62">
        <v>0.241944444444444</v>
      </c>
      <c r="AE1355" s="62">
        <v>0.828611111111111</v>
      </c>
      <c r="AF1355" s="62">
        <v>0.0</v>
      </c>
    </row>
    <row r="1356">
      <c r="A1356" s="68">
        <v>46020.0</v>
      </c>
      <c r="B1356" s="62" t="s">
        <v>76</v>
      </c>
      <c r="C1356" s="62" t="s">
        <v>165</v>
      </c>
      <c r="D1356" s="62">
        <v>0.0</v>
      </c>
      <c r="E1356" s="62">
        <v>3.0</v>
      </c>
      <c r="F1356" s="62">
        <v>5.0</v>
      </c>
      <c r="G1356" s="62">
        <v>1.0</v>
      </c>
      <c r="H1356" s="62">
        <v>2.0</v>
      </c>
      <c r="I1356" s="62">
        <v>1.0</v>
      </c>
      <c r="J1356" s="62">
        <v>4.0</v>
      </c>
      <c r="K1356" s="62">
        <v>0.0</v>
      </c>
      <c r="L1356" s="62">
        <v>0.0</v>
      </c>
      <c r="M1356" s="62">
        <v>6.0</v>
      </c>
      <c r="N1356" s="62">
        <v>0.0</v>
      </c>
      <c r="O1356" s="62">
        <v>1.0</v>
      </c>
      <c r="P1356" s="62">
        <v>0.0</v>
      </c>
      <c r="Q1356" s="62">
        <v>0.0</v>
      </c>
      <c r="R1356" s="62">
        <v>0.0</v>
      </c>
      <c r="S1356" s="62">
        <v>7526.0</v>
      </c>
      <c r="T1356" s="62">
        <v>0.954166666666666</v>
      </c>
      <c r="U1356" s="62">
        <v>1.19138888888888</v>
      </c>
      <c r="V1356" s="62">
        <v>0.225833333333333</v>
      </c>
      <c r="W1356" s="62">
        <v>0.486388888888888</v>
      </c>
      <c r="X1356" s="62">
        <v>0.260555555555555</v>
      </c>
      <c r="Y1356" s="62">
        <v>0.904722222222222</v>
      </c>
      <c r="Z1356" s="62">
        <v>0.0</v>
      </c>
      <c r="AA1356" s="62">
        <v>0.0</v>
      </c>
      <c r="AB1356" s="62">
        <v>1.355</v>
      </c>
      <c r="AC1356" s="62">
        <v>0.0</v>
      </c>
      <c r="AD1356" s="62">
        <v>0.233888888888888</v>
      </c>
      <c r="AE1356" s="62">
        <v>0.0</v>
      </c>
      <c r="AF1356" s="62">
        <v>4.0</v>
      </c>
    </row>
    <row r="1357">
      <c r="A1357" s="68">
        <v>46020.0</v>
      </c>
      <c r="B1357" s="62" t="s">
        <v>32</v>
      </c>
      <c r="C1357" s="62" t="s">
        <v>168</v>
      </c>
      <c r="D1357" s="62">
        <v>0.0</v>
      </c>
      <c r="E1357" s="62">
        <v>0.0</v>
      </c>
      <c r="F1357" s="62">
        <v>0.0</v>
      </c>
      <c r="G1357" s="62">
        <v>0.0</v>
      </c>
      <c r="H1357" s="62">
        <v>3.0</v>
      </c>
      <c r="I1357" s="62">
        <v>3.0</v>
      </c>
      <c r="J1357" s="62">
        <v>2.0</v>
      </c>
      <c r="K1357" s="62">
        <v>0.0</v>
      </c>
      <c r="L1357" s="62">
        <v>0.0</v>
      </c>
      <c r="M1357" s="62">
        <v>1.0</v>
      </c>
      <c r="N1357" s="62">
        <v>1.0</v>
      </c>
      <c r="O1357" s="62">
        <v>1.0</v>
      </c>
      <c r="P1357" s="62">
        <v>1.0</v>
      </c>
      <c r="Q1357" s="62">
        <v>0.0</v>
      </c>
      <c r="R1357" s="62">
        <v>0.0</v>
      </c>
      <c r="S1357" s="62">
        <v>0.0</v>
      </c>
      <c r="T1357" s="62">
        <v>0.789999999999999</v>
      </c>
      <c r="U1357" s="62">
        <v>0.0</v>
      </c>
      <c r="V1357" s="62">
        <v>0.0</v>
      </c>
      <c r="W1357" s="62">
        <v>0.79</v>
      </c>
      <c r="X1357" s="62">
        <v>0.789999999999999</v>
      </c>
      <c r="Y1357" s="62">
        <v>0.512222222222222</v>
      </c>
      <c r="Z1357" s="62">
        <v>0.0</v>
      </c>
      <c r="AA1357" s="62">
        <v>0.0</v>
      </c>
      <c r="AB1357" s="62">
        <v>0.267777777777777</v>
      </c>
      <c r="AC1357" s="62">
        <v>0.267777777777777</v>
      </c>
      <c r="AD1357" s="62">
        <v>0.243055555555555</v>
      </c>
      <c r="AE1357" s="62">
        <v>0.267777777777777</v>
      </c>
      <c r="AF1357" s="62">
        <v>3.0</v>
      </c>
    </row>
    <row r="1358">
      <c r="A1358" s="68">
        <v>46020.0</v>
      </c>
      <c r="B1358" s="62" t="s">
        <v>37</v>
      </c>
      <c r="C1358" s="62" t="s">
        <v>174</v>
      </c>
      <c r="D1358" s="62">
        <v>15.0</v>
      </c>
      <c r="E1358" s="62">
        <v>0.0</v>
      </c>
      <c r="F1358" s="62">
        <v>0.0</v>
      </c>
      <c r="G1358" s="62">
        <v>0.0</v>
      </c>
      <c r="H1358" s="62">
        <v>0.0</v>
      </c>
      <c r="I1358" s="62">
        <v>0.0</v>
      </c>
      <c r="J1358" s="62">
        <v>0.0</v>
      </c>
      <c r="K1358" s="62">
        <v>0.0</v>
      </c>
      <c r="L1358" s="62">
        <v>0.0</v>
      </c>
      <c r="M1358" s="62">
        <v>0.0</v>
      </c>
      <c r="N1358" s="62">
        <v>0.0</v>
      </c>
      <c r="O1358" s="62">
        <v>0.0</v>
      </c>
      <c r="P1358" s="62">
        <v>0.0</v>
      </c>
      <c r="Q1358" s="62">
        <v>0.0</v>
      </c>
      <c r="R1358" s="62">
        <v>36635.0</v>
      </c>
      <c r="S1358" s="62">
        <v>0.0</v>
      </c>
      <c r="T1358" s="62">
        <v>0.0</v>
      </c>
      <c r="U1358" s="62">
        <v>0.0</v>
      </c>
      <c r="V1358" s="62">
        <v>0.0</v>
      </c>
      <c r="W1358" s="62">
        <v>0.0</v>
      </c>
      <c r="X1358" s="62">
        <v>0.0</v>
      </c>
      <c r="Y1358" s="62">
        <v>0.0</v>
      </c>
      <c r="Z1358" s="62">
        <v>0.0</v>
      </c>
      <c r="AA1358" s="62">
        <v>0.0</v>
      </c>
      <c r="AB1358" s="62">
        <v>0.0</v>
      </c>
      <c r="AC1358" s="62">
        <v>0.0</v>
      </c>
      <c r="AD1358" s="62">
        <v>0.0</v>
      </c>
      <c r="AE1358" s="62">
        <v>0.0</v>
      </c>
      <c r="AF1358" s="62">
        <v>0.0</v>
      </c>
    </row>
    <row r="1359">
      <c r="A1359" s="68">
        <v>46020.0</v>
      </c>
      <c r="B1359" s="62" t="s">
        <v>56</v>
      </c>
      <c r="C1359" s="62" t="s">
        <v>176</v>
      </c>
      <c r="D1359" s="62">
        <v>0.0</v>
      </c>
      <c r="E1359" s="62">
        <v>0.0</v>
      </c>
      <c r="F1359" s="62">
        <v>0.0</v>
      </c>
      <c r="G1359" s="62">
        <v>2.0</v>
      </c>
      <c r="H1359" s="62">
        <v>2.0</v>
      </c>
      <c r="I1359" s="62">
        <v>0.0</v>
      </c>
      <c r="J1359" s="62">
        <v>2.0</v>
      </c>
      <c r="K1359" s="62">
        <v>0.0</v>
      </c>
      <c r="L1359" s="62">
        <v>0.0</v>
      </c>
      <c r="M1359" s="62">
        <v>2.0</v>
      </c>
      <c r="N1359" s="62">
        <v>0.0</v>
      </c>
      <c r="O1359" s="62">
        <v>1.0</v>
      </c>
      <c r="P1359" s="62">
        <v>0.0</v>
      </c>
      <c r="Q1359" s="62">
        <v>0.0</v>
      </c>
      <c r="R1359" s="62">
        <v>0.0</v>
      </c>
      <c r="S1359" s="62">
        <v>0.0</v>
      </c>
      <c r="T1359" s="62">
        <v>0.0</v>
      </c>
      <c r="U1359" s="62">
        <v>0.0</v>
      </c>
      <c r="V1359" s="62">
        <v>0.466666666666666</v>
      </c>
      <c r="W1359" s="62">
        <v>0.466666666666666</v>
      </c>
      <c r="X1359" s="62">
        <v>0.0</v>
      </c>
      <c r="Y1359" s="62">
        <v>0.466666666666666</v>
      </c>
      <c r="Z1359" s="62">
        <v>0.0</v>
      </c>
      <c r="AA1359" s="62">
        <v>0.0</v>
      </c>
      <c r="AB1359" s="62">
        <v>0.466666666666666</v>
      </c>
      <c r="AC1359" s="62">
        <v>0.0</v>
      </c>
      <c r="AD1359" s="62">
        <v>0.169444444444444</v>
      </c>
      <c r="AE1359" s="62">
        <v>0.0</v>
      </c>
      <c r="AF1359" s="62">
        <v>0.0</v>
      </c>
    </row>
    <row r="1360">
      <c r="A1360" s="68">
        <v>46020.0</v>
      </c>
      <c r="B1360" s="62" t="s">
        <v>26</v>
      </c>
      <c r="C1360" s="62" t="s">
        <v>178</v>
      </c>
      <c r="D1360" s="62">
        <v>10.0</v>
      </c>
      <c r="E1360" s="62">
        <v>4.0</v>
      </c>
      <c r="F1360" s="62">
        <v>3.0</v>
      </c>
      <c r="G1360" s="62">
        <v>0.0</v>
      </c>
      <c r="H1360" s="62">
        <v>2.0</v>
      </c>
      <c r="I1360" s="62">
        <v>2.0</v>
      </c>
      <c r="J1360" s="62">
        <v>0.0</v>
      </c>
      <c r="K1360" s="62">
        <v>0.0</v>
      </c>
      <c r="L1360" s="62">
        <v>0.0</v>
      </c>
      <c r="M1360" s="62">
        <v>1.0</v>
      </c>
      <c r="N1360" s="62">
        <v>11.0</v>
      </c>
      <c r="O1360" s="62">
        <v>1.0</v>
      </c>
      <c r="P1360" s="62">
        <v>11.0</v>
      </c>
      <c r="Q1360" s="62">
        <v>0.0</v>
      </c>
      <c r="R1360" s="62">
        <v>24368.0</v>
      </c>
      <c r="S1360" s="62">
        <v>8451.0</v>
      </c>
      <c r="T1360" s="62">
        <v>0.972777777777777</v>
      </c>
      <c r="U1360" s="62">
        <v>0.575555555555555</v>
      </c>
      <c r="V1360" s="62">
        <v>0.0</v>
      </c>
      <c r="W1360" s="62">
        <v>0.397222222222222</v>
      </c>
      <c r="X1360" s="62">
        <v>0.397222222222222</v>
      </c>
      <c r="Y1360" s="62">
        <v>0.0</v>
      </c>
      <c r="Z1360" s="62">
        <v>0.0</v>
      </c>
      <c r="AA1360" s="62">
        <v>0.0</v>
      </c>
      <c r="AB1360" s="62">
        <v>0.193333333333333</v>
      </c>
      <c r="AC1360" s="62">
        <v>2.19694444444444</v>
      </c>
      <c r="AD1360" s="62">
        <v>0.200277777777777</v>
      </c>
      <c r="AE1360" s="62">
        <v>2.19694444444444</v>
      </c>
      <c r="AF1360" s="62">
        <v>5.0</v>
      </c>
    </row>
    <row r="1361">
      <c r="A1361" s="68">
        <v>46019.0</v>
      </c>
      <c r="B1361" s="62" t="s">
        <v>71</v>
      </c>
      <c r="C1361" s="62" t="s">
        <v>163</v>
      </c>
      <c r="D1361" s="62">
        <v>8.0</v>
      </c>
      <c r="E1361" s="62">
        <v>0.0</v>
      </c>
      <c r="F1361" s="62">
        <v>0.0</v>
      </c>
      <c r="G1361" s="62">
        <v>0.0</v>
      </c>
      <c r="H1361" s="62">
        <v>0.0</v>
      </c>
      <c r="I1361" s="62">
        <v>0.0</v>
      </c>
      <c r="J1361" s="62">
        <v>0.0</v>
      </c>
      <c r="K1361" s="62">
        <v>0.0</v>
      </c>
      <c r="L1361" s="62">
        <v>0.0</v>
      </c>
      <c r="M1361" s="62">
        <v>0.0</v>
      </c>
      <c r="N1361" s="62">
        <v>0.0</v>
      </c>
      <c r="O1361" s="62">
        <v>1.0</v>
      </c>
      <c r="P1361" s="62">
        <v>0.0</v>
      </c>
      <c r="Q1361" s="62">
        <v>0.0</v>
      </c>
      <c r="R1361" s="62">
        <v>22621.0</v>
      </c>
      <c r="S1361" s="62">
        <v>0.0</v>
      </c>
      <c r="T1361" s="62">
        <v>0.0</v>
      </c>
      <c r="U1361" s="62">
        <v>0.0</v>
      </c>
      <c r="V1361" s="62">
        <v>0.0</v>
      </c>
      <c r="W1361" s="62">
        <v>0.0</v>
      </c>
      <c r="X1361" s="62">
        <v>0.0</v>
      </c>
      <c r="Y1361" s="62">
        <v>0.0</v>
      </c>
      <c r="Z1361" s="62">
        <v>0.0</v>
      </c>
      <c r="AA1361" s="62">
        <v>0.0</v>
      </c>
      <c r="AB1361" s="62">
        <v>0.0</v>
      </c>
      <c r="AC1361" s="62">
        <v>0.0</v>
      </c>
      <c r="AD1361" s="62">
        <v>0.236666666666666</v>
      </c>
      <c r="AE1361" s="62">
        <v>0.0</v>
      </c>
      <c r="AF1361" s="62">
        <v>0.0</v>
      </c>
    </row>
    <row r="1362">
      <c r="A1362" s="68">
        <v>46019.0</v>
      </c>
      <c r="B1362" s="62" t="s">
        <v>76</v>
      </c>
      <c r="C1362" s="62" t="s">
        <v>165</v>
      </c>
      <c r="D1362" s="62">
        <v>0.0</v>
      </c>
      <c r="E1362" s="62">
        <v>0.0</v>
      </c>
      <c r="F1362" s="62">
        <v>0.0</v>
      </c>
      <c r="G1362" s="62">
        <v>1.0</v>
      </c>
      <c r="H1362" s="62">
        <v>1.0</v>
      </c>
      <c r="I1362" s="62">
        <v>0.0</v>
      </c>
      <c r="J1362" s="62">
        <v>0.0</v>
      </c>
      <c r="K1362" s="62">
        <v>0.0</v>
      </c>
      <c r="L1362" s="62">
        <v>0.0</v>
      </c>
      <c r="M1362" s="62">
        <v>0.0</v>
      </c>
      <c r="N1362" s="62">
        <v>6.0</v>
      </c>
      <c r="O1362" s="62">
        <v>1.0</v>
      </c>
      <c r="P1362" s="62">
        <v>6.0</v>
      </c>
      <c r="Q1362" s="62">
        <v>0.0</v>
      </c>
      <c r="R1362" s="62">
        <v>0.0</v>
      </c>
      <c r="S1362" s="62">
        <v>0.0</v>
      </c>
      <c r="T1362" s="62">
        <v>0.0</v>
      </c>
      <c r="U1362" s="62">
        <v>0.0</v>
      </c>
      <c r="V1362" s="62">
        <v>0.231111111111111</v>
      </c>
      <c r="W1362" s="62">
        <v>0.231111111111111</v>
      </c>
      <c r="X1362" s="62">
        <v>0.0</v>
      </c>
      <c r="Y1362" s="62">
        <v>0.0</v>
      </c>
      <c r="Z1362" s="62">
        <v>0.0</v>
      </c>
      <c r="AA1362" s="62">
        <v>0.0</v>
      </c>
      <c r="AB1362" s="62">
        <v>0.0</v>
      </c>
      <c r="AC1362" s="62">
        <v>1.38972222222222</v>
      </c>
      <c r="AD1362" s="62">
        <v>0.234722222222222</v>
      </c>
      <c r="AE1362" s="62">
        <v>1.38972222222222</v>
      </c>
      <c r="AF1362" s="62">
        <v>0.0</v>
      </c>
    </row>
    <row r="1363">
      <c r="A1363" s="68">
        <v>46018.0</v>
      </c>
      <c r="B1363" s="62" t="s">
        <v>71</v>
      </c>
      <c r="C1363" s="62" t="s">
        <v>163</v>
      </c>
      <c r="D1363" s="62">
        <v>2.0</v>
      </c>
      <c r="E1363" s="62">
        <v>0.0</v>
      </c>
      <c r="F1363" s="62">
        <v>0.0</v>
      </c>
      <c r="G1363" s="62">
        <v>0.0</v>
      </c>
      <c r="H1363" s="62">
        <v>0.0</v>
      </c>
      <c r="I1363" s="62">
        <v>0.0</v>
      </c>
      <c r="J1363" s="62">
        <v>0.0</v>
      </c>
      <c r="K1363" s="62">
        <v>0.0</v>
      </c>
      <c r="L1363" s="62">
        <v>0.0</v>
      </c>
      <c r="M1363" s="62">
        <v>0.0</v>
      </c>
      <c r="N1363" s="62">
        <v>0.0</v>
      </c>
      <c r="O1363" s="62">
        <v>1.0</v>
      </c>
      <c r="P1363" s="62">
        <v>0.0</v>
      </c>
      <c r="Q1363" s="62">
        <v>0.0</v>
      </c>
      <c r="R1363" s="62">
        <v>5600.0</v>
      </c>
      <c r="S1363" s="62">
        <v>0.0</v>
      </c>
      <c r="T1363" s="62">
        <v>0.0</v>
      </c>
      <c r="U1363" s="62">
        <v>0.0</v>
      </c>
      <c r="V1363" s="62">
        <v>0.0</v>
      </c>
      <c r="W1363" s="62">
        <v>0.0</v>
      </c>
      <c r="X1363" s="62">
        <v>0.0</v>
      </c>
      <c r="Y1363" s="62">
        <v>0.0</v>
      </c>
      <c r="Z1363" s="62">
        <v>0.0</v>
      </c>
      <c r="AA1363" s="62">
        <v>0.0</v>
      </c>
      <c r="AB1363" s="62">
        <v>0.0</v>
      </c>
      <c r="AC1363" s="62">
        <v>0.0</v>
      </c>
      <c r="AD1363" s="62">
        <v>0.228888888888888</v>
      </c>
      <c r="AE1363" s="62">
        <v>0.0</v>
      </c>
      <c r="AF1363" s="62">
        <v>0.0</v>
      </c>
    </row>
    <row r="1364">
      <c r="A1364" s="68">
        <v>46017.0</v>
      </c>
      <c r="B1364" s="62" t="s">
        <v>71</v>
      </c>
      <c r="C1364" s="62" t="s">
        <v>163</v>
      </c>
      <c r="D1364" s="62">
        <v>5.0</v>
      </c>
      <c r="E1364" s="62">
        <v>0.0</v>
      </c>
      <c r="F1364" s="62">
        <v>3.0</v>
      </c>
      <c r="G1364" s="62">
        <v>3.0</v>
      </c>
      <c r="H1364" s="62">
        <v>3.0</v>
      </c>
      <c r="I1364" s="62">
        <v>0.0</v>
      </c>
      <c r="J1364" s="62">
        <v>3.0</v>
      </c>
      <c r="K1364" s="62">
        <v>0.0</v>
      </c>
      <c r="L1364" s="62">
        <v>0.0</v>
      </c>
      <c r="M1364" s="62">
        <v>0.0</v>
      </c>
      <c r="N1364" s="62">
        <v>0.0</v>
      </c>
      <c r="O1364" s="62">
        <v>1.0</v>
      </c>
      <c r="P1364" s="62">
        <v>0.0</v>
      </c>
      <c r="Q1364" s="62">
        <v>0.0</v>
      </c>
      <c r="R1364" s="62">
        <v>15043.0</v>
      </c>
      <c r="S1364" s="62">
        <v>0.0</v>
      </c>
      <c r="T1364" s="62">
        <v>0.0</v>
      </c>
      <c r="U1364" s="62">
        <v>0.758055555555555</v>
      </c>
      <c r="V1364" s="62">
        <v>0.828611111111111</v>
      </c>
      <c r="W1364" s="62">
        <v>0.828611111111111</v>
      </c>
      <c r="X1364" s="62">
        <v>0.0</v>
      </c>
      <c r="Y1364" s="62">
        <v>0.828611111111111</v>
      </c>
      <c r="Z1364" s="62">
        <v>0.0</v>
      </c>
      <c r="AA1364" s="62">
        <v>0.0</v>
      </c>
      <c r="AB1364" s="62">
        <v>0.0</v>
      </c>
      <c r="AC1364" s="62">
        <v>0.0</v>
      </c>
      <c r="AD1364" s="62">
        <v>0.25</v>
      </c>
      <c r="AE1364" s="62">
        <v>0.0</v>
      </c>
      <c r="AF1364" s="62">
        <v>0.0</v>
      </c>
    </row>
    <row r="1365">
      <c r="A1365" s="68">
        <v>46017.0</v>
      </c>
      <c r="B1365" s="62" t="s">
        <v>76</v>
      </c>
      <c r="C1365" s="62" t="s">
        <v>165</v>
      </c>
      <c r="D1365" s="62">
        <v>18.0</v>
      </c>
      <c r="E1365" s="62">
        <v>3.0</v>
      </c>
      <c r="F1365" s="62">
        <v>5.0</v>
      </c>
      <c r="G1365" s="62">
        <v>5.0</v>
      </c>
      <c r="H1365" s="62">
        <v>8.0</v>
      </c>
      <c r="I1365" s="62">
        <v>3.0</v>
      </c>
      <c r="J1365" s="62">
        <v>9.0</v>
      </c>
      <c r="K1365" s="62">
        <v>1.0</v>
      </c>
      <c r="L1365" s="62">
        <v>1.0</v>
      </c>
      <c r="M1365" s="62">
        <v>8.0</v>
      </c>
      <c r="N1365" s="62">
        <v>2.0</v>
      </c>
      <c r="O1365" s="62">
        <v>1.0</v>
      </c>
      <c r="P1365" s="62">
        <v>2.0</v>
      </c>
      <c r="Q1365" s="62">
        <v>0.0</v>
      </c>
      <c r="R1365" s="62">
        <v>57405.0</v>
      </c>
      <c r="S1365" s="62">
        <v>6947.0</v>
      </c>
      <c r="T1365" s="62">
        <v>1.65</v>
      </c>
      <c r="U1365" s="62">
        <v>1.16055555555555</v>
      </c>
      <c r="V1365" s="62">
        <v>1.14305555555555</v>
      </c>
      <c r="W1365" s="62">
        <v>1.81388888888888</v>
      </c>
      <c r="X1365" s="62">
        <v>0.670833333333333</v>
      </c>
      <c r="Y1365" s="62">
        <v>2.07583333333333</v>
      </c>
      <c r="Z1365" s="62">
        <v>0.231944444444444</v>
      </c>
      <c r="AA1365" s="62">
        <v>0.231944444444444</v>
      </c>
      <c r="AB1365" s="62">
        <v>1.85972222222222</v>
      </c>
      <c r="AC1365" s="62">
        <v>0.47</v>
      </c>
      <c r="AD1365" s="62">
        <v>0.235</v>
      </c>
      <c r="AE1365" s="62">
        <v>0.47</v>
      </c>
      <c r="AF1365" s="62">
        <v>7.0</v>
      </c>
    </row>
    <row r="1366">
      <c r="A1366" s="68">
        <v>46017.0</v>
      </c>
      <c r="B1366" s="62" t="s">
        <v>32</v>
      </c>
      <c r="C1366" s="62" t="s">
        <v>168</v>
      </c>
      <c r="D1366" s="62">
        <v>13.0</v>
      </c>
      <c r="E1366" s="62">
        <v>4.0</v>
      </c>
      <c r="F1366" s="62">
        <v>4.0</v>
      </c>
      <c r="G1366" s="62">
        <v>0.0</v>
      </c>
      <c r="H1366" s="62">
        <v>8.0</v>
      </c>
      <c r="I1366" s="62">
        <v>5.0</v>
      </c>
      <c r="J1366" s="62">
        <v>7.0</v>
      </c>
      <c r="K1366" s="62">
        <v>1.0</v>
      </c>
      <c r="L1366" s="62">
        <v>0.0</v>
      </c>
      <c r="M1366" s="62">
        <v>8.0</v>
      </c>
      <c r="N1366" s="62">
        <v>8.0</v>
      </c>
      <c r="O1366" s="62">
        <v>1.0</v>
      </c>
      <c r="P1366" s="62">
        <v>8.0</v>
      </c>
      <c r="Q1366" s="62">
        <v>0.0</v>
      </c>
      <c r="R1366" s="62">
        <v>32118.0</v>
      </c>
      <c r="S1366" s="62">
        <v>10637.0</v>
      </c>
      <c r="T1366" s="62">
        <v>0.2475</v>
      </c>
      <c r="U1366" s="62">
        <v>1.03888888888888</v>
      </c>
      <c r="V1366" s="62">
        <v>0.0</v>
      </c>
      <c r="W1366" s="62">
        <v>2.07083333333333</v>
      </c>
      <c r="X1366" s="62">
        <v>1.27027777777777</v>
      </c>
      <c r="Y1366" s="62">
        <v>1.81361111111111</v>
      </c>
      <c r="Z1366" s="62">
        <v>0.243888888888888</v>
      </c>
      <c r="AA1366" s="62">
        <v>0.0</v>
      </c>
      <c r="AB1366" s="62">
        <v>2.08305555555555</v>
      </c>
      <c r="AC1366" s="62">
        <v>2.08305555555555</v>
      </c>
      <c r="AD1366" s="62">
        <v>0.225277777777777</v>
      </c>
      <c r="AE1366" s="62">
        <v>2.08305555555555</v>
      </c>
      <c r="AF1366" s="62">
        <v>1.0</v>
      </c>
    </row>
    <row r="1367">
      <c r="A1367" s="68">
        <v>46017.0</v>
      </c>
      <c r="B1367" s="62" t="s">
        <v>26</v>
      </c>
      <c r="C1367" s="62" t="s">
        <v>178</v>
      </c>
      <c r="D1367" s="62">
        <v>0.0</v>
      </c>
      <c r="E1367" s="62">
        <v>7.0</v>
      </c>
      <c r="F1367" s="62">
        <v>0.0</v>
      </c>
      <c r="G1367" s="62">
        <v>2.0</v>
      </c>
      <c r="H1367" s="62">
        <v>2.0</v>
      </c>
      <c r="I1367" s="62">
        <v>0.0</v>
      </c>
      <c r="J1367" s="62">
        <v>6.0</v>
      </c>
      <c r="K1367" s="62">
        <v>0.0</v>
      </c>
      <c r="L1367" s="62">
        <v>0.0</v>
      </c>
      <c r="M1367" s="62">
        <v>13.0</v>
      </c>
      <c r="N1367" s="62">
        <v>8.0</v>
      </c>
      <c r="O1367" s="62">
        <v>1.0</v>
      </c>
      <c r="P1367" s="62">
        <v>8.0</v>
      </c>
      <c r="Q1367" s="62">
        <v>0.0</v>
      </c>
      <c r="R1367" s="62">
        <v>0.0</v>
      </c>
      <c r="S1367" s="62">
        <v>15090.0</v>
      </c>
      <c r="T1367" s="62">
        <v>0.0</v>
      </c>
      <c r="U1367" s="62">
        <v>0.0</v>
      </c>
      <c r="V1367" s="62">
        <v>0.403888888888888</v>
      </c>
      <c r="W1367" s="62">
        <v>0.403888888888888</v>
      </c>
      <c r="X1367" s="62">
        <v>0.0</v>
      </c>
      <c r="Y1367" s="62">
        <v>1.20472222222222</v>
      </c>
      <c r="Z1367" s="62">
        <v>0.0</v>
      </c>
      <c r="AA1367" s="62">
        <v>0.0</v>
      </c>
      <c r="AB1367" s="62">
        <v>2.56611111111111</v>
      </c>
      <c r="AC1367" s="62">
        <v>1.50111111111111</v>
      </c>
      <c r="AD1367" s="62">
        <v>0.209166666666666</v>
      </c>
      <c r="AE1367" s="62">
        <v>1.50111111111111</v>
      </c>
      <c r="AF1367" s="62">
        <v>0.0</v>
      </c>
    </row>
    <row r="1368">
      <c r="A1368" s="68">
        <v>46016.0</v>
      </c>
      <c r="B1368" s="62" t="s">
        <v>71</v>
      </c>
      <c r="C1368" s="62" t="s">
        <v>163</v>
      </c>
      <c r="D1368" s="62">
        <v>0.0</v>
      </c>
      <c r="E1368" s="62">
        <v>0.0</v>
      </c>
      <c r="F1368" s="62">
        <v>0.0</v>
      </c>
      <c r="G1368" s="62">
        <v>0.0</v>
      </c>
      <c r="H1368" s="62">
        <v>0.0</v>
      </c>
      <c r="I1368" s="62">
        <v>0.0</v>
      </c>
      <c r="J1368" s="62">
        <v>0.0</v>
      </c>
      <c r="K1368" s="62">
        <v>0.0</v>
      </c>
      <c r="L1368" s="62">
        <v>0.0</v>
      </c>
      <c r="M1368" s="62">
        <v>0.0</v>
      </c>
      <c r="N1368" s="62">
        <v>0.0</v>
      </c>
      <c r="O1368" s="62">
        <v>1.0</v>
      </c>
      <c r="P1368" s="62">
        <v>0.0</v>
      </c>
      <c r="Q1368" s="62">
        <v>0.0</v>
      </c>
      <c r="R1368" s="62">
        <v>0.0</v>
      </c>
      <c r="S1368" s="62">
        <v>0.0</v>
      </c>
      <c r="T1368" s="62">
        <v>0.758055555555555</v>
      </c>
      <c r="U1368" s="62">
        <v>0.0</v>
      </c>
      <c r="V1368" s="62">
        <v>0.0</v>
      </c>
      <c r="W1368" s="62">
        <v>0.0</v>
      </c>
      <c r="X1368" s="62">
        <v>0.0</v>
      </c>
      <c r="Y1368" s="62">
        <v>0.0</v>
      </c>
      <c r="Z1368" s="62">
        <v>0.0</v>
      </c>
      <c r="AA1368" s="62">
        <v>0.0</v>
      </c>
      <c r="AB1368" s="62">
        <v>0.0</v>
      </c>
      <c r="AC1368" s="62">
        <v>0.0</v>
      </c>
      <c r="AD1368" s="62">
        <v>0.250277777777777</v>
      </c>
      <c r="AE1368" s="62">
        <v>0.0</v>
      </c>
      <c r="AF1368" s="62">
        <v>3.0</v>
      </c>
    </row>
    <row r="1369">
      <c r="A1369" s="68">
        <v>46016.0</v>
      </c>
      <c r="B1369" s="62" t="s">
        <v>76</v>
      </c>
      <c r="C1369" s="62" t="s">
        <v>165</v>
      </c>
      <c r="D1369" s="62">
        <v>0.0</v>
      </c>
      <c r="E1369" s="62">
        <v>0.0</v>
      </c>
      <c r="F1369" s="62">
        <v>0.0</v>
      </c>
      <c r="G1369" s="62">
        <v>0.0</v>
      </c>
      <c r="H1369" s="62">
        <v>0.0</v>
      </c>
      <c r="I1369" s="62">
        <v>0.0</v>
      </c>
      <c r="J1369" s="62">
        <v>0.0</v>
      </c>
      <c r="K1369" s="62">
        <v>0.0</v>
      </c>
      <c r="L1369" s="62">
        <v>0.0</v>
      </c>
      <c r="M1369" s="62">
        <v>0.0</v>
      </c>
      <c r="N1369" s="62">
        <v>1.0</v>
      </c>
      <c r="O1369" s="62">
        <v>1.0</v>
      </c>
      <c r="P1369" s="62">
        <v>1.0</v>
      </c>
      <c r="Q1369" s="62">
        <v>0.0</v>
      </c>
      <c r="R1369" s="62">
        <v>0.0</v>
      </c>
      <c r="S1369" s="62">
        <v>0.0</v>
      </c>
      <c r="T1369" s="62">
        <v>0.679166666666666</v>
      </c>
      <c r="U1369" s="62">
        <v>0.0</v>
      </c>
      <c r="V1369" s="62">
        <v>0.0</v>
      </c>
      <c r="W1369" s="62">
        <v>0.0</v>
      </c>
      <c r="X1369" s="62">
        <v>0.0</v>
      </c>
      <c r="Y1369" s="62">
        <v>0.0</v>
      </c>
      <c r="Z1369" s="62">
        <v>0.0</v>
      </c>
      <c r="AA1369" s="62">
        <v>0.0</v>
      </c>
      <c r="AB1369" s="62">
        <v>0.0</v>
      </c>
      <c r="AC1369" s="62">
        <v>0.231111111111111</v>
      </c>
      <c r="AD1369" s="62">
        <v>0.239444444444444</v>
      </c>
      <c r="AE1369" s="62">
        <v>0.231111111111111</v>
      </c>
      <c r="AF1369" s="62">
        <v>3.0</v>
      </c>
    </row>
    <row r="1370">
      <c r="A1370" s="68">
        <v>46016.0</v>
      </c>
      <c r="B1370" s="62" t="s">
        <v>32</v>
      </c>
      <c r="C1370" s="62" t="s">
        <v>168</v>
      </c>
      <c r="D1370" s="62">
        <v>0.0</v>
      </c>
      <c r="E1370" s="62">
        <v>0.0</v>
      </c>
      <c r="F1370" s="62">
        <v>0.0</v>
      </c>
      <c r="G1370" s="62">
        <v>0.0</v>
      </c>
      <c r="H1370" s="62">
        <v>0.0</v>
      </c>
      <c r="I1370" s="62">
        <v>0.0</v>
      </c>
      <c r="J1370" s="62">
        <v>0.0</v>
      </c>
      <c r="K1370" s="62">
        <v>0.0</v>
      </c>
      <c r="L1370" s="62">
        <v>0.0</v>
      </c>
      <c r="M1370" s="62">
        <v>0.0</v>
      </c>
      <c r="N1370" s="62">
        <v>0.0</v>
      </c>
      <c r="O1370" s="62">
        <v>1.0</v>
      </c>
      <c r="P1370" s="62">
        <v>0.0</v>
      </c>
      <c r="Q1370" s="62">
        <v>0.0</v>
      </c>
      <c r="R1370" s="62">
        <v>0.0</v>
      </c>
      <c r="S1370" s="62">
        <v>0.0</v>
      </c>
      <c r="T1370" s="62">
        <v>1.30027777777777</v>
      </c>
      <c r="U1370" s="62">
        <v>0.0</v>
      </c>
      <c r="V1370" s="62">
        <v>0.0</v>
      </c>
      <c r="W1370" s="62">
        <v>0.0</v>
      </c>
      <c r="X1370" s="62">
        <v>0.0</v>
      </c>
      <c r="Y1370" s="62">
        <v>0.0</v>
      </c>
      <c r="Z1370" s="62">
        <v>0.0</v>
      </c>
      <c r="AA1370" s="62">
        <v>0.0</v>
      </c>
      <c r="AB1370" s="62">
        <v>0.0</v>
      </c>
      <c r="AC1370" s="62">
        <v>0.0</v>
      </c>
      <c r="AD1370" s="62">
        <v>0.233333333333333</v>
      </c>
      <c r="AE1370" s="62">
        <v>0.0</v>
      </c>
      <c r="AF1370" s="62">
        <v>5.0</v>
      </c>
    </row>
    <row r="1371">
      <c r="A1371" s="68">
        <v>46016.0</v>
      </c>
      <c r="B1371" s="62" t="s">
        <v>26</v>
      </c>
      <c r="C1371" s="62" t="s">
        <v>178</v>
      </c>
      <c r="D1371" s="62">
        <v>0.0</v>
      </c>
      <c r="E1371" s="62">
        <v>0.0</v>
      </c>
      <c r="F1371" s="62">
        <v>0.0</v>
      </c>
      <c r="G1371" s="62">
        <v>4.0</v>
      </c>
      <c r="H1371" s="62">
        <v>4.0</v>
      </c>
      <c r="I1371" s="62">
        <v>0.0</v>
      </c>
      <c r="J1371" s="62">
        <v>3.0</v>
      </c>
      <c r="K1371" s="62">
        <v>0.0</v>
      </c>
      <c r="L1371" s="62">
        <v>0.0</v>
      </c>
      <c r="M1371" s="62">
        <v>0.0</v>
      </c>
      <c r="N1371" s="62">
        <v>0.0</v>
      </c>
      <c r="O1371" s="62">
        <v>1.0</v>
      </c>
      <c r="P1371" s="62">
        <v>0.0</v>
      </c>
      <c r="Q1371" s="62">
        <v>0.0</v>
      </c>
      <c r="R1371" s="62">
        <v>0.0</v>
      </c>
      <c r="S1371" s="62">
        <v>0.0</v>
      </c>
      <c r="T1371" s="62">
        <v>0.0</v>
      </c>
      <c r="U1371" s="62">
        <v>0.0</v>
      </c>
      <c r="V1371" s="62">
        <v>0.800833333333333</v>
      </c>
      <c r="W1371" s="62">
        <v>0.800833333333333</v>
      </c>
      <c r="X1371" s="62">
        <v>0.0</v>
      </c>
      <c r="Y1371" s="62">
        <v>0.591388888888889</v>
      </c>
      <c r="Z1371" s="62">
        <v>0.0</v>
      </c>
      <c r="AA1371" s="62">
        <v>0.0</v>
      </c>
      <c r="AB1371" s="62">
        <v>0.0</v>
      </c>
      <c r="AC1371" s="62">
        <v>0.0</v>
      </c>
      <c r="AD1371" s="62">
        <v>0.212222222222222</v>
      </c>
      <c r="AE1371" s="62">
        <v>0.0</v>
      </c>
      <c r="AF1371" s="62">
        <v>0.0</v>
      </c>
    </row>
    <row r="1372">
      <c r="A1372" s="68">
        <v>46015.0</v>
      </c>
      <c r="B1372" s="62" t="s">
        <v>71</v>
      </c>
      <c r="C1372" s="62" t="s">
        <v>163</v>
      </c>
      <c r="D1372" s="62">
        <v>0.0</v>
      </c>
      <c r="E1372" s="62">
        <v>0.0</v>
      </c>
      <c r="F1372" s="62">
        <v>2.0</v>
      </c>
      <c r="G1372" s="62">
        <v>0.0</v>
      </c>
      <c r="H1372" s="62">
        <v>0.0</v>
      </c>
      <c r="I1372" s="62">
        <v>0.0</v>
      </c>
      <c r="J1372" s="62">
        <v>0.0</v>
      </c>
      <c r="K1372" s="62">
        <v>0.0</v>
      </c>
      <c r="L1372" s="62">
        <v>0.0</v>
      </c>
      <c r="M1372" s="62">
        <v>0.0</v>
      </c>
      <c r="N1372" s="62">
        <v>0.0</v>
      </c>
      <c r="O1372" s="62">
        <v>1.0</v>
      </c>
      <c r="P1372" s="62">
        <v>0.0</v>
      </c>
      <c r="Q1372" s="62">
        <v>0.0</v>
      </c>
      <c r="R1372" s="62">
        <v>0.0</v>
      </c>
      <c r="S1372" s="62">
        <v>0.0</v>
      </c>
      <c r="T1372" s="62">
        <v>0.548611111111111</v>
      </c>
      <c r="U1372" s="62">
        <v>0.548611111111111</v>
      </c>
      <c r="V1372" s="62">
        <v>0.0</v>
      </c>
      <c r="W1372" s="62">
        <v>0.0</v>
      </c>
      <c r="X1372" s="62">
        <v>0.0</v>
      </c>
      <c r="Y1372" s="62">
        <v>0.0</v>
      </c>
      <c r="Z1372" s="62">
        <v>0.0</v>
      </c>
      <c r="AA1372" s="62">
        <v>0.0</v>
      </c>
      <c r="AB1372" s="62">
        <v>0.0</v>
      </c>
      <c r="AC1372" s="62">
        <v>0.0</v>
      </c>
      <c r="AD1372" s="62">
        <v>0.246666666666666</v>
      </c>
      <c r="AE1372" s="62">
        <v>0.0</v>
      </c>
      <c r="AF1372" s="62">
        <v>2.0</v>
      </c>
    </row>
    <row r="1373">
      <c r="A1373" s="68">
        <v>46015.0</v>
      </c>
      <c r="B1373" s="62" t="s">
        <v>76</v>
      </c>
      <c r="C1373" s="62" t="s">
        <v>165</v>
      </c>
      <c r="D1373" s="62">
        <v>0.0</v>
      </c>
      <c r="E1373" s="62">
        <v>4.0</v>
      </c>
      <c r="F1373" s="62">
        <v>4.0</v>
      </c>
      <c r="G1373" s="62">
        <v>3.0</v>
      </c>
      <c r="H1373" s="62">
        <v>3.0</v>
      </c>
      <c r="I1373" s="62">
        <v>0.0</v>
      </c>
      <c r="J1373" s="62">
        <v>2.0</v>
      </c>
      <c r="K1373" s="62">
        <v>0.0</v>
      </c>
      <c r="L1373" s="62">
        <v>0.0</v>
      </c>
      <c r="M1373" s="62">
        <v>3.0</v>
      </c>
      <c r="N1373" s="62">
        <v>7.0</v>
      </c>
      <c r="O1373" s="62">
        <v>1.0</v>
      </c>
      <c r="P1373" s="62">
        <v>7.0</v>
      </c>
      <c r="Q1373" s="62">
        <v>0.0</v>
      </c>
      <c r="R1373" s="62">
        <v>0.0</v>
      </c>
      <c r="S1373" s="62">
        <v>10042.0</v>
      </c>
      <c r="T1373" s="62">
        <v>0.921388888888888</v>
      </c>
      <c r="U1373" s="62">
        <v>0.921388888888888</v>
      </c>
      <c r="V1373" s="62">
        <v>0.703888888888888</v>
      </c>
      <c r="W1373" s="62">
        <v>0.703888888888888</v>
      </c>
      <c r="X1373" s="62">
        <v>0.0</v>
      </c>
      <c r="Y1373" s="62">
        <v>0.465277777777777</v>
      </c>
      <c r="Z1373" s="62">
        <v>0.0</v>
      </c>
      <c r="AA1373" s="62">
        <v>0.0</v>
      </c>
      <c r="AB1373" s="62">
        <v>0.691388888888888</v>
      </c>
      <c r="AC1373" s="62">
        <v>1.61777777777777</v>
      </c>
      <c r="AD1373" s="62">
        <v>0.232777777777777</v>
      </c>
      <c r="AE1373" s="62">
        <v>1.61777777777777</v>
      </c>
      <c r="AF1373" s="62">
        <v>4.0</v>
      </c>
    </row>
    <row r="1374">
      <c r="A1374" s="68">
        <v>46015.0</v>
      </c>
      <c r="B1374" s="62" t="s">
        <v>32</v>
      </c>
      <c r="C1374" s="62" t="s">
        <v>168</v>
      </c>
      <c r="D1374" s="62">
        <v>0.0</v>
      </c>
      <c r="E1374" s="62">
        <v>1.0</v>
      </c>
      <c r="F1374" s="62">
        <v>0.0</v>
      </c>
      <c r="G1374" s="62">
        <v>0.0</v>
      </c>
      <c r="H1374" s="62">
        <v>2.0</v>
      </c>
      <c r="I1374" s="62">
        <v>2.0</v>
      </c>
      <c r="J1374" s="62">
        <v>2.0</v>
      </c>
      <c r="K1374" s="62">
        <v>0.0</v>
      </c>
      <c r="L1374" s="62">
        <v>0.0</v>
      </c>
      <c r="M1374" s="62">
        <v>3.0</v>
      </c>
      <c r="N1374" s="62">
        <v>3.0</v>
      </c>
      <c r="O1374" s="62">
        <v>1.0</v>
      </c>
      <c r="P1374" s="62">
        <v>3.0</v>
      </c>
      <c r="Q1374" s="62">
        <v>0.0</v>
      </c>
      <c r="R1374" s="62">
        <v>0.0</v>
      </c>
      <c r="S1374" s="62">
        <v>2651.0</v>
      </c>
      <c r="T1374" s="62">
        <v>1.02777777777777</v>
      </c>
      <c r="U1374" s="62">
        <v>0.0</v>
      </c>
      <c r="V1374" s="62">
        <v>0.0</v>
      </c>
      <c r="W1374" s="62">
        <v>0.511111111111111</v>
      </c>
      <c r="X1374" s="62">
        <v>0.511111111111111</v>
      </c>
      <c r="Y1374" s="62">
        <v>0.537222222222222</v>
      </c>
      <c r="Z1374" s="62">
        <v>0.0</v>
      </c>
      <c r="AA1374" s="62">
        <v>0.0</v>
      </c>
      <c r="AB1374" s="62">
        <v>0.685277777777777</v>
      </c>
      <c r="AC1374" s="62">
        <v>0.685277777777777</v>
      </c>
      <c r="AD1374" s="62">
        <v>0.232777777777777</v>
      </c>
      <c r="AE1374" s="62">
        <v>0.685277777777777</v>
      </c>
      <c r="AF1374" s="62">
        <v>4.0</v>
      </c>
    </row>
    <row r="1375">
      <c r="A1375" s="68">
        <v>46015.0</v>
      </c>
      <c r="B1375" s="62" t="s">
        <v>26</v>
      </c>
      <c r="C1375" s="62" t="s">
        <v>178</v>
      </c>
      <c r="D1375" s="62">
        <v>0.0</v>
      </c>
      <c r="E1375" s="62">
        <v>0.0</v>
      </c>
      <c r="F1375" s="62">
        <v>2.0</v>
      </c>
      <c r="G1375" s="62">
        <v>1.0</v>
      </c>
      <c r="H1375" s="62">
        <v>3.0</v>
      </c>
      <c r="I1375" s="62">
        <v>0.0</v>
      </c>
      <c r="J1375" s="62">
        <v>6.0</v>
      </c>
      <c r="K1375" s="62">
        <v>1.0</v>
      </c>
      <c r="L1375" s="62">
        <v>0.0</v>
      </c>
      <c r="M1375" s="62">
        <v>6.0</v>
      </c>
      <c r="N1375" s="62">
        <v>1.0</v>
      </c>
      <c r="O1375" s="62">
        <v>1.0</v>
      </c>
      <c r="P1375" s="62">
        <v>1.0</v>
      </c>
      <c r="Q1375" s="62">
        <v>0.0</v>
      </c>
      <c r="R1375" s="62">
        <v>0.0</v>
      </c>
      <c r="S1375" s="62">
        <v>0.0</v>
      </c>
      <c r="T1375" s="62">
        <v>0.0</v>
      </c>
      <c r="U1375" s="62">
        <v>0.400555555555555</v>
      </c>
      <c r="V1375" s="62">
        <v>0.190833333333333</v>
      </c>
      <c r="W1375" s="62">
        <v>0.548055555555555</v>
      </c>
      <c r="X1375" s="62">
        <v>0.0</v>
      </c>
      <c r="Y1375" s="62">
        <v>1.15416666666666</v>
      </c>
      <c r="Z1375" s="62">
        <v>0.193611111111111</v>
      </c>
      <c r="AA1375" s="62">
        <v>0.0</v>
      </c>
      <c r="AB1375" s="62">
        <v>1.12138888888888</v>
      </c>
      <c r="AC1375" s="62">
        <v>0.182777777777777</v>
      </c>
      <c r="AD1375" s="62">
        <v>0.201944444444444</v>
      </c>
      <c r="AE1375" s="62">
        <v>0.182777777777777</v>
      </c>
      <c r="AF1375" s="62">
        <v>0.0</v>
      </c>
    </row>
    <row r="1376">
      <c r="A1376" s="68">
        <v>46014.0</v>
      </c>
      <c r="B1376" s="62" t="s">
        <v>71</v>
      </c>
      <c r="C1376" s="62" t="s">
        <v>163</v>
      </c>
      <c r="D1376" s="62">
        <v>0.0</v>
      </c>
      <c r="E1376" s="62">
        <v>4.0</v>
      </c>
      <c r="F1376" s="62">
        <v>0.0</v>
      </c>
      <c r="G1376" s="62">
        <v>0.0</v>
      </c>
      <c r="H1376" s="62">
        <v>0.0</v>
      </c>
      <c r="I1376" s="62">
        <v>0.0</v>
      </c>
      <c r="J1376" s="62">
        <v>0.0</v>
      </c>
      <c r="K1376" s="62">
        <v>0.0</v>
      </c>
      <c r="L1376" s="62">
        <v>0.0</v>
      </c>
      <c r="M1376" s="62">
        <v>0.0</v>
      </c>
      <c r="N1376" s="62">
        <v>0.0</v>
      </c>
      <c r="O1376" s="62">
        <v>1.0</v>
      </c>
      <c r="P1376" s="62">
        <v>0.0</v>
      </c>
      <c r="Q1376" s="62">
        <v>0.0</v>
      </c>
      <c r="R1376" s="62">
        <v>0.0</v>
      </c>
      <c r="S1376" s="62">
        <v>12138.0</v>
      </c>
      <c r="T1376" s="62">
        <v>0.0</v>
      </c>
      <c r="U1376" s="62">
        <v>0.0</v>
      </c>
      <c r="V1376" s="62">
        <v>0.0</v>
      </c>
      <c r="W1376" s="62">
        <v>0.0</v>
      </c>
      <c r="X1376" s="62">
        <v>0.0</v>
      </c>
      <c r="Y1376" s="62">
        <v>0.0</v>
      </c>
      <c r="Z1376" s="62">
        <v>0.0</v>
      </c>
      <c r="AA1376" s="62">
        <v>0.0</v>
      </c>
      <c r="AB1376" s="62">
        <v>0.0</v>
      </c>
      <c r="AC1376" s="62">
        <v>0.0</v>
      </c>
      <c r="AD1376" s="62">
        <v>0.255</v>
      </c>
      <c r="AE1376" s="62">
        <v>0.0</v>
      </c>
      <c r="AF1376" s="62">
        <v>0.0</v>
      </c>
    </row>
    <row r="1377">
      <c r="A1377" s="68">
        <v>46014.0</v>
      </c>
      <c r="B1377" s="62" t="s">
        <v>76</v>
      </c>
      <c r="C1377" s="62" t="s">
        <v>165</v>
      </c>
      <c r="D1377" s="62">
        <v>0.0</v>
      </c>
      <c r="E1377" s="62">
        <v>2.0</v>
      </c>
      <c r="F1377" s="62">
        <v>3.0</v>
      </c>
      <c r="G1377" s="62">
        <v>5.0</v>
      </c>
      <c r="H1377" s="62">
        <v>7.0</v>
      </c>
      <c r="I1377" s="62">
        <v>2.0</v>
      </c>
      <c r="J1377" s="62">
        <v>6.0</v>
      </c>
      <c r="K1377" s="62">
        <v>0.0</v>
      </c>
      <c r="L1377" s="62">
        <v>0.0</v>
      </c>
      <c r="M1377" s="62">
        <v>5.0</v>
      </c>
      <c r="N1377" s="62">
        <v>1.0</v>
      </c>
      <c r="O1377" s="62">
        <v>1.0</v>
      </c>
      <c r="P1377" s="62">
        <v>1.0</v>
      </c>
      <c r="Q1377" s="62">
        <v>0.0</v>
      </c>
      <c r="R1377" s="62">
        <v>0.0</v>
      </c>
      <c r="S1377" s="62">
        <v>5009.0</v>
      </c>
      <c r="T1377" s="62">
        <v>0.693333333333333</v>
      </c>
      <c r="U1377" s="62">
        <v>0.71</v>
      </c>
      <c r="V1377" s="62">
        <v>1.16277777777777</v>
      </c>
      <c r="W1377" s="62">
        <v>1.62611111111111</v>
      </c>
      <c r="X1377" s="62">
        <v>0.463333333333333</v>
      </c>
      <c r="Y1377" s="62">
        <v>1.39027777777777</v>
      </c>
      <c r="Z1377" s="62">
        <v>0.0</v>
      </c>
      <c r="AA1377" s="62">
        <v>0.0</v>
      </c>
      <c r="AB1377" s="62">
        <v>1.1575</v>
      </c>
      <c r="AC1377" s="62">
        <v>0.235</v>
      </c>
      <c r="AD1377" s="62">
        <v>0.227222222222222</v>
      </c>
      <c r="AE1377" s="62">
        <v>0.235</v>
      </c>
      <c r="AF1377" s="62">
        <v>3.0</v>
      </c>
    </row>
    <row r="1378">
      <c r="A1378" s="68">
        <v>46014.0</v>
      </c>
      <c r="B1378" s="62" t="s">
        <v>32</v>
      </c>
      <c r="C1378" s="62" t="s">
        <v>168</v>
      </c>
      <c r="D1378" s="62">
        <v>0.0</v>
      </c>
      <c r="E1378" s="62">
        <v>4.0</v>
      </c>
      <c r="F1378" s="62">
        <v>0.0</v>
      </c>
      <c r="G1378" s="62">
        <v>0.0</v>
      </c>
      <c r="H1378" s="62">
        <v>4.0</v>
      </c>
      <c r="I1378" s="62">
        <v>4.0</v>
      </c>
      <c r="J1378" s="62">
        <v>3.0</v>
      </c>
      <c r="K1378" s="62">
        <v>0.0</v>
      </c>
      <c r="L1378" s="62">
        <v>0.0</v>
      </c>
      <c r="M1378" s="62">
        <v>0.0</v>
      </c>
      <c r="N1378" s="62">
        <v>1.0</v>
      </c>
      <c r="O1378" s="62">
        <v>1.0</v>
      </c>
      <c r="P1378" s="62">
        <v>1.0</v>
      </c>
      <c r="Q1378" s="62">
        <v>0.0</v>
      </c>
      <c r="R1378" s="62">
        <v>0.0</v>
      </c>
      <c r="S1378" s="62">
        <v>10832.0</v>
      </c>
      <c r="T1378" s="62">
        <v>0.276944444444444</v>
      </c>
      <c r="U1378" s="62">
        <v>0.0</v>
      </c>
      <c r="V1378" s="62">
        <v>0.0</v>
      </c>
      <c r="W1378" s="62">
        <v>0.9625</v>
      </c>
      <c r="X1378" s="62">
        <v>0.962499999999999</v>
      </c>
      <c r="Y1378" s="62">
        <v>0.685277777777777</v>
      </c>
      <c r="Z1378" s="62">
        <v>0.0</v>
      </c>
      <c r="AA1378" s="62">
        <v>0.0</v>
      </c>
      <c r="AB1378" s="62">
        <v>0.0</v>
      </c>
      <c r="AC1378" s="62">
        <v>0.2425</v>
      </c>
      <c r="AD1378" s="62">
        <v>0.233333333333333</v>
      </c>
      <c r="AE1378" s="62">
        <v>0.2425</v>
      </c>
      <c r="AF1378" s="62">
        <v>1.0</v>
      </c>
    </row>
    <row r="1379">
      <c r="A1379" s="68">
        <v>46014.0</v>
      </c>
      <c r="B1379" s="62" t="s">
        <v>26</v>
      </c>
      <c r="C1379" s="62" t="s">
        <v>178</v>
      </c>
      <c r="D1379" s="62">
        <v>10.0</v>
      </c>
      <c r="E1379" s="62">
        <v>3.0</v>
      </c>
      <c r="F1379" s="62">
        <v>3.0</v>
      </c>
      <c r="G1379" s="62">
        <v>0.0</v>
      </c>
      <c r="H1379" s="62">
        <v>5.0</v>
      </c>
      <c r="I1379" s="62">
        <v>5.0</v>
      </c>
      <c r="J1379" s="62">
        <v>5.0</v>
      </c>
      <c r="K1379" s="62">
        <v>0.0</v>
      </c>
      <c r="L1379" s="62">
        <v>0.0</v>
      </c>
      <c r="M1379" s="62">
        <v>0.0</v>
      </c>
      <c r="N1379" s="62">
        <v>1.0</v>
      </c>
      <c r="O1379" s="62">
        <v>1.0</v>
      </c>
      <c r="P1379" s="62">
        <v>1.0</v>
      </c>
      <c r="Q1379" s="62">
        <v>0.0</v>
      </c>
      <c r="R1379" s="62">
        <v>23385.0</v>
      </c>
      <c r="S1379" s="62">
        <v>6189.0</v>
      </c>
      <c r="T1379" s="62">
        <v>0.400555555555555</v>
      </c>
      <c r="U1379" s="62">
        <v>0.587222222222222</v>
      </c>
      <c r="V1379" s="62">
        <v>0.0</v>
      </c>
      <c r="W1379" s="62">
        <v>0.963611111111111</v>
      </c>
      <c r="X1379" s="62">
        <v>0.963611111111111</v>
      </c>
      <c r="Y1379" s="62">
        <v>0.930555555555555</v>
      </c>
      <c r="Z1379" s="62">
        <v>0.0</v>
      </c>
      <c r="AA1379" s="62">
        <v>0.0</v>
      </c>
      <c r="AB1379" s="62">
        <v>0.0</v>
      </c>
      <c r="AC1379" s="62">
        <v>0.179444444444444</v>
      </c>
      <c r="AD1379" s="62">
        <v>0.212222222222222</v>
      </c>
      <c r="AE1379" s="62">
        <v>0.179444444444444</v>
      </c>
      <c r="AF1379" s="62">
        <v>2.0</v>
      </c>
    </row>
    <row r="1380">
      <c r="A1380" s="68">
        <v>46013.0</v>
      </c>
      <c r="B1380" s="62" t="s">
        <v>71</v>
      </c>
      <c r="C1380" s="62" t="s">
        <v>163</v>
      </c>
      <c r="D1380" s="62">
        <v>0.0</v>
      </c>
      <c r="E1380" s="62">
        <v>1.0</v>
      </c>
      <c r="F1380" s="62">
        <v>0.0</v>
      </c>
      <c r="G1380" s="62">
        <v>0.0</v>
      </c>
      <c r="H1380" s="62">
        <v>0.0</v>
      </c>
      <c r="I1380" s="62">
        <v>0.0</v>
      </c>
      <c r="J1380" s="62">
        <v>0.0</v>
      </c>
      <c r="K1380" s="62">
        <v>0.0</v>
      </c>
      <c r="L1380" s="62">
        <v>0.0</v>
      </c>
      <c r="M1380" s="62">
        <v>0.0</v>
      </c>
      <c r="N1380" s="62">
        <v>0.0</v>
      </c>
      <c r="O1380" s="62">
        <v>1.0</v>
      </c>
      <c r="P1380" s="62">
        <v>0.0</v>
      </c>
      <c r="Q1380" s="62">
        <v>0.0</v>
      </c>
      <c r="R1380" s="62">
        <v>0.0</v>
      </c>
      <c r="S1380" s="62">
        <v>3210.0</v>
      </c>
      <c r="T1380" s="62">
        <v>0.0</v>
      </c>
      <c r="U1380" s="62">
        <v>0.0</v>
      </c>
      <c r="V1380" s="62">
        <v>0.0</v>
      </c>
      <c r="W1380" s="62">
        <v>0.0</v>
      </c>
      <c r="X1380" s="62">
        <v>0.0</v>
      </c>
      <c r="Y1380" s="62">
        <v>0.0</v>
      </c>
      <c r="Z1380" s="62">
        <v>0.0</v>
      </c>
      <c r="AA1380" s="62">
        <v>0.0</v>
      </c>
      <c r="AB1380" s="62">
        <v>0.0</v>
      </c>
      <c r="AC1380" s="62">
        <v>0.0</v>
      </c>
      <c r="AD1380" s="62">
        <v>0.251111111111111</v>
      </c>
      <c r="AE1380" s="62">
        <v>0.0</v>
      </c>
      <c r="AF1380" s="62">
        <v>0.0</v>
      </c>
    </row>
    <row r="1381">
      <c r="A1381" s="68">
        <v>46013.0</v>
      </c>
      <c r="B1381" s="62" t="s">
        <v>76</v>
      </c>
      <c r="C1381" s="62" t="s">
        <v>165</v>
      </c>
      <c r="D1381" s="62">
        <v>0.0</v>
      </c>
      <c r="E1381" s="62">
        <v>3.0</v>
      </c>
      <c r="F1381" s="62">
        <v>2.0</v>
      </c>
      <c r="G1381" s="62">
        <v>1.0</v>
      </c>
      <c r="H1381" s="62">
        <v>2.0</v>
      </c>
      <c r="I1381" s="62">
        <v>1.0</v>
      </c>
      <c r="J1381" s="62">
        <v>2.0</v>
      </c>
      <c r="K1381" s="62">
        <v>0.0</v>
      </c>
      <c r="L1381" s="62">
        <v>0.0</v>
      </c>
      <c r="M1381" s="62">
        <v>2.0</v>
      </c>
      <c r="N1381" s="62">
        <v>1.0</v>
      </c>
      <c r="O1381" s="62">
        <v>1.0</v>
      </c>
      <c r="P1381" s="62">
        <v>1.0</v>
      </c>
      <c r="Q1381" s="62">
        <v>0.0</v>
      </c>
      <c r="R1381" s="62">
        <v>0.0</v>
      </c>
      <c r="S1381" s="62">
        <v>7581.0</v>
      </c>
      <c r="T1381" s="62">
        <v>1.16694444444444</v>
      </c>
      <c r="U1381" s="62">
        <v>0.455555555555555</v>
      </c>
      <c r="V1381" s="62">
        <v>0.226666666666666</v>
      </c>
      <c r="W1381" s="62">
        <v>0.458055555555555</v>
      </c>
      <c r="X1381" s="62">
        <v>0.231388888888888</v>
      </c>
      <c r="Y1381" s="62">
        <v>0.464444444444444</v>
      </c>
      <c r="Z1381" s="62">
        <v>0.0</v>
      </c>
      <c r="AA1381" s="62">
        <v>0.0</v>
      </c>
      <c r="AB1381" s="62">
        <v>0.471944444444444</v>
      </c>
      <c r="AC1381" s="62">
        <v>0.236944444444444</v>
      </c>
      <c r="AD1381" s="62">
        <v>0.254722222222222</v>
      </c>
      <c r="AE1381" s="62">
        <v>0.236944444444444</v>
      </c>
      <c r="AF1381" s="62">
        <v>5.0</v>
      </c>
    </row>
    <row r="1382">
      <c r="A1382" s="68">
        <v>46013.0</v>
      </c>
      <c r="B1382" s="62" t="s">
        <v>32</v>
      </c>
      <c r="C1382" s="62" t="s">
        <v>168</v>
      </c>
      <c r="D1382" s="62">
        <v>0.0</v>
      </c>
      <c r="E1382" s="62">
        <v>7.0</v>
      </c>
      <c r="F1382" s="62">
        <v>0.0</v>
      </c>
      <c r="G1382" s="62">
        <v>0.0</v>
      </c>
      <c r="H1382" s="62">
        <v>0.0</v>
      </c>
      <c r="I1382" s="62">
        <v>0.0</v>
      </c>
      <c r="J1382" s="62">
        <v>1.0</v>
      </c>
      <c r="K1382" s="62">
        <v>0.0</v>
      </c>
      <c r="L1382" s="62">
        <v>0.0</v>
      </c>
      <c r="M1382" s="62">
        <v>2.0</v>
      </c>
      <c r="N1382" s="62">
        <v>1.0</v>
      </c>
      <c r="O1382" s="62">
        <v>1.0</v>
      </c>
      <c r="P1382" s="62">
        <v>1.0</v>
      </c>
      <c r="Q1382" s="62">
        <v>0.0</v>
      </c>
      <c r="R1382" s="62">
        <v>0.0</v>
      </c>
      <c r="S1382" s="62">
        <v>18567.0</v>
      </c>
      <c r="T1382" s="62">
        <v>0.685555555555555</v>
      </c>
      <c r="U1382" s="62">
        <v>0.0</v>
      </c>
      <c r="V1382" s="62">
        <v>0.0</v>
      </c>
      <c r="W1382" s="62">
        <v>0.0</v>
      </c>
      <c r="X1382" s="62">
        <v>0.0</v>
      </c>
      <c r="Y1382" s="62">
        <v>0.2425</v>
      </c>
      <c r="Z1382" s="62">
        <v>0.0</v>
      </c>
      <c r="AA1382" s="62">
        <v>0.0</v>
      </c>
      <c r="AB1382" s="62">
        <v>0.484444444444444</v>
      </c>
      <c r="AC1382" s="62">
        <v>0.241944444444444</v>
      </c>
      <c r="AD1382" s="62">
        <v>0.212777777777777</v>
      </c>
      <c r="AE1382" s="62">
        <v>0.241944444444444</v>
      </c>
      <c r="AF1382" s="62">
        <v>3.0</v>
      </c>
    </row>
    <row r="1383">
      <c r="A1383" s="68">
        <v>46013.0</v>
      </c>
      <c r="B1383" s="62" t="s">
        <v>26</v>
      </c>
      <c r="C1383" s="62" t="s">
        <v>178</v>
      </c>
      <c r="D1383" s="62">
        <v>0.0</v>
      </c>
      <c r="E1383" s="62">
        <v>1.0</v>
      </c>
      <c r="F1383" s="62">
        <v>4.0</v>
      </c>
      <c r="G1383" s="62">
        <v>0.0</v>
      </c>
      <c r="H1383" s="62">
        <v>6.0</v>
      </c>
      <c r="I1383" s="62">
        <v>6.0</v>
      </c>
      <c r="J1383" s="62">
        <v>0.0</v>
      </c>
      <c r="K1383" s="62">
        <v>0.0</v>
      </c>
      <c r="L1383" s="62">
        <v>0.0</v>
      </c>
      <c r="M1383" s="62">
        <v>0.0</v>
      </c>
      <c r="N1383" s="62">
        <v>0.0</v>
      </c>
      <c r="O1383" s="62">
        <v>1.0</v>
      </c>
      <c r="P1383" s="62">
        <v>0.0</v>
      </c>
      <c r="Q1383" s="62">
        <v>0.0</v>
      </c>
      <c r="R1383" s="62">
        <v>0.0</v>
      </c>
      <c r="S1383" s="62">
        <v>2029.0</v>
      </c>
      <c r="T1383" s="62">
        <v>3.43666666666666</v>
      </c>
      <c r="U1383" s="62">
        <v>0.746111111111111</v>
      </c>
      <c r="V1383" s="62">
        <v>0.0</v>
      </c>
      <c r="W1383" s="62">
        <v>1.13972222222222</v>
      </c>
      <c r="X1383" s="62">
        <v>1.13972222222222</v>
      </c>
      <c r="Y1383" s="62">
        <v>0.0</v>
      </c>
      <c r="Z1383" s="62">
        <v>0.0</v>
      </c>
      <c r="AA1383" s="62">
        <v>0.0</v>
      </c>
      <c r="AB1383" s="62">
        <v>0.0</v>
      </c>
      <c r="AC1383" s="62">
        <v>0.0</v>
      </c>
      <c r="AD1383" s="62">
        <v>0.196111111111111</v>
      </c>
      <c r="AE1383" s="62">
        <v>0.0</v>
      </c>
      <c r="AF1383" s="62">
        <v>18.0</v>
      </c>
    </row>
    <row r="1384">
      <c r="A1384" s="68">
        <v>46012.0</v>
      </c>
      <c r="B1384" s="62" t="s">
        <v>26</v>
      </c>
      <c r="C1384" s="62" t="s">
        <v>178</v>
      </c>
      <c r="D1384" s="62">
        <v>0.0</v>
      </c>
      <c r="E1384" s="62">
        <v>1.0</v>
      </c>
      <c r="F1384" s="62">
        <v>0.0</v>
      </c>
      <c r="G1384" s="62">
        <v>0.0</v>
      </c>
      <c r="H1384" s="62">
        <v>0.0</v>
      </c>
      <c r="I1384" s="62">
        <v>0.0</v>
      </c>
      <c r="J1384" s="62">
        <v>0.0</v>
      </c>
      <c r="K1384" s="62">
        <v>0.0</v>
      </c>
      <c r="L1384" s="62">
        <v>0.0</v>
      </c>
      <c r="M1384" s="62">
        <v>0.0</v>
      </c>
      <c r="N1384" s="62">
        <v>0.0</v>
      </c>
      <c r="O1384" s="62">
        <v>1.0</v>
      </c>
      <c r="P1384" s="62">
        <v>0.0</v>
      </c>
      <c r="Q1384" s="62">
        <v>0.0</v>
      </c>
      <c r="R1384" s="62">
        <v>0.0</v>
      </c>
      <c r="S1384" s="62">
        <v>2195.0</v>
      </c>
      <c r="T1384" s="62">
        <v>0.0</v>
      </c>
      <c r="U1384" s="62">
        <v>0.0</v>
      </c>
      <c r="V1384" s="62">
        <v>0.0</v>
      </c>
      <c r="W1384" s="62">
        <v>0.0</v>
      </c>
      <c r="X1384" s="62">
        <v>0.0</v>
      </c>
      <c r="Y1384" s="62">
        <v>0.0</v>
      </c>
      <c r="Z1384" s="62">
        <v>0.0</v>
      </c>
      <c r="AA1384" s="62">
        <v>0.0</v>
      </c>
      <c r="AB1384" s="62">
        <v>0.0</v>
      </c>
      <c r="AC1384" s="62">
        <v>0.0</v>
      </c>
      <c r="AD1384" s="62">
        <v>0.231388888888888</v>
      </c>
      <c r="AE1384" s="62">
        <v>0.0</v>
      </c>
      <c r="AF1384" s="62">
        <v>0.0</v>
      </c>
    </row>
    <row r="1385">
      <c r="A1385" s="68">
        <v>46011.0</v>
      </c>
      <c r="B1385" s="62" t="s">
        <v>76</v>
      </c>
      <c r="C1385" s="62" t="s">
        <v>165</v>
      </c>
      <c r="D1385" s="62">
        <v>0.0</v>
      </c>
      <c r="E1385" s="62">
        <v>5.0</v>
      </c>
      <c r="F1385" s="62">
        <v>0.0</v>
      </c>
      <c r="G1385" s="62">
        <v>1.0</v>
      </c>
      <c r="H1385" s="62">
        <v>1.0</v>
      </c>
      <c r="I1385" s="62">
        <v>0.0</v>
      </c>
      <c r="J1385" s="62">
        <v>1.0</v>
      </c>
      <c r="K1385" s="62">
        <v>0.0</v>
      </c>
      <c r="L1385" s="62">
        <v>0.0</v>
      </c>
      <c r="M1385" s="62">
        <v>0.0</v>
      </c>
      <c r="N1385" s="62">
        <v>0.0</v>
      </c>
      <c r="O1385" s="62">
        <v>1.0</v>
      </c>
      <c r="P1385" s="62">
        <v>0.0</v>
      </c>
      <c r="Q1385" s="62">
        <v>0.0</v>
      </c>
      <c r="R1385" s="62">
        <v>0.0</v>
      </c>
      <c r="S1385" s="62">
        <v>12492.0</v>
      </c>
      <c r="T1385" s="62">
        <v>0.0</v>
      </c>
      <c r="U1385" s="62">
        <v>0.0</v>
      </c>
      <c r="V1385" s="62">
        <v>0.236944444444444</v>
      </c>
      <c r="W1385" s="62">
        <v>0.236944444444444</v>
      </c>
      <c r="X1385" s="62">
        <v>0.0</v>
      </c>
      <c r="Y1385" s="62">
        <v>0.235</v>
      </c>
      <c r="Z1385" s="62">
        <v>0.0</v>
      </c>
      <c r="AA1385" s="62">
        <v>0.0</v>
      </c>
      <c r="AB1385" s="62">
        <v>0.0</v>
      </c>
      <c r="AC1385" s="62">
        <v>0.0</v>
      </c>
      <c r="AD1385" s="62">
        <v>0.226944444444444</v>
      </c>
      <c r="AE1385" s="62">
        <v>0.0</v>
      </c>
      <c r="AF1385" s="62">
        <v>0.0</v>
      </c>
    </row>
    <row r="1386">
      <c r="A1386" s="68">
        <v>46011.0</v>
      </c>
      <c r="B1386" s="62" t="s">
        <v>32</v>
      </c>
      <c r="C1386" s="62" t="s">
        <v>168</v>
      </c>
      <c r="D1386" s="62">
        <v>0.0</v>
      </c>
      <c r="E1386" s="62">
        <v>1.0</v>
      </c>
      <c r="F1386" s="62">
        <v>0.0</v>
      </c>
      <c r="G1386" s="62">
        <v>0.0</v>
      </c>
      <c r="H1386" s="62">
        <v>0.0</v>
      </c>
      <c r="I1386" s="62">
        <v>0.0</v>
      </c>
      <c r="J1386" s="62">
        <v>0.0</v>
      </c>
      <c r="K1386" s="62">
        <v>0.0</v>
      </c>
      <c r="L1386" s="62">
        <v>0.0</v>
      </c>
      <c r="M1386" s="62">
        <v>0.0</v>
      </c>
      <c r="N1386" s="62">
        <v>0.0</v>
      </c>
      <c r="O1386" s="62">
        <v>1.0</v>
      </c>
      <c r="P1386" s="62">
        <v>0.0</v>
      </c>
      <c r="Q1386" s="62">
        <v>0.0</v>
      </c>
      <c r="R1386" s="62">
        <v>0.0</v>
      </c>
      <c r="S1386" s="62">
        <v>2680.0</v>
      </c>
      <c r="T1386" s="62">
        <v>0.0</v>
      </c>
      <c r="U1386" s="62">
        <v>0.0</v>
      </c>
      <c r="V1386" s="62">
        <v>0.0</v>
      </c>
      <c r="W1386" s="62">
        <v>0.0</v>
      </c>
      <c r="X1386" s="62">
        <v>0.0</v>
      </c>
      <c r="Y1386" s="62">
        <v>0.0</v>
      </c>
      <c r="Z1386" s="62">
        <v>0.0</v>
      </c>
      <c r="AA1386" s="62">
        <v>0.0</v>
      </c>
      <c r="AB1386" s="62">
        <v>0.0</v>
      </c>
      <c r="AC1386" s="62">
        <v>0.0</v>
      </c>
      <c r="AD1386" s="62">
        <v>0.207222222222222</v>
      </c>
      <c r="AE1386" s="62">
        <v>0.0</v>
      </c>
      <c r="AF1386" s="62">
        <v>0.0</v>
      </c>
    </row>
    <row r="1387">
      <c r="A1387" s="68">
        <v>46011.0</v>
      </c>
      <c r="B1387" s="62" t="s">
        <v>26</v>
      </c>
      <c r="C1387" s="62" t="s">
        <v>178</v>
      </c>
      <c r="D1387" s="62">
        <v>0.0</v>
      </c>
      <c r="E1387" s="62">
        <v>3.0</v>
      </c>
      <c r="F1387" s="62">
        <v>0.0</v>
      </c>
      <c r="G1387" s="62">
        <v>0.0</v>
      </c>
      <c r="H1387" s="62">
        <v>0.0</v>
      </c>
      <c r="I1387" s="62">
        <v>0.0</v>
      </c>
      <c r="J1387" s="62">
        <v>0.0</v>
      </c>
      <c r="K1387" s="62">
        <v>0.0</v>
      </c>
      <c r="L1387" s="62">
        <v>0.0</v>
      </c>
      <c r="M1387" s="62">
        <v>0.0</v>
      </c>
      <c r="N1387" s="62">
        <v>0.0</v>
      </c>
      <c r="O1387" s="62">
        <v>1.0</v>
      </c>
      <c r="P1387" s="62">
        <v>0.0</v>
      </c>
      <c r="Q1387" s="62">
        <v>0.0</v>
      </c>
      <c r="R1387" s="62">
        <v>0.0</v>
      </c>
      <c r="S1387" s="62">
        <v>6099.0</v>
      </c>
      <c r="T1387" s="62">
        <v>0.0</v>
      </c>
      <c r="U1387" s="62">
        <v>0.0</v>
      </c>
      <c r="V1387" s="62">
        <v>0.0</v>
      </c>
      <c r="W1387" s="62">
        <v>0.0</v>
      </c>
      <c r="X1387" s="62">
        <v>0.0</v>
      </c>
      <c r="Y1387" s="62">
        <v>0.0</v>
      </c>
      <c r="Z1387" s="62">
        <v>0.0</v>
      </c>
      <c r="AA1387" s="62">
        <v>0.0</v>
      </c>
      <c r="AB1387" s="62">
        <v>0.0</v>
      </c>
      <c r="AC1387" s="62">
        <v>0.0</v>
      </c>
      <c r="AD1387" s="62">
        <v>0.203333333333333</v>
      </c>
      <c r="AE1387" s="62">
        <v>0.0</v>
      </c>
      <c r="AF1387" s="62">
        <v>0.0</v>
      </c>
    </row>
    <row r="1388">
      <c r="A1388" s="68">
        <v>46010.0</v>
      </c>
      <c r="B1388" s="62" t="s">
        <v>71</v>
      </c>
      <c r="C1388" s="62" t="s">
        <v>163</v>
      </c>
      <c r="D1388" s="62">
        <v>5.0</v>
      </c>
      <c r="E1388" s="62">
        <v>0.0</v>
      </c>
      <c r="F1388" s="62">
        <v>0.0</v>
      </c>
      <c r="G1388" s="62">
        <v>0.0</v>
      </c>
      <c r="H1388" s="62">
        <v>0.0</v>
      </c>
      <c r="I1388" s="62">
        <v>0.0</v>
      </c>
      <c r="J1388" s="62">
        <v>0.0</v>
      </c>
      <c r="K1388" s="62">
        <v>0.0</v>
      </c>
      <c r="L1388" s="62">
        <v>0.0</v>
      </c>
      <c r="M1388" s="62">
        <v>0.0</v>
      </c>
      <c r="N1388" s="62">
        <v>1.0</v>
      </c>
      <c r="O1388" s="62">
        <v>1.0</v>
      </c>
      <c r="P1388" s="62">
        <v>1.0</v>
      </c>
      <c r="Q1388" s="62">
        <v>0.0</v>
      </c>
      <c r="R1388" s="62">
        <v>15348.0</v>
      </c>
      <c r="S1388" s="62">
        <v>0.0</v>
      </c>
      <c r="T1388" s="62">
        <v>0.0</v>
      </c>
      <c r="U1388" s="62">
        <v>0.0</v>
      </c>
      <c r="V1388" s="62">
        <v>0.0</v>
      </c>
      <c r="W1388" s="62">
        <v>0.0</v>
      </c>
      <c r="X1388" s="62">
        <v>0.0</v>
      </c>
      <c r="Y1388" s="62">
        <v>0.0</v>
      </c>
      <c r="Z1388" s="62">
        <v>0.0</v>
      </c>
      <c r="AA1388" s="62">
        <v>0.0</v>
      </c>
      <c r="AB1388" s="62">
        <v>0.0</v>
      </c>
      <c r="AC1388" s="62">
        <v>0.238333333333333</v>
      </c>
      <c r="AD1388" s="62">
        <v>0.251944444444444</v>
      </c>
      <c r="AE1388" s="62">
        <v>0.238333333333333</v>
      </c>
      <c r="AF1388" s="62">
        <v>0.0</v>
      </c>
    </row>
    <row r="1389">
      <c r="A1389" s="68">
        <v>46010.0</v>
      </c>
      <c r="B1389" s="62" t="s">
        <v>76</v>
      </c>
      <c r="C1389" s="62" t="s">
        <v>165</v>
      </c>
      <c r="D1389" s="62">
        <v>22.0</v>
      </c>
      <c r="E1389" s="62">
        <v>9.0</v>
      </c>
      <c r="F1389" s="62">
        <v>4.0</v>
      </c>
      <c r="G1389" s="62">
        <v>3.0</v>
      </c>
      <c r="H1389" s="62">
        <v>5.0</v>
      </c>
      <c r="I1389" s="62">
        <v>2.0</v>
      </c>
      <c r="J1389" s="62">
        <v>6.0</v>
      </c>
      <c r="K1389" s="62">
        <v>2.0</v>
      </c>
      <c r="L1389" s="62">
        <v>2.0</v>
      </c>
      <c r="M1389" s="62">
        <v>8.0</v>
      </c>
      <c r="N1389" s="62">
        <v>14.0</v>
      </c>
      <c r="O1389" s="62">
        <v>1.0</v>
      </c>
      <c r="P1389" s="62">
        <v>14.0</v>
      </c>
      <c r="Q1389" s="62">
        <v>0.0</v>
      </c>
      <c r="R1389" s="62">
        <v>63391.0</v>
      </c>
      <c r="S1389" s="62">
        <v>19920.0</v>
      </c>
      <c r="T1389" s="62">
        <v>1.38944444444444</v>
      </c>
      <c r="U1389" s="62">
        <v>0.929166666666666</v>
      </c>
      <c r="V1389" s="62">
        <v>0.681944444444444</v>
      </c>
      <c r="W1389" s="62">
        <v>1.14222222222222</v>
      </c>
      <c r="X1389" s="62">
        <v>0.460277777777777</v>
      </c>
      <c r="Y1389" s="62">
        <v>1.38888888888888</v>
      </c>
      <c r="Z1389" s="62">
        <v>0.480277777777777</v>
      </c>
      <c r="AA1389" s="62">
        <v>0.480277777777777</v>
      </c>
      <c r="AB1389" s="62">
        <v>1.87166666666666</v>
      </c>
      <c r="AC1389" s="62">
        <v>3.30249999999999</v>
      </c>
      <c r="AD1389" s="62">
        <v>0.236944444444444</v>
      </c>
      <c r="AE1389" s="62">
        <v>3.3025</v>
      </c>
      <c r="AF1389" s="62">
        <v>6.0</v>
      </c>
    </row>
    <row r="1390">
      <c r="A1390" s="68">
        <v>46010.0</v>
      </c>
      <c r="B1390" s="62" t="s">
        <v>32</v>
      </c>
      <c r="C1390" s="62" t="s">
        <v>168</v>
      </c>
      <c r="D1390" s="62">
        <v>16.0</v>
      </c>
      <c r="E1390" s="62">
        <v>8.0</v>
      </c>
      <c r="F1390" s="62">
        <v>0.0</v>
      </c>
      <c r="G1390" s="62">
        <v>0.0</v>
      </c>
      <c r="H1390" s="62">
        <v>1.0</v>
      </c>
      <c r="I1390" s="62">
        <v>0.0</v>
      </c>
      <c r="J1390" s="62">
        <v>8.0</v>
      </c>
      <c r="K1390" s="62">
        <v>0.0</v>
      </c>
      <c r="L1390" s="62">
        <v>0.0</v>
      </c>
      <c r="M1390" s="62">
        <v>9.0</v>
      </c>
      <c r="N1390" s="62">
        <v>9.0</v>
      </c>
      <c r="O1390" s="62">
        <v>1.0</v>
      </c>
      <c r="P1390" s="62">
        <v>9.0</v>
      </c>
      <c r="Q1390" s="62">
        <v>0.0</v>
      </c>
      <c r="R1390" s="62">
        <v>42427.0</v>
      </c>
      <c r="S1390" s="62">
        <v>21268.0</v>
      </c>
      <c r="T1390" s="62">
        <v>0.0</v>
      </c>
      <c r="U1390" s="62">
        <v>0.0</v>
      </c>
      <c r="V1390" s="62">
        <v>0.0</v>
      </c>
      <c r="W1390" s="62">
        <v>0.236388888888888</v>
      </c>
      <c r="X1390" s="62">
        <v>0.0</v>
      </c>
      <c r="Y1390" s="62">
        <v>1.94916666666666</v>
      </c>
      <c r="Z1390" s="62">
        <v>0.0</v>
      </c>
      <c r="AA1390" s="62">
        <v>0.0</v>
      </c>
      <c r="AB1390" s="62">
        <v>2.15805555555555</v>
      </c>
      <c r="AC1390" s="62">
        <v>2.15805555555555</v>
      </c>
      <c r="AD1390" s="62">
        <v>0.205</v>
      </c>
      <c r="AE1390" s="62">
        <v>2.15805555555555</v>
      </c>
      <c r="AF1390" s="62">
        <v>0.0</v>
      </c>
    </row>
    <row r="1391">
      <c r="A1391" s="68">
        <v>46010.0</v>
      </c>
      <c r="B1391" s="62" t="s">
        <v>26</v>
      </c>
      <c r="C1391" s="62" t="s">
        <v>178</v>
      </c>
      <c r="D1391" s="62">
        <v>0.0</v>
      </c>
      <c r="E1391" s="62">
        <v>3.0</v>
      </c>
      <c r="F1391" s="62">
        <v>0.0</v>
      </c>
      <c r="G1391" s="62">
        <v>0.0</v>
      </c>
      <c r="H1391" s="62">
        <v>0.0</v>
      </c>
      <c r="I1391" s="62">
        <v>0.0</v>
      </c>
      <c r="J1391" s="62">
        <v>0.0</v>
      </c>
      <c r="K1391" s="62">
        <v>0.0</v>
      </c>
      <c r="L1391" s="62">
        <v>1.0</v>
      </c>
      <c r="M1391" s="62">
        <v>2.0</v>
      </c>
      <c r="N1391" s="62">
        <v>16.0</v>
      </c>
      <c r="O1391" s="62">
        <v>1.0</v>
      </c>
      <c r="P1391" s="62">
        <v>16.0</v>
      </c>
      <c r="Q1391" s="62">
        <v>0.0</v>
      </c>
      <c r="R1391" s="62">
        <v>0.0</v>
      </c>
      <c r="S1391" s="62">
        <v>6102.0</v>
      </c>
      <c r="T1391" s="62">
        <v>0.0</v>
      </c>
      <c r="U1391" s="62">
        <v>0.0</v>
      </c>
      <c r="V1391" s="62">
        <v>0.0</v>
      </c>
      <c r="W1391" s="62">
        <v>0.0</v>
      </c>
      <c r="X1391" s="62">
        <v>0.0</v>
      </c>
      <c r="Y1391" s="62">
        <v>0.0</v>
      </c>
      <c r="Z1391" s="62">
        <v>0.0</v>
      </c>
      <c r="AA1391" s="62">
        <v>0.187222222222222</v>
      </c>
      <c r="AB1391" s="62">
        <v>0.381944444444444</v>
      </c>
      <c r="AC1391" s="62">
        <v>3.05166666666666</v>
      </c>
      <c r="AD1391" s="62">
        <v>0.220833333333333</v>
      </c>
      <c r="AE1391" s="62">
        <v>3.05166666666666</v>
      </c>
      <c r="AF1391" s="62">
        <v>0.0</v>
      </c>
    </row>
    <row r="1392">
      <c r="A1392" s="68">
        <v>46009.0</v>
      </c>
      <c r="B1392" s="62" t="s">
        <v>71</v>
      </c>
      <c r="C1392" s="62" t="s">
        <v>163</v>
      </c>
      <c r="D1392" s="62">
        <v>0.0</v>
      </c>
      <c r="E1392" s="62">
        <v>0.0</v>
      </c>
      <c r="F1392" s="62">
        <v>0.0</v>
      </c>
      <c r="G1392" s="62">
        <v>0.0</v>
      </c>
      <c r="H1392" s="62">
        <v>0.0</v>
      </c>
      <c r="I1392" s="62">
        <v>0.0</v>
      </c>
      <c r="J1392" s="62">
        <v>0.0</v>
      </c>
      <c r="K1392" s="62">
        <v>0.0</v>
      </c>
      <c r="L1392" s="62">
        <v>0.0</v>
      </c>
      <c r="M1392" s="62">
        <v>1.0</v>
      </c>
      <c r="N1392" s="62">
        <v>0.0</v>
      </c>
      <c r="O1392" s="62">
        <v>1.0</v>
      </c>
      <c r="P1392" s="62">
        <v>0.0</v>
      </c>
      <c r="Q1392" s="62">
        <v>0.0</v>
      </c>
      <c r="R1392" s="62">
        <v>0.0</v>
      </c>
      <c r="S1392" s="62">
        <v>0.0</v>
      </c>
      <c r="T1392" s="62">
        <v>0.0</v>
      </c>
      <c r="U1392" s="62">
        <v>0.0</v>
      </c>
      <c r="V1392" s="62">
        <v>0.0</v>
      </c>
      <c r="W1392" s="62">
        <v>0.0</v>
      </c>
      <c r="X1392" s="62">
        <v>0.0</v>
      </c>
      <c r="Y1392" s="62">
        <v>0.0</v>
      </c>
      <c r="Z1392" s="62">
        <v>0.0</v>
      </c>
      <c r="AA1392" s="62">
        <v>0.0</v>
      </c>
      <c r="AB1392" s="62">
        <v>0.238333333333333</v>
      </c>
      <c r="AC1392" s="62">
        <v>0.0</v>
      </c>
      <c r="AD1392" s="62">
        <v>0.254166666666666</v>
      </c>
      <c r="AE1392" s="62">
        <v>0.0</v>
      </c>
      <c r="AF1392" s="62">
        <v>0.0</v>
      </c>
    </row>
    <row r="1393">
      <c r="A1393" s="68">
        <v>46009.0</v>
      </c>
      <c r="B1393" s="62" t="s">
        <v>76</v>
      </c>
      <c r="C1393" s="62" t="s">
        <v>165</v>
      </c>
      <c r="D1393" s="62">
        <v>0.0</v>
      </c>
      <c r="E1393" s="62">
        <v>4.0</v>
      </c>
      <c r="F1393" s="62">
        <v>6.0</v>
      </c>
      <c r="G1393" s="62">
        <v>2.0</v>
      </c>
      <c r="H1393" s="62">
        <v>5.0</v>
      </c>
      <c r="I1393" s="62">
        <v>3.0</v>
      </c>
      <c r="J1393" s="62">
        <v>6.0</v>
      </c>
      <c r="K1393" s="62">
        <v>0.0</v>
      </c>
      <c r="L1393" s="62">
        <v>0.0</v>
      </c>
      <c r="M1393" s="62">
        <v>5.0</v>
      </c>
      <c r="N1393" s="62">
        <v>2.0</v>
      </c>
      <c r="O1393" s="62">
        <v>1.0</v>
      </c>
      <c r="P1393" s="62">
        <v>2.0</v>
      </c>
      <c r="Q1393" s="62">
        <v>0.0</v>
      </c>
      <c r="R1393" s="62">
        <v>0.0</v>
      </c>
      <c r="S1393" s="62">
        <v>9786.0</v>
      </c>
      <c r="T1393" s="62">
        <v>2.10277777777777</v>
      </c>
      <c r="U1393" s="62">
        <v>1.38694444444444</v>
      </c>
      <c r="V1393" s="62">
        <v>0.471388888888888</v>
      </c>
      <c r="W1393" s="62">
        <v>1.18722222222222</v>
      </c>
      <c r="X1393" s="62">
        <v>0.715833333333333</v>
      </c>
      <c r="Y1393" s="62">
        <v>1.43583333333333</v>
      </c>
      <c r="Z1393" s="62">
        <v>0.0</v>
      </c>
      <c r="AA1393" s="62">
        <v>0.0</v>
      </c>
      <c r="AB1393" s="62">
        <v>1.18805555555555</v>
      </c>
      <c r="AC1393" s="62">
        <v>0.452777777777777</v>
      </c>
      <c r="AD1393" s="62">
        <v>0.218611111111111</v>
      </c>
      <c r="AE1393" s="62">
        <v>0.452777777777777</v>
      </c>
      <c r="AF1393" s="62">
        <v>9.0</v>
      </c>
    </row>
    <row r="1394">
      <c r="A1394" s="68">
        <v>46009.0</v>
      </c>
      <c r="B1394" s="62" t="s">
        <v>32</v>
      </c>
      <c r="C1394" s="62" t="s">
        <v>168</v>
      </c>
      <c r="D1394" s="62">
        <v>3.0</v>
      </c>
      <c r="E1394" s="62">
        <v>4.0</v>
      </c>
      <c r="F1394" s="62">
        <v>0.0</v>
      </c>
      <c r="G1394" s="62">
        <v>0.0</v>
      </c>
      <c r="H1394" s="62">
        <v>9.0</v>
      </c>
      <c r="I1394" s="62">
        <v>7.0</v>
      </c>
      <c r="J1394" s="62">
        <v>8.0</v>
      </c>
      <c r="K1394" s="62">
        <v>0.0</v>
      </c>
      <c r="L1394" s="62">
        <v>0.0</v>
      </c>
      <c r="M1394" s="62">
        <v>7.0</v>
      </c>
      <c r="N1394" s="62">
        <v>7.0</v>
      </c>
      <c r="O1394" s="62">
        <v>1.0</v>
      </c>
      <c r="P1394" s="62">
        <v>7.0</v>
      </c>
      <c r="Q1394" s="62">
        <v>0.0</v>
      </c>
      <c r="R1394" s="62">
        <v>7426.0</v>
      </c>
      <c r="S1394" s="62">
        <v>10483.0</v>
      </c>
      <c r="T1394" s="62">
        <v>0.977777777777777</v>
      </c>
      <c r="U1394" s="62">
        <v>0.0</v>
      </c>
      <c r="V1394" s="62">
        <v>0.0</v>
      </c>
      <c r="W1394" s="62">
        <v>2.15805555555555</v>
      </c>
      <c r="X1394" s="62">
        <v>1.69944444444444</v>
      </c>
      <c r="Y1394" s="62">
        <v>1.88805555555555</v>
      </c>
      <c r="Z1394" s="62">
        <v>0.0</v>
      </c>
      <c r="AA1394" s="62">
        <v>0.0</v>
      </c>
      <c r="AB1394" s="62">
        <v>1.68694444444444</v>
      </c>
      <c r="AC1394" s="62">
        <v>1.68694444444444</v>
      </c>
      <c r="AD1394" s="62">
        <v>0.225</v>
      </c>
      <c r="AE1394" s="62">
        <v>1.68694444444444</v>
      </c>
      <c r="AF1394" s="62">
        <v>4.0</v>
      </c>
    </row>
    <row r="1395">
      <c r="A1395" s="68">
        <v>46009.0</v>
      </c>
      <c r="B1395" s="62" t="s">
        <v>26</v>
      </c>
      <c r="C1395" s="62" t="s">
        <v>178</v>
      </c>
      <c r="D1395" s="62">
        <v>0.0</v>
      </c>
      <c r="E1395" s="62">
        <v>0.0</v>
      </c>
      <c r="F1395" s="62">
        <v>0.0</v>
      </c>
      <c r="G1395" s="62">
        <v>0.0</v>
      </c>
      <c r="H1395" s="62">
        <v>0.0</v>
      </c>
      <c r="I1395" s="62">
        <v>0.0</v>
      </c>
      <c r="J1395" s="62">
        <v>7.0</v>
      </c>
      <c r="K1395" s="62">
        <v>1.0</v>
      </c>
      <c r="L1395" s="62">
        <v>1.0</v>
      </c>
      <c r="M1395" s="62">
        <v>7.0</v>
      </c>
      <c r="N1395" s="62">
        <v>0.0</v>
      </c>
      <c r="O1395" s="62">
        <v>1.0</v>
      </c>
      <c r="P1395" s="62">
        <v>0.0</v>
      </c>
      <c r="Q1395" s="62">
        <v>0.0</v>
      </c>
      <c r="R1395" s="62">
        <v>0.0</v>
      </c>
      <c r="S1395" s="62">
        <v>0.0</v>
      </c>
      <c r="T1395" s="62">
        <v>0.0</v>
      </c>
      <c r="U1395" s="62">
        <v>0.0</v>
      </c>
      <c r="V1395" s="62">
        <v>0.0</v>
      </c>
      <c r="W1395" s="62">
        <v>0.0</v>
      </c>
      <c r="X1395" s="62">
        <v>0.0</v>
      </c>
      <c r="Y1395" s="62">
        <v>1.29333333333333</v>
      </c>
      <c r="Z1395" s="62">
        <v>0.187222222222222</v>
      </c>
      <c r="AA1395" s="62">
        <v>0.194722222222222</v>
      </c>
      <c r="AB1395" s="62">
        <v>1.28222222222222</v>
      </c>
      <c r="AC1395" s="62">
        <v>0.0</v>
      </c>
      <c r="AD1395" s="62">
        <v>0.200833333333333</v>
      </c>
      <c r="AE1395" s="62">
        <v>0.0</v>
      </c>
      <c r="AF1395" s="62">
        <v>0.0</v>
      </c>
    </row>
    <row r="1396">
      <c r="A1396" s="68">
        <v>46008.0</v>
      </c>
      <c r="B1396" s="62" t="s">
        <v>71</v>
      </c>
      <c r="C1396" s="62" t="s">
        <v>163</v>
      </c>
      <c r="D1396" s="62">
        <v>0.0</v>
      </c>
      <c r="E1396" s="62">
        <v>0.0</v>
      </c>
      <c r="F1396" s="62">
        <v>0.0</v>
      </c>
      <c r="G1396" s="62">
        <v>1.0</v>
      </c>
      <c r="H1396" s="62">
        <v>1.0</v>
      </c>
      <c r="I1396" s="62">
        <v>0.0</v>
      </c>
      <c r="J1396" s="62">
        <v>1.0</v>
      </c>
      <c r="K1396" s="62">
        <v>0.0</v>
      </c>
      <c r="L1396" s="62">
        <v>0.0</v>
      </c>
      <c r="M1396" s="62">
        <v>1.0</v>
      </c>
      <c r="N1396" s="62">
        <v>3.0</v>
      </c>
      <c r="O1396" s="62">
        <v>1.0</v>
      </c>
      <c r="P1396" s="62">
        <v>3.0</v>
      </c>
      <c r="Q1396" s="62">
        <v>0.0</v>
      </c>
      <c r="R1396" s="62">
        <v>0.0</v>
      </c>
      <c r="S1396" s="62">
        <v>0.0</v>
      </c>
      <c r="T1396" s="62">
        <v>0.0</v>
      </c>
      <c r="U1396" s="62">
        <v>0.0</v>
      </c>
      <c r="V1396" s="62">
        <v>0.238333333333333</v>
      </c>
      <c r="W1396" s="62">
        <v>0.238333333333333</v>
      </c>
      <c r="X1396" s="62">
        <v>0.0</v>
      </c>
      <c r="Y1396" s="62">
        <v>0.238333333333333</v>
      </c>
      <c r="Z1396" s="62">
        <v>0.0</v>
      </c>
      <c r="AA1396" s="62">
        <v>0.0</v>
      </c>
      <c r="AB1396" s="62">
        <v>0.241944444444444</v>
      </c>
      <c r="AC1396" s="62">
        <v>0.748888888888888</v>
      </c>
      <c r="AD1396" s="62">
        <v>0.246944444444444</v>
      </c>
      <c r="AE1396" s="62">
        <v>0.748888888888888</v>
      </c>
      <c r="AF1396" s="62">
        <v>0.0</v>
      </c>
    </row>
    <row r="1397">
      <c r="A1397" s="68">
        <v>46008.0</v>
      </c>
      <c r="B1397" s="62" t="s">
        <v>76</v>
      </c>
      <c r="C1397" s="62" t="s">
        <v>165</v>
      </c>
      <c r="D1397" s="62">
        <v>0.0</v>
      </c>
      <c r="E1397" s="62">
        <v>1.0</v>
      </c>
      <c r="F1397" s="62">
        <v>3.0</v>
      </c>
      <c r="G1397" s="62">
        <v>4.0</v>
      </c>
      <c r="H1397" s="62">
        <v>5.0</v>
      </c>
      <c r="I1397" s="62">
        <v>1.0</v>
      </c>
      <c r="J1397" s="62">
        <v>3.0</v>
      </c>
      <c r="K1397" s="62">
        <v>1.0</v>
      </c>
      <c r="L1397" s="62">
        <v>1.0</v>
      </c>
      <c r="M1397" s="62">
        <v>4.0</v>
      </c>
      <c r="N1397" s="62">
        <v>4.0</v>
      </c>
      <c r="O1397" s="62">
        <v>1.0</v>
      </c>
      <c r="P1397" s="62">
        <v>4.0</v>
      </c>
      <c r="Q1397" s="62">
        <v>0.0</v>
      </c>
      <c r="R1397" s="62">
        <v>0.0</v>
      </c>
      <c r="S1397" s="62">
        <v>2472.0</v>
      </c>
      <c r="T1397" s="62">
        <v>0.966944444444444</v>
      </c>
      <c r="U1397" s="62">
        <v>0.715555555555555</v>
      </c>
      <c r="V1397" s="62">
        <v>0.953055555555555</v>
      </c>
      <c r="W1397" s="62">
        <v>1.20444444444444</v>
      </c>
      <c r="X1397" s="62">
        <v>0.251388888888888</v>
      </c>
      <c r="Y1397" s="62">
        <v>0.713333333333333</v>
      </c>
      <c r="Z1397" s="62">
        <v>0.235555555555555</v>
      </c>
      <c r="AA1397" s="62">
        <v>0.235</v>
      </c>
      <c r="AB1397" s="62">
        <v>0.925277777777777</v>
      </c>
      <c r="AC1397" s="62">
        <v>0.945555555555555</v>
      </c>
      <c r="AD1397" s="62">
        <v>0.225833333333333</v>
      </c>
      <c r="AE1397" s="62">
        <v>0.945555555555555</v>
      </c>
      <c r="AF1397" s="62">
        <v>4.0</v>
      </c>
    </row>
    <row r="1398">
      <c r="A1398" s="68">
        <v>46008.0</v>
      </c>
      <c r="B1398" s="62" t="s">
        <v>32</v>
      </c>
      <c r="C1398" s="62" t="s">
        <v>168</v>
      </c>
      <c r="D1398" s="62">
        <v>0.0</v>
      </c>
      <c r="E1398" s="62">
        <v>0.0</v>
      </c>
      <c r="F1398" s="62">
        <v>2.0</v>
      </c>
      <c r="G1398" s="62">
        <v>0.0</v>
      </c>
      <c r="H1398" s="62">
        <v>5.0</v>
      </c>
      <c r="I1398" s="62">
        <v>5.0</v>
      </c>
      <c r="J1398" s="62">
        <v>4.0</v>
      </c>
      <c r="K1398" s="62">
        <v>1.0</v>
      </c>
      <c r="L1398" s="62">
        <v>0.0</v>
      </c>
      <c r="M1398" s="62">
        <v>3.0</v>
      </c>
      <c r="N1398" s="62">
        <v>3.0</v>
      </c>
      <c r="O1398" s="62">
        <v>1.0</v>
      </c>
      <c r="P1398" s="62">
        <v>3.0</v>
      </c>
      <c r="Q1398" s="62">
        <v>0.0</v>
      </c>
      <c r="R1398" s="62">
        <v>0.0</v>
      </c>
      <c r="S1398" s="62">
        <v>0.0</v>
      </c>
      <c r="T1398" s="62">
        <v>2.35027777777777</v>
      </c>
      <c r="U1398" s="62">
        <v>0.458055555555555</v>
      </c>
      <c r="V1398" s="62">
        <v>0.0</v>
      </c>
      <c r="W1398" s="62">
        <v>1.17055555555555</v>
      </c>
      <c r="X1398" s="62">
        <v>1.17055555555555</v>
      </c>
      <c r="Y1398" s="62">
        <v>0.931388888888888</v>
      </c>
      <c r="Z1398" s="62">
        <v>0.249722222222222</v>
      </c>
      <c r="AA1398" s="62">
        <v>0.0</v>
      </c>
      <c r="AB1398" s="62">
        <v>0.681666666666666</v>
      </c>
      <c r="AC1398" s="62">
        <v>0.681666666666666</v>
      </c>
      <c r="AD1398" s="62">
        <v>0.207222222222222</v>
      </c>
      <c r="AE1398" s="62">
        <v>0.681666666666666</v>
      </c>
      <c r="AF1398" s="62">
        <v>10.0</v>
      </c>
    </row>
    <row r="1399">
      <c r="A1399" s="68">
        <v>46008.0</v>
      </c>
      <c r="B1399" s="62" t="s">
        <v>26</v>
      </c>
      <c r="C1399" s="62" t="s">
        <v>178</v>
      </c>
      <c r="D1399" s="62">
        <v>7.0</v>
      </c>
      <c r="E1399" s="62">
        <v>3.0</v>
      </c>
      <c r="F1399" s="62">
        <v>0.0</v>
      </c>
      <c r="G1399" s="62">
        <v>1.0</v>
      </c>
      <c r="H1399" s="62">
        <v>7.0</v>
      </c>
      <c r="I1399" s="62">
        <v>6.0</v>
      </c>
      <c r="J1399" s="62">
        <v>6.0</v>
      </c>
      <c r="K1399" s="62">
        <v>1.0</v>
      </c>
      <c r="L1399" s="62">
        <v>0.0</v>
      </c>
      <c r="M1399" s="62">
        <v>6.0</v>
      </c>
      <c r="N1399" s="62">
        <v>3.0</v>
      </c>
      <c r="O1399" s="62">
        <v>1.0</v>
      </c>
      <c r="P1399" s="62">
        <v>3.0</v>
      </c>
      <c r="Q1399" s="62">
        <v>0.0</v>
      </c>
      <c r="R1399" s="62">
        <v>17008.0</v>
      </c>
      <c r="S1399" s="62">
        <v>6274.0</v>
      </c>
      <c r="T1399" s="62">
        <v>1.095</v>
      </c>
      <c r="U1399" s="62">
        <v>0.0</v>
      </c>
      <c r="V1399" s="62">
        <v>0.187222222222222</v>
      </c>
      <c r="W1399" s="62">
        <v>1.28222222222222</v>
      </c>
      <c r="X1399" s="62">
        <v>1.095</v>
      </c>
      <c r="Y1399" s="62">
        <v>1.16944444444444</v>
      </c>
      <c r="Z1399" s="62">
        <v>0.194722222222222</v>
      </c>
      <c r="AA1399" s="62">
        <v>0.0</v>
      </c>
      <c r="AB1399" s="62">
        <v>1.17972222222222</v>
      </c>
      <c r="AC1399" s="62">
        <v>0.575555555555555</v>
      </c>
      <c r="AD1399" s="62">
        <v>0.213055555555555</v>
      </c>
      <c r="AE1399" s="62">
        <v>0.575555555555555</v>
      </c>
      <c r="AF1399" s="62">
        <v>6.0</v>
      </c>
    </row>
    <row r="1400">
      <c r="A1400" s="68">
        <v>46007.0</v>
      </c>
      <c r="B1400" s="62" t="s">
        <v>71</v>
      </c>
      <c r="C1400" s="62" t="s">
        <v>163</v>
      </c>
      <c r="D1400" s="62">
        <v>0.0</v>
      </c>
      <c r="E1400" s="62">
        <v>0.0</v>
      </c>
      <c r="F1400" s="62">
        <v>1.0</v>
      </c>
      <c r="G1400" s="62">
        <v>1.0</v>
      </c>
      <c r="H1400" s="62">
        <v>1.0</v>
      </c>
      <c r="I1400" s="62">
        <v>0.0</v>
      </c>
      <c r="J1400" s="62">
        <v>1.0</v>
      </c>
      <c r="K1400" s="62">
        <v>0.0</v>
      </c>
      <c r="L1400" s="62">
        <v>0.0</v>
      </c>
      <c r="M1400" s="62">
        <v>3.0</v>
      </c>
      <c r="N1400" s="62">
        <v>1.0</v>
      </c>
      <c r="O1400" s="62">
        <v>1.0</v>
      </c>
      <c r="P1400" s="62">
        <v>1.0</v>
      </c>
      <c r="Q1400" s="62">
        <v>0.0</v>
      </c>
      <c r="R1400" s="62">
        <v>0.0</v>
      </c>
      <c r="S1400" s="62">
        <v>0.0</v>
      </c>
      <c r="T1400" s="62">
        <v>0.238333333333333</v>
      </c>
      <c r="U1400" s="62">
        <v>0.238333333333333</v>
      </c>
      <c r="V1400" s="62">
        <v>0.241944444444444</v>
      </c>
      <c r="W1400" s="62">
        <v>0.241944444444444</v>
      </c>
      <c r="X1400" s="62">
        <v>0.0</v>
      </c>
      <c r="Y1400" s="62">
        <v>0.241944444444444</v>
      </c>
      <c r="Z1400" s="62">
        <v>0.0</v>
      </c>
      <c r="AA1400" s="62">
        <v>0.0</v>
      </c>
      <c r="AB1400" s="62">
        <v>0.801388888888888</v>
      </c>
      <c r="AC1400" s="62">
        <v>0.291111111111111</v>
      </c>
      <c r="AD1400" s="62">
        <v>0.162777777777777</v>
      </c>
      <c r="AE1400" s="62">
        <v>0.291111111111111</v>
      </c>
      <c r="AF1400" s="62">
        <v>1.0</v>
      </c>
    </row>
    <row r="1401">
      <c r="A1401" s="68">
        <v>46007.0</v>
      </c>
      <c r="B1401" s="62" t="s">
        <v>76</v>
      </c>
      <c r="C1401" s="62" t="s">
        <v>165</v>
      </c>
      <c r="D1401" s="62">
        <v>0.0</v>
      </c>
      <c r="E1401" s="62">
        <v>0.0</v>
      </c>
      <c r="F1401" s="62">
        <v>4.0</v>
      </c>
      <c r="G1401" s="62">
        <v>5.0</v>
      </c>
      <c r="H1401" s="62">
        <v>7.0</v>
      </c>
      <c r="I1401" s="62">
        <v>2.0</v>
      </c>
      <c r="J1401" s="62">
        <v>5.0</v>
      </c>
      <c r="K1401" s="62">
        <v>1.0</v>
      </c>
      <c r="L1401" s="62">
        <v>1.0</v>
      </c>
      <c r="M1401" s="62">
        <v>3.0</v>
      </c>
      <c r="N1401" s="62">
        <v>0.0</v>
      </c>
      <c r="O1401" s="62">
        <v>1.0</v>
      </c>
      <c r="P1401" s="62">
        <v>0.0</v>
      </c>
      <c r="Q1401" s="62">
        <v>0.0</v>
      </c>
      <c r="R1401" s="62">
        <v>0.0</v>
      </c>
      <c r="S1401" s="62">
        <v>0.0</v>
      </c>
      <c r="T1401" s="62">
        <v>0.913611111111111</v>
      </c>
      <c r="U1401" s="62">
        <v>0.941666666666666</v>
      </c>
      <c r="V1401" s="62">
        <v>1.18111111111111</v>
      </c>
      <c r="W1401" s="62">
        <v>1.62222222222222</v>
      </c>
      <c r="X1401" s="62">
        <v>0.441111111111111</v>
      </c>
      <c r="Y1401" s="62">
        <v>1.16333333333333</v>
      </c>
      <c r="Z1401" s="62">
        <v>0.229722222222222</v>
      </c>
      <c r="AA1401" s="62">
        <v>0.229722222222222</v>
      </c>
      <c r="AB1401" s="62">
        <v>0.715833333333333</v>
      </c>
      <c r="AC1401" s="62">
        <v>0.0</v>
      </c>
      <c r="AD1401" s="62">
        <v>0.24</v>
      </c>
      <c r="AE1401" s="62">
        <v>0.0</v>
      </c>
      <c r="AF1401" s="62">
        <v>4.0</v>
      </c>
    </row>
    <row r="1402">
      <c r="A1402" s="68">
        <v>46007.0</v>
      </c>
      <c r="B1402" s="62" t="s">
        <v>32</v>
      </c>
      <c r="C1402" s="62" t="s">
        <v>168</v>
      </c>
      <c r="D1402" s="62">
        <v>0.0</v>
      </c>
      <c r="E1402" s="62">
        <v>3.0</v>
      </c>
      <c r="F1402" s="62">
        <v>1.0</v>
      </c>
      <c r="G1402" s="62">
        <v>0.0</v>
      </c>
      <c r="H1402" s="62">
        <v>3.0</v>
      </c>
      <c r="I1402" s="62">
        <v>3.0</v>
      </c>
      <c r="J1402" s="62">
        <v>1.0</v>
      </c>
      <c r="K1402" s="62">
        <v>0.0</v>
      </c>
      <c r="L1402" s="62">
        <v>0.0</v>
      </c>
      <c r="M1402" s="62">
        <v>1.0</v>
      </c>
      <c r="N1402" s="62">
        <v>5.0</v>
      </c>
      <c r="O1402" s="62">
        <v>1.0</v>
      </c>
      <c r="P1402" s="62">
        <v>5.0</v>
      </c>
      <c r="Q1402" s="62">
        <v>0.0</v>
      </c>
      <c r="R1402" s="62">
        <v>0.0</v>
      </c>
      <c r="S1402" s="62">
        <v>7611.0</v>
      </c>
      <c r="T1402" s="62">
        <v>0.993888888888888</v>
      </c>
      <c r="U1402" s="62">
        <v>0.240277777777777</v>
      </c>
      <c r="V1402" s="62">
        <v>0.0</v>
      </c>
      <c r="W1402" s="62">
        <v>0.753611111111111</v>
      </c>
      <c r="X1402" s="62">
        <v>0.753611111111111</v>
      </c>
      <c r="Y1402" s="62">
        <v>0.213888888888888</v>
      </c>
      <c r="Z1402" s="62">
        <v>0.0</v>
      </c>
      <c r="AA1402" s="62">
        <v>0.0</v>
      </c>
      <c r="AB1402" s="62">
        <v>0.213888888888888</v>
      </c>
      <c r="AC1402" s="62">
        <v>1.10861111111111</v>
      </c>
      <c r="AD1402" s="62">
        <v>0.215833333333333</v>
      </c>
      <c r="AE1402" s="62">
        <v>1.10861111111111</v>
      </c>
      <c r="AF1402" s="62">
        <v>4.0</v>
      </c>
    </row>
    <row r="1403">
      <c r="A1403" s="68">
        <v>46007.0</v>
      </c>
      <c r="B1403" s="62" t="s">
        <v>26</v>
      </c>
      <c r="C1403" s="62" t="s">
        <v>178</v>
      </c>
      <c r="D1403" s="62">
        <v>6.0</v>
      </c>
      <c r="E1403" s="62">
        <v>3.0</v>
      </c>
      <c r="F1403" s="62">
        <v>0.0</v>
      </c>
      <c r="G1403" s="62">
        <v>2.0</v>
      </c>
      <c r="H1403" s="62">
        <v>3.0</v>
      </c>
      <c r="I1403" s="62">
        <v>1.0</v>
      </c>
      <c r="J1403" s="62">
        <v>7.0</v>
      </c>
      <c r="K1403" s="62">
        <v>1.0</v>
      </c>
      <c r="L1403" s="62">
        <v>1.0</v>
      </c>
      <c r="M1403" s="62">
        <v>5.0</v>
      </c>
      <c r="N1403" s="62">
        <v>0.0</v>
      </c>
      <c r="O1403" s="62">
        <v>1.0</v>
      </c>
      <c r="P1403" s="62">
        <v>0.0</v>
      </c>
      <c r="Q1403" s="62">
        <v>0.0</v>
      </c>
      <c r="R1403" s="62">
        <v>15617.0</v>
      </c>
      <c r="S1403" s="62">
        <v>6245.0</v>
      </c>
      <c r="T1403" s="62">
        <v>0.0</v>
      </c>
      <c r="U1403" s="62">
        <v>0.0</v>
      </c>
      <c r="V1403" s="62">
        <v>0.375555555555555</v>
      </c>
      <c r="W1403" s="62">
        <v>0.549722222222222</v>
      </c>
      <c r="X1403" s="62">
        <v>0.174166666666666</v>
      </c>
      <c r="Y1403" s="62">
        <v>1.34388888888888</v>
      </c>
      <c r="Z1403" s="62">
        <v>0.204166666666666</v>
      </c>
      <c r="AA1403" s="62">
        <v>0.204166666666666</v>
      </c>
      <c r="AB1403" s="62">
        <v>0.962777777777777</v>
      </c>
      <c r="AC1403" s="62">
        <v>0.0</v>
      </c>
      <c r="AD1403" s="62">
        <v>0.186111111111111</v>
      </c>
      <c r="AE1403" s="62">
        <v>0.0</v>
      </c>
      <c r="AF1403" s="62">
        <v>0.0</v>
      </c>
    </row>
    <row r="1404">
      <c r="A1404" s="68">
        <v>46006.0</v>
      </c>
      <c r="B1404" s="62" t="s">
        <v>71</v>
      </c>
      <c r="C1404" s="62" t="s">
        <v>163</v>
      </c>
      <c r="D1404" s="62">
        <v>0.0</v>
      </c>
      <c r="E1404" s="62">
        <v>0.0</v>
      </c>
      <c r="F1404" s="62">
        <v>4.0</v>
      </c>
      <c r="G1404" s="62">
        <v>3.0</v>
      </c>
      <c r="H1404" s="62">
        <v>3.0</v>
      </c>
      <c r="I1404" s="62">
        <v>0.0</v>
      </c>
      <c r="J1404" s="62">
        <v>4.0</v>
      </c>
      <c r="K1404" s="62">
        <v>2.0</v>
      </c>
      <c r="L1404" s="62">
        <v>2.0</v>
      </c>
      <c r="M1404" s="62">
        <v>3.0</v>
      </c>
      <c r="N1404" s="62">
        <v>3.0</v>
      </c>
      <c r="O1404" s="62">
        <v>1.0</v>
      </c>
      <c r="P1404" s="62">
        <v>3.0</v>
      </c>
      <c r="Q1404" s="62">
        <v>0.0</v>
      </c>
      <c r="R1404" s="62">
        <v>0.0</v>
      </c>
      <c r="S1404" s="62">
        <v>0.0</v>
      </c>
      <c r="T1404" s="62">
        <v>1.04666666666666</v>
      </c>
      <c r="U1404" s="62">
        <v>1.04666666666666</v>
      </c>
      <c r="V1404" s="62">
        <v>0.801388888888888</v>
      </c>
      <c r="W1404" s="62">
        <v>0.801388888888888</v>
      </c>
      <c r="X1404" s="62">
        <v>0.0</v>
      </c>
      <c r="Y1404" s="62">
        <v>1.07638888888888</v>
      </c>
      <c r="Z1404" s="62">
        <v>0.518611111111111</v>
      </c>
      <c r="AA1404" s="62">
        <v>0.518611111111111</v>
      </c>
      <c r="AB1404" s="62">
        <v>0.778055555555555</v>
      </c>
      <c r="AC1404" s="62">
        <v>0.778055555555555</v>
      </c>
      <c r="AD1404" s="62">
        <v>0.307222222222222</v>
      </c>
      <c r="AE1404" s="62">
        <v>0.778055555555555</v>
      </c>
      <c r="AF1404" s="62">
        <v>4.0</v>
      </c>
    </row>
    <row r="1405">
      <c r="A1405" s="68">
        <v>46006.0</v>
      </c>
      <c r="B1405" s="62" t="s">
        <v>76</v>
      </c>
      <c r="C1405" s="62" t="s">
        <v>165</v>
      </c>
      <c r="D1405" s="62">
        <v>0.0</v>
      </c>
      <c r="E1405" s="62">
        <v>3.0</v>
      </c>
      <c r="F1405" s="62">
        <v>2.0</v>
      </c>
      <c r="G1405" s="62">
        <v>1.0</v>
      </c>
      <c r="H1405" s="62">
        <v>1.0</v>
      </c>
      <c r="I1405" s="62">
        <v>0.0</v>
      </c>
      <c r="J1405" s="62">
        <v>1.0</v>
      </c>
      <c r="K1405" s="62">
        <v>0.0</v>
      </c>
      <c r="L1405" s="62">
        <v>0.0</v>
      </c>
      <c r="M1405" s="62">
        <v>4.0</v>
      </c>
      <c r="N1405" s="62">
        <v>4.0</v>
      </c>
      <c r="O1405" s="62">
        <v>1.0</v>
      </c>
      <c r="P1405" s="62">
        <v>4.0</v>
      </c>
      <c r="Q1405" s="62">
        <v>0.0</v>
      </c>
      <c r="R1405" s="62">
        <v>0.0</v>
      </c>
      <c r="S1405" s="62">
        <v>7326.0</v>
      </c>
      <c r="T1405" s="62">
        <v>0.945833333333333</v>
      </c>
      <c r="U1405" s="62">
        <v>0.476666666666666</v>
      </c>
      <c r="V1405" s="62">
        <v>0.239444444444444</v>
      </c>
      <c r="W1405" s="62">
        <v>0.239444444444444</v>
      </c>
      <c r="X1405" s="62">
        <v>0.0</v>
      </c>
      <c r="Y1405" s="62">
        <v>0.239444444444444</v>
      </c>
      <c r="Z1405" s="62">
        <v>0.0</v>
      </c>
      <c r="AA1405" s="62">
        <v>0.0</v>
      </c>
      <c r="AB1405" s="62">
        <v>0.949166666666666</v>
      </c>
      <c r="AC1405" s="62">
        <v>0.949166666666666</v>
      </c>
      <c r="AD1405" s="62">
        <v>0.237777777777777</v>
      </c>
      <c r="AE1405" s="62">
        <v>0.949166666666666</v>
      </c>
      <c r="AF1405" s="62">
        <v>4.0</v>
      </c>
    </row>
    <row r="1406">
      <c r="A1406" s="68">
        <v>46006.0</v>
      </c>
      <c r="B1406" s="62" t="s">
        <v>32</v>
      </c>
      <c r="C1406" s="62" t="s">
        <v>168</v>
      </c>
      <c r="D1406" s="62">
        <v>0.0</v>
      </c>
      <c r="E1406" s="62">
        <v>0.0</v>
      </c>
      <c r="F1406" s="62">
        <v>0.0</v>
      </c>
      <c r="G1406" s="62">
        <v>0.0</v>
      </c>
      <c r="H1406" s="62">
        <v>4.0</v>
      </c>
      <c r="I1406" s="62">
        <v>3.0</v>
      </c>
      <c r="J1406" s="62">
        <v>1.0</v>
      </c>
      <c r="K1406" s="62">
        <v>1.0</v>
      </c>
      <c r="L1406" s="62">
        <v>0.0</v>
      </c>
      <c r="M1406" s="62">
        <v>5.0</v>
      </c>
      <c r="N1406" s="62">
        <v>1.0</v>
      </c>
      <c r="O1406" s="62">
        <v>1.0</v>
      </c>
      <c r="P1406" s="62">
        <v>1.0</v>
      </c>
      <c r="Q1406" s="62">
        <v>0.0</v>
      </c>
      <c r="R1406" s="62">
        <v>0.0</v>
      </c>
      <c r="S1406" s="62">
        <v>0.0</v>
      </c>
      <c r="T1406" s="62">
        <v>0.684444444444444</v>
      </c>
      <c r="U1406" s="62">
        <v>0.0</v>
      </c>
      <c r="V1406" s="62">
        <v>0.0</v>
      </c>
      <c r="W1406" s="62">
        <v>0.919722222222222</v>
      </c>
      <c r="X1406" s="62">
        <v>0.684444444444444</v>
      </c>
      <c r="Y1406" s="62">
        <v>0.235277777777777</v>
      </c>
      <c r="Z1406" s="62">
        <v>0.235277777777777</v>
      </c>
      <c r="AA1406" s="62">
        <v>0.0</v>
      </c>
      <c r="AB1406" s="62">
        <v>1.10694444444444</v>
      </c>
      <c r="AC1406" s="62">
        <v>0.212222222222222</v>
      </c>
      <c r="AD1406" s="62">
        <v>0.221666666666666</v>
      </c>
      <c r="AE1406" s="62">
        <v>0.212222222222222</v>
      </c>
      <c r="AF1406" s="62">
        <v>3.0</v>
      </c>
    </row>
    <row r="1407">
      <c r="A1407" s="68">
        <v>46006.0</v>
      </c>
      <c r="B1407" s="62" t="s">
        <v>26</v>
      </c>
      <c r="C1407" s="62" t="s">
        <v>178</v>
      </c>
      <c r="D1407" s="62">
        <v>18.0</v>
      </c>
      <c r="E1407" s="62">
        <v>5.0</v>
      </c>
      <c r="F1407" s="62">
        <v>3.0</v>
      </c>
      <c r="G1407" s="62">
        <v>0.0</v>
      </c>
      <c r="H1407" s="62">
        <v>10.0</v>
      </c>
      <c r="I1407" s="62">
        <v>10.0</v>
      </c>
      <c r="J1407" s="62">
        <v>0.0</v>
      </c>
      <c r="K1407" s="62">
        <v>0.0</v>
      </c>
      <c r="L1407" s="62">
        <v>0.0</v>
      </c>
      <c r="M1407" s="62">
        <v>1.0</v>
      </c>
      <c r="N1407" s="62">
        <v>1.0</v>
      </c>
      <c r="O1407" s="62">
        <v>1.0</v>
      </c>
      <c r="P1407" s="62">
        <v>1.0</v>
      </c>
      <c r="Q1407" s="62">
        <v>0.0</v>
      </c>
      <c r="R1407" s="62">
        <v>41374.0</v>
      </c>
      <c r="S1407" s="62">
        <v>10386.0</v>
      </c>
      <c r="T1407" s="62">
        <v>2.67638888888888</v>
      </c>
      <c r="U1407" s="62">
        <v>0.558333333333333</v>
      </c>
      <c r="V1407" s="62">
        <v>0.0</v>
      </c>
      <c r="W1407" s="62">
        <v>1.94388888888888</v>
      </c>
      <c r="X1407" s="62">
        <v>1.94388888888888</v>
      </c>
      <c r="Y1407" s="62">
        <v>0.0</v>
      </c>
      <c r="Z1407" s="62">
        <v>0.0</v>
      </c>
      <c r="AA1407" s="62">
        <v>0.0</v>
      </c>
      <c r="AB1407" s="62">
        <v>0.206388888888888</v>
      </c>
      <c r="AC1407" s="62">
        <v>0.206388888888888</v>
      </c>
      <c r="AD1407" s="62">
        <v>0.163611111111111</v>
      </c>
      <c r="AE1407" s="62">
        <v>0.206388888888888</v>
      </c>
      <c r="AF1407" s="62">
        <v>14.0</v>
      </c>
    </row>
    <row r="1408">
      <c r="A1408" s="68">
        <v>46005.0</v>
      </c>
      <c r="B1408" s="62" t="s">
        <v>32</v>
      </c>
      <c r="C1408" s="62" t="s">
        <v>168</v>
      </c>
      <c r="D1408" s="62">
        <v>0.0</v>
      </c>
      <c r="E1408" s="62">
        <v>0.0</v>
      </c>
      <c r="F1408" s="62">
        <v>0.0</v>
      </c>
      <c r="G1408" s="62">
        <v>0.0</v>
      </c>
      <c r="H1408" s="62">
        <v>0.0</v>
      </c>
      <c r="I1408" s="62">
        <v>0.0</v>
      </c>
      <c r="J1408" s="62">
        <v>3.0</v>
      </c>
      <c r="K1408" s="62">
        <v>0.0</v>
      </c>
      <c r="L1408" s="62">
        <v>0.0</v>
      </c>
      <c r="M1408" s="62">
        <v>0.0</v>
      </c>
      <c r="N1408" s="62">
        <v>0.0</v>
      </c>
      <c r="O1408" s="62">
        <v>1.0</v>
      </c>
      <c r="P1408" s="62">
        <v>0.0</v>
      </c>
      <c r="Q1408" s="62">
        <v>0.0</v>
      </c>
      <c r="R1408" s="62">
        <v>0.0</v>
      </c>
      <c r="S1408" s="62">
        <v>0.0</v>
      </c>
      <c r="T1408" s="62">
        <v>0.0</v>
      </c>
      <c r="U1408" s="62">
        <v>0.0</v>
      </c>
      <c r="V1408" s="62">
        <v>0.0</v>
      </c>
      <c r="W1408" s="62">
        <v>0.0</v>
      </c>
      <c r="X1408" s="62">
        <v>0.0</v>
      </c>
      <c r="Y1408" s="62">
        <v>0.659444444444444</v>
      </c>
      <c r="Z1408" s="62">
        <v>0.0</v>
      </c>
      <c r="AA1408" s="62">
        <v>0.0</v>
      </c>
      <c r="AB1408" s="62">
        <v>0.0</v>
      </c>
      <c r="AC1408" s="62">
        <v>0.0</v>
      </c>
      <c r="AD1408" s="62">
        <v>0.194444444444444</v>
      </c>
      <c r="AE1408" s="62">
        <v>0.0</v>
      </c>
      <c r="AF1408" s="62">
        <v>0.0</v>
      </c>
    </row>
    <row r="1409">
      <c r="A1409" s="68">
        <v>46005.0</v>
      </c>
      <c r="B1409" s="62" t="s">
        <v>26</v>
      </c>
      <c r="C1409" s="62" t="s">
        <v>178</v>
      </c>
      <c r="D1409" s="62">
        <v>0.0</v>
      </c>
      <c r="E1409" s="62">
        <v>0.0</v>
      </c>
      <c r="F1409" s="62">
        <v>0.0</v>
      </c>
      <c r="G1409" s="62">
        <v>0.0</v>
      </c>
      <c r="H1409" s="62">
        <v>0.0</v>
      </c>
      <c r="I1409" s="62">
        <v>0.0</v>
      </c>
      <c r="J1409" s="62">
        <v>0.0</v>
      </c>
      <c r="K1409" s="62">
        <v>0.0</v>
      </c>
      <c r="L1409" s="62">
        <v>0.0</v>
      </c>
      <c r="M1409" s="62">
        <v>0.0</v>
      </c>
      <c r="N1409" s="62">
        <v>3.0</v>
      </c>
      <c r="O1409" s="62">
        <v>1.0</v>
      </c>
      <c r="P1409" s="62">
        <v>3.0</v>
      </c>
      <c r="Q1409" s="62">
        <v>0.0</v>
      </c>
      <c r="R1409" s="62">
        <v>0.0</v>
      </c>
      <c r="S1409" s="62">
        <v>0.0</v>
      </c>
      <c r="T1409" s="62">
        <v>0.0</v>
      </c>
      <c r="U1409" s="62">
        <v>0.0</v>
      </c>
      <c r="V1409" s="62">
        <v>0.0</v>
      </c>
      <c r="W1409" s="62">
        <v>0.0</v>
      </c>
      <c r="X1409" s="62">
        <v>0.0</v>
      </c>
      <c r="Y1409" s="62">
        <v>0.0</v>
      </c>
      <c r="Z1409" s="62">
        <v>0.0</v>
      </c>
      <c r="AA1409" s="62">
        <v>0.0</v>
      </c>
      <c r="AB1409" s="62">
        <v>0.0</v>
      </c>
      <c r="AC1409" s="62">
        <v>0.574166666666666</v>
      </c>
      <c r="AD1409" s="62">
        <v>0.180833333333333</v>
      </c>
      <c r="AE1409" s="62">
        <v>0.574166666666666</v>
      </c>
      <c r="AF1409" s="62">
        <v>0.0</v>
      </c>
    </row>
    <row r="1410">
      <c r="A1410" s="68">
        <v>46004.0</v>
      </c>
      <c r="B1410" s="62" t="s">
        <v>71</v>
      </c>
      <c r="C1410" s="62" t="s">
        <v>163</v>
      </c>
      <c r="D1410" s="62">
        <v>0.0</v>
      </c>
      <c r="E1410" s="62">
        <v>0.0</v>
      </c>
      <c r="F1410" s="62">
        <v>0.0</v>
      </c>
      <c r="G1410" s="62">
        <v>1.0</v>
      </c>
      <c r="H1410" s="62">
        <v>1.0</v>
      </c>
      <c r="I1410" s="62">
        <v>0.0</v>
      </c>
      <c r="J1410" s="62">
        <v>1.0</v>
      </c>
      <c r="K1410" s="62">
        <v>0.0</v>
      </c>
      <c r="L1410" s="62">
        <v>0.0</v>
      </c>
      <c r="M1410" s="62">
        <v>0.0</v>
      </c>
      <c r="N1410" s="62">
        <v>0.0</v>
      </c>
      <c r="O1410" s="62">
        <v>1.0</v>
      </c>
      <c r="P1410" s="62">
        <v>0.0</v>
      </c>
      <c r="Q1410" s="62">
        <v>0.0</v>
      </c>
      <c r="R1410" s="62">
        <v>0.0</v>
      </c>
      <c r="S1410" s="62">
        <v>0.0</v>
      </c>
      <c r="T1410" s="62">
        <v>0.0</v>
      </c>
      <c r="U1410" s="62">
        <v>0.0</v>
      </c>
      <c r="V1410" s="62">
        <v>0.275</v>
      </c>
      <c r="W1410" s="62">
        <v>0.275</v>
      </c>
      <c r="X1410" s="62">
        <v>0.0</v>
      </c>
      <c r="Y1410" s="62">
        <v>0.243611111111111</v>
      </c>
      <c r="Z1410" s="62">
        <v>0.0</v>
      </c>
      <c r="AA1410" s="62">
        <v>0.0</v>
      </c>
      <c r="AB1410" s="62">
        <v>0.0</v>
      </c>
      <c r="AC1410" s="62">
        <v>0.0</v>
      </c>
      <c r="AD1410" s="62">
        <v>0.246111111111111</v>
      </c>
      <c r="AE1410" s="62">
        <v>0.0</v>
      </c>
      <c r="AF1410" s="62">
        <v>0.0</v>
      </c>
    </row>
    <row r="1411">
      <c r="A1411" s="68">
        <v>46004.0</v>
      </c>
      <c r="B1411" s="62" t="s">
        <v>76</v>
      </c>
      <c r="C1411" s="62" t="s">
        <v>165</v>
      </c>
      <c r="D1411" s="62">
        <v>0.0</v>
      </c>
      <c r="E1411" s="62">
        <v>0.0</v>
      </c>
      <c r="F1411" s="62">
        <v>0.0</v>
      </c>
      <c r="G1411" s="62">
        <v>0.0</v>
      </c>
      <c r="H1411" s="62">
        <v>0.0</v>
      </c>
      <c r="I1411" s="62">
        <v>0.0</v>
      </c>
      <c r="J1411" s="62">
        <v>3.0</v>
      </c>
      <c r="K1411" s="62">
        <v>0.0</v>
      </c>
      <c r="L1411" s="62">
        <v>0.0</v>
      </c>
      <c r="M1411" s="62">
        <v>0.0</v>
      </c>
      <c r="N1411" s="62">
        <v>0.0</v>
      </c>
      <c r="O1411" s="62">
        <v>1.0</v>
      </c>
      <c r="P1411" s="62">
        <v>0.0</v>
      </c>
      <c r="Q1411" s="62">
        <v>0.0</v>
      </c>
      <c r="R1411" s="62">
        <v>0.0</v>
      </c>
      <c r="S1411" s="62">
        <v>0.0</v>
      </c>
      <c r="T1411" s="62">
        <v>0.0</v>
      </c>
      <c r="U1411" s="62">
        <v>0.0</v>
      </c>
      <c r="V1411" s="62">
        <v>0.0</v>
      </c>
      <c r="W1411" s="62">
        <v>0.0</v>
      </c>
      <c r="X1411" s="62">
        <v>0.0</v>
      </c>
      <c r="Y1411" s="62">
        <v>0.709722222222222</v>
      </c>
      <c r="Z1411" s="62">
        <v>0.0</v>
      </c>
      <c r="AA1411" s="62">
        <v>0.0</v>
      </c>
      <c r="AB1411" s="62">
        <v>0.0</v>
      </c>
      <c r="AC1411" s="62">
        <v>0.0</v>
      </c>
      <c r="AD1411" s="62">
        <v>0.233611111111111</v>
      </c>
      <c r="AE1411" s="62">
        <v>0.0</v>
      </c>
      <c r="AF1411" s="62">
        <v>0.0</v>
      </c>
    </row>
    <row r="1412">
      <c r="A1412" s="68">
        <v>46004.0</v>
      </c>
      <c r="B1412" s="62" t="s">
        <v>26</v>
      </c>
      <c r="C1412" s="62" t="s">
        <v>178</v>
      </c>
      <c r="D1412" s="62">
        <v>0.0</v>
      </c>
      <c r="E1412" s="62">
        <v>0.0</v>
      </c>
      <c r="F1412" s="62">
        <v>0.0</v>
      </c>
      <c r="G1412" s="62">
        <v>0.0</v>
      </c>
      <c r="H1412" s="62">
        <v>0.0</v>
      </c>
      <c r="I1412" s="62">
        <v>0.0</v>
      </c>
      <c r="J1412" s="62">
        <v>0.0</v>
      </c>
      <c r="K1412" s="62">
        <v>0.0</v>
      </c>
      <c r="L1412" s="62">
        <v>0.0</v>
      </c>
      <c r="M1412" s="62">
        <v>1.0</v>
      </c>
      <c r="N1412" s="62">
        <v>0.0</v>
      </c>
      <c r="O1412" s="62">
        <v>1.0</v>
      </c>
      <c r="P1412" s="62">
        <v>0.0</v>
      </c>
      <c r="Q1412" s="62">
        <v>0.0</v>
      </c>
      <c r="R1412" s="62">
        <v>0.0</v>
      </c>
      <c r="S1412" s="62">
        <v>0.0</v>
      </c>
      <c r="T1412" s="62">
        <v>0.0</v>
      </c>
      <c r="U1412" s="62">
        <v>0.0</v>
      </c>
      <c r="V1412" s="62">
        <v>0.0</v>
      </c>
      <c r="W1412" s="62">
        <v>0.0</v>
      </c>
      <c r="X1412" s="62">
        <v>0.0</v>
      </c>
      <c r="Y1412" s="62">
        <v>0.0</v>
      </c>
      <c r="Z1412" s="62">
        <v>0.0</v>
      </c>
      <c r="AA1412" s="62">
        <v>0.0</v>
      </c>
      <c r="AB1412" s="62">
        <v>0.201388888888888</v>
      </c>
      <c r="AC1412" s="62">
        <v>0.0</v>
      </c>
      <c r="AD1412" s="62">
        <v>0.169722222222222</v>
      </c>
      <c r="AE1412" s="62">
        <v>0.0</v>
      </c>
      <c r="AF1412" s="62">
        <v>0.0</v>
      </c>
    </row>
    <row r="1413">
      <c r="A1413" s="68">
        <v>46003.0</v>
      </c>
      <c r="B1413" s="62" t="s">
        <v>71</v>
      </c>
      <c r="C1413" s="62" t="s">
        <v>163</v>
      </c>
      <c r="D1413" s="62">
        <v>0.0</v>
      </c>
      <c r="E1413" s="62">
        <v>0.0</v>
      </c>
      <c r="F1413" s="62">
        <v>1.0</v>
      </c>
      <c r="G1413" s="62">
        <v>3.0</v>
      </c>
      <c r="H1413" s="62">
        <v>4.0</v>
      </c>
      <c r="I1413" s="62">
        <v>1.0</v>
      </c>
      <c r="J1413" s="62">
        <v>5.0</v>
      </c>
      <c r="K1413" s="62">
        <v>2.0</v>
      </c>
      <c r="L1413" s="62">
        <v>2.0</v>
      </c>
      <c r="M1413" s="62">
        <v>4.0</v>
      </c>
      <c r="N1413" s="62">
        <v>5.0</v>
      </c>
      <c r="O1413" s="62">
        <v>1.0</v>
      </c>
      <c r="P1413" s="62">
        <v>5.0</v>
      </c>
      <c r="Q1413" s="62">
        <v>0.0</v>
      </c>
      <c r="R1413" s="62">
        <v>0.0</v>
      </c>
      <c r="S1413" s="62">
        <v>0.0</v>
      </c>
      <c r="T1413" s="62">
        <v>0.516388888888888</v>
      </c>
      <c r="U1413" s="62">
        <v>0.273888888888888</v>
      </c>
      <c r="V1413" s="62">
        <v>0.758888888888889</v>
      </c>
      <c r="W1413" s="62">
        <v>1.00138888888888</v>
      </c>
      <c r="X1413" s="62">
        <v>0.2425</v>
      </c>
      <c r="Y1413" s="62">
        <v>1.255</v>
      </c>
      <c r="Z1413" s="62">
        <v>0.526944444444444</v>
      </c>
      <c r="AA1413" s="62">
        <v>0.526944444444444</v>
      </c>
      <c r="AB1413" s="62">
        <v>0.995555555555555</v>
      </c>
      <c r="AC1413" s="62">
        <v>1.2375</v>
      </c>
      <c r="AD1413" s="62">
        <v>0.223888888888888</v>
      </c>
      <c r="AE1413" s="62">
        <v>1.2375</v>
      </c>
      <c r="AF1413" s="62">
        <v>2.0</v>
      </c>
    </row>
    <row r="1414">
      <c r="A1414" s="68">
        <v>46003.0</v>
      </c>
      <c r="B1414" s="62" t="s">
        <v>76</v>
      </c>
      <c r="C1414" s="62" t="s">
        <v>165</v>
      </c>
      <c r="D1414" s="62">
        <v>13.0</v>
      </c>
      <c r="E1414" s="62">
        <v>0.0</v>
      </c>
      <c r="F1414" s="62">
        <v>3.0</v>
      </c>
      <c r="G1414" s="62">
        <v>5.0</v>
      </c>
      <c r="H1414" s="62">
        <v>8.0</v>
      </c>
      <c r="I1414" s="62">
        <v>3.0</v>
      </c>
      <c r="J1414" s="62">
        <v>6.0</v>
      </c>
      <c r="K1414" s="62">
        <v>1.0</v>
      </c>
      <c r="L1414" s="62">
        <v>1.0</v>
      </c>
      <c r="M1414" s="62">
        <v>8.0</v>
      </c>
      <c r="N1414" s="62">
        <v>11.0</v>
      </c>
      <c r="O1414" s="62">
        <v>1.0</v>
      </c>
      <c r="P1414" s="62">
        <v>11.0</v>
      </c>
      <c r="Q1414" s="62">
        <v>0.0</v>
      </c>
      <c r="R1414" s="62">
        <v>37160.0</v>
      </c>
      <c r="S1414" s="62">
        <v>0.0</v>
      </c>
      <c r="T1414" s="62">
        <v>1.42138888888888</v>
      </c>
      <c r="U1414" s="62">
        <v>0.713333333333333</v>
      </c>
      <c r="V1414" s="62">
        <v>1.17083333333333</v>
      </c>
      <c r="W1414" s="62">
        <v>1.87888888888888</v>
      </c>
      <c r="X1414" s="62">
        <v>0.708055555555555</v>
      </c>
      <c r="Y1414" s="62">
        <v>1.40944444444444</v>
      </c>
      <c r="Z1414" s="62">
        <v>0.246388888888888</v>
      </c>
      <c r="AA1414" s="62">
        <v>0.246388888888888</v>
      </c>
      <c r="AB1414" s="62">
        <v>1.90833333333333</v>
      </c>
      <c r="AC1414" s="62">
        <v>2.69555555555555</v>
      </c>
      <c r="AD1414" s="62">
        <v>0.237222222222222</v>
      </c>
      <c r="AE1414" s="62">
        <v>2.69555555555555</v>
      </c>
      <c r="AF1414" s="62">
        <v>6.0</v>
      </c>
    </row>
    <row r="1415">
      <c r="A1415" s="68">
        <v>46003.0</v>
      </c>
      <c r="B1415" s="62" t="s">
        <v>32</v>
      </c>
      <c r="C1415" s="62" t="s">
        <v>168</v>
      </c>
      <c r="D1415" s="62">
        <v>12.0</v>
      </c>
      <c r="E1415" s="62">
        <v>0.0</v>
      </c>
      <c r="F1415" s="62">
        <v>1.0</v>
      </c>
      <c r="G1415" s="62">
        <v>0.0</v>
      </c>
      <c r="H1415" s="62">
        <v>7.0</v>
      </c>
      <c r="I1415" s="62">
        <v>4.0</v>
      </c>
      <c r="J1415" s="62">
        <v>8.0</v>
      </c>
      <c r="K1415" s="62">
        <v>1.0</v>
      </c>
      <c r="L1415" s="62">
        <v>0.0</v>
      </c>
      <c r="M1415" s="62">
        <v>7.0</v>
      </c>
      <c r="N1415" s="62">
        <v>7.0</v>
      </c>
      <c r="O1415" s="62">
        <v>1.0</v>
      </c>
      <c r="P1415" s="62">
        <v>7.0</v>
      </c>
      <c r="Q1415" s="62">
        <v>0.0</v>
      </c>
      <c r="R1415" s="62">
        <v>31251.0</v>
      </c>
      <c r="S1415" s="62">
        <v>0.0</v>
      </c>
      <c r="T1415" s="62">
        <v>0.0</v>
      </c>
      <c r="U1415" s="62">
        <v>0.231388888888888</v>
      </c>
      <c r="V1415" s="62">
        <v>0.0</v>
      </c>
      <c r="W1415" s="62">
        <v>1.51527777777777</v>
      </c>
      <c r="X1415" s="62">
        <v>0.855833333333333</v>
      </c>
      <c r="Y1415" s="62">
        <v>1.74138888888888</v>
      </c>
      <c r="Z1415" s="62">
        <v>0.225555555555555</v>
      </c>
      <c r="AA1415" s="62">
        <v>0.0</v>
      </c>
      <c r="AB1415" s="62">
        <v>1.52916666666666</v>
      </c>
      <c r="AC1415" s="62">
        <v>1.52916666666666</v>
      </c>
      <c r="AD1415" s="62">
        <v>0.243888888888888</v>
      </c>
      <c r="AE1415" s="62">
        <v>1.52916666666666</v>
      </c>
      <c r="AF1415" s="62">
        <v>0.0</v>
      </c>
    </row>
    <row r="1416">
      <c r="A1416" s="68">
        <v>46003.0</v>
      </c>
      <c r="B1416" s="62" t="s">
        <v>26</v>
      </c>
      <c r="C1416" s="62" t="s">
        <v>178</v>
      </c>
      <c r="D1416" s="62">
        <v>0.0</v>
      </c>
      <c r="E1416" s="62">
        <v>2.0</v>
      </c>
      <c r="F1416" s="62">
        <v>0.0</v>
      </c>
      <c r="G1416" s="62">
        <v>0.0</v>
      </c>
      <c r="H1416" s="62">
        <v>0.0</v>
      </c>
      <c r="I1416" s="62">
        <v>0.0</v>
      </c>
      <c r="J1416" s="62">
        <v>4.0</v>
      </c>
      <c r="K1416" s="62">
        <v>1.0</v>
      </c>
      <c r="L1416" s="62">
        <v>1.0</v>
      </c>
      <c r="M1416" s="62">
        <v>2.0</v>
      </c>
      <c r="N1416" s="62">
        <v>15.0</v>
      </c>
      <c r="O1416" s="62">
        <v>1.0</v>
      </c>
      <c r="P1416" s="62">
        <v>15.0</v>
      </c>
      <c r="Q1416" s="62">
        <v>0.0</v>
      </c>
      <c r="R1416" s="62">
        <v>0.0</v>
      </c>
      <c r="S1416" s="62">
        <v>4260.0</v>
      </c>
      <c r="T1416" s="62">
        <v>0.0</v>
      </c>
      <c r="U1416" s="62">
        <v>0.0</v>
      </c>
      <c r="V1416" s="62">
        <v>0.0</v>
      </c>
      <c r="W1416" s="62">
        <v>0.0</v>
      </c>
      <c r="X1416" s="62">
        <v>0.0</v>
      </c>
      <c r="Y1416" s="62">
        <v>0.797777777777777</v>
      </c>
      <c r="Z1416" s="62">
        <v>0.218611111111111</v>
      </c>
      <c r="AA1416" s="62">
        <v>0.201388888888888</v>
      </c>
      <c r="AB1416" s="62">
        <v>0.372777777777777</v>
      </c>
      <c r="AC1416" s="62">
        <v>2.80527777777777</v>
      </c>
      <c r="AD1416" s="62">
        <v>0.219166666666666</v>
      </c>
      <c r="AE1416" s="62">
        <v>2.80527777777777</v>
      </c>
      <c r="AF1416" s="62">
        <v>0.0</v>
      </c>
    </row>
    <row r="1417">
      <c r="A1417" s="68">
        <v>46002.0</v>
      </c>
      <c r="B1417" s="62" t="s">
        <v>71</v>
      </c>
      <c r="C1417" s="62" t="s">
        <v>163</v>
      </c>
      <c r="D1417" s="62">
        <v>0.0</v>
      </c>
      <c r="E1417" s="62">
        <v>5.0</v>
      </c>
      <c r="F1417" s="62">
        <v>1.0</v>
      </c>
      <c r="G1417" s="62">
        <v>1.0</v>
      </c>
      <c r="H1417" s="62">
        <v>2.0</v>
      </c>
      <c r="I1417" s="62">
        <v>1.0</v>
      </c>
      <c r="J1417" s="62">
        <v>1.0</v>
      </c>
      <c r="K1417" s="62">
        <v>1.0</v>
      </c>
      <c r="L1417" s="62">
        <v>1.0</v>
      </c>
      <c r="M1417" s="62">
        <v>1.0</v>
      </c>
      <c r="N1417" s="62">
        <v>1.0</v>
      </c>
      <c r="O1417" s="62">
        <v>1.0</v>
      </c>
      <c r="P1417" s="62">
        <v>1.0</v>
      </c>
      <c r="Q1417" s="62">
        <v>0.0</v>
      </c>
      <c r="R1417" s="62">
        <v>0.0</v>
      </c>
      <c r="S1417" s="62">
        <v>15001.0</v>
      </c>
      <c r="T1417" s="62">
        <v>0.532777777777777</v>
      </c>
      <c r="U1417" s="62">
        <v>0.273611111111111</v>
      </c>
      <c r="V1417" s="62">
        <v>0.236666666666666</v>
      </c>
      <c r="W1417" s="62">
        <v>0.495833333333333</v>
      </c>
      <c r="X1417" s="62">
        <v>0.259166666666666</v>
      </c>
      <c r="Y1417" s="62">
        <v>0.241944444444444</v>
      </c>
      <c r="Z1417" s="62">
        <v>0.228888888888888</v>
      </c>
      <c r="AA1417" s="62">
        <v>0.228888888888888</v>
      </c>
      <c r="AB1417" s="62">
        <v>0.241944444444444</v>
      </c>
      <c r="AC1417" s="62">
        <v>0.228888888888888</v>
      </c>
      <c r="AD1417" s="62">
        <v>0.235277777777777</v>
      </c>
      <c r="AE1417" s="62">
        <v>0.228888888888888</v>
      </c>
      <c r="AF1417" s="62">
        <v>2.0</v>
      </c>
    </row>
    <row r="1418">
      <c r="A1418" s="68">
        <v>46002.0</v>
      </c>
      <c r="B1418" s="62" t="s">
        <v>76</v>
      </c>
      <c r="C1418" s="62" t="s">
        <v>165</v>
      </c>
      <c r="D1418" s="62">
        <v>2.0</v>
      </c>
      <c r="E1418" s="62">
        <v>4.0</v>
      </c>
      <c r="F1418" s="62">
        <v>3.0</v>
      </c>
      <c r="G1418" s="62">
        <v>0.0</v>
      </c>
      <c r="H1418" s="62">
        <v>2.0</v>
      </c>
      <c r="I1418" s="62">
        <v>2.0</v>
      </c>
      <c r="J1418" s="62">
        <v>6.0</v>
      </c>
      <c r="K1418" s="62">
        <v>1.0</v>
      </c>
      <c r="L1418" s="62">
        <v>1.0</v>
      </c>
      <c r="M1418" s="62">
        <v>4.0</v>
      </c>
      <c r="N1418" s="62">
        <v>1.0</v>
      </c>
      <c r="O1418" s="62">
        <v>1.0</v>
      </c>
      <c r="P1418" s="62">
        <v>1.0</v>
      </c>
      <c r="Q1418" s="62">
        <v>0.0</v>
      </c>
      <c r="R1418" s="62">
        <v>5154.0</v>
      </c>
      <c r="S1418" s="62">
        <v>10026.0</v>
      </c>
      <c r="T1418" s="62">
        <v>0.237222222222222</v>
      </c>
      <c r="U1418" s="62">
        <v>0.693055555555555</v>
      </c>
      <c r="V1418" s="62">
        <v>0.0</v>
      </c>
      <c r="W1418" s="62">
        <v>0.478611111111111</v>
      </c>
      <c r="X1418" s="62">
        <v>0.478611111111111</v>
      </c>
      <c r="Y1418" s="62">
        <v>1.53944444444444</v>
      </c>
      <c r="Z1418" s="62">
        <v>0.256666666666666</v>
      </c>
      <c r="AA1418" s="62">
        <v>0.256666666666666</v>
      </c>
      <c r="AB1418" s="62">
        <v>1.04055555555555</v>
      </c>
      <c r="AC1418" s="62">
        <v>0.253333333333333</v>
      </c>
      <c r="AD1418" s="62">
        <v>0.232777777777777</v>
      </c>
      <c r="AE1418" s="62">
        <v>0.253333333333333</v>
      </c>
      <c r="AF1418" s="62">
        <v>1.0</v>
      </c>
    </row>
    <row r="1419">
      <c r="A1419" s="68">
        <v>46002.0</v>
      </c>
      <c r="B1419" s="62" t="s">
        <v>32</v>
      </c>
      <c r="C1419" s="62" t="s">
        <v>168</v>
      </c>
      <c r="D1419" s="62">
        <v>0.0</v>
      </c>
      <c r="E1419" s="62">
        <v>4.0</v>
      </c>
      <c r="F1419" s="62">
        <v>2.0</v>
      </c>
      <c r="G1419" s="62">
        <v>0.0</v>
      </c>
      <c r="H1419" s="62">
        <v>2.0</v>
      </c>
      <c r="I1419" s="62">
        <v>2.0</v>
      </c>
      <c r="J1419" s="62">
        <v>0.0</v>
      </c>
      <c r="K1419" s="62">
        <v>0.0</v>
      </c>
      <c r="L1419" s="62">
        <v>0.0</v>
      </c>
      <c r="M1419" s="62">
        <v>4.0</v>
      </c>
      <c r="N1419" s="62">
        <v>5.0</v>
      </c>
      <c r="O1419" s="62">
        <v>1.0</v>
      </c>
      <c r="P1419" s="62">
        <v>5.0</v>
      </c>
      <c r="Q1419" s="62">
        <v>0.0</v>
      </c>
      <c r="R1419" s="62">
        <v>0.0</v>
      </c>
      <c r="S1419" s="62">
        <v>10308.0</v>
      </c>
      <c r="T1419" s="62">
        <v>1.52583333333333</v>
      </c>
      <c r="U1419" s="62">
        <v>0.439722222222222</v>
      </c>
      <c r="V1419" s="62">
        <v>0.0</v>
      </c>
      <c r="W1419" s="62">
        <v>0.425277777777777</v>
      </c>
      <c r="X1419" s="62">
        <v>0.425277777777777</v>
      </c>
      <c r="Y1419" s="62">
        <v>0.0</v>
      </c>
      <c r="Z1419" s="62">
        <v>0.0</v>
      </c>
      <c r="AA1419" s="62">
        <v>0.0</v>
      </c>
      <c r="AB1419" s="62">
        <v>0.864722222222222</v>
      </c>
      <c r="AC1419" s="62">
        <v>1.0875</v>
      </c>
      <c r="AD1419" s="62">
        <v>0.2025</v>
      </c>
      <c r="AE1419" s="62">
        <v>1.0875</v>
      </c>
      <c r="AF1419" s="62">
        <v>7.0</v>
      </c>
    </row>
    <row r="1420">
      <c r="A1420" s="68">
        <v>46002.0</v>
      </c>
      <c r="B1420" s="62" t="s">
        <v>56</v>
      </c>
      <c r="C1420" s="62" t="s">
        <v>176</v>
      </c>
      <c r="D1420" s="62">
        <v>0.0</v>
      </c>
      <c r="E1420" s="62">
        <v>0.0</v>
      </c>
      <c r="F1420" s="62">
        <v>0.0</v>
      </c>
      <c r="G1420" s="62">
        <v>0.0</v>
      </c>
      <c r="H1420" s="62">
        <v>0.0</v>
      </c>
      <c r="I1420" s="62">
        <v>0.0</v>
      </c>
      <c r="J1420" s="62">
        <v>0.0</v>
      </c>
      <c r="K1420" s="62">
        <v>0.0</v>
      </c>
      <c r="L1420" s="62">
        <v>0.0</v>
      </c>
      <c r="M1420" s="62">
        <v>0.0</v>
      </c>
      <c r="N1420" s="62">
        <v>4.0</v>
      </c>
      <c r="O1420" s="62">
        <v>1.0</v>
      </c>
      <c r="P1420" s="62">
        <v>4.0</v>
      </c>
      <c r="Q1420" s="62">
        <v>0.0</v>
      </c>
      <c r="R1420" s="62">
        <v>0.0</v>
      </c>
      <c r="S1420" s="62">
        <v>0.0</v>
      </c>
      <c r="T1420" s="62">
        <v>0.0</v>
      </c>
      <c r="U1420" s="62">
        <v>0.0</v>
      </c>
      <c r="V1420" s="62">
        <v>0.0</v>
      </c>
      <c r="W1420" s="62">
        <v>0.0</v>
      </c>
      <c r="X1420" s="62">
        <v>0.0</v>
      </c>
      <c r="Y1420" s="62">
        <v>0.0</v>
      </c>
      <c r="Z1420" s="62">
        <v>0.0</v>
      </c>
      <c r="AA1420" s="62">
        <v>0.0</v>
      </c>
      <c r="AB1420" s="62">
        <v>0.0</v>
      </c>
      <c r="AC1420" s="62">
        <v>0.936388888888888</v>
      </c>
      <c r="AD1420" s="62">
        <v>0.159166666666666</v>
      </c>
      <c r="AE1420" s="62">
        <v>0.936388888888888</v>
      </c>
      <c r="AF1420" s="62">
        <v>0.0</v>
      </c>
    </row>
    <row r="1421">
      <c r="A1421" s="68">
        <v>46002.0</v>
      </c>
      <c r="B1421" s="62" t="s">
        <v>26</v>
      </c>
      <c r="C1421" s="62" t="s">
        <v>178</v>
      </c>
      <c r="D1421" s="62">
        <v>3.0</v>
      </c>
      <c r="E1421" s="62">
        <v>8.0</v>
      </c>
      <c r="F1421" s="62">
        <v>0.0</v>
      </c>
      <c r="G1421" s="62">
        <v>2.0</v>
      </c>
      <c r="H1421" s="62">
        <v>3.0</v>
      </c>
      <c r="I1421" s="62">
        <v>1.0</v>
      </c>
      <c r="J1421" s="62">
        <v>6.0</v>
      </c>
      <c r="K1421" s="62">
        <v>0.0</v>
      </c>
      <c r="L1421" s="62">
        <v>0.0</v>
      </c>
      <c r="M1421" s="62">
        <v>7.0</v>
      </c>
      <c r="N1421" s="62">
        <v>0.0</v>
      </c>
      <c r="O1421" s="62">
        <v>1.0</v>
      </c>
      <c r="P1421" s="62">
        <v>0.0</v>
      </c>
      <c r="Q1421" s="62">
        <v>0.0</v>
      </c>
      <c r="R1421" s="62">
        <v>6734.0</v>
      </c>
      <c r="S1421" s="62">
        <v>16534.0</v>
      </c>
      <c r="T1421" s="62">
        <v>0.0</v>
      </c>
      <c r="U1421" s="62">
        <v>0.0</v>
      </c>
      <c r="V1421" s="62">
        <v>0.362222222222222</v>
      </c>
      <c r="W1421" s="62">
        <v>0.566111111111111</v>
      </c>
      <c r="X1421" s="62">
        <v>0.203888888888888</v>
      </c>
      <c r="Y1421" s="62">
        <v>1.12111111111111</v>
      </c>
      <c r="Z1421" s="62">
        <v>0.0</v>
      </c>
      <c r="AA1421" s="62">
        <v>0.0</v>
      </c>
      <c r="AB1421" s="62">
        <v>1.31777777777777</v>
      </c>
      <c r="AC1421" s="62">
        <v>0.0</v>
      </c>
      <c r="AD1421" s="62">
        <v>0.168611111111111</v>
      </c>
      <c r="AE1421" s="62">
        <v>0.0</v>
      </c>
      <c r="AF1421" s="62">
        <v>0.0</v>
      </c>
    </row>
    <row r="1422">
      <c r="A1422" s="68">
        <v>46001.0</v>
      </c>
      <c r="B1422" s="62" t="s">
        <v>71</v>
      </c>
      <c r="C1422" s="62" t="s">
        <v>163</v>
      </c>
      <c r="D1422" s="62">
        <v>0.0</v>
      </c>
      <c r="E1422" s="62">
        <v>0.0</v>
      </c>
      <c r="F1422" s="62">
        <v>3.0</v>
      </c>
      <c r="G1422" s="62">
        <v>0.0</v>
      </c>
      <c r="H1422" s="62">
        <v>1.0</v>
      </c>
      <c r="I1422" s="62">
        <v>1.0</v>
      </c>
      <c r="J1422" s="62">
        <v>1.0</v>
      </c>
      <c r="K1422" s="62">
        <v>0.0</v>
      </c>
      <c r="L1422" s="62">
        <v>0.0</v>
      </c>
      <c r="M1422" s="62">
        <v>1.0</v>
      </c>
      <c r="N1422" s="62">
        <v>3.0</v>
      </c>
      <c r="O1422" s="62">
        <v>1.0</v>
      </c>
      <c r="P1422" s="62">
        <v>3.0</v>
      </c>
      <c r="Q1422" s="62">
        <v>0.0</v>
      </c>
      <c r="R1422" s="62">
        <v>0.0</v>
      </c>
      <c r="S1422" s="62">
        <v>0.0</v>
      </c>
      <c r="T1422" s="62">
        <v>0.966944444444444</v>
      </c>
      <c r="U1422" s="62">
        <v>0.725555555555555</v>
      </c>
      <c r="V1422" s="62">
        <v>0.0</v>
      </c>
      <c r="W1422" s="62">
        <v>0.241388888888888</v>
      </c>
      <c r="X1422" s="62">
        <v>0.241388888888888</v>
      </c>
      <c r="Y1422" s="62">
        <v>0.228888888888888</v>
      </c>
      <c r="Z1422" s="62">
        <v>0.0</v>
      </c>
      <c r="AA1422" s="62">
        <v>0.0</v>
      </c>
      <c r="AB1422" s="62">
        <v>0.228888888888888</v>
      </c>
      <c r="AC1422" s="62">
        <v>0.746944444444444</v>
      </c>
      <c r="AD1422" s="62">
        <v>0.221666666666666</v>
      </c>
      <c r="AE1422" s="62">
        <v>0.746944444444444</v>
      </c>
      <c r="AF1422" s="62">
        <v>4.0</v>
      </c>
    </row>
    <row r="1423">
      <c r="A1423" s="68">
        <v>46001.0</v>
      </c>
      <c r="B1423" s="62" t="s">
        <v>76</v>
      </c>
      <c r="C1423" s="62" t="s">
        <v>165</v>
      </c>
      <c r="D1423" s="62">
        <v>0.0</v>
      </c>
      <c r="E1423" s="62">
        <v>5.0</v>
      </c>
      <c r="F1423" s="62">
        <v>0.0</v>
      </c>
      <c r="G1423" s="62">
        <v>6.0</v>
      </c>
      <c r="H1423" s="62">
        <v>6.0</v>
      </c>
      <c r="I1423" s="62">
        <v>0.0</v>
      </c>
      <c r="J1423" s="62">
        <v>1.0</v>
      </c>
      <c r="K1423" s="62">
        <v>0.0</v>
      </c>
      <c r="L1423" s="62">
        <v>0.0</v>
      </c>
      <c r="M1423" s="62">
        <v>1.0</v>
      </c>
      <c r="N1423" s="62">
        <v>6.0</v>
      </c>
      <c r="O1423" s="62">
        <v>1.0</v>
      </c>
      <c r="P1423" s="62">
        <v>6.0</v>
      </c>
      <c r="Q1423" s="62">
        <v>0.0</v>
      </c>
      <c r="R1423" s="62">
        <v>0.0</v>
      </c>
      <c r="S1423" s="62">
        <v>12342.0</v>
      </c>
      <c r="T1423" s="62">
        <v>0.934444444444444</v>
      </c>
      <c r="U1423" s="62">
        <v>0.0</v>
      </c>
      <c r="V1423" s="62">
        <v>1.57444444444444</v>
      </c>
      <c r="W1423" s="62">
        <v>1.57444444444444</v>
      </c>
      <c r="X1423" s="62">
        <v>0.0</v>
      </c>
      <c r="Y1423" s="62">
        <v>0.277222222222222</v>
      </c>
      <c r="Z1423" s="62">
        <v>0.0</v>
      </c>
      <c r="AA1423" s="62">
        <v>0.0</v>
      </c>
      <c r="AB1423" s="62">
        <v>0.277222222222222</v>
      </c>
      <c r="AC1423" s="62">
        <v>1.60583333333333</v>
      </c>
      <c r="AD1423" s="62">
        <v>0.236666666666666</v>
      </c>
      <c r="AE1423" s="62">
        <v>1.60583333333333</v>
      </c>
      <c r="AF1423" s="62">
        <v>4.0</v>
      </c>
    </row>
    <row r="1424">
      <c r="A1424" s="68">
        <v>46001.0</v>
      </c>
      <c r="B1424" s="62" t="s">
        <v>32</v>
      </c>
      <c r="C1424" s="62" t="s">
        <v>168</v>
      </c>
      <c r="D1424" s="62">
        <v>15.0</v>
      </c>
      <c r="E1424" s="62">
        <v>6.0</v>
      </c>
      <c r="F1424" s="62">
        <v>1.0</v>
      </c>
      <c r="G1424" s="62">
        <v>0.0</v>
      </c>
      <c r="H1424" s="62">
        <v>8.0</v>
      </c>
      <c r="I1424" s="62">
        <v>6.0</v>
      </c>
      <c r="J1424" s="62">
        <v>9.0</v>
      </c>
      <c r="K1424" s="62">
        <v>4.0</v>
      </c>
      <c r="L1424" s="62">
        <v>0.0</v>
      </c>
      <c r="M1424" s="62">
        <v>6.0</v>
      </c>
      <c r="N1424" s="62">
        <v>11.0</v>
      </c>
      <c r="O1424" s="62">
        <v>1.0</v>
      </c>
      <c r="P1424" s="62">
        <v>11.0</v>
      </c>
      <c r="Q1424" s="62">
        <v>0.0</v>
      </c>
      <c r="R1424" s="62">
        <v>35791.0</v>
      </c>
      <c r="S1424" s="62">
        <v>14460.0</v>
      </c>
      <c r="T1424" s="62">
        <v>1.30833333333333</v>
      </c>
      <c r="U1424" s="62">
        <v>0.2225</v>
      </c>
      <c r="V1424" s="62">
        <v>0.0</v>
      </c>
      <c r="W1424" s="62">
        <v>1.74472222222222</v>
      </c>
      <c r="X1424" s="62">
        <v>1.31194444444444</v>
      </c>
      <c r="Y1424" s="62">
        <v>1.96138888888888</v>
      </c>
      <c r="Z1424" s="62">
        <v>0.863888888888888</v>
      </c>
      <c r="AA1424" s="62">
        <v>0.0</v>
      </c>
      <c r="AB1424" s="62">
        <v>1.31944444444444</v>
      </c>
      <c r="AC1424" s="62">
        <v>2.38861111111111</v>
      </c>
      <c r="AD1424" s="62">
        <v>0.208333333333333</v>
      </c>
      <c r="AE1424" s="62">
        <v>2.38861111111111</v>
      </c>
      <c r="AF1424" s="62">
        <v>6.0</v>
      </c>
    </row>
    <row r="1425">
      <c r="A1425" s="68">
        <v>46001.0</v>
      </c>
      <c r="B1425" s="62" t="s">
        <v>26</v>
      </c>
      <c r="C1425" s="62" t="s">
        <v>178</v>
      </c>
      <c r="D1425" s="62">
        <v>7.0</v>
      </c>
      <c r="E1425" s="62">
        <v>4.0</v>
      </c>
      <c r="F1425" s="62">
        <v>0.0</v>
      </c>
      <c r="G1425" s="62">
        <v>0.0</v>
      </c>
      <c r="H1425" s="62">
        <v>4.0</v>
      </c>
      <c r="I1425" s="62">
        <v>4.0</v>
      </c>
      <c r="J1425" s="62">
        <v>6.0</v>
      </c>
      <c r="K1425" s="62">
        <v>0.0</v>
      </c>
      <c r="L1425" s="62">
        <v>0.0</v>
      </c>
      <c r="M1425" s="62">
        <v>6.0</v>
      </c>
      <c r="N1425" s="62">
        <v>0.0</v>
      </c>
      <c r="O1425" s="62">
        <v>1.0</v>
      </c>
      <c r="P1425" s="62">
        <v>0.0</v>
      </c>
      <c r="Q1425" s="62">
        <v>0.0</v>
      </c>
      <c r="R1425" s="62">
        <v>16586.0</v>
      </c>
      <c r="S1425" s="62">
        <v>8831.0</v>
      </c>
      <c r="T1425" s="62">
        <v>0.203888888888888</v>
      </c>
      <c r="U1425" s="62">
        <v>0.0</v>
      </c>
      <c r="V1425" s="62">
        <v>0.0</v>
      </c>
      <c r="W1425" s="62">
        <v>0.765833333333333</v>
      </c>
      <c r="X1425" s="62">
        <v>0.765833333333333</v>
      </c>
      <c r="Y1425" s="62">
        <v>1.12527777777777</v>
      </c>
      <c r="Z1425" s="62">
        <v>0.0</v>
      </c>
      <c r="AA1425" s="62">
        <v>0.0</v>
      </c>
      <c r="AB1425" s="62">
        <v>1.12527777777777</v>
      </c>
      <c r="AC1425" s="62">
        <v>0.0</v>
      </c>
      <c r="AD1425" s="62">
        <v>0.180555555555555</v>
      </c>
      <c r="AE1425" s="62">
        <v>0.0</v>
      </c>
      <c r="AF1425" s="62">
        <v>1.0</v>
      </c>
    </row>
    <row r="1426">
      <c r="A1426" s="68">
        <v>46000.0</v>
      </c>
      <c r="B1426" s="62" t="s">
        <v>71</v>
      </c>
      <c r="C1426" s="62" t="s">
        <v>163</v>
      </c>
      <c r="D1426" s="62">
        <v>5.0</v>
      </c>
      <c r="E1426" s="62">
        <v>0.0</v>
      </c>
      <c r="F1426" s="62">
        <v>0.0</v>
      </c>
      <c r="G1426" s="62">
        <v>1.0</v>
      </c>
      <c r="H1426" s="62">
        <v>1.0</v>
      </c>
      <c r="I1426" s="62">
        <v>0.0</v>
      </c>
      <c r="J1426" s="62">
        <v>1.0</v>
      </c>
      <c r="K1426" s="62">
        <v>0.0</v>
      </c>
      <c r="L1426" s="62">
        <v>0.0</v>
      </c>
      <c r="M1426" s="62">
        <v>4.0</v>
      </c>
      <c r="N1426" s="62">
        <v>1.0</v>
      </c>
      <c r="O1426" s="62">
        <v>1.0</v>
      </c>
      <c r="P1426" s="62">
        <v>1.0</v>
      </c>
      <c r="Q1426" s="62">
        <v>0.0</v>
      </c>
      <c r="R1426" s="62">
        <v>15001.0</v>
      </c>
      <c r="S1426" s="62">
        <v>0.0</v>
      </c>
      <c r="T1426" s="62">
        <v>0.0</v>
      </c>
      <c r="U1426" s="62">
        <v>0.0</v>
      </c>
      <c r="V1426" s="62">
        <v>0.228888888888888</v>
      </c>
      <c r="W1426" s="62">
        <v>0.228888888888888</v>
      </c>
      <c r="X1426" s="62">
        <v>0.0</v>
      </c>
      <c r="Y1426" s="62">
        <v>0.25</v>
      </c>
      <c r="Z1426" s="62">
        <v>0.0</v>
      </c>
      <c r="AA1426" s="62">
        <v>0.0</v>
      </c>
      <c r="AB1426" s="62">
        <v>1.00194444444444</v>
      </c>
      <c r="AC1426" s="62">
        <v>0.255</v>
      </c>
      <c r="AD1426" s="62">
        <v>0.240555555555555</v>
      </c>
      <c r="AE1426" s="62">
        <v>0.255</v>
      </c>
      <c r="AF1426" s="62">
        <v>0.0</v>
      </c>
    </row>
    <row r="1427">
      <c r="A1427" s="68">
        <v>46000.0</v>
      </c>
      <c r="B1427" s="62" t="s">
        <v>76</v>
      </c>
      <c r="C1427" s="62" t="s">
        <v>165</v>
      </c>
      <c r="D1427" s="62">
        <v>0.0</v>
      </c>
      <c r="E1427" s="62">
        <v>4.0</v>
      </c>
      <c r="F1427" s="62">
        <v>3.0</v>
      </c>
      <c r="G1427" s="62">
        <v>0.0</v>
      </c>
      <c r="H1427" s="62">
        <v>0.0</v>
      </c>
      <c r="I1427" s="62">
        <v>0.0</v>
      </c>
      <c r="J1427" s="62">
        <v>2.0</v>
      </c>
      <c r="K1427" s="62">
        <v>0.0</v>
      </c>
      <c r="L1427" s="62">
        <v>0.0</v>
      </c>
      <c r="M1427" s="62">
        <v>2.0</v>
      </c>
      <c r="N1427" s="62">
        <v>0.0</v>
      </c>
      <c r="O1427" s="62">
        <v>1.0</v>
      </c>
      <c r="P1427" s="62">
        <v>0.0</v>
      </c>
      <c r="Q1427" s="62">
        <v>0.0</v>
      </c>
      <c r="R1427" s="62">
        <v>0.0</v>
      </c>
      <c r="S1427" s="62">
        <v>9939.0</v>
      </c>
      <c r="T1427" s="62">
        <v>0.785833333333333</v>
      </c>
      <c r="U1427" s="62">
        <v>0.785833333333333</v>
      </c>
      <c r="V1427" s="62">
        <v>0.0</v>
      </c>
      <c r="W1427" s="62">
        <v>0.0</v>
      </c>
      <c r="X1427" s="62">
        <v>0.0</v>
      </c>
      <c r="Y1427" s="62">
        <v>0.533055555555555</v>
      </c>
      <c r="Z1427" s="62">
        <v>0.0</v>
      </c>
      <c r="AA1427" s="62">
        <v>0.0</v>
      </c>
      <c r="AB1427" s="62">
        <v>0.533055555555555</v>
      </c>
      <c r="AC1427" s="62">
        <v>0.0</v>
      </c>
      <c r="AD1427" s="62">
        <v>0.234166666666666</v>
      </c>
      <c r="AE1427" s="62">
        <v>0.0</v>
      </c>
      <c r="AF1427" s="62">
        <v>3.0</v>
      </c>
    </row>
    <row r="1428">
      <c r="A1428" s="68">
        <v>46000.0</v>
      </c>
      <c r="B1428" s="62" t="s">
        <v>32</v>
      </c>
      <c r="C1428" s="62" t="s">
        <v>168</v>
      </c>
      <c r="D1428" s="62">
        <v>0.0</v>
      </c>
      <c r="E1428" s="62">
        <v>6.0</v>
      </c>
      <c r="F1428" s="62">
        <v>2.0</v>
      </c>
      <c r="G1428" s="62">
        <v>0.0</v>
      </c>
      <c r="H1428" s="62">
        <v>2.0</v>
      </c>
      <c r="I1428" s="62">
        <v>2.0</v>
      </c>
      <c r="J1428" s="62">
        <v>3.0</v>
      </c>
      <c r="K1428" s="62">
        <v>0.0</v>
      </c>
      <c r="L1428" s="62">
        <v>0.0</v>
      </c>
      <c r="M1428" s="62">
        <v>4.0</v>
      </c>
      <c r="N1428" s="62">
        <v>0.0</v>
      </c>
      <c r="O1428" s="62">
        <v>1.0</v>
      </c>
      <c r="P1428" s="62">
        <v>0.0</v>
      </c>
      <c r="Q1428" s="62">
        <v>0.0</v>
      </c>
      <c r="R1428" s="62">
        <v>0.0</v>
      </c>
      <c r="S1428" s="62">
        <v>15216.0</v>
      </c>
      <c r="T1428" s="62">
        <v>1.53416666666666</v>
      </c>
      <c r="U1428" s="62">
        <v>0.434166666666666</v>
      </c>
      <c r="V1428" s="62">
        <v>0.0</v>
      </c>
      <c r="W1428" s="62">
        <v>0.4475</v>
      </c>
      <c r="X1428" s="62">
        <v>0.4475</v>
      </c>
      <c r="Y1428" s="62">
        <v>0.654444444444444</v>
      </c>
      <c r="Z1428" s="62">
        <v>0.0</v>
      </c>
      <c r="AA1428" s="62">
        <v>0.0</v>
      </c>
      <c r="AB1428" s="62">
        <v>0.852222222222222</v>
      </c>
      <c r="AC1428" s="62">
        <v>0.0</v>
      </c>
      <c r="AD1428" s="62">
        <v>0.231666666666666</v>
      </c>
      <c r="AE1428" s="62">
        <v>0.0</v>
      </c>
      <c r="AF1428" s="62">
        <v>7.0</v>
      </c>
    </row>
    <row r="1429">
      <c r="A1429" s="68">
        <v>46000.0</v>
      </c>
      <c r="B1429" s="62" t="s">
        <v>26</v>
      </c>
      <c r="C1429" s="62" t="s">
        <v>178</v>
      </c>
      <c r="D1429" s="62">
        <v>7.0</v>
      </c>
      <c r="E1429" s="62">
        <v>5.0</v>
      </c>
      <c r="F1429" s="62">
        <v>2.0</v>
      </c>
      <c r="G1429" s="62">
        <v>3.0</v>
      </c>
      <c r="H1429" s="62">
        <v>9.0</v>
      </c>
      <c r="I1429" s="62">
        <v>6.0</v>
      </c>
      <c r="J1429" s="62">
        <v>4.0</v>
      </c>
      <c r="K1429" s="62">
        <v>1.0</v>
      </c>
      <c r="L1429" s="62">
        <v>2.0</v>
      </c>
      <c r="M1429" s="62">
        <v>4.0</v>
      </c>
      <c r="N1429" s="62">
        <v>2.0</v>
      </c>
      <c r="O1429" s="62">
        <v>1.0</v>
      </c>
      <c r="P1429" s="62">
        <v>2.0</v>
      </c>
      <c r="Q1429" s="62">
        <v>0.0</v>
      </c>
      <c r="R1429" s="62">
        <v>15524.0</v>
      </c>
      <c r="S1429" s="62">
        <v>10767.0</v>
      </c>
      <c r="T1429" s="62">
        <v>1.52166666666666</v>
      </c>
      <c r="U1429" s="62">
        <v>0.358888888888888</v>
      </c>
      <c r="V1429" s="62">
        <v>0.552222222222222</v>
      </c>
      <c r="W1429" s="62">
        <v>1.65166666666666</v>
      </c>
      <c r="X1429" s="62">
        <v>1.09944444444444</v>
      </c>
      <c r="Y1429" s="62">
        <v>0.746944444444444</v>
      </c>
      <c r="Z1429" s="62">
        <v>0.196666666666666</v>
      </c>
      <c r="AA1429" s="62">
        <v>0.383611111111111</v>
      </c>
      <c r="AB1429" s="62">
        <v>0.737222222222222</v>
      </c>
      <c r="AC1429" s="62">
        <v>0.375</v>
      </c>
      <c r="AD1429" s="62">
        <v>0.213888888888888</v>
      </c>
      <c r="AE1429" s="62">
        <v>0.375</v>
      </c>
      <c r="AF1429" s="62">
        <v>8.0</v>
      </c>
    </row>
    <row r="1430">
      <c r="A1430" s="68">
        <v>45999.0</v>
      </c>
      <c r="B1430" s="62" t="s">
        <v>71</v>
      </c>
      <c r="C1430" s="62" t="s">
        <v>163</v>
      </c>
      <c r="D1430" s="62">
        <v>0.0</v>
      </c>
      <c r="E1430" s="62">
        <v>0.0</v>
      </c>
      <c r="F1430" s="62">
        <v>3.0</v>
      </c>
      <c r="G1430" s="62">
        <v>4.0</v>
      </c>
      <c r="H1430" s="62">
        <v>5.0</v>
      </c>
      <c r="I1430" s="62">
        <v>1.0</v>
      </c>
      <c r="J1430" s="62">
        <v>7.0</v>
      </c>
      <c r="K1430" s="62">
        <v>0.0</v>
      </c>
      <c r="L1430" s="62">
        <v>0.0</v>
      </c>
      <c r="M1430" s="62">
        <v>4.0</v>
      </c>
      <c r="N1430" s="62">
        <v>4.0</v>
      </c>
      <c r="O1430" s="62">
        <v>1.0</v>
      </c>
      <c r="P1430" s="62">
        <v>4.0</v>
      </c>
      <c r="Q1430" s="62">
        <v>0.0</v>
      </c>
      <c r="R1430" s="62">
        <v>0.0</v>
      </c>
      <c r="S1430" s="62">
        <v>0.0</v>
      </c>
      <c r="T1430" s="62">
        <v>0.973611111111111</v>
      </c>
      <c r="U1430" s="62">
        <v>0.724444444444444</v>
      </c>
      <c r="V1430" s="62">
        <v>1.00305555555555</v>
      </c>
      <c r="W1430" s="62">
        <v>1.25222222222222</v>
      </c>
      <c r="X1430" s="62">
        <v>0.249166666666666</v>
      </c>
      <c r="Y1430" s="62">
        <v>1.75361111111111</v>
      </c>
      <c r="Z1430" s="62">
        <v>0.0</v>
      </c>
      <c r="AA1430" s="62">
        <v>0.0</v>
      </c>
      <c r="AB1430" s="62">
        <v>1.00166666666666</v>
      </c>
      <c r="AC1430" s="62">
        <v>1.00166666666666</v>
      </c>
      <c r="AD1430" s="62">
        <v>0.260277777777777</v>
      </c>
      <c r="AE1430" s="62">
        <v>1.00166666666666</v>
      </c>
      <c r="AF1430" s="62">
        <v>4.0</v>
      </c>
    </row>
    <row r="1431">
      <c r="A1431" s="68">
        <v>45999.0</v>
      </c>
      <c r="B1431" s="62" t="s">
        <v>76</v>
      </c>
      <c r="C1431" s="62" t="s">
        <v>165</v>
      </c>
      <c r="D1431" s="62">
        <v>0.0</v>
      </c>
      <c r="E1431" s="62">
        <v>5.0</v>
      </c>
      <c r="F1431" s="62">
        <v>3.0</v>
      </c>
      <c r="G1431" s="62">
        <v>2.0</v>
      </c>
      <c r="H1431" s="62">
        <v>2.0</v>
      </c>
      <c r="I1431" s="62">
        <v>0.0</v>
      </c>
      <c r="J1431" s="62">
        <v>3.0</v>
      </c>
      <c r="K1431" s="62">
        <v>0.0</v>
      </c>
      <c r="L1431" s="62">
        <v>0.0</v>
      </c>
      <c r="M1431" s="62">
        <v>3.0</v>
      </c>
      <c r="N1431" s="62">
        <v>0.0</v>
      </c>
      <c r="O1431" s="62">
        <v>1.0</v>
      </c>
      <c r="P1431" s="62">
        <v>0.0</v>
      </c>
      <c r="Q1431" s="62">
        <v>0.0</v>
      </c>
      <c r="R1431" s="62">
        <v>0.0</v>
      </c>
      <c r="S1431" s="62">
        <v>12408.0</v>
      </c>
      <c r="T1431" s="62">
        <v>0.788333333333333</v>
      </c>
      <c r="U1431" s="62">
        <v>0.788333333333333</v>
      </c>
      <c r="V1431" s="62">
        <v>0.533055555555555</v>
      </c>
      <c r="W1431" s="62">
        <v>0.533055555555555</v>
      </c>
      <c r="X1431" s="62">
        <v>0.0</v>
      </c>
      <c r="Y1431" s="62">
        <v>0.795555555555555</v>
      </c>
      <c r="Z1431" s="62">
        <v>0.0</v>
      </c>
      <c r="AA1431" s="62">
        <v>0.0</v>
      </c>
      <c r="AB1431" s="62">
        <v>0.795555555555555</v>
      </c>
      <c r="AC1431" s="62">
        <v>0.0</v>
      </c>
      <c r="AD1431" s="62">
        <v>0.229444444444444</v>
      </c>
      <c r="AE1431" s="62">
        <v>0.0</v>
      </c>
      <c r="AF1431" s="62">
        <v>3.0</v>
      </c>
    </row>
    <row r="1432">
      <c r="A1432" s="68">
        <v>45999.0</v>
      </c>
      <c r="B1432" s="62" t="s">
        <v>32</v>
      </c>
      <c r="C1432" s="62" t="s">
        <v>168</v>
      </c>
      <c r="D1432" s="62">
        <v>0.0</v>
      </c>
      <c r="E1432" s="62">
        <v>5.0</v>
      </c>
      <c r="F1432" s="62">
        <v>1.0</v>
      </c>
      <c r="G1432" s="62">
        <v>0.0</v>
      </c>
      <c r="H1432" s="62">
        <v>7.0</v>
      </c>
      <c r="I1432" s="62">
        <v>6.0</v>
      </c>
      <c r="J1432" s="62">
        <v>2.0</v>
      </c>
      <c r="K1432" s="62">
        <v>0.0</v>
      </c>
      <c r="L1432" s="62">
        <v>0.0</v>
      </c>
      <c r="M1432" s="62">
        <v>2.0</v>
      </c>
      <c r="N1432" s="62">
        <v>0.0</v>
      </c>
      <c r="O1432" s="62">
        <v>1.0</v>
      </c>
      <c r="P1432" s="62">
        <v>0.0</v>
      </c>
      <c r="Q1432" s="62">
        <v>0.0</v>
      </c>
      <c r="R1432" s="62">
        <v>0.0</v>
      </c>
      <c r="S1432" s="62">
        <v>12857.0</v>
      </c>
      <c r="T1432" s="62">
        <v>0.0</v>
      </c>
      <c r="U1432" s="62">
        <v>0.215555555555555</v>
      </c>
      <c r="V1432" s="62">
        <v>0.0</v>
      </c>
      <c r="W1432" s="62">
        <v>1.49694444444444</v>
      </c>
      <c r="X1432" s="62">
        <v>1.28222222222222</v>
      </c>
      <c r="Y1432" s="62">
        <v>0.420555555555555</v>
      </c>
      <c r="Z1432" s="62">
        <v>0.0</v>
      </c>
      <c r="AA1432" s="62">
        <v>0.0</v>
      </c>
      <c r="AB1432" s="62">
        <v>0.439722222222222</v>
      </c>
      <c r="AC1432" s="62">
        <v>0.0</v>
      </c>
      <c r="AD1432" s="62">
        <v>0.206944444444444</v>
      </c>
      <c r="AE1432" s="62">
        <v>0.0</v>
      </c>
      <c r="AF1432" s="62">
        <v>0.0</v>
      </c>
    </row>
    <row r="1433">
      <c r="A1433" s="68">
        <v>45999.0</v>
      </c>
      <c r="B1433" s="62" t="s">
        <v>26</v>
      </c>
      <c r="C1433" s="62" t="s">
        <v>178</v>
      </c>
      <c r="D1433" s="62">
        <v>12.0</v>
      </c>
      <c r="E1433" s="62">
        <v>0.0</v>
      </c>
      <c r="F1433" s="62">
        <v>3.0</v>
      </c>
      <c r="G1433" s="62">
        <v>0.0</v>
      </c>
      <c r="H1433" s="62">
        <v>4.0</v>
      </c>
      <c r="I1433" s="62">
        <v>4.0</v>
      </c>
      <c r="J1433" s="62">
        <v>0.0</v>
      </c>
      <c r="K1433" s="62">
        <v>1.0</v>
      </c>
      <c r="L1433" s="62">
        <v>0.0</v>
      </c>
      <c r="M1433" s="62">
        <v>0.0</v>
      </c>
      <c r="N1433" s="62">
        <v>0.0</v>
      </c>
      <c r="O1433" s="62">
        <v>1.0</v>
      </c>
      <c r="P1433" s="62">
        <v>0.0</v>
      </c>
      <c r="Q1433" s="62">
        <v>0.0</v>
      </c>
      <c r="R1433" s="62">
        <v>27150.0</v>
      </c>
      <c r="S1433" s="62">
        <v>0.0</v>
      </c>
      <c r="T1433" s="62">
        <v>1.98916666666666</v>
      </c>
      <c r="U1433" s="62">
        <v>0.546944444444444</v>
      </c>
      <c r="V1433" s="62">
        <v>0.0</v>
      </c>
      <c r="W1433" s="62">
        <v>0.739722222222222</v>
      </c>
      <c r="X1433" s="62">
        <v>0.739722222222222</v>
      </c>
      <c r="Y1433" s="62">
        <v>0.0</v>
      </c>
      <c r="Z1433" s="62">
        <v>0.186944444444444</v>
      </c>
      <c r="AA1433" s="62">
        <v>0.0</v>
      </c>
      <c r="AB1433" s="62">
        <v>0.0</v>
      </c>
      <c r="AC1433" s="62">
        <v>0.0</v>
      </c>
      <c r="AD1433" s="62">
        <v>0.2075</v>
      </c>
      <c r="AE1433" s="62">
        <v>0.0</v>
      </c>
      <c r="AF1433" s="62">
        <v>11.0</v>
      </c>
    </row>
    <row r="1434">
      <c r="A1434" s="68">
        <v>45998.0</v>
      </c>
      <c r="B1434" s="62" t="s">
        <v>71</v>
      </c>
      <c r="C1434" s="62" t="s">
        <v>163</v>
      </c>
      <c r="D1434" s="62">
        <v>0.0</v>
      </c>
      <c r="E1434" s="62">
        <v>0.0</v>
      </c>
      <c r="F1434" s="62">
        <v>0.0</v>
      </c>
      <c r="G1434" s="62">
        <v>3.0</v>
      </c>
      <c r="H1434" s="62">
        <v>3.0</v>
      </c>
      <c r="I1434" s="62">
        <v>0.0</v>
      </c>
      <c r="J1434" s="62">
        <v>0.0</v>
      </c>
      <c r="K1434" s="62">
        <v>0.0</v>
      </c>
      <c r="L1434" s="62">
        <v>0.0</v>
      </c>
      <c r="M1434" s="62">
        <v>0.0</v>
      </c>
      <c r="N1434" s="62">
        <v>0.0</v>
      </c>
      <c r="O1434" s="62">
        <v>1.0</v>
      </c>
      <c r="P1434" s="62">
        <v>0.0</v>
      </c>
      <c r="Q1434" s="62">
        <v>0.0</v>
      </c>
      <c r="R1434" s="62">
        <v>0.0</v>
      </c>
      <c r="S1434" s="62">
        <v>0.0</v>
      </c>
      <c r="T1434" s="62">
        <v>0.0</v>
      </c>
      <c r="U1434" s="62">
        <v>0.0</v>
      </c>
      <c r="V1434" s="62">
        <v>0.750555555555555</v>
      </c>
      <c r="W1434" s="62">
        <v>0.750555555555555</v>
      </c>
      <c r="X1434" s="62">
        <v>0.0</v>
      </c>
      <c r="Y1434" s="62">
        <v>0.0</v>
      </c>
      <c r="Z1434" s="62">
        <v>0.0</v>
      </c>
      <c r="AA1434" s="62">
        <v>0.0</v>
      </c>
      <c r="AB1434" s="62">
        <v>0.0</v>
      </c>
      <c r="AC1434" s="62">
        <v>0.0</v>
      </c>
      <c r="AD1434" s="62">
        <v>0.258611111111111</v>
      </c>
      <c r="AE1434" s="62">
        <v>0.0</v>
      </c>
      <c r="AF1434" s="62">
        <v>0.0</v>
      </c>
    </row>
    <row r="1435">
      <c r="A1435" s="68">
        <v>45998.0</v>
      </c>
      <c r="B1435" s="62" t="s">
        <v>76</v>
      </c>
      <c r="C1435" s="62" t="s">
        <v>165</v>
      </c>
      <c r="D1435" s="62">
        <v>0.0</v>
      </c>
      <c r="E1435" s="62">
        <v>0.0</v>
      </c>
      <c r="F1435" s="62">
        <v>0.0</v>
      </c>
      <c r="G1435" s="62">
        <v>1.0</v>
      </c>
      <c r="H1435" s="62">
        <v>1.0</v>
      </c>
      <c r="I1435" s="62">
        <v>0.0</v>
      </c>
      <c r="J1435" s="62">
        <v>0.0</v>
      </c>
      <c r="K1435" s="62">
        <v>0.0</v>
      </c>
      <c r="L1435" s="62">
        <v>0.0</v>
      </c>
      <c r="M1435" s="62">
        <v>0.0</v>
      </c>
      <c r="N1435" s="62">
        <v>0.0</v>
      </c>
      <c r="O1435" s="62">
        <v>1.0</v>
      </c>
      <c r="P1435" s="62">
        <v>0.0</v>
      </c>
      <c r="Q1435" s="62">
        <v>0.0</v>
      </c>
      <c r="R1435" s="62">
        <v>0.0</v>
      </c>
      <c r="S1435" s="62">
        <v>0.0</v>
      </c>
      <c r="T1435" s="62">
        <v>0.0</v>
      </c>
      <c r="U1435" s="62">
        <v>0.0</v>
      </c>
      <c r="V1435" s="62">
        <v>0.265277777777777</v>
      </c>
      <c r="W1435" s="62">
        <v>0.265277777777777</v>
      </c>
      <c r="X1435" s="62">
        <v>0.0</v>
      </c>
      <c r="Y1435" s="62">
        <v>0.0</v>
      </c>
      <c r="Z1435" s="62">
        <v>0.0</v>
      </c>
      <c r="AA1435" s="62">
        <v>0.0</v>
      </c>
      <c r="AB1435" s="62">
        <v>0.0</v>
      </c>
      <c r="AC1435" s="62">
        <v>0.0</v>
      </c>
      <c r="AD1435" s="62">
        <v>0.236944444444444</v>
      </c>
      <c r="AE1435" s="62">
        <v>0.0</v>
      </c>
      <c r="AF1435" s="62">
        <v>0.0</v>
      </c>
    </row>
    <row r="1436">
      <c r="A1436" s="68">
        <v>45997.0</v>
      </c>
      <c r="B1436" s="62" t="s">
        <v>71</v>
      </c>
      <c r="C1436" s="62" t="s">
        <v>163</v>
      </c>
      <c r="D1436" s="62">
        <v>0.0</v>
      </c>
      <c r="E1436" s="62">
        <v>0.0</v>
      </c>
      <c r="F1436" s="62">
        <v>0.0</v>
      </c>
      <c r="G1436" s="62">
        <v>0.0</v>
      </c>
      <c r="H1436" s="62">
        <v>0.0</v>
      </c>
      <c r="I1436" s="62">
        <v>0.0</v>
      </c>
      <c r="J1436" s="62">
        <v>0.0</v>
      </c>
      <c r="K1436" s="62">
        <v>0.0</v>
      </c>
      <c r="L1436" s="62">
        <v>0.0</v>
      </c>
      <c r="M1436" s="62">
        <v>0.0</v>
      </c>
      <c r="N1436" s="62">
        <v>13.0</v>
      </c>
      <c r="O1436" s="62">
        <v>1.0</v>
      </c>
      <c r="P1436" s="62">
        <v>13.0</v>
      </c>
      <c r="Q1436" s="62">
        <v>0.0</v>
      </c>
      <c r="R1436" s="62">
        <v>0.0</v>
      </c>
      <c r="S1436" s="62">
        <v>0.0</v>
      </c>
      <c r="T1436" s="62">
        <v>0.0</v>
      </c>
      <c r="U1436" s="62">
        <v>0.0</v>
      </c>
      <c r="V1436" s="62">
        <v>0.0</v>
      </c>
      <c r="W1436" s="62">
        <v>0.0</v>
      </c>
      <c r="X1436" s="62">
        <v>0.0</v>
      </c>
      <c r="Y1436" s="62">
        <v>0.0</v>
      </c>
      <c r="Z1436" s="62">
        <v>0.0</v>
      </c>
      <c r="AA1436" s="62">
        <v>0.0</v>
      </c>
      <c r="AB1436" s="62">
        <v>0.0</v>
      </c>
      <c r="AC1436" s="62">
        <v>3.10499999999999</v>
      </c>
      <c r="AD1436" s="62">
        <v>0.225277777777777</v>
      </c>
      <c r="AE1436" s="62">
        <v>3.105</v>
      </c>
      <c r="AF1436" s="62">
        <v>0.0</v>
      </c>
    </row>
    <row r="1437">
      <c r="A1437" s="68">
        <v>45997.0</v>
      </c>
      <c r="B1437" s="62" t="s">
        <v>76</v>
      </c>
      <c r="C1437" s="62" t="s">
        <v>165</v>
      </c>
      <c r="D1437" s="62">
        <v>0.0</v>
      </c>
      <c r="E1437" s="62">
        <v>0.0</v>
      </c>
      <c r="F1437" s="62">
        <v>0.0</v>
      </c>
      <c r="G1437" s="62">
        <v>1.0</v>
      </c>
      <c r="H1437" s="62">
        <v>1.0</v>
      </c>
      <c r="I1437" s="62">
        <v>0.0</v>
      </c>
      <c r="J1437" s="62">
        <v>0.0</v>
      </c>
      <c r="K1437" s="62">
        <v>0.0</v>
      </c>
      <c r="L1437" s="62">
        <v>0.0</v>
      </c>
      <c r="M1437" s="62">
        <v>0.0</v>
      </c>
      <c r="N1437" s="62">
        <v>0.0</v>
      </c>
      <c r="O1437" s="62">
        <v>1.0</v>
      </c>
      <c r="P1437" s="62">
        <v>0.0</v>
      </c>
      <c r="Q1437" s="62">
        <v>0.0</v>
      </c>
      <c r="R1437" s="62">
        <v>0.0</v>
      </c>
      <c r="S1437" s="62">
        <v>0.0</v>
      </c>
      <c r="T1437" s="62">
        <v>0.0</v>
      </c>
      <c r="U1437" s="62">
        <v>0.0</v>
      </c>
      <c r="V1437" s="62">
        <v>0.2575</v>
      </c>
      <c r="W1437" s="62">
        <v>0.2575</v>
      </c>
      <c r="X1437" s="62">
        <v>0.0</v>
      </c>
      <c r="Y1437" s="62">
        <v>0.0</v>
      </c>
      <c r="Z1437" s="62">
        <v>0.0</v>
      </c>
      <c r="AA1437" s="62">
        <v>0.0</v>
      </c>
      <c r="AB1437" s="62">
        <v>0.0</v>
      </c>
      <c r="AC1437" s="62">
        <v>0.0</v>
      </c>
      <c r="AD1437" s="62">
        <v>0.246666666666666</v>
      </c>
      <c r="AE1437" s="62">
        <v>0.0</v>
      </c>
      <c r="AF1437" s="62">
        <v>0.0</v>
      </c>
    </row>
    <row r="1438">
      <c r="A1438" s="68">
        <v>45997.0</v>
      </c>
      <c r="B1438" s="62" t="s">
        <v>32</v>
      </c>
      <c r="C1438" s="62" t="s">
        <v>168</v>
      </c>
      <c r="D1438" s="62">
        <v>0.0</v>
      </c>
      <c r="E1438" s="62">
        <v>0.0</v>
      </c>
      <c r="F1438" s="62">
        <v>0.0</v>
      </c>
      <c r="G1438" s="62">
        <v>0.0</v>
      </c>
      <c r="H1438" s="62">
        <v>0.0</v>
      </c>
      <c r="I1438" s="62">
        <v>0.0</v>
      </c>
      <c r="J1438" s="62">
        <v>0.0</v>
      </c>
      <c r="K1438" s="62">
        <v>0.0</v>
      </c>
      <c r="L1438" s="62">
        <v>0.0</v>
      </c>
      <c r="M1438" s="62">
        <v>0.0</v>
      </c>
      <c r="N1438" s="62">
        <v>0.0</v>
      </c>
      <c r="O1438" s="62">
        <v>1.0</v>
      </c>
      <c r="P1438" s="62">
        <v>0.0</v>
      </c>
      <c r="Q1438" s="62">
        <v>0.0</v>
      </c>
      <c r="R1438" s="62">
        <v>0.0</v>
      </c>
      <c r="S1438" s="62">
        <v>0.0</v>
      </c>
      <c r="T1438" s="62">
        <v>1.49777777777777</v>
      </c>
      <c r="U1438" s="62">
        <v>0.0</v>
      </c>
      <c r="V1438" s="62">
        <v>0.0</v>
      </c>
      <c r="W1438" s="62">
        <v>0.0</v>
      </c>
      <c r="X1438" s="62">
        <v>0.0</v>
      </c>
      <c r="Y1438" s="62">
        <v>0.0</v>
      </c>
      <c r="Z1438" s="62">
        <v>0.0</v>
      </c>
      <c r="AA1438" s="62">
        <v>0.0</v>
      </c>
      <c r="AB1438" s="62">
        <v>0.0</v>
      </c>
      <c r="AC1438" s="62">
        <v>0.0</v>
      </c>
      <c r="AD1438" s="62">
        <v>0.216666666666666</v>
      </c>
      <c r="AE1438" s="62">
        <v>0.0</v>
      </c>
      <c r="AF1438" s="62">
        <v>7.0</v>
      </c>
    </row>
    <row r="1439">
      <c r="A1439" s="68">
        <v>45996.0</v>
      </c>
      <c r="B1439" s="62" t="s">
        <v>71</v>
      </c>
      <c r="C1439" s="62" t="s">
        <v>163</v>
      </c>
      <c r="D1439" s="62">
        <v>0.0</v>
      </c>
      <c r="E1439" s="62">
        <v>3.0</v>
      </c>
      <c r="F1439" s="62">
        <v>5.0</v>
      </c>
      <c r="G1439" s="62">
        <v>5.0</v>
      </c>
      <c r="H1439" s="62">
        <v>7.0</v>
      </c>
      <c r="I1439" s="62">
        <v>2.0</v>
      </c>
      <c r="J1439" s="62">
        <v>8.0</v>
      </c>
      <c r="K1439" s="62">
        <v>1.0</v>
      </c>
      <c r="L1439" s="62">
        <v>1.0</v>
      </c>
      <c r="M1439" s="62">
        <v>12.0</v>
      </c>
      <c r="N1439" s="62">
        <v>0.0</v>
      </c>
      <c r="O1439" s="62">
        <v>0.0</v>
      </c>
      <c r="P1439" s="62">
        <v>0.0</v>
      </c>
      <c r="Q1439" s="62">
        <v>0.0</v>
      </c>
      <c r="R1439" s="62">
        <v>0.0</v>
      </c>
      <c r="S1439" s="62">
        <v>9143.0</v>
      </c>
      <c r="T1439" s="62">
        <v>0.759444444444444</v>
      </c>
      <c r="U1439" s="62">
        <v>1.25611111111111</v>
      </c>
      <c r="V1439" s="62">
        <v>1.17527777777777</v>
      </c>
      <c r="W1439" s="62">
        <v>1.67444444444444</v>
      </c>
      <c r="X1439" s="62">
        <v>0.499166666666666</v>
      </c>
      <c r="Y1439" s="62">
        <v>1.89861111111111</v>
      </c>
      <c r="Z1439" s="62">
        <v>0.223888888888888</v>
      </c>
      <c r="AA1439" s="62">
        <v>0.223888888888888</v>
      </c>
      <c r="AB1439" s="62">
        <v>2.88333333333333</v>
      </c>
      <c r="AC1439" s="62">
        <v>0.0</v>
      </c>
      <c r="AD1439" s="62">
        <v>0.0</v>
      </c>
      <c r="AE1439" s="62">
        <v>0.0</v>
      </c>
      <c r="AF1439" s="62">
        <v>3.0</v>
      </c>
    </row>
    <row r="1440">
      <c r="A1440" s="68">
        <v>45996.0</v>
      </c>
      <c r="B1440" s="62" t="s">
        <v>76</v>
      </c>
      <c r="C1440" s="62" t="s">
        <v>165</v>
      </c>
      <c r="D1440" s="62">
        <v>22.0</v>
      </c>
      <c r="E1440" s="62">
        <v>2.0</v>
      </c>
      <c r="F1440" s="62">
        <v>3.0</v>
      </c>
      <c r="G1440" s="62">
        <v>3.0</v>
      </c>
      <c r="H1440" s="62">
        <v>4.0</v>
      </c>
      <c r="I1440" s="62">
        <v>1.0</v>
      </c>
      <c r="J1440" s="62">
        <v>6.0</v>
      </c>
      <c r="K1440" s="62">
        <v>3.0</v>
      </c>
      <c r="L1440" s="62">
        <v>1.0</v>
      </c>
      <c r="M1440" s="62">
        <v>7.0</v>
      </c>
      <c r="N1440" s="62">
        <v>11.0</v>
      </c>
      <c r="O1440" s="62">
        <v>1.0</v>
      </c>
      <c r="P1440" s="62">
        <v>11.0</v>
      </c>
      <c r="Q1440" s="62">
        <v>0.0</v>
      </c>
      <c r="R1440" s="62">
        <v>61929.0</v>
      </c>
      <c r="S1440" s="62">
        <v>5032.0</v>
      </c>
      <c r="T1440" s="62">
        <v>0.8025</v>
      </c>
      <c r="U1440" s="62">
        <v>0.8025</v>
      </c>
      <c r="V1440" s="62">
        <v>0.743611111111111</v>
      </c>
      <c r="W1440" s="62">
        <v>1.01527777777777</v>
      </c>
      <c r="X1440" s="62">
        <v>0.271666666666666</v>
      </c>
      <c r="Y1440" s="62">
        <v>1.46277777777777</v>
      </c>
      <c r="Z1440" s="62">
        <v>0.743611111111111</v>
      </c>
      <c r="AA1440" s="62">
        <v>0.238055555555555</v>
      </c>
      <c r="AB1440" s="62">
        <v>1.70444444444444</v>
      </c>
      <c r="AC1440" s="62">
        <v>2.68277777777777</v>
      </c>
      <c r="AD1440" s="62">
        <v>0.221666666666666</v>
      </c>
      <c r="AE1440" s="62">
        <v>2.68277777777777</v>
      </c>
      <c r="AF1440" s="62">
        <v>3.0</v>
      </c>
    </row>
    <row r="1441">
      <c r="A1441" s="68">
        <v>45996.0</v>
      </c>
      <c r="B1441" s="62" t="s">
        <v>32</v>
      </c>
      <c r="C1441" s="62" t="s">
        <v>168</v>
      </c>
      <c r="D1441" s="62">
        <v>11.0</v>
      </c>
      <c r="E1441" s="62">
        <v>9.0</v>
      </c>
      <c r="F1441" s="62">
        <v>0.0</v>
      </c>
      <c r="G1441" s="62">
        <v>0.0</v>
      </c>
      <c r="H1441" s="62">
        <v>2.0</v>
      </c>
      <c r="I1441" s="62">
        <v>0.0</v>
      </c>
      <c r="J1441" s="62">
        <v>7.0</v>
      </c>
      <c r="K1441" s="62">
        <v>0.0</v>
      </c>
      <c r="L1441" s="62">
        <v>0.0</v>
      </c>
      <c r="M1441" s="62">
        <v>5.0</v>
      </c>
      <c r="N1441" s="62">
        <v>5.0</v>
      </c>
      <c r="O1441" s="62">
        <v>1.0</v>
      </c>
      <c r="P1441" s="62">
        <v>5.0</v>
      </c>
      <c r="Q1441" s="62">
        <v>0.0</v>
      </c>
      <c r="R1441" s="62">
        <v>28279.0</v>
      </c>
      <c r="S1441" s="62">
        <v>20578.0</v>
      </c>
      <c r="T1441" s="62">
        <v>0.0</v>
      </c>
      <c r="U1441" s="62">
        <v>0.0</v>
      </c>
      <c r="V1441" s="62">
        <v>0.0</v>
      </c>
      <c r="W1441" s="62">
        <v>0.409166666666666</v>
      </c>
      <c r="X1441" s="62">
        <v>0.0</v>
      </c>
      <c r="Y1441" s="62">
        <v>1.50916666666666</v>
      </c>
      <c r="Z1441" s="62">
        <v>0.0</v>
      </c>
      <c r="AA1441" s="62">
        <v>0.0</v>
      </c>
      <c r="AB1441" s="62">
        <v>1.06944444444444</v>
      </c>
      <c r="AC1441" s="62">
        <v>1.06944444444444</v>
      </c>
      <c r="AD1441" s="62">
        <v>0.196944444444444</v>
      </c>
      <c r="AE1441" s="62">
        <v>1.06944444444444</v>
      </c>
      <c r="AF1441" s="62">
        <v>0.0</v>
      </c>
    </row>
    <row r="1442">
      <c r="A1442" s="68">
        <v>45996.0</v>
      </c>
      <c r="B1442" s="62" t="s">
        <v>56</v>
      </c>
      <c r="C1442" s="62" t="s">
        <v>176</v>
      </c>
      <c r="D1442" s="62">
        <v>0.0</v>
      </c>
      <c r="E1442" s="62">
        <v>0.0</v>
      </c>
      <c r="F1442" s="62">
        <v>0.0</v>
      </c>
      <c r="G1442" s="62">
        <v>0.0</v>
      </c>
      <c r="H1442" s="62">
        <v>0.0</v>
      </c>
      <c r="I1442" s="62">
        <v>0.0</v>
      </c>
      <c r="J1442" s="62">
        <v>2.0</v>
      </c>
      <c r="K1442" s="62">
        <v>0.0</v>
      </c>
      <c r="L1442" s="62">
        <v>0.0</v>
      </c>
      <c r="M1442" s="62">
        <v>2.0</v>
      </c>
      <c r="N1442" s="62">
        <v>10.0</v>
      </c>
      <c r="O1442" s="62">
        <v>1.0</v>
      </c>
      <c r="P1442" s="62">
        <v>10.0</v>
      </c>
      <c r="Q1442" s="62">
        <v>0.0</v>
      </c>
      <c r="R1442" s="62">
        <v>0.0</v>
      </c>
      <c r="S1442" s="62">
        <v>0.0</v>
      </c>
      <c r="T1442" s="62">
        <v>0.0</v>
      </c>
      <c r="U1442" s="62">
        <v>0.0</v>
      </c>
      <c r="V1442" s="62">
        <v>0.0</v>
      </c>
      <c r="W1442" s="62">
        <v>0.0</v>
      </c>
      <c r="X1442" s="62">
        <v>0.0</v>
      </c>
      <c r="Y1442" s="62">
        <v>0.466944444444444</v>
      </c>
      <c r="Z1442" s="62">
        <v>0.0</v>
      </c>
      <c r="AA1442" s="62">
        <v>0.0</v>
      </c>
      <c r="AB1442" s="62">
        <v>0.466944444444444</v>
      </c>
      <c r="AC1442" s="62">
        <v>2.18527777777777</v>
      </c>
      <c r="AD1442" s="62">
        <v>0.156944444444444</v>
      </c>
      <c r="AE1442" s="62">
        <v>2.18527777777777</v>
      </c>
      <c r="AF1442" s="62">
        <v>0.0</v>
      </c>
    </row>
    <row r="1443">
      <c r="A1443" s="68">
        <v>45996.0</v>
      </c>
      <c r="B1443" s="62" t="s">
        <v>26</v>
      </c>
      <c r="C1443" s="62" t="s">
        <v>178</v>
      </c>
      <c r="D1443" s="62">
        <v>1.0</v>
      </c>
      <c r="E1443" s="62">
        <v>3.0</v>
      </c>
      <c r="F1443" s="62">
        <v>0.0</v>
      </c>
      <c r="G1443" s="62">
        <v>0.0</v>
      </c>
      <c r="H1443" s="62">
        <v>0.0</v>
      </c>
      <c r="I1443" s="62">
        <v>0.0</v>
      </c>
      <c r="J1443" s="62">
        <v>4.0</v>
      </c>
      <c r="K1443" s="62">
        <v>3.0</v>
      </c>
      <c r="L1443" s="62">
        <v>5.0</v>
      </c>
      <c r="M1443" s="62">
        <v>10.0</v>
      </c>
      <c r="N1443" s="62">
        <v>14.0</v>
      </c>
      <c r="O1443" s="62">
        <v>1.0</v>
      </c>
      <c r="P1443" s="62">
        <v>14.0</v>
      </c>
      <c r="Q1443" s="62">
        <v>0.0</v>
      </c>
      <c r="R1443" s="62">
        <v>2267.0</v>
      </c>
      <c r="S1443" s="62">
        <v>6724.0</v>
      </c>
      <c r="T1443" s="62">
        <v>0.0</v>
      </c>
      <c r="U1443" s="62">
        <v>0.0</v>
      </c>
      <c r="V1443" s="62">
        <v>0.0</v>
      </c>
      <c r="W1443" s="62">
        <v>0.0</v>
      </c>
      <c r="X1443" s="62">
        <v>0.0</v>
      </c>
      <c r="Y1443" s="62">
        <v>0.766944444444444</v>
      </c>
      <c r="Z1443" s="62">
        <v>0.583055555555555</v>
      </c>
      <c r="AA1443" s="62">
        <v>0.974722222222222</v>
      </c>
      <c r="AB1443" s="62">
        <v>1.96916666666666</v>
      </c>
      <c r="AC1443" s="62">
        <v>2.7375</v>
      </c>
      <c r="AD1443" s="62">
        <v>0.182222222222222</v>
      </c>
      <c r="AE1443" s="62">
        <v>2.7375</v>
      </c>
      <c r="AF1443" s="62">
        <v>0.0</v>
      </c>
    </row>
    <row r="1444">
      <c r="A1444" s="68">
        <v>45995.0</v>
      </c>
      <c r="B1444" s="62" t="s">
        <v>71</v>
      </c>
      <c r="C1444" s="62" t="s">
        <v>163</v>
      </c>
      <c r="D1444" s="62">
        <v>0.0</v>
      </c>
      <c r="E1444" s="62">
        <v>2.0</v>
      </c>
      <c r="F1444" s="62">
        <v>6.0</v>
      </c>
      <c r="G1444" s="62">
        <v>1.0</v>
      </c>
      <c r="H1444" s="62">
        <v>1.0</v>
      </c>
      <c r="I1444" s="62">
        <v>0.0</v>
      </c>
      <c r="J1444" s="62">
        <v>0.0</v>
      </c>
      <c r="K1444" s="62">
        <v>3.0</v>
      </c>
      <c r="L1444" s="62">
        <v>1.0</v>
      </c>
      <c r="M1444" s="62">
        <v>0.0</v>
      </c>
      <c r="N1444" s="62">
        <v>0.0</v>
      </c>
      <c r="O1444" s="62">
        <v>0.0</v>
      </c>
      <c r="P1444" s="62">
        <v>0.0</v>
      </c>
      <c r="Q1444" s="62">
        <v>0.0</v>
      </c>
      <c r="R1444" s="62">
        <v>0.0</v>
      </c>
      <c r="S1444" s="62">
        <v>6126.0</v>
      </c>
      <c r="T1444" s="62">
        <v>0.995833333333333</v>
      </c>
      <c r="U1444" s="62">
        <v>1.39694444444444</v>
      </c>
      <c r="V1444" s="62">
        <v>0.222222222222222</v>
      </c>
      <c r="W1444" s="62">
        <v>0.222222222222222</v>
      </c>
      <c r="X1444" s="62">
        <v>0.0</v>
      </c>
      <c r="Y1444" s="62">
        <v>0.0</v>
      </c>
      <c r="Z1444" s="62">
        <v>0.744444444444444</v>
      </c>
      <c r="AA1444" s="62">
        <v>0.225277777777777</v>
      </c>
      <c r="AB1444" s="62">
        <v>0.0</v>
      </c>
      <c r="AC1444" s="62">
        <v>0.0</v>
      </c>
      <c r="AD1444" s="62">
        <v>0.0</v>
      </c>
      <c r="AE1444" s="62">
        <v>0.0</v>
      </c>
      <c r="AF1444" s="62">
        <v>4.0</v>
      </c>
    </row>
    <row r="1445">
      <c r="A1445" s="68">
        <v>45995.0</v>
      </c>
      <c r="B1445" s="62" t="s">
        <v>76</v>
      </c>
      <c r="C1445" s="62" t="s">
        <v>165</v>
      </c>
      <c r="D1445" s="62">
        <v>1.0</v>
      </c>
      <c r="E1445" s="62">
        <v>1.0</v>
      </c>
      <c r="F1445" s="62">
        <v>3.0</v>
      </c>
      <c r="G1445" s="62">
        <v>2.0</v>
      </c>
      <c r="H1445" s="62">
        <v>3.0</v>
      </c>
      <c r="I1445" s="62">
        <v>1.0</v>
      </c>
      <c r="J1445" s="62">
        <v>5.0</v>
      </c>
      <c r="K1445" s="62">
        <v>1.0</v>
      </c>
      <c r="L1445" s="62">
        <v>2.0</v>
      </c>
      <c r="M1445" s="62">
        <v>4.0</v>
      </c>
      <c r="N1445" s="62">
        <v>12.0</v>
      </c>
      <c r="O1445" s="62">
        <v>1.0</v>
      </c>
      <c r="P1445" s="62">
        <v>12.0</v>
      </c>
      <c r="Q1445" s="62">
        <v>0.0</v>
      </c>
      <c r="R1445" s="62">
        <v>2470.0</v>
      </c>
      <c r="S1445" s="62">
        <v>2470.0</v>
      </c>
      <c r="T1445" s="62">
        <v>1.01833333333333</v>
      </c>
      <c r="U1445" s="62">
        <v>0.779722222222222</v>
      </c>
      <c r="V1445" s="62">
        <v>0.48</v>
      </c>
      <c r="W1445" s="62">
        <v>0.718611111111111</v>
      </c>
      <c r="X1445" s="62">
        <v>0.238611111111111</v>
      </c>
      <c r="Y1445" s="62">
        <v>1.22</v>
      </c>
      <c r="Z1445" s="62">
        <v>0.241666666666666</v>
      </c>
      <c r="AA1445" s="62">
        <v>0.493055555555555</v>
      </c>
      <c r="AB1445" s="62">
        <v>0.978333333333333</v>
      </c>
      <c r="AC1445" s="62">
        <v>2.83194444444444</v>
      </c>
      <c r="AD1445" s="62">
        <v>0.238055555555555</v>
      </c>
      <c r="AE1445" s="62">
        <v>2.83194444444444</v>
      </c>
      <c r="AF1445" s="62">
        <v>4.0</v>
      </c>
    </row>
    <row r="1446">
      <c r="A1446" s="68">
        <v>45995.0</v>
      </c>
      <c r="B1446" s="62" t="s">
        <v>32</v>
      </c>
      <c r="C1446" s="62" t="s">
        <v>168</v>
      </c>
      <c r="D1446" s="62">
        <v>10.0</v>
      </c>
      <c r="E1446" s="62">
        <v>9.0</v>
      </c>
      <c r="F1446" s="62">
        <v>1.0</v>
      </c>
      <c r="G1446" s="62">
        <v>0.0</v>
      </c>
      <c r="H1446" s="62">
        <v>5.0</v>
      </c>
      <c r="I1446" s="62">
        <v>5.0</v>
      </c>
      <c r="J1446" s="62">
        <v>2.0</v>
      </c>
      <c r="K1446" s="62">
        <v>0.0</v>
      </c>
      <c r="L1446" s="62">
        <v>0.0</v>
      </c>
      <c r="M1446" s="62">
        <v>14.0</v>
      </c>
      <c r="N1446" s="62">
        <v>14.0</v>
      </c>
      <c r="O1446" s="62">
        <v>1.0</v>
      </c>
      <c r="P1446" s="62">
        <v>14.0</v>
      </c>
      <c r="Q1446" s="62">
        <v>0.0</v>
      </c>
      <c r="R1446" s="62">
        <v>25252.0</v>
      </c>
      <c r="S1446" s="62">
        <v>20462.0</v>
      </c>
      <c r="T1446" s="62">
        <v>1.32916666666666</v>
      </c>
      <c r="U1446" s="62">
        <v>0.223888888888888</v>
      </c>
      <c r="V1446" s="62">
        <v>0.0</v>
      </c>
      <c r="W1446" s="62">
        <v>1.10527777777777</v>
      </c>
      <c r="X1446" s="62">
        <v>1.10527777777777</v>
      </c>
      <c r="Y1446" s="62">
        <v>0.415833333333333</v>
      </c>
      <c r="Z1446" s="62">
        <v>0.0</v>
      </c>
      <c r="AA1446" s="62">
        <v>0.0</v>
      </c>
      <c r="AB1446" s="62">
        <v>2.95472222222222</v>
      </c>
      <c r="AC1446" s="62">
        <v>2.95472222222222</v>
      </c>
      <c r="AD1446" s="62">
        <v>0.199444444444444</v>
      </c>
      <c r="AE1446" s="62">
        <v>2.95472222222222</v>
      </c>
      <c r="AF1446" s="62">
        <v>6.0</v>
      </c>
    </row>
    <row r="1447">
      <c r="A1447" s="68">
        <v>45995.0</v>
      </c>
      <c r="B1447" s="62" t="s">
        <v>56</v>
      </c>
      <c r="C1447" s="62" t="s">
        <v>176</v>
      </c>
      <c r="D1447" s="62">
        <v>0.0</v>
      </c>
      <c r="E1447" s="62">
        <v>0.0</v>
      </c>
      <c r="F1447" s="62">
        <v>2.0</v>
      </c>
      <c r="G1447" s="62">
        <v>0.0</v>
      </c>
      <c r="H1447" s="62">
        <v>0.0</v>
      </c>
      <c r="I1447" s="62">
        <v>0.0</v>
      </c>
      <c r="J1447" s="62">
        <v>4.0</v>
      </c>
      <c r="K1447" s="62">
        <v>0.0</v>
      </c>
      <c r="L1447" s="62">
        <v>0.0</v>
      </c>
      <c r="M1447" s="62">
        <v>4.0</v>
      </c>
      <c r="N1447" s="62">
        <v>0.0</v>
      </c>
      <c r="O1447" s="62">
        <v>1.0</v>
      </c>
      <c r="P1447" s="62">
        <v>0.0</v>
      </c>
      <c r="Q1447" s="62">
        <v>0.0</v>
      </c>
      <c r="R1447" s="62">
        <v>0.0</v>
      </c>
      <c r="S1447" s="62">
        <v>0.0</v>
      </c>
      <c r="T1447" s="62">
        <v>0.0</v>
      </c>
      <c r="U1447" s="62">
        <v>0.465833333333333</v>
      </c>
      <c r="V1447" s="62">
        <v>0.0</v>
      </c>
      <c r="W1447" s="62">
        <v>0.0</v>
      </c>
      <c r="X1447" s="62">
        <v>0.0</v>
      </c>
      <c r="Y1447" s="62">
        <v>0.894444444444444</v>
      </c>
      <c r="Z1447" s="62">
        <v>0.0</v>
      </c>
      <c r="AA1447" s="62">
        <v>0.0</v>
      </c>
      <c r="AB1447" s="62">
        <v>0.894444444444444</v>
      </c>
      <c r="AC1447" s="62">
        <v>0.0</v>
      </c>
      <c r="AD1447" s="62">
        <v>0.148888888888888</v>
      </c>
      <c r="AE1447" s="62">
        <v>0.0</v>
      </c>
      <c r="AF1447" s="62">
        <v>0.0</v>
      </c>
    </row>
    <row r="1448">
      <c r="A1448" s="68">
        <v>45995.0</v>
      </c>
      <c r="B1448" s="62" t="s">
        <v>26</v>
      </c>
      <c r="C1448" s="62" t="s">
        <v>178</v>
      </c>
      <c r="D1448" s="62">
        <v>7.0</v>
      </c>
      <c r="E1448" s="62">
        <v>9.0</v>
      </c>
      <c r="F1448" s="62">
        <v>0.0</v>
      </c>
      <c r="G1448" s="62">
        <v>1.0</v>
      </c>
      <c r="H1448" s="62">
        <v>9.0</v>
      </c>
      <c r="I1448" s="62">
        <v>8.0</v>
      </c>
      <c r="J1448" s="62">
        <v>5.0</v>
      </c>
      <c r="K1448" s="62">
        <v>2.0</v>
      </c>
      <c r="L1448" s="62">
        <v>1.0</v>
      </c>
      <c r="M1448" s="62">
        <v>0.0</v>
      </c>
      <c r="N1448" s="62">
        <v>0.0</v>
      </c>
      <c r="O1448" s="62">
        <v>1.0</v>
      </c>
      <c r="P1448" s="62">
        <v>0.0</v>
      </c>
      <c r="Q1448" s="62">
        <v>0.0</v>
      </c>
      <c r="R1448" s="62">
        <v>12388.0</v>
      </c>
      <c r="S1448" s="62">
        <v>19802.0</v>
      </c>
      <c r="T1448" s="62">
        <v>0.555277777777777</v>
      </c>
      <c r="U1448" s="62">
        <v>0.0</v>
      </c>
      <c r="V1448" s="62">
        <v>0.190833333333333</v>
      </c>
      <c r="W1448" s="62">
        <v>1.71361111111111</v>
      </c>
      <c r="X1448" s="62">
        <v>1.52277777777777</v>
      </c>
      <c r="Y1448" s="62">
        <v>0.975277777777777</v>
      </c>
      <c r="Z1448" s="62">
        <v>0.404444444444444</v>
      </c>
      <c r="AA1448" s="62">
        <v>0.213611111111111</v>
      </c>
      <c r="AB1448" s="62">
        <v>0.0</v>
      </c>
      <c r="AC1448" s="62">
        <v>0.0</v>
      </c>
      <c r="AD1448" s="62">
        <v>0.187777777777777</v>
      </c>
      <c r="AE1448" s="62">
        <v>0.0</v>
      </c>
      <c r="AF1448" s="62">
        <v>3.0</v>
      </c>
    </row>
    <row r="1449">
      <c r="A1449" s="68">
        <v>45994.0</v>
      </c>
      <c r="B1449" s="62" t="s">
        <v>71</v>
      </c>
      <c r="C1449" s="62" t="s">
        <v>163</v>
      </c>
      <c r="D1449" s="62">
        <v>0.0</v>
      </c>
      <c r="E1449" s="62">
        <v>8.0</v>
      </c>
      <c r="F1449" s="62">
        <v>0.0</v>
      </c>
      <c r="G1449" s="62">
        <v>0.0</v>
      </c>
      <c r="H1449" s="62">
        <v>0.0</v>
      </c>
      <c r="I1449" s="62">
        <v>0.0</v>
      </c>
      <c r="J1449" s="62">
        <v>0.0</v>
      </c>
      <c r="K1449" s="62">
        <v>0.0</v>
      </c>
      <c r="L1449" s="62">
        <v>0.0</v>
      </c>
      <c r="M1449" s="62">
        <v>0.0</v>
      </c>
      <c r="N1449" s="62">
        <v>0.0</v>
      </c>
      <c r="O1449" s="62">
        <v>0.0</v>
      </c>
      <c r="P1449" s="62">
        <v>0.0</v>
      </c>
      <c r="Q1449" s="62">
        <v>0.0</v>
      </c>
      <c r="R1449" s="62">
        <v>0.0</v>
      </c>
      <c r="S1449" s="62">
        <v>23105.0</v>
      </c>
      <c r="T1449" s="62">
        <v>0.472222222222222</v>
      </c>
      <c r="U1449" s="62">
        <v>0.0</v>
      </c>
      <c r="V1449" s="62">
        <v>0.0</v>
      </c>
      <c r="W1449" s="62">
        <v>0.0</v>
      </c>
      <c r="X1449" s="62">
        <v>0.0</v>
      </c>
      <c r="Y1449" s="62">
        <v>0.0</v>
      </c>
      <c r="Z1449" s="62">
        <v>0.0</v>
      </c>
      <c r="AA1449" s="62">
        <v>0.0</v>
      </c>
      <c r="AB1449" s="62">
        <v>0.0</v>
      </c>
      <c r="AC1449" s="62">
        <v>0.0</v>
      </c>
      <c r="AD1449" s="62">
        <v>0.0</v>
      </c>
      <c r="AE1449" s="62">
        <v>0.0</v>
      </c>
      <c r="AF1449" s="62">
        <v>2.0</v>
      </c>
    </row>
    <row r="1450">
      <c r="A1450" s="68">
        <v>45994.0</v>
      </c>
      <c r="B1450" s="62" t="s">
        <v>76</v>
      </c>
      <c r="C1450" s="62" t="s">
        <v>165</v>
      </c>
      <c r="D1450" s="62">
        <v>0.0</v>
      </c>
      <c r="E1450" s="62">
        <v>5.0</v>
      </c>
      <c r="F1450" s="62">
        <v>3.0</v>
      </c>
      <c r="G1450" s="62">
        <v>5.0</v>
      </c>
      <c r="H1450" s="62">
        <v>6.0</v>
      </c>
      <c r="I1450" s="62">
        <v>1.0</v>
      </c>
      <c r="J1450" s="62">
        <v>4.0</v>
      </c>
      <c r="K1450" s="62">
        <v>1.0</v>
      </c>
      <c r="L1450" s="62">
        <v>0.0</v>
      </c>
      <c r="M1450" s="62">
        <v>5.0</v>
      </c>
      <c r="N1450" s="62">
        <v>0.0</v>
      </c>
      <c r="O1450" s="62">
        <v>1.0</v>
      </c>
      <c r="P1450" s="62">
        <v>0.0</v>
      </c>
      <c r="Q1450" s="62">
        <v>0.0</v>
      </c>
      <c r="R1450" s="62">
        <v>0.0</v>
      </c>
      <c r="S1450" s="62">
        <v>9998.0</v>
      </c>
      <c r="T1450" s="62">
        <v>0.963888888888888</v>
      </c>
      <c r="U1450" s="62">
        <v>0.726388888888889</v>
      </c>
      <c r="V1450" s="62">
        <v>1.23388888888888</v>
      </c>
      <c r="W1450" s="62">
        <v>1.47138888888888</v>
      </c>
      <c r="X1450" s="62">
        <v>0.2375</v>
      </c>
      <c r="Y1450" s="62">
        <v>0.988333333333333</v>
      </c>
      <c r="Z1450" s="62">
        <v>0.251388888888888</v>
      </c>
      <c r="AA1450" s="62">
        <v>0.0</v>
      </c>
      <c r="AB1450" s="62">
        <v>1.22027777777777</v>
      </c>
      <c r="AC1450" s="62">
        <v>0.0</v>
      </c>
      <c r="AD1450" s="62">
        <v>0.273333333333333</v>
      </c>
      <c r="AE1450" s="62">
        <v>0.0</v>
      </c>
      <c r="AF1450" s="62">
        <v>4.0</v>
      </c>
    </row>
    <row r="1451">
      <c r="A1451" s="68">
        <v>45994.0</v>
      </c>
      <c r="B1451" s="62" t="s">
        <v>32</v>
      </c>
      <c r="C1451" s="62" t="s">
        <v>168</v>
      </c>
      <c r="D1451" s="62">
        <v>5.0</v>
      </c>
      <c r="E1451" s="62">
        <v>3.0</v>
      </c>
      <c r="F1451" s="62">
        <v>1.0</v>
      </c>
      <c r="G1451" s="62">
        <v>0.0</v>
      </c>
      <c r="H1451" s="62">
        <v>2.0</v>
      </c>
      <c r="I1451" s="62">
        <v>2.0</v>
      </c>
      <c r="J1451" s="62">
        <v>2.0</v>
      </c>
      <c r="K1451" s="62">
        <v>0.0</v>
      </c>
      <c r="L1451" s="62">
        <v>0.0</v>
      </c>
      <c r="M1451" s="62">
        <v>0.0</v>
      </c>
      <c r="N1451" s="62">
        <v>5.0</v>
      </c>
      <c r="O1451" s="62">
        <v>1.0</v>
      </c>
      <c r="P1451" s="62">
        <v>5.0</v>
      </c>
      <c r="Q1451" s="62">
        <v>0.0</v>
      </c>
      <c r="R1451" s="62">
        <v>12772.0</v>
      </c>
      <c r="S1451" s="62">
        <v>6767.0</v>
      </c>
      <c r="T1451" s="62">
        <v>0.607777777777777</v>
      </c>
      <c r="U1451" s="62">
        <v>0.190277777777777</v>
      </c>
      <c r="V1451" s="62">
        <v>0.0</v>
      </c>
      <c r="W1451" s="62">
        <v>0.4175</v>
      </c>
      <c r="X1451" s="62">
        <v>0.4175</v>
      </c>
      <c r="Y1451" s="62">
        <v>0.425277777777777</v>
      </c>
      <c r="Z1451" s="62">
        <v>0.0</v>
      </c>
      <c r="AA1451" s="62">
        <v>0.0</v>
      </c>
      <c r="AB1451" s="62">
        <v>0.0</v>
      </c>
      <c r="AC1451" s="62">
        <v>1.04222222222222</v>
      </c>
      <c r="AD1451" s="62">
        <v>0.200555555555555</v>
      </c>
      <c r="AE1451" s="62">
        <v>1.04222222222222</v>
      </c>
      <c r="AF1451" s="62">
        <v>3.0</v>
      </c>
    </row>
    <row r="1452">
      <c r="A1452" s="68">
        <v>45994.0</v>
      </c>
      <c r="B1452" s="62" t="s">
        <v>56</v>
      </c>
      <c r="C1452" s="62" t="s">
        <v>176</v>
      </c>
      <c r="D1452" s="62">
        <v>0.0</v>
      </c>
      <c r="E1452" s="62">
        <v>0.0</v>
      </c>
      <c r="F1452" s="62">
        <v>0.0</v>
      </c>
      <c r="G1452" s="62">
        <v>0.0</v>
      </c>
      <c r="H1452" s="62">
        <v>10.0</v>
      </c>
      <c r="I1452" s="62">
        <v>10.0</v>
      </c>
      <c r="J1452" s="62">
        <v>4.0</v>
      </c>
      <c r="K1452" s="62">
        <v>0.0</v>
      </c>
      <c r="L1452" s="62">
        <v>0.0</v>
      </c>
      <c r="M1452" s="62">
        <v>4.0</v>
      </c>
      <c r="N1452" s="62">
        <v>0.0</v>
      </c>
      <c r="O1452" s="62">
        <v>1.0</v>
      </c>
      <c r="P1452" s="62">
        <v>0.0</v>
      </c>
      <c r="Q1452" s="62">
        <v>0.0</v>
      </c>
      <c r="R1452" s="62">
        <v>0.0</v>
      </c>
      <c r="S1452" s="62">
        <v>0.0</v>
      </c>
      <c r="T1452" s="62">
        <v>1.62083333333333</v>
      </c>
      <c r="U1452" s="62">
        <v>0.0</v>
      </c>
      <c r="V1452" s="62">
        <v>0.0</v>
      </c>
      <c r="W1452" s="62">
        <v>2.23944444444444</v>
      </c>
      <c r="X1452" s="62">
        <v>2.23944444444444</v>
      </c>
      <c r="Y1452" s="62">
        <v>0.874444444444444</v>
      </c>
      <c r="Z1452" s="62">
        <v>0.0</v>
      </c>
      <c r="AA1452" s="62">
        <v>0.0</v>
      </c>
      <c r="AB1452" s="62">
        <v>0.874444444444444</v>
      </c>
      <c r="AC1452" s="62">
        <v>0.0</v>
      </c>
      <c r="AD1452" s="62">
        <v>0.159722222222222</v>
      </c>
      <c r="AE1452" s="62">
        <v>0.0</v>
      </c>
      <c r="AF1452" s="62">
        <v>7.0</v>
      </c>
    </row>
    <row r="1453">
      <c r="A1453" s="68">
        <v>45994.0</v>
      </c>
      <c r="B1453" s="62" t="s">
        <v>26</v>
      </c>
      <c r="C1453" s="62" t="s">
        <v>178</v>
      </c>
      <c r="D1453" s="62">
        <v>9.0</v>
      </c>
      <c r="E1453" s="62">
        <v>5.0</v>
      </c>
      <c r="F1453" s="62">
        <v>0.0</v>
      </c>
      <c r="G1453" s="62">
        <v>1.0</v>
      </c>
      <c r="H1453" s="62">
        <v>1.0</v>
      </c>
      <c r="I1453" s="62">
        <v>0.0</v>
      </c>
      <c r="J1453" s="62">
        <v>1.0</v>
      </c>
      <c r="K1453" s="62">
        <v>1.0</v>
      </c>
      <c r="L1453" s="62">
        <v>0.0</v>
      </c>
      <c r="M1453" s="62">
        <v>4.0</v>
      </c>
      <c r="N1453" s="62">
        <v>0.0</v>
      </c>
      <c r="O1453" s="62">
        <v>1.0</v>
      </c>
      <c r="P1453" s="62">
        <v>0.0</v>
      </c>
      <c r="Q1453" s="62">
        <v>0.0</v>
      </c>
      <c r="R1453" s="62">
        <v>18891.0</v>
      </c>
      <c r="S1453" s="62">
        <v>11071.0</v>
      </c>
      <c r="T1453" s="62">
        <v>0.9675</v>
      </c>
      <c r="U1453" s="62">
        <v>0.0</v>
      </c>
      <c r="V1453" s="62">
        <v>0.213611111111111</v>
      </c>
      <c r="W1453" s="62">
        <v>0.213611111111111</v>
      </c>
      <c r="X1453" s="62">
        <v>0.0</v>
      </c>
      <c r="Y1453" s="62">
        <v>0.213611111111111</v>
      </c>
      <c r="Z1453" s="62">
        <v>0.2</v>
      </c>
      <c r="AA1453" s="62">
        <v>0.0</v>
      </c>
      <c r="AB1453" s="62">
        <v>0.768333333333333</v>
      </c>
      <c r="AC1453" s="62">
        <v>0.0</v>
      </c>
      <c r="AD1453" s="62">
        <v>0.170277777777777</v>
      </c>
      <c r="AE1453" s="62">
        <v>0.0</v>
      </c>
      <c r="AF1453" s="62">
        <v>5.0</v>
      </c>
    </row>
    <row r="1454">
      <c r="A1454" s="68">
        <v>45993.0</v>
      </c>
      <c r="B1454" s="62" t="s">
        <v>71</v>
      </c>
      <c r="C1454" s="62" t="s">
        <v>163</v>
      </c>
      <c r="D1454" s="62">
        <v>10.0</v>
      </c>
      <c r="E1454" s="62">
        <v>0.0</v>
      </c>
      <c r="F1454" s="62">
        <v>0.0</v>
      </c>
      <c r="G1454" s="62">
        <v>0.0</v>
      </c>
      <c r="H1454" s="62">
        <v>0.0</v>
      </c>
      <c r="I1454" s="62">
        <v>0.0</v>
      </c>
      <c r="J1454" s="62">
        <v>2.0</v>
      </c>
      <c r="K1454" s="62">
        <v>1.0</v>
      </c>
      <c r="L1454" s="62">
        <v>0.0</v>
      </c>
      <c r="M1454" s="62">
        <v>1.0</v>
      </c>
      <c r="N1454" s="62">
        <v>0.0</v>
      </c>
      <c r="O1454" s="62">
        <v>0.0</v>
      </c>
      <c r="P1454" s="62">
        <v>0.0</v>
      </c>
      <c r="Q1454" s="62">
        <v>0.0</v>
      </c>
      <c r="R1454" s="62">
        <v>29455.0</v>
      </c>
      <c r="S1454" s="62">
        <v>0.0</v>
      </c>
      <c r="T1454" s="62">
        <v>0.221944444444444</v>
      </c>
      <c r="U1454" s="62">
        <v>0.0</v>
      </c>
      <c r="V1454" s="62">
        <v>0.0</v>
      </c>
      <c r="W1454" s="62">
        <v>0.0</v>
      </c>
      <c r="X1454" s="62">
        <v>0.0</v>
      </c>
      <c r="Y1454" s="62">
        <v>0.462222222222222</v>
      </c>
      <c r="Z1454" s="62">
        <v>0.240555555555555</v>
      </c>
      <c r="AA1454" s="62">
        <v>0.0</v>
      </c>
      <c r="AB1454" s="62">
        <v>0.221666666666666</v>
      </c>
      <c r="AC1454" s="62">
        <v>0.0</v>
      </c>
      <c r="AD1454" s="62">
        <v>0.0</v>
      </c>
      <c r="AE1454" s="62">
        <v>0.0</v>
      </c>
      <c r="AF1454" s="62">
        <v>1.0</v>
      </c>
    </row>
    <row r="1455">
      <c r="A1455" s="68">
        <v>45993.0</v>
      </c>
      <c r="B1455" s="62" t="s">
        <v>76</v>
      </c>
      <c r="C1455" s="62" t="s">
        <v>165</v>
      </c>
      <c r="D1455" s="62">
        <v>0.0</v>
      </c>
      <c r="E1455" s="62">
        <v>8.0</v>
      </c>
      <c r="F1455" s="62">
        <v>4.0</v>
      </c>
      <c r="G1455" s="62">
        <v>4.0</v>
      </c>
      <c r="H1455" s="62">
        <v>4.0</v>
      </c>
      <c r="I1455" s="62">
        <v>0.0</v>
      </c>
      <c r="J1455" s="62">
        <v>5.0</v>
      </c>
      <c r="K1455" s="62">
        <v>1.0</v>
      </c>
      <c r="L1455" s="62">
        <v>1.0</v>
      </c>
      <c r="M1455" s="62">
        <v>7.0</v>
      </c>
      <c r="N1455" s="62">
        <v>0.0</v>
      </c>
      <c r="O1455" s="62">
        <v>1.0</v>
      </c>
      <c r="P1455" s="62">
        <v>0.0</v>
      </c>
      <c r="Q1455" s="62">
        <v>0.0</v>
      </c>
      <c r="R1455" s="62">
        <v>0.0</v>
      </c>
      <c r="S1455" s="62">
        <v>19656.0</v>
      </c>
      <c r="T1455" s="62">
        <v>0.977222222222222</v>
      </c>
      <c r="U1455" s="62">
        <v>0.977222222222222</v>
      </c>
      <c r="V1455" s="62">
        <v>0.981111111111111</v>
      </c>
      <c r="W1455" s="62">
        <v>0.981111111111111</v>
      </c>
      <c r="X1455" s="62">
        <v>0.0</v>
      </c>
      <c r="Y1455" s="62">
        <v>1.13861111111111</v>
      </c>
      <c r="Z1455" s="62">
        <v>0.231944444444444</v>
      </c>
      <c r="AA1455" s="62">
        <v>0.231944444444444</v>
      </c>
      <c r="AB1455" s="62">
        <v>1.61166666666666</v>
      </c>
      <c r="AC1455" s="62">
        <v>0.0</v>
      </c>
      <c r="AD1455" s="62">
        <v>0.26</v>
      </c>
      <c r="AE1455" s="62">
        <v>0.0</v>
      </c>
      <c r="AF1455" s="62">
        <v>4.0</v>
      </c>
    </row>
    <row r="1456">
      <c r="A1456" s="68">
        <v>45993.0</v>
      </c>
      <c r="B1456" s="62" t="s">
        <v>32</v>
      </c>
      <c r="C1456" s="62" t="s">
        <v>168</v>
      </c>
      <c r="D1456" s="62">
        <v>0.0</v>
      </c>
      <c r="E1456" s="62">
        <v>5.0</v>
      </c>
      <c r="F1456" s="62">
        <v>0.0</v>
      </c>
      <c r="G1456" s="62">
        <v>0.0</v>
      </c>
      <c r="H1456" s="62">
        <v>6.0</v>
      </c>
      <c r="I1456" s="62">
        <v>5.0</v>
      </c>
      <c r="J1456" s="62">
        <v>7.0</v>
      </c>
      <c r="K1456" s="62">
        <v>0.0</v>
      </c>
      <c r="L1456" s="62">
        <v>0.0</v>
      </c>
      <c r="M1456" s="62">
        <v>0.0</v>
      </c>
      <c r="N1456" s="62">
        <v>0.0</v>
      </c>
      <c r="O1456" s="62">
        <v>1.0</v>
      </c>
      <c r="P1456" s="62">
        <v>0.0</v>
      </c>
      <c r="Q1456" s="62">
        <v>0.0</v>
      </c>
      <c r="R1456" s="62">
        <v>0.0</v>
      </c>
      <c r="S1456" s="62">
        <v>9038.0</v>
      </c>
      <c r="T1456" s="62">
        <v>1.09888888888888</v>
      </c>
      <c r="U1456" s="62">
        <v>0.0</v>
      </c>
      <c r="V1456" s="62">
        <v>0.0</v>
      </c>
      <c r="W1456" s="62">
        <v>1.30444444444444</v>
      </c>
      <c r="X1456" s="62">
        <v>1.09888888888888</v>
      </c>
      <c r="Y1456" s="62">
        <v>1.48694444444444</v>
      </c>
      <c r="Z1456" s="62">
        <v>0.0</v>
      </c>
      <c r="AA1456" s="62">
        <v>0.0</v>
      </c>
      <c r="AB1456" s="62">
        <v>0.0</v>
      </c>
      <c r="AC1456" s="62">
        <v>0.0</v>
      </c>
      <c r="AD1456" s="62">
        <v>0.234166666666666</v>
      </c>
      <c r="AE1456" s="62">
        <v>0.0</v>
      </c>
      <c r="AF1456" s="62">
        <v>5.0</v>
      </c>
    </row>
    <row r="1457">
      <c r="A1457" s="68">
        <v>45993.0</v>
      </c>
      <c r="B1457" s="62" t="s">
        <v>56</v>
      </c>
      <c r="C1457" s="62" t="s">
        <v>176</v>
      </c>
      <c r="D1457" s="62">
        <v>0.0</v>
      </c>
      <c r="E1457" s="62">
        <v>0.0</v>
      </c>
      <c r="F1457" s="62">
        <v>0.0</v>
      </c>
      <c r="G1457" s="62">
        <v>0.0</v>
      </c>
      <c r="H1457" s="62">
        <v>0.0</v>
      </c>
      <c r="I1457" s="62">
        <v>0.0</v>
      </c>
      <c r="J1457" s="62">
        <v>0.0</v>
      </c>
      <c r="K1457" s="62">
        <v>0.0</v>
      </c>
      <c r="L1457" s="62">
        <v>0.0</v>
      </c>
      <c r="M1457" s="62">
        <v>0.0</v>
      </c>
      <c r="N1457" s="62">
        <v>0.0</v>
      </c>
      <c r="O1457" s="62">
        <v>1.0</v>
      </c>
      <c r="P1457" s="62">
        <v>0.0</v>
      </c>
      <c r="Q1457" s="62">
        <v>0.0</v>
      </c>
      <c r="R1457" s="62">
        <v>0.0</v>
      </c>
      <c r="S1457" s="62">
        <v>0.0</v>
      </c>
      <c r="T1457" s="62">
        <v>1.08444444444444</v>
      </c>
      <c r="U1457" s="62">
        <v>0.0</v>
      </c>
      <c r="V1457" s="62">
        <v>0.0</v>
      </c>
      <c r="W1457" s="62">
        <v>0.0</v>
      </c>
      <c r="X1457" s="62">
        <v>0.0</v>
      </c>
      <c r="Y1457" s="62">
        <v>0.0</v>
      </c>
      <c r="Z1457" s="62">
        <v>0.0</v>
      </c>
      <c r="AA1457" s="62">
        <v>0.0</v>
      </c>
      <c r="AB1457" s="62">
        <v>0.0</v>
      </c>
      <c r="AC1457" s="62">
        <v>0.0</v>
      </c>
      <c r="AD1457" s="62">
        <v>0.161944444444444</v>
      </c>
      <c r="AE1457" s="62">
        <v>0.0</v>
      </c>
      <c r="AF1457" s="62">
        <v>5.0</v>
      </c>
    </row>
    <row r="1458">
      <c r="A1458" s="68">
        <v>45993.0</v>
      </c>
      <c r="B1458" s="62" t="s">
        <v>26</v>
      </c>
      <c r="C1458" s="62" t="s">
        <v>178</v>
      </c>
      <c r="D1458" s="62">
        <v>6.0</v>
      </c>
      <c r="E1458" s="62">
        <v>0.0</v>
      </c>
      <c r="F1458" s="62">
        <v>1.0</v>
      </c>
      <c r="G1458" s="62">
        <v>0.0</v>
      </c>
      <c r="H1458" s="62">
        <v>4.0</v>
      </c>
      <c r="I1458" s="62">
        <v>4.0</v>
      </c>
      <c r="J1458" s="62">
        <v>4.0</v>
      </c>
      <c r="K1458" s="62">
        <v>0.0</v>
      </c>
      <c r="L1458" s="62">
        <v>1.0</v>
      </c>
      <c r="M1458" s="62">
        <v>0.0</v>
      </c>
      <c r="N1458" s="62">
        <v>3.0</v>
      </c>
      <c r="O1458" s="62">
        <v>1.0</v>
      </c>
      <c r="P1458" s="62">
        <v>3.0</v>
      </c>
      <c r="Q1458" s="62">
        <v>0.0</v>
      </c>
      <c r="R1458" s="62">
        <v>12749.0</v>
      </c>
      <c r="S1458" s="62">
        <v>0.0</v>
      </c>
      <c r="T1458" s="62">
        <v>0.0</v>
      </c>
      <c r="U1458" s="62">
        <v>0.188055555555555</v>
      </c>
      <c r="V1458" s="62">
        <v>0.0</v>
      </c>
      <c r="W1458" s="62">
        <v>0.745833333333333</v>
      </c>
      <c r="X1458" s="62">
        <v>0.745833333333333</v>
      </c>
      <c r="Y1458" s="62">
        <v>0.759166666666666</v>
      </c>
      <c r="Z1458" s="62">
        <v>0.0</v>
      </c>
      <c r="AA1458" s="62">
        <v>0.209166666666666</v>
      </c>
      <c r="AB1458" s="62">
        <v>0.0</v>
      </c>
      <c r="AC1458" s="62">
        <v>0.583611111111111</v>
      </c>
      <c r="AD1458" s="62">
        <v>0.174166666666666</v>
      </c>
      <c r="AE1458" s="62">
        <v>0.583611111111111</v>
      </c>
      <c r="AF1458" s="62">
        <v>0.0</v>
      </c>
    </row>
    <row r="1459">
      <c r="A1459" s="68">
        <v>45992.0</v>
      </c>
      <c r="B1459" s="62" t="s">
        <v>71</v>
      </c>
      <c r="C1459" s="62" t="s">
        <v>163</v>
      </c>
      <c r="D1459" s="62">
        <v>0.0</v>
      </c>
      <c r="E1459" s="62">
        <v>1.0</v>
      </c>
      <c r="F1459" s="62">
        <v>0.0</v>
      </c>
      <c r="G1459" s="62">
        <v>3.0</v>
      </c>
      <c r="H1459" s="62">
        <v>3.0</v>
      </c>
      <c r="I1459" s="62">
        <v>0.0</v>
      </c>
      <c r="J1459" s="62">
        <v>0.0</v>
      </c>
      <c r="K1459" s="62">
        <v>0.0</v>
      </c>
      <c r="L1459" s="62">
        <v>0.0</v>
      </c>
      <c r="M1459" s="62">
        <v>0.0</v>
      </c>
      <c r="N1459" s="62">
        <v>0.0</v>
      </c>
      <c r="O1459" s="62">
        <v>0.0</v>
      </c>
      <c r="P1459" s="62">
        <v>0.0</v>
      </c>
      <c r="Q1459" s="62">
        <v>0.0</v>
      </c>
      <c r="R1459" s="62">
        <v>0.0</v>
      </c>
      <c r="S1459" s="62">
        <v>3038.0</v>
      </c>
      <c r="T1459" s="62">
        <v>0.0</v>
      </c>
      <c r="U1459" s="62">
        <v>0.0</v>
      </c>
      <c r="V1459" s="62">
        <v>0.7225</v>
      </c>
      <c r="W1459" s="62">
        <v>0.7225</v>
      </c>
      <c r="X1459" s="62">
        <v>0.0</v>
      </c>
      <c r="Y1459" s="62">
        <v>0.0</v>
      </c>
      <c r="Z1459" s="62">
        <v>0.0</v>
      </c>
      <c r="AA1459" s="62">
        <v>0.0</v>
      </c>
      <c r="AB1459" s="62">
        <v>0.0</v>
      </c>
      <c r="AC1459" s="62">
        <v>0.0</v>
      </c>
      <c r="AD1459" s="62">
        <v>0.0</v>
      </c>
      <c r="AE1459" s="62">
        <v>0.0</v>
      </c>
      <c r="AF1459" s="62">
        <v>0.0</v>
      </c>
    </row>
    <row r="1460">
      <c r="A1460" s="68">
        <v>45992.0</v>
      </c>
      <c r="B1460" s="62" t="s">
        <v>76</v>
      </c>
      <c r="C1460" s="62" t="s">
        <v>165</v>
      </c>
      <c r="D1460" s="62">
        <v>2.0</v>
      </c>
      <c r="E1460" s="62">
        <v>2.0</v>
      </c>
      <c r="F1460" s="62">
        <v>4.0</v>
      </c>
      <c r="G1460" s="62">
        <v>3.0</v>
      </c>
      <c r="H1460" s="62">
        <v>3.0</v>
      </c>
      <c r="I1460" s="62">
        <v>0.0</v>
      </c>
      <c r="J1460" s="62">
        <v>2.0</v>
      </c>
      <c r="K1460" s="62">
        <v>0.0</v>
      </c>
      <c r="L1460" s="62">
        <v>0.0</v>
      </c>
      <c r="M1460" s="62">
        <v>0.0</v>
      </c>
      <c r="N1460" s="62">
        <v>0.0</v>
      </c>
      <c r="O1460" s="62">
        <v>1.0</v>
      </c>
      <c r="P1460" s="62">
        <v>0.0</v>
      </c>
      <c r="Q1460" s="62">
        <v>0.0</v>
      </c>
      <c r="R1460" s="62">
        <v>4937.0</v>
      </c>
      <c r="S1460" s="62">
        <v>4937.0</v>
      </c>
      <c r="T1460" s="62">
        <v>0.990277777777777</v>
      </c>
      <c r="U1460" s="62">
        <v>0.990277777777777</v>
      </c>
      <c r="V1460" s="62">
        <v>0.670833333333333</v>
      </c>
      <c r="W1460" s="62">
        <v>0.670833333333333</v>
      </c>
      <c r="X1460" s="62">
        <v>0.0</v>
      </c>
      <c r="Y1460" s="62">
        <v>0.475277777777777</v>
      </c>
      <c r="Z1460" s="62">
        <v>0.0</v>
      </c>
      <c r="AA1460" s="62">
        <v>0.0</v>
      </c>
      <c r="AB1460" s="62">
        <v>0.0</v>
      </c>
      <c r="AC1460" s="62">
        <v>0.0</v>
      </c>
      <c r="AD1460" s="62">
        <v>0.246666666666666</v>
      </c>
      <c r="AE1460" s="62">
        <v>0.0</v>
      </c>
      <c r="AF1460" s="62">
        <v>4.0</v>
      </c>
    </row>
    <row r="1461">
      <c r="A1461" s="68">
        <v>45992.0</v>
      </c>
      <c r="B1461" s="62" t="s">
        <v>32</v>
      </c>
      <c r="C1461" s="62" t="s">
        <v>168</v>
      </c>
      <c r="D1461" s="62">
        <v>0.0</v>
      </c>
      <c r="E1461" s="62">
        <v>1.0</v>
      </c>
      <c r="F1461" s="62">
        <v>0.0</v>
      </c>
      <c r="G1461" s="62">
        <v>0.0</v>
      </c>
      <c r="H1461" s="62">
        <v>0.0</v>
      </c>
      <c r="I1461" s="62">
        <v>0.0</v>
      </c>
      <c r="J1461" s="62">
        <v>0.0</v>
      </c>
      <c r="K1461" s="62">
        <v>0.0</v>
      </c>
      <c r="L1461" s="62">
        <v>0.0</v>
      </c>
      <c r="M1461" s="62">
        <v>5.0</v>
      </c>
      <c r="N1461" s="62">
        <v>0.0</v>
      </c>
      <c r="O1461" s="62">
        <v>1.0</v>
      </c>
      <c r="P1461" s="62">
        <v>0.0</v>
      </c>
      <c r="Q1461" s="62">
        <v>0.0</v>
      </c>
      <c r="R1461" s="62">
        <v>0.0</v>
      </c>
      <c r="S1461" s="62">
        <v>2248.0</v>
      </c>
      <c r="T1461" s="62">
        <v>0.0</v>
      </c>
      <c r="U1461" s="62">
        <v>0.0</v>
      </c>
      <c r="V1461" s="62">
        <v>0.0</v>
      </c>
      <c r="W1461" s="62">
        <v>0.0</v>
      </c>
      <c r="X1461" s="62">
        <v>0.0</v>
      </c>
      <c r="Y1461" s="62">
        <v>0.0</v>
      </c>
      <c r="Z1461" s="62">
        <v>0.0</v>
      </c>
      <c r="AA1461" s="62">
        <v>0.0</v>
      </c>
      <c r="AB1461" s="62">
        <v>1.04222222222222</v>
      </c>
      <c r="AC1461" s="62">
        <v>0.0</v>
      </c>
      <c r="AD1461" s="62">
        <v>0.218888888888888</v>
      </c>
      <c r="AE1461" s="62">
        <v>0.0</v>
      </c>
      <c r="AF1461" s="62">
        <v>0.0</v>
      </c>
    </row>
    <row r="1462">
      <c r="A1462" s="68">
        <v>45992.0</v>
      </c>
      <c r="B1462" s="62" t="s">
        <v>56</v>
      </c>
      <c r="C1462" s="62" t="s">
        <v>176</v>
      </c>
      <c r="D1462" s="62">
        <v>0.0</v>
      </c>
      <c r="E1462" s="62">
        <v>0.0</v>
      </c>
      <c r="F1462" s="62">
        <v>0.0</v>
      </c>
      <c r="G1462" s="62">
        <v>0.0</v>
      </c>
      <c r="H1462" s="62">
        <v>0.0</v>
      </c>
      <c r="I1462" s="62">
        <v>0.0</v>
      </c>
      <c r="J1462" s="62">
        <v>0.0</v>
      </c>
      <c r="K1462" s="62">
        <v>0.0</v>
      </c>
      <c r="L1462" s="62">
        <v>0.0</v>
      </c>
      <c r="M1462" s="62">
        <v>3.0</v>
      </c>
      <c r="N1462" s="62">
        <v>0.0</v>
      </c>
      <c r="O1462" s="62">
        <v>1.0</v>
      </c>
      <c r="P1462" s="62">
        <v>0.0</v>
      </c>
      <c r="Q1462" s="62">
        <v>0.0</v>
      </c>
      <c r="R1462" s="62">
        <v>0.0</v>
      </c>
      <c r="S1462" s="62">
        <v>0.0</v>
      </c>
      <c r="T1462" s="62">
        <v>0.0</v>
      </c>
      <c r="U1462" s="62">
        <v>0.0</v>
      </c>
      <c r="V1462" s="62">
        <v>0.0</v>
      </c>
      <c r="W1462" s="62">
        <v>0.0</v>
      </c>
      <c r="X1462" s="62">
        <v>0.0</v>
      </c>
      <c r="Y1462" s="62">
        <v>0.0</v>
      </c>
      <c r="Z1462" s="62">
        <v>0.0</v>
      </c>
      <c r="AA1462" s="62">
        <v>0.0</v>
      </c>
      <c r="AB1462" s="62">
        <v>0.666111111111111</v>
      </c>
      <c r="AC1462" s="62">
        <v>0.0</v>
      </c>
      <c r="AD1462" s="62">
        <v>0.148611111111111</v>
      </c>
      <c r="AE1462" s="62">
        <v>0.0</v>
      </c>
      <c r="AF1462" s="62">
        <v>0.0</v>
      </c>
    </row>
    <row r="1463">
      <c r="A1463" s="68">
        <v>45992.0</v>
      </c>
      <c r="B1463" s="62" t="s">
        <v>26</v>
      </c>
      <c r="C1463" s="62" t="s">
        <v>178</v>
      </c>
      <c r="D1463" s="62">
        <v>9.0</v>
      </c>
      <c r="E1463" s="62">
        <v>3.0</v>
      </c>
      <c r="F1463" s="62">
        <v>0.0</v>
      </c>
      <c r="G1463" s="62">
        <v>0.0</v>
      </c>
      <c r="H1463" s="62">
        <v>1.0</v>
      </c>
      <c r="I1463" s="62">
        <v>1.0</v>
      </c>
      <c r="J1463" s="62">
        <v>1.0</v>
      </c>
      <c r="K1463" s="62">
        <v>1.0</v>
      </c>
      <c r="L1463" s="62">
        <v>0.0</v>
      </c>
      <c r="M1463" s="62">
        <v>4.0</v>
      </c>
      <c r="N1463" s="62">
        <v>1.0</v>
      </c>
      <c r="O1463" s="62">
        <v>1.0</v>
      </c>
      <c r="P1463" s="62">
        <v>1.0</v>
      </c>
      <c r="Q1463" s="62">
        <v>0.0</v>
      </c>
      <c r="R1463" s="62">
        <v>18062.0</v>
      </c>
      <c r="S1463" s="62">
        <v>6204.0</v>
      </c>
      <c r="T1463" s="62">
        <v>0.933888888888888</v>
      </c>
      <c r="U1463" s="62">
        <v>0.0</v>
      </c>
      <c r="V1463" s="62">
        <v>0.0</v>
      </c>
      <c r="W1463" s="62">
        <v>0.204166666666666</v>
      </c>
      <c r="X1463" s="62">
        <v>0.204166666666666</v>
      </c>
      <c r="Y1463" s="62">
        <v>0.209166666666666</v>
      </c>
      <c r="Z1463" s="62">
        <v>0.209166666666666</v>
      </c>
      <c r="AA1463" s="62">
        <v>0.0</v>
      </c>
      <c r="AB1463" s="62">
        <v>0.770833333333333</v>
      </c>
      <c r="AC1463" s="62">
        <v>0.187222222222222</v>
      </c>
      <c r="AD1463" s="62">
        <v>0.18</v>
      </c>
      <c r="AE1463" s="62">
        <v>0.187222222222222</v>
      </c>
      <c r="AF1463" s="62">
        <v>5.0</v>
      </c>
    </row>
    <row r="1464">
      <c r="A1464" s="68">
        <v>45991.0</v>
      </c>
      <c r="B1464" s="62" t="s">
        <v>76</v>
      </c>
      <c r="C1464" s="62" t="s">
        <v>165</v>
      </c>
      <c r="D1464" s="62">
        <v>0.0</v>
      </c>
      <c r="E1464" s="62">
        <v>0.0</v>
      </c>
      <c r="F1464" s="62">
        <v>0.0</v>
      </c>
      <c r="G1464" s="62">
        <v>1.0</v>
      </c>
      <c r="H1464" s="62">
        <v>1.0</v>
      </c>
      <c r="I1464" s="62">
        <v>0.0</v>
      </c>
      <c r="J1464" s="62">
        <v>0.0</v>
      </c>
      <c r="K1464" s="62">
        <v>0.0</v>
      </c>
      <c r="L1464" s="62">
        <v>0.0</v>
      </c>
      <c r="M1464" s="62">
        <v>0.0</v>
      </c>
      <c r="N1464" s="62">
        <v>0.0</v>
      </c>
      <c r="O1464" s="62">
        <v>1.0</v>
      </c>
      <c r="P1464" s="62">
        <v>0.0</v>
      </c>
      <c r="Q1464" s="62">
        <v>0.0</v>
      </c>
      <c r="R1464" s="62">
        <v>0.0</v>
      </c>
      <c r="S1464" s="62">
        <v>0.0</v>
      </c>
      <c r="T1464" s="62">
        <v>0.0</v>
      </c>
      <c r="U1464" s="62">
        <v>0.0</v>
      </c>
      <c r="V1464" s="62">
        <v>0.221944444444444</v>
      </c>
      <c r="W1464" s="62">
        <v>0.221944444444444</v>
      </c>
      <c r="X1464" s="62">
        <v>0.0</v>
      </c>
      <c r="Y1464" s="62">
        <v>0.0</v>
      </c>
      <c r="Z1464" s="62">
        <v>0.0</v>
      </c>
      <c r="AA1464" s="62">
        <v>0.0</v>
      </c>
      <c r="AB1464" s="62">
        <v>0.0</v>
      </c>
      <c r="AC1464" s="62">
        <v>0.0</v>
      </c>
      <c r="AD1464" s="62">
        <v>0.273888888888888</v>
      </c>
      <c r="AE1464" s="62">
        <v>0.0</v>
      </c>
      <c r="AF1464" s="62">
        <v>0.0</v>
      </c>
    </row>
    <row r="1465">
      <c r="A1465" s="68">
        <v>45990.0</v>
      </c>
      <c r="B1465" s="62" t="s">
        <v>76</v>
      </c>
      <c r="C1465" s="62" t="s">
        <v>165</v>
      </c>
      <c r="D1465" s="62">
        <v>0.0</v>
      </c>
      <c r="E1465" s="62">
        <v>0.0</v>
      </c>
      <c r="F1465" s="62">
        <v>0.0</v>
      </c>
      <c r="G1465" s="62">
        <v>0.0</v>
      </c>
      <c r="H1465" s="62">
        <v>0.0</v>
      </c>
      <c r="I1465" s="62">
        <v>0.0</v>
      </c>
      <c r="J1465" s="62">
        <v>0.0</v>
      </c>
      <c r="K1465" s="62">
        <v>0.0</v>
      </c>
      <c r="L1465" s="62">
        <v>1.0</v>
      </c>
      <c r="M1465" s="62">
        <v>0.0</v>
      </c>
      <c r="N1465" s="62">
        <v>0.0</v>
      </c>
      <c r="O1465" s="62">
        <v>1.0</v>
      </c>
      <c r="P1465" s="62">
        <v>0.0</v>
      </c>
      <c r="Q1465" s="62">
        <v>0.0</v>
      </c>
      <c r="R1465" s="62">
        <v>0.0</v>
      </c>
      <c r="S1465" s="62">
        <v>0.0</v>
      </c>
      <c r="T1465" s="62">
        <v>0.0</v>
      </c>
      <c r="U1465" s="62">
        <v>0.0</v>
      </c>
      <c r="V1465" s="62">
        <v>0.0</v>
      </c>
      <c r="W1465" s="62">
        <v>0.0</v>
      </c>
      <c r="X1465" s="62">
        <v>0.0</v>
      </c>
      <c r="Y1465" s="62">
        <v>0.0</v>
      </c>
      <c r="Z1465" s="62">
        <v>0.0</v>
      </c>
      <c r="AA1465" s="62">
        <v>0.229722222222222</v>
      </c>
      <c r="AB1465" s="62">
        <v>0.0</v>
      </c>
      <c r="AC1465" s="62">
        <v>0.0</v>
      </c>
      <c r="AD1465" s="62">
        <v>0.255277777777777</v>
      </c>
      <c r="AE1465" s="62">
        <v>0.0</v>
      </c>
      <c r="AF1465" s="62">
        <v>0.0</v>
      </c>
    </row>
    <row r="1466">
      <c r="A1466" s="68">
        <v>45989.0</v>
      </c>
      <c r="B1466" s="62" t="s">
        <v>71</v>
      </c>
      <c r="C1466" s="62" t="s">
        <v>163</v>
      </c>
      <c r="D1466" s="62">
        <v>1.0</v>
      </c>
      <c r="E1466" s="62">
        <v>2.0</v>
      </c>
      <c r="F1466" s="62">
        <v>2.0</v>
      </c>
      <c r="G1466" s="62">
        <v>1.0</v>
      </c>
      <c r="H1466" s="62">
        <v>1.0</v>
      </c>
      <c r="I1466" s="62">
        <v>0.0</v>
      </c>
      <c r="J1466" s="62">
        <v>0.0</v>
      </c>
      <c r="K1466" s="62">
        <v>0.0</v>
      </c>
      <c r="L1466" s="62">
        <v>0.0</v>
      </c>
      <c r="M1466" s="62">
        <v>0.0</v>
      </c>
      <c r="N1466" s="62">
        <v>0.0</v>
      </c>
      <c r="O1466" s="62">
        <v>0.0</v>
      </c>
      <c r="P1466" s="62">
        <v>0.0</v>
      </c>
      <c r="Q1466" s="62">
        <v>0.0</v>
      </c>
      <c r="R1466" s="62">
        <v>2718.0</v>
      </c>
      <c r="S1466" s="62">
        <v>5705.0</v>
      </c>
      <c r="T1466" s="62">
        <v>0.0</v>
      </c>
      <c r="U1466" s="62">
        <v>0.459722222222222</v>
      </c>
      <c r="V1466" s="62">
        <v>0.258611111111111</v>
      </c>
      <c r="W1466" s="62">
        <v>0.258611111111111</v>
      </c>
      <c r="X1466" s="62">
        <v>0.0</v>
      </c>
      <c r="Y1466" s="62">
        <v>0.0</v>
      </c>
      <c r="Z1466" s="62">
        <v>0.0</v>
      </c>
      <c r="AA1466" s="62">
        <v>0.0</v>
      </c>
      <c r="AB1466" s="62">
        <v>0.0</v>
      </c>
      <c r="AC1466" s="62">
        <v>0.0</v>
      </c>
      <c r="AD1466" s="62">
        <v>0.0</v>
      </c>
      <c r="AE1466" s="62">
        <v>0.0</v>
      </c>
      <c r="AF1466" s="62">
        <v>0.0</v>
      </c>
    </row>
    <row r="1467">
      <c r="A1467" s="68">
        <v>45989.0</v>
      </c>
      <c r="B1467" s="62" t="s">
        <v>76</v>
      </c>
      <c r="C1467" s="62" t="s">
        <v>165</v>
      </c>
      <c r="D1467" s="62">
        <v>21.0</v>
      </c>
      <c r="E1467" s="62">
        <v>2.0</v>
      </c>
      <c r="F1467" s="62">
        <v>4.0</v>
      </c>
      <c r="G1467" s="62">
        <v>2.0</v>
      </c>
      <c r="H1467" s="62">
        <v>4.0</v>
      </c>
      <c r="I1467" s="62">
        <v>2.0</v>
      </c>
      <c r="J1467" s="62">
        <v>4.0</v>
      </c>
      <c r="K1467" s="62">
        <v>1.0</v>
      </c>
      <c r="L1467" s="62">
        <v>0.0</v>
      </c>
      <c r="M1467" s="62">
        <v>3.0</v>
      </c>
      <c r="N1467" s="62">
        <v>3.0</v>
      </c>
      <c r="O1467" s="62">
        <v>1.0</v>
      </c>
      <c r="P1467" s="62">
        <v>3.0</v>
      </c>
      <c r="Q1467" s="62">
        <v>0.0</v>
      </c>
      <c r="R1467" s="62">
        <v>57116.0</v>
      </c>
      <c r="S1467" s="62">
        <v>5235.0</v>
      </c>
      <c r="T1467" s="62">
        <v>1.41444444444444</v>
      </c>
      <c r="U1467" s="62">
        <v>0.941666666666666</v>
      </c>
      <c r="V1467" s="62">
        <v>0.466388888888888</v>
      </c>
      <c r="W1467" s="62">
        <v>0.939166666666666</v>
      </c>
      <c r="X1467" s="62">
        <v>0.472777777777777</v>
      </c>
      <c r="Y1467" s="62">
        <v>0.936944444444444</v>
      </c>
      <c r="Z1467" s="62">
        <v>0.229722222222222</v>
      </c>
      <c r="AA1467" s="62">
        <v>0.0</v>
      </c>
      <c r="AB1467" s="62">
        <v>0.707222222222222</v>
      </c>
      <c r="AC1467" s="62">
        <v>0.707222222222222</v>
      </c>
      <c r="AD1467" s="62">
        <v>0.240833333333333</v>
      </c>
      <c r="AE1467" s="62">
        <v>0.707222222222222</v>
      </c>
      <c r="AF1467" s="62">
        <v>6.0</v>
      </c>
    </row>
    <row r="1468">
      <c r="A1468" s="68">
        <v>45989.0</v>
      </c>
      <c r="B1468" s="62" t="s">
        <v>32</v>
      </c>
      <c r="C1468" s="62" t="s">
        <v>168</v>
      </c>
      <c r="D1468" s="62">
        <v>2.0</v>
      </c>
      <c r="E1468" s="62">
        <v>5.0</v>
      </c>
      <c r="F1468" s="62">
        <v>3.0</v>
      </c>
      <c r="G1468" s="62">
        <v>1.0</v>
      </c>
      <c r="H1468" s="62">
        <v>8.0</v>
      </c>
      <c r="I1468" s="62">
        <v>4.0</v>
      </c>
      <c r="J1468" s="62">
        <v>11.0</v>
      </c>
      <c r="K1468" s="62">
        <v>2.0</v>
      </c>
      <c r="L1468" s="62">
        <v>0.0</v>
      </c>
      <c r="M1468" s="62">
        <v>7.0</v>
      </c>
      <c r="N1468" s="62">
        <v>16.0</v>
      </c>
      <c r="O1468" s="62">
        <v>1.0</v>
      </c>
      <c r="P1468" s="62">
        <v>16.0</v>
      </c>
      <c r="Q1468" s="62">
        <v>0.0</v>
      </c>
      <c r="R1468" s="62">
        <v>4849.0</v>
      </c>
      <c r="S1468" s="62">
        <v>11367.0</v>
      </c>
      <c r="T1468" s="62">
        <v>0.0</v>
      </c>
      <c r="U1468" s="62">
        <v>0.629166666666666</v>
      </c>
      <c r="V1468" s="62">
        <v>0.207222222222222</v>
      </c>
      <c r="W1468" s="62">
        <v>1.65583333333333</v>
      </c>
      <c r="X1468" s="62">
        <v>0.823055555555555</v>
      </c>
      <c r="Y1468" s="62">
        <v>2.32805555555555</v>
      </c>
      <c r="Z1468" s="62">
        <v>0.464166666666666</v>
      </c>
      <c r="AA1468" s="62">
        <v>0.0</v>
      </c>
      <c r="AB1468" s="62">
        <v>1.55611111111111</v>
      </c>
      <c r="AC1468" s="62">
        <v>3.50833333333333</v>
      </c>
      <c r="AD1468" s="62">
        <v>0.206666666666666</v>
      </c>
      <c r="AE1468" s="62">
        <v>3.50833333333333</v>
      </c>
      <c r="AF1468" s="62">
        <v>0.0</v>
      </c>
    </row>
    <row r="1469">
      <c r="A1469" s="68">
        <v>45989.0</v>
      </c>
      <c r="B1469" s="62" t="s">
        <v>56</v>
      </c>
      <c r="C1469" s="62" t="s">
        <v>176</v>
      </c>
      <c r="D1469" s="62">
        <v>0.0</v>
      </c>
      <c r="E1469" s="62">
        <v>0.0</v>
      </c>
      <c r="F1469" s="62">
        <v>0.0</v>
      </c>
      <c r="G1469" s="62">
        <v>0.0</v>
      </c>
      <c r="H1469" s="62">
        <v>3.0</v>
      </c>
      <c r="I1469" s="62">
        <v>3.0</v>
      </c>
      <c r="J1469" s="62">
        <v>3.0</v>
      </c>
      <c r="K1469" s="62">
        <v>0.0</v>
      </c>
      <c r="L1469" s="62">
        <v>0.0</v>
      </c>
      <c r="M1469" s="62">
        <v>0.0</v>
      </c>
      <c r="N1469" s="62">
        <v>3.0</v>
      </c>
      <c r="O1469" s="62">
        <v>1.0</v>
      </c>
      <c r="P1469" s="62">
        <v>3.0</v>
      </c>
      <c r="Q1469" s="62">
        <v>0.0</v>
      </c>
      <c r="R1469" s="62">
        <v>0.0</v>
      </c>
      <c r="S1469" s="62">
        <v>0.0</v>
      </c>
      <c r="T1469" s="62">
        <v>0.0</v>
      </c>
      <c r="U1469" s="62">
        <v>0.0</v>
      </c>
      <c r="V1469" s="62">
        <v>0.0</v>
      </c>
      <c r="W1469" s="62">
        <v>0.663888888888888</v>
      </c>
      <c r="X1469" s="62">
        <v>0.663888888888888</v>
      </c>
      <c r="Y1469" s="62">
        <v>0.666111111111111</v>
      </c>
      <c r="Z1469" s="62">
        <v>0.0</v>
      </c>
      <c r="AA1469" s="62">
        <v>0.0</v>
      </c>
      <c r="AB1469" s="62">
        <v>0.0</v>
      </c>
      <c r="AC1469" s="62">
        <v>0.613888888888888</v>
      </c>
      <c r="AD1469" s="62">
        <v>0.151388888888888</v>
      </c>
      <c r="AE1469" s="62">
        <v>0.613888888888888</v>
      </c>
      <c r="AF1469" s="62">
        <v>0.0</v>
      </c>
    </row>
    <row r="1470">
      <c r="A1470" s="68">
        <v>45989.0</v>
      </c>
      <c r="B1470" s="62" t="s">
        <v>26</v>
      </c>
      <c r="C1470" s="62" t="s">
        <v>178</v>
      </c>
      <c r="D1470" s="62">
        <v>5.0</v>
      </c>
      <c r="E1470" s="62">
        <v>1.0</v>
      </c>
      <c r="F1470" s="62">
        <v>0.0</v>
      </c>
      <c r="G1470" s="62">
        <v>0.0</v>
      </c>
      <c r="H1470" s="62">
        <v>0.0</v>
      </c>
      <c r="I1470" s="62">
        <v>0.0</v>
      </c>
      <c r="J1470" s="62">
        <v>3.0</v>
      </c>
      <c r="K1470" s="62">
        <v>0.0</v>
      </c>
      <c r="L1470" s="62">
        <v>0.0</v>
      </c>
      <c r="M1470" s="62">
        <v>1.0</v>
      </c>
      <c r="N1470" s="62">
        <v>13.0</v>
      </c>
      <c r="O1470" s="62">
        <v>1.0</v>
      </c>
      <c r="P1470" s="62">
        <v>13.0</v>
      </c>
      <c r="Q1470" s="62">
        <v>0.0</v>
      </c>
      <c r="R1470" s="62">
        <v>10637.0</v>
      </c>
      <c r="S1470" s="62">
        <v>2349.0</v>
      </c>
      <c r="T1470" s="62">
        <v>0.204166666666666</v>
      </c>
      <c r="U1470" s="62">
        <v>0.0</v>
      </c>
      <c r="V1470" s="62">
        <v>0.0</v>
      </c>
      <c r="W1470" s="62">
        <v>0.0</v>
      </c>
      <c r="X1470" s="62">
        <v>0.0</v>
      </c>
      <c r="Y1470" s="62">
        <v>0.573055555555555</v>
      </c>
      <c r="Z1470" s="62">
        <v>0.0</v>
      </c>
      <c r="AA1470" s="62">
        <v>0.0</v>
      </c>
      <c r="AB1470" s="62">
        <v>0.205833333333333</v>
      </c>
      <c r="AC1470" s="62">
        <v>2.60861111111111</v>
      </c>
      <c r="AD1470" s="62">
        <v>0.206666666666666</v>
      </c>
      <c r="AE1470" s="62">
        <v>2.60861111111111</v>
      </c>
      <c r="AF1470" s="62">
        <v>1.0</v>
      </c>
    </row>
    <row r="1471">
      <c r="A1471" s="68">
        <v>45988.0</v>
      </c>
      <c r="B1471" s="62" t="s">
        <v>71</v>
      </c>
      <c r="C1471" s="62" t="s">
        <v>163</v>
      </c>
      <c r="D1471" s="62">
        <v>4.0</v>
      </c>
      <c r="E1471" s="62">
        <v>1.0</v>
      </c>
      <c r="F1471" s="62">
        <v>0.0</v>
      </c>
      <c r="G1471" s="62">
        <v>0.0</v>
      </c>
      <c r="H1471" s="62">
        <v>0.0</v>
      </c>
      <c r="I1471" s="62">
        <v>0.0</v>
      </c>
      <c r="J1471" s="62">
        <v>0.0</v>
      </c>
      <c r="K1471" s="62">
        <v>0.0</v>
      </c>
      <c r="L1471" s="62">
        <v>0.0</v>
      </c>
      <c r="M1471" s="62">
        <v>0.0</v>
      </c>
      <c r="N1471" s="62">
        <v>0.0</v>
      </c>
      <c r="O1471" s="62">
        <v>0.0</v>
      </c>
      <c r="P1471" s="62">
        <v>0.0</v>
      </c>
      <c r="Q1471" s="62">
        <v>0.0</v>
      </c>
      <c r="R1471" s="62">
        <v>11957.0</v>
      </c>
      <c r="S1471" s="62">
        <v>3009.0</v>
      </c>
      <c r="T1471" s="62">
        <v>0.0</v>
      </c>
      <c r="U1471" s="62">
        <v>0.0</v>
      </c>
      <c r="V1471" s="62">
        <v>0.0</v>
      </c>
      <c r="W1471" s="62">
        <v>0.0</v>
      </c>
      <c r="X1471" s="62">
        <v>0.0</v>
      </c>
      <c r="Y1471" s="62">
        <v>0.0</v>
      </c>
      <c r="Z1471" s="62">
        <v>0.0</v>
      </c>
      <c r="AA1471" s="62">
        <v>0.0</v>
      </c>
      <c r="AB1471" s="62">
        <v>0.0</v>
      </c>
      <c r="AC1471" s="62">
        <v>0.0</v>
      </c>
      <c r="AD1471" s="62">
        <v>0.0</v>
      </c>
      <c r="AE1471" s="62">
        <v>0.0</v>
      </c>
      <c r="AF1471" s="62">
        <v>0.0</v>
      </c>
    </row>
    <row r="1472">
      <c r="A1472" s="68">
        <v>45988.0</v>
      </c>
      <c r="B1472" s="62" t="s">
        <v>76</v>
      </c>
      <c r="C1472" s="62" t="s">
        <v>165</v>
      </c>
      <c r="D1472" s="62">
        <v>0.0</v>
      </c>
      <c r="E1472" s="62">
        <v>0.0</v>
      </c>
      <c r="F1472" s="62">
        <v>4.0</v>
      </c>
      <c r="G1472" s="62">
        <v>2.0</v>
      </c>
      <c r="H1472" s="62">
        <v>2.0</v>
      </c>
      <c r="I1472" s="62">
        <v>0.0</v>
      </c>
      <c r="J1472" s="62">
        <v>2.0</v>
      </c>
      <c r="K1472" s="62">
        <v>2.0</v>
      </c>
      <c r="L1472" s="62">
        <v>2.0</v>
      </c>
      <c r="M1472" s="62">
        <v>6.0</v>
      </c>
      <c r="N1472" s="62">
        <v>6.0</v>
      </c>
      <c r="O1472" s="62">
        <v>1.0</v>
      </c>
      <c r="P1472" s="62">
        <v>6.0</v>
      </c>
      <c r="Q1472" s="62">
        <v>0.0</v>
      </c>
      <c r="R1472" s="62">
        <v>0.0</v>
      </c>
      <c r="S1472" s="62">
        <v>0.0</v>
      </c>
      <c r="T1472" s="62">
        <v>0.901388888888888</v>
      </c>
      <c r="U1472" s="62">
        <v>0.901388888888888</v>
      </c>
      <c r="V1472" s="62">
        <v>0.470555555555555</v>
      </c>
      <c r="W1472" s="62">
        <v>0.470555555555555</v>
      </c>
      <c r="X1472" s="62">
        <v>0.0</v>
      </c>
      <c r="Y1472" s="62">
        <v>0.498611111111111</v>
      </c>
      <c r="Z1472" s="62">
        <v>0.493333333333333</v>
      </c>
      <c r="AA1472" s="62">
        <v>0.493333333333333</v>
      </c>
      <c r="AB1472" s="62">
        <v>1.50055555555555</v>
      </c>
      <c r="AC1472" s="62">
        <v>1.50055555555555</v>
      </c>
      <c r="AD1472" s="62">
        <v>0.213888888888888</v>
      </c>
      <c r="AE1472" s="62">
        <v>1.50055555555555</v>
      </c>
      <c r="AF1472" s="62">
        <v>4.0</v>
      </c>
    </row>
    <row r="1473">
      <c r="A1473" s="68">
        <v>45988.0</v>
      </c>
      <c r="B1473" s="62" t="s">
        <v>32</v>
      </c>
      <c r="C1473" s="62" t="s">
        <v>168</v>
      </c>
      <c r="D1473" s="62">
        <v>0.0</v>
      </c>
      <c r="E1473" s="62">
        <v>10.0</v>
      </c>
      <c r="F1473" s="62">
        <v>2.0</v>
      </c>
      <c r="G1473" s="62">
        <v>0.0</v>
      </c>
      <c r="H1473" s="62">
        <v>9.0</v>
      </c>
      <c r="I1473" s="62">
        <v>5.0</v>
      </c>
      <c r="J1473" s="62">
        <v>11.0</v>
      </c>
      <c r="K1473" s="62">
        <v>1.0</v>
      </c>
      <c r="L1473" s="62">
        <v>0.0</v>
      </c>
      <c r="M1473" s="62">
        <v>7.0</v>
      </c>
      <c r="N1473" s="62">
        <v>0.0</v>
      </c>
      <c r="O1473" s="62">
        <v>1.0</v>
      </c>
      <c r="P1473" s="62">
        <v>0.0</v>
      </c>
      <c r="Q1473" s="62">
        <v>0.0</v>
      </c>
      <c r="R1473" s="62">
        <v>0.0</v>
      </c>
      <c r="S1473" s="62">
        <v>19818.0</v>
      </c>
      <c r="T1473" s="62">
        <v>1.45222222222222</v>
      </c>
      <c r="U1473" s="62">
        <v>0.421388888888888</v>
      </c>
      <c r="V1473" s="62">
        <v>0.0</v>
      </c>
      <c r="W1473" s="62">
        <v>1.90305555555555</v>
      </c>
      <c r="X1473" s="62">
        <v>1.05694444444444</v>
      </c>
      <c r="Y1473" s="62">
        <v>2.42194444444444</v>
      </c>
      <c r="Z1473" s="62">
        <v>0.196111111111111</v>
      </c>
      <c r="AA1473" s="62">
        <v>0.0</v>
      </c>
      <c r="AB1473" s="62">
        <v>1.525</v>
      </c>
      <c r="AC1473" s="62">
        <v>0.0</v>
      </c>
      <c r="AD1473" s="62">
        <v>0.222777777777777</v>
      </c>
      <c r="AE1473" s="62">
        <v>0.0</v>
      </c>
      <c r="AF1473" s="62">
        <v>7.0</v>
      </c>
    </row>
    <row r="1474">
      <c r="A1474" s="68">
        <v>45988.0</v>
      </c>
      <c r="B1474" s="62" t="s">
        <v>56</v>
      </c>
      <c r="C1474" s="62" t="s">
        <v>176</v>
      </c>
      <c r="D1474" s="62">
        <v>4.0</v>
      </c>
      <c r="E1474" s="62">
        <v>4.0</v>
      </c>
      <c r="F1474" s="62">
        <v>0.0</v>
      </c>
      <c r="G1474" s="62">
        <v>0.0</v>
      </c>
      <c r="H1474" s="62">
        <v>0.0</v>
      </c>
      <c r="I1474" s="62">
        <v>0.0</v>
      </c>
      <c r="J1474" s="62">
        <v>0.0</v>
      </c>
      <c r="K1474" s="62">
        <v>0.0</v>
      </c>
      <c r="L1474" s="62">
        <v>0.0</v>
      </c>
      <c r="M1474" s="62">
        <v>4.0</v>
      </c>
      <c r="N1474" s="62">
        <v>0.0</v>
      </c>
      <c r="O1474" s="62">
        <v>1.0</v>
      </c>
      <c r="P1474" s="62">
        <v>0.0</v>
      </c>
      <c r="Q1474" s="62">
        <v>0.0</v>
      </c>
      <c r="R1474" s="62">
        <v>8850.0</v>
      </c>
      <c r="S1474" s="62">
        <v>8749.0</v>
      </c>
      <c r="T1474" s="62">
        <v>0.663888888888889</v>
      </c>
      <c r="U1474" s="62">
        <v>0.0</v>
      </c>
      <c r="V1474" s="62">
        <v>0.0</v>
      </c>
      <c r="W1474" s="62">
        <v>0.0</v>
      </c>
      <c r="X1474" s="62">
        <v>0.0</v>
      </c>
      <c r="Y1474" s="62">
        <v>0.0</v>
      </c>
      <c r="Z1474" s="62">
        <v>0.0</v>
      </c>
      <c r="AA1474" s="62">
        <v>0.0</v>
      </c>
      <c r="AB1474" s="62">
        <v>0.833611111111111</v>
      </c>
      <c r="AC1474" s="62">
        <v>0.0</v>
      </c>
      <c r="AD1474" s="62">
        <v>0.144166666666666</v>
      </c>
      <c r="AE1474" s="62">
        <v>0.0</v>
      </c>
      <c r="AF1474" s="62">
        <v>3.0</v>
      </c>
    </row>
    <row r="1475">
      <c r="A1475" s="68">
        <v>45988.0</v>
      </c>
      <c r="B1475" s="62" t="s">
        <v>26</v>
      </c>
      <c r="C1475" s="62" t="s">
        <v>178</v>
      </c>
      <c r="D1475" s="62">
        <v>8.0</v>
      </c>
      <c r="E1475" s="62">
        <v>11.0</v>
      </c>
      <c r="F1475" s="62">
        <v>1.0</v>
      </c>
      <c r="G1475" s="62">
        <v>2.0</v>
      </c>
      <c r="H1475" s="62">
        <v>4.0</v>
      </c>
      <c r="I1475" s="62">
        <v>3.0</v>
      </c>
      <c r="J1475" s="62">
        <v>8.0</v>
      </c>
      <c r="K1475" s="62">
        <v>1.0</v>
      </c>
      <c r="L1475" s="62">
        <v>1.0</v>
      </c>
      <c r="M1475" s="62">
        <v>8.0</v>
      </c>
      <c r="N1475" s="62">
        <v>0.0</v>
      </c>
      <c r="O1475" s="62">
        <v>1.0</v>
      </c>
      <c r="P1475" s="62">
        <v>0.0</v>
      </c>
      <c r="Q1475" s="62">
        <v>0.0</v>
      </c>
      <c r="R1475" s="62">
        <v>18199.0</v>
      </c>
      <c r="S1475" s="62">
        <v>24619.0</v>
      </c>
      <c r="T1475" s="62">
        <v>0.780555555555555</v>
      </c>
      <c r="U1475" s="62">
        <v>0.209444444444444</v>
      </c>
      <c r="V1475" s="62">
        <v>0.405</v>
      </c>
      <c r="W1475" s="62">
        <v>0.758333333333333</v>
      </c>
      <c r="X1475" s="62">
        <v>0.571111111111111</v>
      </c>
      <c r="Y1475" s="62">
        <v>1.63249999999999</v>
      </c>
      <c r="Z1475" s="62">
        <v>0.205833333333333</v>
      </c>
      <c r="AA1475" s="62">
        <v>0.205833333333333</v>
      </c>
      <c r="AB1475" s="62">
        <v>1.62222222222222</v>
      </c>
      <c r="AC1475" s="62">
        <v>0.0</v>
      </c>
      <c r="AD1475" s="62">
        <v>0.215</v>
      </c>
      <c r="AE1475" s="62">
        <v>0.0</v>
      </c>
      <c r="AF1475" s="62">
        <v>4.0</v>
      </c>
    </row>
    <row r="1476">
      <c r="A1476" s="68">
        <v>45987.0</v>
      </c>
      <c r="B1476" s="62" t="s">
        <v>71</v>
      </c>
      <c r="C1476" s="62" t="s">
        <v>163</v>
      </c>
      <c r="D1476" s="62">
        <v>2.0</v>
      </c>
      <c r="E1476" s="62">
        <v>0.0</v>
      </c>
      <c r="F1476" s="62">
        <v>0.0</v>
      </c>
      <c r="G1476" s="62">
        <v>0.0</v>
      </c>
      <c r="H1476" s="62">
        <v>0.0</v>
      </c>
      <c r="I1476" s="62">
        <v>0.0</v>
      </c>
      <c r="J1476" s="62">
        <v>0.0</v>
      </c>
      <c r="K1476" s="62">
        <v>0.0</v>
      </c>
      <c r="L1476" s="62">
        <v>0.0</v>
      </c>
      <c r="M1476" s="62">
        <v>0.0</v>
      </c>
      <c r="N1476" s="62">
        <v>0.0</v>
      </c>
      <c r="O1476" s="62">
        <v>0.0</v>
      </c>
      <c r="P1476" s="62">
        <v>0.0</v>
      </c>
      <c r="Q1476" s="62">
        <v>0.0</v>
      </c>
      <c r="R1476" s="62">
        <v>5996.0</v>
      </c>
      <c r="S1476" s="62">
        <v>0.0</v>
      </c>
      <c r="T1476" s="62">
        <v>0.0</v>
      </c>
      <c r="U1476" s="62">
        <v>0.0</v>
      </c>
      <c r="V1476" s="62">
        <v>0.0</v>
      </c>
      <c r="W1476" s="62">
        <v>0.0</v>
      </c>
      <c r="X1476" s="62">
        <v>0.0</v>
      </c>
      <c r="Y1476" s="62">
        <v>0.0</v>
      </c>
      <c r="Z1476" s="62">
        <v>0.0</v>
      </c>
      <c r="AA1476" s="62">
        <v>0.0</v>
      </c>
      <c r="AB1476" s="62">
        <v>0.0</v>
      </c>
      <c r="AC1476" s="62">
        <v>0.0</v>
      </c>
      <c r="AD1476" s="62">
        <v>0.0</v>
      </c>
      <c r="AE1476" s="62">
        <v>0.0</v>
      </c>
      <c r="AF1476" s="62">
        <v>0.0</v>
      </c>
    </row>
    <row r="1477">
      <c r="A1477" s="68">
        <v>45987.0</v>
      </c>
      <c r="B1477" s="62" t="s">
        <v>76</v>
      </c>
      <c r="C1477" s="62" t="s">
        <v>165</v>
      </c>
      <c r="D1477" s="62">
        <v>0.0</v>
      </c>
      <c r="E1477" s="62">
        <v>4.0</v>
      </c>
      <c r="F1477" s="62">
        <v>2.0</v>
      </c>
      <c r="G1477" s="62">
        <v>2.0</v>
      </c>
      <c r="H1477" s="62">
        <v>4.0</v>
      </c>
      <c r="I1477" s="62">
        <v>2.0</v>
      </c>
      <c r="J1477" s="62">
        <v>8.0</v>
      </c>
      <c r="K1477" s="62">
        <v>1.0</v>
      </c>
      <c r="L1477" s="62">
        <v>1.0</v>
      </c>
      <c r="M1477" s="62">
        <v>5.0</v>
      </c>
      <c r="N1477" s="62">
        <v>7.0</v>
      </c>
      <c r="O1477" s="62">
        <v>1.0</v>
      </c>
      <c r="P1477" s="62">
        <v>7.0</v>
      </c>
      <c r="Q1477" s="62">
        <v>0.0</v>
      </c>
      <c r="R1477" s="62">
        <v>0.0</v>
      </c>
      <c r="S1477" s="62">
        <v>10434.0</v>
      </c>
      <c r="T1477" s="62">
        <v>0.963888888888888</v>
      </c>
      <c r="U1477" s="62">
        <v>0.468055555555555</v>
      </c>
      <c r="V1477" s="62">
        <v>0.493333333333333</v>
      </c>
      <c r="W1477" s="62">
        <v>0.989166666666666</v>
      </c>
      <c r="X1477" s="62">
        <v>0.495833333333333</v>
      </c>
      <c r="Y1477" s="62">
        <v>1.97805555555555</v>
      </c>
      <c r="Z1477" s="62">
        <v>0.246388888888888</v>
      </c>
      <c r="AA1477" s="62">
        <v>0.245555555555555</v>
      </c>
      <c r="AB1477" s="62">
        <v>1.23333333333333</v>
      </c>
      <c r="AC1477" s="62">
        <v>1.71166666666666</v>
      </c>
      <c r="AD1477" s="62">
        <v>0.223055555555555</v>
      </c>
      <c r="AE1477" s="62">
        <v>1.71166666666666</v>
      </c>
      <c r="AF1477" s="62">
        <v>4.0</v>
      </c>
    </row>
    <row r="1478">
      <c r="A1478" s="68">
        <v>45987.0</v>
      </c>
      <c r="B1478" s="62" t="s">
        <v>32</v>
      </c>
      <c r="C1478" s="62" t="s">
        <v>168</v>
      </c>
      <c r="D1478" s="62">
        <v>18.0</v>
      </c>
      <c r="E1478" s="62">
        <v>4.0</v>
      </c>
      <c r="F1478" s="62">
        <v>1.0</v>
      </c>
      <c r="G1478" s="62">
        <v>0.0</v>
      </c>
      <c r="H1478" s="62">
        <v>5.0</v>
      </c>
      <c r="I1478" s="62">
        <v>5.0</v>
      </c>
      <c r="J1478" s="62">
        <v>3.0</v>
      </c>
      <c r="K1478" s="62">
        <v>0.0</v>
      </c>
      <c r="L1478" s="62">
        <v>0.0</v>
      </c>
      <c r="M1478" s="62">
        <v>5.0</v>
      </c>
      <c r="N1478" s="62">
        <v>8.0</v>
      </c>
      <c r="O1478" s="62">
        <v>1.0</v>
      </c>
      <c r="P1478" s="62">
        <v>8.0</v>
      </c>
      <c r="Q1478" s="62">
        <v>0.0</v>
      </c>
      <c r="R1478" s="62">
        <v>47699.0</v>
      </c>
      <c r="S1478" s="62">
        <v>8977.0</v>
      </c>
      <c r="T1478" s="62">
        <v>2.16472222222222</v>
      </c>
      <c r="U1478" s="62">
        <v>0.218888888888888</v>
      </c>
      <c r="V1478" s="62">
        <v>0.0</v>
      </c>
      <c r="W1478" s="62">
        <v>1.13361111111111</v>
      </c>
      <c r="X1478" s="62">
        <v>1.13361111111111</v>
      </c>
      <c r="Y1478" s="62">
        <v>0.634722222222222</v>
      </c>
      <c r="Z1478" s="62">
        <v>0.0</v>
      </c>
      <c r="AA1478" s="62">
        <v>0.0</v>
      </c>
      <c r="AB1478" s="62">
        <v>1.0575</v>
      </c>
      <c r="AC1478" s="62">
        <v>1.69722222222222</v>
      </c>
      <c r="AD1478" s="62">
        <v>0.22</v>
      </c>
      <c r="AE1478" s="62">
        <v>1.69722222222222</v>
      </c>
      <c r="AF1478" s="62">
        <v>10.0</v>
      </c>
    </row>
    <row r="1479">
      <c r="A1479" s="68">
        <v>45987.0</v>
      </c>
      <c r="B1479" s="62" t="s">
        <v>56</v>
      </c>
      <c r="C1479" s="62" t="s">
        <v>176</v>
      </c>
      <c r="D1479" s="62">
        <v>0.0</v>
      </c>
      <c r="E1479" s="62">
        <v>5.0</v>
      </c>
      <c r="F1479" s="62">
        <v>0.0</v>
      </c>
      <c r="G1479" s="62">
        <v>0.0</v>
      </c>
      <c r="H1479" s="62">
        <v>0.0</v>
      </c>
      <c r="I1479" s="62">
        <v>0.0</v>
      </c>
      <c r="J1479" s="62">
        <v>4.0</v>
      </c>
      <c r="K1479" s="62">
        <v>0.0</v>
      </c>
      <c r="L1479" s="62">
        <v>0.0</v>
      </c>
      <c r="M1479" s="62">
        <v>0.0</v>
      </c>
      <c r="N1479" s="62">
        <v>0.0</v>
      </c>
      <c r="O1479" s="62">
        <v>1.0</v>
      </c>
      <c r="P1479" s="62">
        <v>0.0</v>
      </c>
      <c r="Q1479" s="62">
        <v>0.0</v>
      </c>
      <c r="R1479" s="62">
        <v>0.0</v>
      </c>
      <c r="S1479" s="62">
        <v>10832.0</v>
      </c>
      <c r="T1479" s="62">
        <v>0.0</v>
      </c>
      <c r="U1479" s="62">
        <v>0.0</v>
      </c>
      <c r="V1479" s="62">
        <v>0.0</v>
      </c>
      <c r="W1479" s="62">
        <v>0.0</v>
      </c>
      <c r="X1479" s="62">
        <v>0.0</v>
      </c>
      <c r="Y1479" s="62">
        <v>0.833611111111111</v>
      </c>
      <c r="Z1479" s="62">
        <v>0.0</v>
      </c>
      <c r="AA1479" s="62">
        <v>0.0</v>
      </c>
      <c r="AB1479" s="62">
        <v>0.0</v>
      </c>
      <c r="AC1479" s="62">
        <v>0.0</v>
      </c>
      <c r="AD1479" s="62">
        <v>0.152222222222222</v>
      </c>
      <c r="AE1479" s="62">
        <v>0.0</v>
      </c>
      <c r="AF1479" s="62">
        <v>0.0</v>
      </c>
    </row>
    <row r="1480">
      <c r="A1480" s="68">
        <v>45987.0</v>
      </c>
      <c r="B1480" s="62" t="s">
        <v>26</v>
      </c>
      <c r="C1480" s="62" t="s">
        <v>178</v>
      </c>
      <c r="D1480" s="62">
        <v>8.0</v>
      </c>
      <c r="E1480" s="62">
        <v>5.0</v>
      </c>
      <c r="F1480" s="62">
        <v>2.0</v>
      </c>
      <c r="G1480" s="62">
        <v>1.0</v>
      </c>
      <c r="H1480" s="62">
        <v>10.0</v>
      </c>
      <c r="I1480" s="62">
        <v>9.0</v>
      </c>
      <c r="J1480" s="62">
        <v>4.0</v>
      </c>
      <c r="K1480" s="62">
        <v>0.0</v>
      </c>
      <c r="L1480" s="62">
        <v>0.0</v>
      </c>
      <c r="M1480" s="62">
        <v>2.0</v>
      </c>
      <c r="N1480" s="62">
        <v>0.0</v>
      </c>
      <c r="O1480" s="62">
        <v>1.0</v>
      </c>
      <c r="P1480" s="62">
        <v>0.0</v>
      </c>
      <c r="Q1480" s="62">
        <v>0.0</v>
      </c>
      <c r="R1480" s="62">
        <v>17774.0</v>
      </c>
      <c r="S1480" s="62">
        <v>11435.0</v>
      </c>
      <c r="T1480" s="62">
        <v>0.988055555555555</v>
      </c>
      <c r="U1480" s="62">
        <v>0.401388888888888</v>
      </c>
      <c r="V1480" s="62">
        <v>0.205833333333333</v>
      </c>
      <c r="W1480" s="62">
        <v>2.00305555555555</v>
      </c>
      <c r="X1480" s="62">
        <v>1.79722222222222</v>
      </c>
      <c r="Y1480" s="62">
        <v>0.782777777777777</v>
      </c>
      <c r="Z1480" s="62">
        <v>0.0</v>
      </c>
      <c r="AA1480" s="62">
        <v>0.0</v>
      </c>
      <c r="AB1480" s="62">
        <v>0.389444444444444</v>
      </c>
      <c r="AC1480" s="62">
        <v>0.0</v>
      </c>
      <c r="AD1480" s="62">
        <v>0.200555555555555</v>
      </c>
      <c r="AE1480" s="62">
        <v>0.0</v>
      </c>
      <c r="AF1480" s="62">
        <v>5.0</v>
      </c>
    </row>
    <row r="1481">
      <c r="A1481" s="68">
        <v>45986.0</v>
      </c>
      <c r="B1481" s="62" t="s">
        <v>71</v>
      </c>
      <c r="C1481" s="62" t="s">
        <v>163</v>
      </c>
      <c r="D1481" s="62">
        <v>0.0</v>
      </c>
      <c r="E1481" s="62">
        <v>4.0</v>
      </c>
      <c r="F1481" s="62">
        <v>0.0</v>
      </c>
      <c r="G1481" s="62">
        <v>0.0</v>
      </c>
      <c r="H1481" s="62">
        <v>0.0</v>
      </c>
      <c r="I1481" s="62">
        <v>0.0</v>
      </c>
      <c r="J1481" s="62">
        <v>0.0</v>
      </c>
      <c r="K1481" s="62">
        <v>0.0</v>
      </c>
      <c r="L1481" s="62">
        <v>0.0</v>
      </c>
      <c r="M1481" s="62">
        <v>0.0</v>
      </c>
      <c r="N1481" s="62">
        <v>0.0</v>
      </c>
      <c r="O1481" s="62">
        <v>0.0</v>
      </c>
      <c r="P1481" s="62">
        <v>0.0</v>
      </c>
      <c r="Q1481" s="62">
        <v>0.0</v>
      </c>
      <c r="R1481" s="62">
        <v>0.0</v>
      </c>
      <c r="S1481" s="62">
        <v>11881.0</v>
      </c>
      <c r="T1481" s="62">
        <v>0.0</v>
      </c>
      <c r="U1481" s="62">
        <v>0.0</v>
      </c>
      <c r="V1481" s="62">
        <v>0.0</v>
      </c>
      <c r="W1481" s="62">
        <v>0.0</v>
      </c>
      <c r="X1481" s="62">
        <v>0.0</v>
      </c>
      <c r="Y1481" s="62">
        <v>0.0</v>
      </c>
      <c r="Z1481" s="62">
        <v>0.0</v>
      </c>
      <c r="AA1481" s="62">
        <v>0.0</v>
      </c>
      <c r="AB1481" s="62">
        <v>0.0</v>
      </c>
      <c r="AC1481" s="62">
        <v>0.0</v>
      </c>
      <c r="AD1481" s="62">
        <v>0.0</v>
      </c>
      <c r="AE1481" s="62">
        <v>0.0</v>
      </c>
      <c r="AF1481" s="62">
        <v>0.0</v>
      </c>
    </row>
    <row r="1482">
      <c r="A1482" s="68">
        <v>45986.0</v>
      </c>
      <c r="B1482" s="62" t="s">
        <v>76</v>
      </c>
      <c r="C1482" s="62" t="s">
        <v>165</v>
      </c>
      <c r="D1482" s="62">
        <v>0.0</v>
      </c>
      <c r="E1482" s="62">
        <v>3.0</v>
      </c>
      <c r="F1482" s="62">
        <v>2.0</v>
      </c>
      <c r="G1482" s="62">
        <v>4.0</v>
      </c>
      <c r="H1482" s="62">
        <v>6.0</v>
      </c>
      <c r="I1482" s="62">
        <v>2.0</v>
      </c>
      <c r="J1482" s="62">
        <v>3.0</v>
      </c>
      <c r="K1482" s="62">
        <v>1.0</v>
      </c>
      <c r="L1482" s="62">
        <v>1.0</v>
      </c>
      <c r="M1482" s="62">
        <v>3.0</v>
      </c>
      <c r="N1482" s="62">
        <v>6.0</v>
      </c>
      <c r="O1482" s="62">
        <v>1.0</v>
      </c>
      <c r="P1482" s="62">
        <v>6.0</v>
      </c>
      <c r="Q1482" s="62">
        <v>0.0</v>
      </c>
      <c r="R1482" s="62">
        <v>0.0</v>
      </c>
      <c r="S1482" s="62">
        <v>7801.0</v>
      </c>
      <c r="T1482" s="62">
        <v>0.994444444444444</v>
      </c>
      <c r="U1482" s="62">
        <v>0.49</v>
      </c>
      <c r="V1482" s="62">
        <v>0.976111111111111</v>
      </c>
      <c r="W1482" s="62">
        <v>1.48055555555555</v>
      </c>
      <c r="X1482" s="62">
        <v>0.504444444444444</v>
      </c>
      <c r="Y1482" s="62">
        <v>0.738888888888888</v>
      </c>
      <c r="Z1482" s="62">
        <v>0.258055555555555</v>
      </c>
      <c r="AA1482" s="62">
        <v>0.258055555555555</v>
      </c>
      <c r="AB1482" s="62">
        <v>0.719166666666666</v>
      </c>
      <c r="AC1482" s="62">
        <v>1.43055555555555</v>
      </c>
      <c r="AD1482" s="62">
        <v>0.229166666666666</v>
      </c>
      <c r="AE1482" s="62">
        <v>1.43055555555555</v>
      </c>
      <c r="AF1482" s="62">
        <v>4.0</v>
      </c>
    </row>
    <row r="1483">
      <c r="A1483" s="68">
        <v>45986.0</v>
      </c>
      <c r="B1483" s="62" t="s">
        <v>32</v>
      </c>
      <c r="C1483" s="62" t="s">
        <v>168</v>
      </c>
      <c r="D1483" s="62">
        <v>3.0</v>
      </c>
      <c r="E1483" s="62">
        <v>2.0</v>
      </c>
      <c r="F1483" s="62">
        <v>0.0</v>
      </c>
      <c r="G1483" s="62">
        <v>0.0</v>
      </c>
      <c r="H1483" s="62">
        <v>4.0</v>
      </c>
      <c r="I1483" s="62">
        <v>3.0</v>
      </c>
      <c r="J1483" s="62">
        <v>4.0</v>
      </c>
      <c r="K1483" s="62">
        <v>1.0</v>
      </c>
      <c r="L1483" s="62">
        <v>0.0</v>
      </c>
      <c r="M1483" s="62">
        <v>5.0</v>
      </c>
      <c r="N1483" s="62">
        <v>0.0</v>
      </c>
      <c r="O1483" s="62">
        <v>1.0</v>
      </c>
      <c r="P1483" s="62">
        <v>0.0</v>
      </c>
      <c r="Q1483" s="62">
        <v>0.0</v>
      </c>
      <c r="R1483" s="62">
        <v>8275.0</v>
      </c>
      <c r="S1483" s="62">
        <v>4370.0</v>
      </c>
      <c r="T1483" s="62">
        <v>1.31388888888888</v>
      </c>
      <c r="U1483" s="62">
        <v>0.0</v>
      </c>
      <c r="V1483" s="62">
        <v>0.0</v>
      </c>
      <c r="W1483" s="62">
        <v>0.861944444444444</v>
      </c>
      <c r="X1483" s="62">
        <v>0.647777777777777</v>
      </c>
      <c r="Y1483" s="62">
        <v>0.856111111111111</v>
      </c>
      <c r="Z1483" s="62">
        <v>0.2075</v>
      </c>
      <c r="AA1483" s="62">
        <v>0.0</v>
      </c>
      <c r="AB1483" s="62">
        <v>1.06694444444444</v>
      </c>
      <c r="AC1483" s="62">
        <v>0.0</v>
      </c>
      <c r="AD1483" s="62">
        <v>0.208611111111111</v>
      </c>
      <c r="AE1483" s="62">
        <v>0.0</v>
      </c>
      <c r="AF1483" s="62">
        <v>6.0</v>
      </c>
    </row>
    <row r="1484">
      <c r="A1484" s="68">
        <v>45986.0</v>
      </c>
      <c r="B1484" s="62" t="s">
        <v>56</v>
      </c>
      <c r="C1484" s="62" t="s">
        <v>176</v>
      </c>
      <c r="D1484" s="62">
        <v>0.0</v>
      </c>
      <c r="E1484" s="62">
        <v>6.0</v>
      </c>
      <c r="F1484" s="62">
        <v>0.0</v>
      </c>
      <c r="G1484" s="62">
        <v>0.0</v>
      </c>
      <c r="H1484" s="62">
        <v>3.0</v>
      </c>
      <c r="I1484" s="62">
        <v>3.0</v>
      </c>
      <c r="J1484" s="62">
        <v>4.0</v>
      </c>
      <c r="K1484" s="62">
        <v>0.0</v>
      </c>
      <c r="L1484" s="62">
        <v>0.0</v>
      </c>
      <c r="M1484" s="62">
        <v>5.0</v>
      </c>
      <c r="N1484" s="62">
        <v>6.0</v>
      </c>
      <c r="O1484" s="62">
        <v>1.0</v>
      </c>
      <c r="P1484" s="62">
        <v>6.0</v>
      </c>
      <c r="Q1484" s="62">
        <v>0.0</v>
      </c>
      <c r="R1484" s="62">
        <v>0.0</v>
      </c>
      <c r="S1484" s="62">
        <v>12436.0</v>
      </c>
      <c r="T1484" s="62">
        <v>0.623888888888888</v>
      </c>
      <c r="U1484" s="62">
        <v>0.0</v>
      </c>
      <c r="V1484" s="62">
        <v>0.0</v>
      </c>
      <c r="W1484" s="62">
        <v>0.623888888888888</v>
      </c>
      <c r="X1484" s="62">
        <v>0.623888888888888</v>
      </c>
      <c r="Y1484" s="62">
        <v>0.884722222222222</v>
      </c>
      <c r="Z1484" s="62">
        <v>0.0</v>
      </c>
      <c r="AA1484" s="62">
        <v>0.0</v>
      </c>
      <c r="AB1484" s="62">
        <v>1.10055555555555</v>
      </c>
      <c r="AC1484" s="62">
        <v>1.31527777777777</v>
      </c>
      <c r="AD1484" s="62">
        <v>0.179166666666666</v>
      </c>
      <c r="AE1484" s="62">
        <v>1.31527777777777</v>
      </c>
      <c r="AF1484" s="62">
        <v>3.0</v>
      </c>
    </row>
    <row r="1485">
      <c r="A1485" s="68">
        <v>45986.0</v>
      </c>
      <c r="B1485" s="62" t="s">
        <v>26</v>
      </c>
      <c r="C1485" s="62" t="s">
        <v>178</v>
      </c>
      <c r="D1485" s="62">
        <v>8.0</v>
      </c>
      <c r="E1485" s="62">
        <v>6.0</v>
      </c>
      <c r="F1485" s="62">
        <v>0.0</v>
      </c>
      <c r="G1485" s="62">
        <v>1.0</v>
      </c>
      <c r="H1485" s="62">
        <v>1.0</v>
      </c>
      <c r="I1485" s="62">
        <v>0.0</v>
      </c>
      <c r="J1485" s="62">
        <v>3.0</v>
      </c>
      <c r="K1485" s="62">
        <v>0.0</v>
      </c>
      <c r="L1485" s="62">
        <v>0.0</v>
      </c>
      <c r="M1485" s="62">
        <v>3.0</v>
      </c>
      <c r="N1485" s="62">
        <v>4.0</v>
      </c>
      <c r="O1485" s="62">
        <v>1.0</v>
      </c>
      <c r="P1485" s="62">
        <v>4.0</v>
      </c>
      <c r="Q1485" s="62">
        <v>0.0</v>
      </c>
      <c r="R1485" s="62">
        <v>18550.0</v>
      </c>
      <c r="S1485" s="62">
        <v>13437.0</v>
      </c>
      <c r="T1485" s="62">
        <v>0.994722222222222</v>
      </c>
      <c r="U1485" s="62">
        <v>0.0</v>
      </c>
      <c r="V1485" s="62">
        <v>0.200277777777777</v>
      </c>
      <c r="W1485" s="62">
        <v>0.200277777777777</v>
      </c>
      <c r="X1485" s="62">
        <v>0.0</v>
      </c>
      <c r="Y1485" s="62">
        <v>0.600277777777777</v>
      </c>
      <c r="Z1485" s="62">
        <v>0.0</v>
      </c>
      <c r="AA1485" s="62">
        <v>0.0</v>
      </c>
      <c r="AB1485" s="62">
        <v>0.600277777777777</v>
      </c>
      <c r="AC1485" s="62">
        <v>0.811666666666666</v>
      </c>
      <c r="AD1485" s="62">
        <v>0.234166666666666</v>
      </c>
      <c r="AE1485" s="62">
        <v>0.811666666666666</v>
      </c>
      <c r="AF1485" s="62">
        <v>5.0</v>
      </c>
    </row>
    <row r="1486">
      <c r="A1486" s="68">
        <v>45985.0</v>
      </c>
      <c r="B1486" s="62" t="s">
        <v>71</v>
      </c>
      <c r="C1486" s="62" t="s">
        <v>163</v>
      </c>
      <c r="D1486" s="62">
        <v>0.0</v>
      </c>
      <c r="E1486" s="62">
        <v>0.0</v>
      </c>
      <c r="F1486" s="62">
        <v>0.0</v>
      </c>
      <c r="G1486" s="62">
        <v>1.0</v>
      </c>
      <c r="H1486" s="62">
        <v>1.0</v>
      </c>
      <c r="I1486" s="62">
        <v>0.0</v>
      </c>
      <c r="J1486" s="62">
        <v>0.0</v>
      </c>
      <c r="K1486" s="62">
        <v>0.0</v>
      </c>
      <c r="L1486" s="62">
        <v>0.0</v>
      </c>
      <c r="M1486" s="62">
        <v>0.0</v>
      </c>
      <c r="N1486" s="62">
        <v>0.0</v>
      </c>
      <c r="O1486" s="62">
        <v>0.0</v>
      </c>
      <c r="P1486" s="62">
        <v>0.0</v>
      </c>
      <c r="Q1486" s="62">
        <v>0.0</v>
      </c>
      <c r="R1486" s="62">
        <v>0.0</v>
      </c>
      <c r="S1486" s="62">
        <v>0.0</v>
      </c>
      <c r="T1486" s="62">
        <v>0.0</v>
      </c>
      <c r="U1486" s="62">
        <v>0.0</v>
      </c>
      <c r="V1486" s="62">
        <v>0.225555555555555</v>
      </c>
      <c r="W1486" s="62">
        <v>0.225555555555555</v>
      </c>
      <c r="X1486" s="62">
        <v>0.0</v>
      </c>
      <c r="Y1486" s="62">
        <v>0.0</v>
      </c>
      <c r="Z1486" s="62">
        <v>0.0</v>
      </c>
      <c r="AA1486" s="62">
        <v>0.0</v>
      </c>
      <c r="AB1486" s="62">
        <v>0.0</v>
      </c>
      <c r="AC1486" s="62">
        <v>0.0</v>
      </c>
      <c r="AD1486" s="62">
        <v>0.0</v>
      </c>
      <c r="AE1486" s="62">
        <v>0.0</v>
      </c>
      <c r="AF1486" s="62">
        <v>0.0</v>
      </c>
    </row>
    <row r="1487">
      <c r="A1487" s="68">
        <v>45985.0</v>
      </c>
      <c r="B1487" s="62" t="s">
        <v>76</v>
      </c>
      <c r="C1487" s="62" t="s">
        <v>165</v>
      </c>
      <c r="D1487" s="62">
        <v>0.0</v>
      </c>
      <c r="E1487" s="62">
        <v>5.0</v>
      </c>
      <c r="F1487" s="62">
        <v>4.0</v>
      </c>
      <c r="G1487" s="62">
        <v>4.0</v>
      </c>
      <c r="H1487" s="62">
        <v>3.0</v>
      </c>
      <c r="I1487" s="62">
        <v>0.0</v>
      </c>
      <c r="J1487" s="62">
        <v>6.0</v>
      </c>
      <c r="K1487" s="62">
        <v>1.0</v>
      </c>
      <c r="L1487" s="62">
        <v>1.0</v>
      </c>
      <c r="M1487" s="62">
        <v>6.0</v>
      </c>
      <c r="N1487" s="62">
        <v>1.0</v>
      </c>
      <c r="O1487" s="62">
        <v>1.0</v>
      </c>
      <c r="P1487" s="62">
        <v>1.0</v>
      </c>
      <c r="Q1487" s="62">
        <v>0.0</v>
      </c>
      <c r="R1487" s="62">
        <v>0.0</v>
      </c>
      <c r="S1487" s="62">
        <v>12527.0</v>
      </c>
      <c r="T1487" s="62">
        <v>0.971111111111111</v>
      </c>
      <c r="U1487" s="62">
        <v>0.971111111111111</v>
      </c>
      <c r="V1487" s="62">
        <v>0.974166666666666</v>
      </c>
      <c r="W1487" s="62">
        <v>0.7375</v>
      </c>
      <c r="X1487" s="62">
        <v>0.0</v>
      </c>
      <c r="Y1487" s="62">
        <v>1.42638888888888</v>
      </c>
      <c r="Z1487" s="62">
        <v>0.238333333333333</v>
      </c>
      <c r="AA1487" s="62">
        <v>0.238333333333333</v>
      </c>
      <c r="AB1487" s="62">
        <v>1.42638888888888</v>
      </c>
      <c r="AC1487" s="62">
        <v>0.236666666666666</v>
      </c>
      <c r="AD1487" s="62">
        <v>0.2225</v>
      </c>
      <c r="AE1487" s="62">
        <v>0.236666666666666</v>
      </c>
      <c r="AF1487" s="62">
        <v>4.0</v>
      </c>
    </row>
    <row r="1488">
      <c r="A1488" s="68">
        <v>45985.0</v>
      </c>
      <c r="B1488" s="62" t="s">
        <v>32</v>
      </c>
      <c r="C1488" s="62" t="s">
        <v>168</v>
      </c>
      <c r="D1488" s="62">
        <v>0.0</v>
      </c>
      <c r="E1488" s="62">
        <v>10.0</v>
      </c>
      <c r="F1488" s="62">
        <v>4.0</v>
      </c>
      <c r="G1488" s="62">
        <v>0.0</v>
      </c>
      <c r="H1488" s="62">
        <v>6.0</v>
      </c>
      <c r="I1488" s="62">
        <v>6.0</v>
      </c>
      <c r="J1488" s="62">
        <v>3.0</v>
      </c>
      <c r="K1488" s="62">
        <v>0.0</v>
      </c>
      <c r="L1488" s="62">
        <v>0.0</v>
      </c>
      <c r="M1488" s="62">
        <v>0.0</v>
      </c>
      <c r="N1488" s="62">
        <v>0.0</v>
      </c>
      <c r="O1488" s="62">
        <v>1.0</v>
      </c>
      <c r="P1488" s="62">
        <v>0.0</v>
      </c>
      <c r="Q1488" s="62">
        <v>0.0</v>
      </c>
      <c r="R1488" s="62">
        <v>0.0</v>
      </c>
      <c r="S1488" s="62">
        <v>22307.0</v>
      </c>
      <c r="T1488" s="62">
        <v>0.6775</v>
      </c>
      <c r="U1488" s="62">
        <v>0.840277777777777</v>
      </c>
      <c r="V1488" s="62">
        <v>0.0</v>
      </c>
      <c r="W1488" s="62">
        <v>1.31361111111111</v>
      </c>
      <c r="X1488" s="62">
        <v>1.31361111111111</v>
      </c>
      <c r="Y1488" s="62">
        <v>0.633611111111111</v>
      </c>
      <c r="Z1488" s="62">
        <v>0.0</v>
      </c>
      <c r="AA1488" s="62">
        <v>0.0</v>
      </c>
      <c r="AB1488" s="62">
        <v>0.0</v>
      </c>
      <c r="AC1488" s="62">
        <v>0.0</v>
      </c>
      <c r="AD1488" s="62">
        <v>0.211944444444444</v>
      </c>
      <c r="AE1488" s="62">
        <v>0.0</v>
      </c>
      <c r="AF1488" s="62">
        <v>3.0</v>
      </c>
    </row>
    <row r="1489">
      <c r="A1489" s="68">
        <v>45985.0</v>
      </c>
      <c r="B1489" s="62" t="s">
        <v>56</v>
      </c>
      <c r="C1489" s="62" t="s">
        <v>176</v>
      </c>
      <c r="D1489" s="62">
        <v>7.0</v>
      </c>
      <c r="E1489" s="62">
        <v>0.0</v>
      </c>
      <c r="F1489" s="62">
        <v>0.0</v>
      </c>
      <c r="G1489" s="62">
        <v>1.0</v>
      </c>
      <c r="H1489" s="62">
        <v>4.0</v>
      </c>
      <c r="I1489" s="62">
        <v>3.0</v>
      </c>
      <c r="J1489" s="62">
        <v>4.0</v>
      </c>
      <c r="K1489" s="62">
        <v>0.0</v>
      </c>
      <c r="L1489" s="62">
        <v>0.0</v>
      </c>
      <c r="M1489" s="62">
        <v>7.0</v>
      </c>
      <c r="N1489" s="62">
        <v>6.0</v>
      </c>
      <c r="O1489" s="62">
        <v>1.0</v>
      </c>
      <c r="P1489" s="62">
        <v>6.0</v>
      </c>
      <c r="Q1489" s="62">
        <v>0.0</v>
      </c>
      <c r="R1489" s="62">
        <v>15116.0</v>
      </c>
      <c r="S1489" s="62">
        <v>0.0</v>
      </c>
      <c r="T1489" s="62">
        <v>0.647222222222222</v>
      </c>
      <c r="U1489" s="62">
        <v>0.0</v>
      </c>
      <c r="V1489" s="62">
        <v>0.215833333333333</v>
      </c>
      <c r="W1489" s="62">
        <v>0.863055555555555</v>
      </c>
      <c r="X1489" s="62">
        <v>0.647222222222222</v>
      </c>
      <c r="Y1489" s="62">
        <v>0.896111111111111</v>
      </c>
      <c r="Z1489" s="62">
        <v>0.0</v>
      </c>
      <c r="AA1489" s="62">
        <v>0.0</v>
      </c>
      <c r="AB1489" s="62">
        <v>1.5525</v>
      </c>
      <c r="AC1489" s="62">
        <v>1.33777777777777</v>
      </c>
      <c r="AD1489" s="62">
        <v>0.1525</v>
      </c>
      <c r="AE1489" s="62">
        <v>1.33777777777777</v>
      </c>
      <c r="AF1489" s="62">
        <v>3.0</v>
      </c>
    </row>
    <row r="1490">
      <c r="A1490" s="68">
        <v>45985.0</v>
      </c>
      <c r="B1490" s="62" t="s">
        <v>26</v>
      </c>
      <c r="C1490" s="62" t="s">
        <v>178</v>
      </c>
      <c r="D1490" s="62">
        <v>3.0</v>
      </c>
      <c r="E1490" s="62">
        <v>0.0</v>
      </c>
      <c r="F1490" s="62">
        <v>2.0</v>
      </c>
      <c r="G1490" s="62">
        <v>0.0</v>
      </c>
      <c r="H1490" s="62">
        <v>3.0</v>
      </c>
      <c r="I1490" s="62">
        <v>3.0</v>
      </c>
      <c r="J1490" s="62">
        <v>0.0</v>
      </c>
      <c r="K1490" s="62">
        <v>0.0</v>
      </c>
      <c r="L1490" s="62">
        <v>0.0</v>
      </c>
      <c r="M1490" s="62">
        <v>1.0</v>
      </c>
      <c r="N1490" s="62">
        <v>0.0</v>
      </c>
      <c r="O1490" s="62">
        <v>1.0</v>
      </c>
      <c r="P1490" s="62">
        <v>0.0</v>
      </c>
      <c r="Q1490" s="62">
        <v>0.0</v>
      </c>
      <c r="R1490" s="62">
        <v>7816.0</v>
      </c>
      <c r="S1490" s="62">
        <v>0.0</v>
      </c>
      <c r="T1490" s="62">
        <v>1.00305555555555</v>
      </c>
      <c r="U1490" s="62">
        <v>0.404166666666666</v>
      </c>
      <c r="V1490" s="62">
        <v>0.0</v>
      </c>
      <c r="W1490" s="62">
        <v>0.598888888888888</v>
      </c>
      <c r="X1490" s="62">
        <v>0.598888888888888</v>
      </c>
      <c r="Y1490" s="62">
        <v>0.0</v>
      </c>
      <c r="Z1490" s="62">
        <v>0.0</v>
      </c>
      <c r="AA1490" s="62">
        <v>0.0</v>
      </c>
      <c r="AB1490" s="62">
        <v>0.198888888888888</v>
      </c>
      <c r="AC1490" s="62">
        <v>0.0</v>
      </c>
      <c r="AD1490" s="62">
        <v>0.199444444444444</v>
      </c>
      <c r="AE1490" s="62">
        <v>0.0</v>
      </c>
      <c r="AF1490" s="62">
        <v>5.0</v>
      </c>
    </row>
    <row r="1491">
      <c r="A1491" s="68">
        <v>45984.0</v>
      </c>
      <c r="B1491" s="62" t="s">
        <v>76</v>
      </c>
      <c r="C1491" s="62" t="s">
        <v>165</v>
      </c>
      <c r="D1491" s="62">
        <v>0.0</v>
      </c>
      <c r="E1491" s="62">
        <v>0.0</v>
      </c>
      <c r="F1491" s="62">
        <v>0.0</v>
      </c>
      <c r="G1491" s="62">
        <v>1.0</v>
      </c>
      <c r="H1491" s="62">
        <v>1.0</v>
      </c>
      <c r="I1491" s="62">
        <v>0.0</v>
      </c>
      <c r="J1491" s="62">
        <v>1.0</v>
      </c>
      <c r="K1491" s="62">
        <v>0.0</v>
      </c>
      <c r="L1491" s="62">
        <v>0.0</v>
      </c>
      <c r="M1491" s="62">
        <v>0.0</v>
      </c>
      <c r="N1491" s="62">
        <v>0.0</v>
      </c>
      <c r="O1491" s="62">
        <v>1.0</v>
      </c>
      <c r="P1491" s="62">
        <v>0.0</v>
      </c>
      <c r="Q1491" s="62">
        <v>0.0</v>
      </c>
      <c r="R1491" s="62">
        <v>0.0</v>
      </c>
      <c r="S1491" s="62">
        <v>0.0</v>
      </c>
      <c r="T1491" s="62">
        <v>0.0</v>
      </c>
      <c r="U1491" s="62">
        <v>0.0</v>
      </c>
      <c r="V1491" s="62">
        <v>0.233611111111111</v>
      </c>
      <c r="W1491" s="62">
        <v>0.233611111111111</v>
      </c>
      <c r="X1491" s="62">
        <v>0.0</v>
      </c>
      <c r="Y1491" s="62">
        <v>0.238333333333333</v>
      </c>
      <c r="Z1491" s="62">
        <v>0.0</v>
      </c>
      <c r="AA1491" s="62">
        <v>0.0</v>
      </c>
      <c r="AB1491" s="62">
        <v>0.0</v>
      </c>
      <c r="AC1491" s="62">
        <v>0.0</v>
      </c>
      <c r="AD1491" s="62">
        <v>0.233333333333333</v>
      </c>
      <c r="AE1491" s="62">
        <v>0.0</v>
      </c>
      <c r="AF1491" s="62">
        <v>0.0</v>
      </c>
    </row>
    <row r="1492">
      <c r="A1492" s="68">
        <v>45983.0</v>
      </c>
      <c r="B1492" s="62" t="s">
        <v>71</v>
      </c>
      <c r="C1492" s="62" t="s">
        <v>163</v>
      </c>
      <c r="D1492" s="62">
        <v>0.0</v>
      </c>
      <c r="E1492" s="62">
        <v>0.0</v>
      </c>
      <c r="F1492" s="62">
        <v>0.0</v>
      </c>
      <c r="G1492" s="62">
        <v>0.0</v>
      </c>
      <c r="H1492" s="62">
        <v>0.0</v>
      </c>
      <c r="I1492" s="62">
        <v>0.0</v>
      </c>
      <c r="J1492" s="62">
        <v>0.0</v>
      </c>
      <c r="K1492" s="62">
        <v>0.0</v>
      </c>
      <c r="L1492" s="62">
        <v>0.0</v>
      </c>
      <c r="M1492" s="62">
        <v>0.0</v>
      </c>
      <c r="N1492" s="62">
        <v>0.0</v>
      </c>
      <c r="O1492" s="62">
        <v>0.0</v>
      </c>
      <c r="P1492" s="62">
        <v>0.0</v>
      </c>
      <c r="Q1492" s="62">
        <v>0.0</v>
      </c>
      <c r="R1492" s="62">
        <v>0.0</v>
      </c>
      <c r="S1492" s="62">
        <v>0.0</v>
      </c>
      <c r="T1492" s="62">
        <v>1.26527777777777</v>
      </c>
      <c r="U1492" s="62">
        <v>0.0</v>
      </c>
      <c r="V1492" s="62">
        <v>0.0</v>
      </c>
      <c r="W1492" s="62">
        <v>0.0</v>
      </c>
      <c r="X1492" s="62">
        <v>0.0</v>
      </c>
      <c r="Y1492" s="62">
        <v>0.0</v>
      </c>
      <c r="Z1492" s="62">
        <v>0.0</v>
      </c>
      <c r="AA1492" s="62">
        <v>0.0</v>
      </c>
      <c r="AB1492" s="62">
        <v>0.0</v>
      </c>
      <c r="AC1492" s="62">
        <v>0.0</v>
      </c>
      <c r="AD1492" s="62">
        <v>0.0</v>
      </c>
      <c r="AE1492" s="62">
        <v>0.0</v>
      </c>
      <c r="AF1492" s="62">
        <v>5.0</v>
      </c>
    </row>
    <row r="1493">
      <c r="A1493" s="68">
        <v>45983.0</v>
      </c>
      <c r="B1493" s="62" t="s">
        <v>32</v>
      </c>
      <c r="C1493" s="62" t="s">
        <v>168</v>
      </c>
      <c r="D1493" s="62">
        <v>0.0</v>
      </c>
      <c r="E1493" s="62">
        <v>0.0</v>
      </c>
      <c r="F1493" s="62">
        <v>0.0</v>
      </c>
      <c r="G1493" s="62">
        <v>0.0</v>
      </c>
      <c r="H1493" s="62">
        <v>0.0</v>
      </c>
      <c r="I1493" s="62">
        <v>0.0</v>
      </c>
      <c r="J1493" s="62">
        <v>0.0</v>
      </c>
      <c r="K1493" s="62">
        <v>0.0</v>
      </c>
      <c r="L1493" s="62">
        <v>0.0</v>
      </c>
      <c r="M1493" s="62">
        <v>0.0</v>
      </c>
      <c r="N1493" s="62">
        <v>0.0</v>
      </c>
      <c r="O1493" s="62">
        <v>1.0</v>
      </c>
      <c r="P1493" s="62">
        <v>0.0</v>
      </c>
      <c r="Q1493" s="62">
        <v>0.0</v>
      </c>
      <c r="R1493" s="62">
        <v>0.0</v>
      </c>
      <c r="S1493" s="62">
        <v>0.0</v>
      </c>
      <c r="T1493" s="62">
        <v>1.47638888888888</v>
      </c>
      <c r="U1493" s="62">
        <v>0.0</v>
      </c>
      <c r="V1493" s="62">
        <v>0.0</v>
      </c>
      <c r="W1493" s="62">
        <v>0.0</v>
      </c>
      <c r="X1493" s="62">
        <v>0.0</v>
      </c>
      <c r="Y1493" s="62">
        <v>0.0</v>
      </c>
      <c r="Z1493" s="62">
        <v>0.0</v>
      </c>
      <c r="AA1493" s="62">
        <v>0.0</v>
      </c>
      <c r="AB1493" s="62">
        <v>0.0</v>
      </c>
      <c r="AC1493" s="62">
        <v>0.0</v>
      </c>
      <c r="AD1493" s="62">
        <v>0.231388888888888</v>
      </c>
      <c r="AE1493" s="62">
        <v>0.0</v>
      </c>
      <c r="AF1493" s="62">
        <v>7.0</v>
      </c>
    </row>
    <row r="1494">
      <c r="A1494" s="68">
        <v>45982.0</v>
      </c>
      <c r="B1494" s="62" t="s">
        <v>71</v>
      </c>
      <c r="C1494" s="62" t="s">
        <v>163</v>
      </c>
      <c r="D1494" s="62">
        <v>0.0</v>
      </c>
      <c r="E1494" s="62">
        <v>3.0</v>
      </c>
      <c r="F1494" s="62">
        <v>0.0</v>
      </c>
      <c r="G1494" s="62">
        <v>0.0</v>
      </c>
      <c r="H1494" s="62">
        <v>0.0</v>
      </c>
      <c r="I1494" s="62">
        <v>0.0</v>
      </c>
      <c r="J1494" s="62">
        <v>0.0</v>
      </c>
      <c r="K1494" s="62">
        <v>0.0</v>
      </c>
      <c r="L1494" s="62">
        <v>0.0</v>
      </c>
      <c r="M1494" s="62">
        <v>0.0</v>
      </c>
      <c r="N1494" s="62">
        <v>0.0</v>
      </c>
      <c r="O1494" s="62">
        <v>0.0</v>
      </c>
      <c r="P1494" s="62">
        <v>0.0</v>
      </c>
      <c r="Q1494" s="62">
        <v>0.0</v>
      </c>
      <c r="R1494" s="62">
        <v>0.0</v>
      </c>
      <c r="S1494" s="62">
        <v>8166.0</v>
      </c>
      <c r="T1494" s="62">
        <v>0.0</v>
      </c>
      <c r="U1494" s="62">
        <v>0.0</v>
      </c>
      <c r="V1494" s="62">
        <v>0.0</v>
      </c>
      <c r="W1494" s="62">
        <v>0.0</v>
      </c>
      <c r="X1494" s="62">
        <v>0.0</v>
      </c>
      <c r="Y1494" s="62">
        <v>0.0</v>
      </c>
      <c r="Z1494" s="62">
        <v>0.0</v>
      </c>
      <c r="AA1494" s="62">
        <v>0.0</v>
      </c>
      <c r="AB1494" s="62">
        <v>0.0</v>
      </c>
      <c r="AC1494" s="62">
        <v>0.0</v>
      </c>
      <c r="AD1494" s="62">
        <v>0.0</v>
      </c>
      <c r="AE1494" s="62">
        <v>0.0</v>
      </c>
      <c r="AF1494" s="62">
        <v>0.0</v>
      </c>
    </row>
    <row r="1495">
      <c r="A1495" s="68">
        <v>45982.0</v>
      </c>
      <c r="B1495" s="62" t="s">
        <v>76</v>
      </c>
      <c r="C1495" s="62" t="s">
        <v>165</v>
      </c>
      <c r="D1495" s="62">
        <v>12.0</v>
      </c>
      <c r="E1495" s="62">
        <v>3.0</v>
      </c>
      <c r="F1495" s="62">
        <v>4.0</v>
      </c>
      <c r="G1495" s="62">
        <v>2.0</v>
      </c>
      <c r="H1495" s="62">
        <v>5.0</v>
      </c>
      <c r="I1495" s="62">
        <v>3.0</v>
      </c>
      <c r="J1495" s="62">
        <v>2.0</v>
      </c>
      <c r="K1495" s="62">
        <v>0.0</v>
      </c>
      <c r="L1495" s="62">
        <v>1.0</v>
      </c>
      <c r="M1495" s="62">
        <v>4.0</v>
      </c>
      <c r="N1495" s="62">
        <v>9.0</v>
      </c>
      <c r="O1495" s="62">
        <v>1.0</v>
      </c>
      <c r="P1495" s="62">
        <v>9.0</v>
      </c>
      <c r="Q1495" s="62">
        <v>0.0</v>
      </c>
      <c r="R1495" s="62">
        <v>35883.0</v>
      </c>
      <c r="S1495" s="62">
        <v>7489.0</v>
      </c>
      <c r="T1495" s="62">
        <v>1.68555555555555</v>
      </c>
      <c r="U1495" s="62">
        <v>0.966944444444444</v>
      </c>
      <c r="V1495" s="62">
        <v>0.475833333333333</v>
      </c>
      <c r="W1495" s="62">
        <v>1.19444444444444</v>
      </c>
      <c r="X1495" s="62">
        <v>0.718611111111111</v>
      </c>
      <c r="Y1495" s="62">
        <v>0.479444444444444</v>
      </c>
      <c r="Z1495" s="62">
        <v>0.0</v>
      </c>
      <c r="AA1495" s="62">
        <v>0.243055555555555</v>
      </c>
      <c r="AB1495" s="62">
        <v>0.938611111111111</v>
      </c>
      <c r="AC1495" s="62">
        <v>2.1475</v>
      </c>
      <c r="AD1495" s="62">
        <v>0.241944444444444</v>
      </c>
      <c r="AE1495" s="62">
        <v>2.1475</v>
      </c>
      <c r="AF1495" s="62">
        <v>7.0</v>
      </c>
    </row>
    <row r="1496">
      <c r="A1496" s="68">
        <v>45982.0</v>
      </c>
      <c r="B1496" s="62" t="s">
        <v>32</v>
      </c>
      <c r="C1496" s="62" t="s">
        <v>168</v>
      </c>
      <c r="D1496" s="62">
        <v>13.0</v>
      </c>
      <c r="E1496" s="62">
        <v>5.0</v>
      </c>
      <c r="F1496" s="62">
        <v>0.0</v>
      </c>
      <c r="G1496" s="62">
        <v>0.0</v>
      </c>
      <c r="H1496" s="62">
        <v>3.0</v>
      </c>
      <c r="I1496" s="62">
        <v>0.0</v>
      </c>
      <c r="J1496" s="62">
        <v>9.0</v>
      </c>
      <c r="K1496" s="62">
        <v>0.0</v>
      </c>
      <c r="L1496" s="62">
        <v>0.0</v>
      </c>
      <c r="M1496" s="62">
        <v>12.0</v>
      </c>
      <c r="N1496" s="62">
        <v>16.0</v>
      </c>
      <c r="O1496" s="62">
        <v>1.0</v>
      </c>
      <c r="P1496" s="62">
        <v>16.0</v>
      </c>
      <c r="Q1496" s="62">
        <v>0.0</v>
      </c>
      <c r="R1496" s="62">
        <v>33987.0</v>
      </c>
      <c r="S1496" s="62">
        <v>11065.0</v>
      </c>
      <c r="T1496" s="62">
        <v>0.0</v>
      </c>
      <c r="U1496" s="62">
        <v>0.0</v>
      </c>
      <c r="V1496" s="62">
        <v>0.0</v>
      </c>
      <c r="W1496" s="62">
        <v>0.656666666666666</v>
      </c>
      <c r="X1496" s="62">
        <v>0.0</v>
      </c>
      <c r="Y1496" s="62">
        <v>1.95305555555555</v>
      </c>
      <c r="Z1496" s="62">
        <v>0.0</v>
      </c>
      <c r="AA1496" s="62">
        <v>0.0</v>
      </c>
      <c r="AB1496" s="62">
        <v>2.59722222222222</v>
      </c>
      <c r="AC1496" s="62">
        <v>3.47055555555555</v>
      </c>
      <c r="AD1496" s="62">
        <v>0.214444444444444</v>
      </c>
      <c r="AE1496" s="62">
        <v>3.47055555555555</v>
      </c>
      <c r="AF1496" s="62">
        <v>0.0</v>
      </c>
    </row>
    <row r="1497">
      <c r="A1497" s="68">
        <v>45982.0</v>
      </c>
      <c r="B1497" s="62" t="s">
        <v>56</v>
      </c>
      <c r="C1497" s="62" t="s">
        <v>176</v>
      </c>
      <c r="D1497" s="62">
        <v>5.0</v>
      </c>
      <c r="E1497" s="62">
        <v>0.0</v>
      </c>
      <c r="F1497" s="62">
        <v>0.0</v>
      </c>
      <c r="G1497" s="62">
        <v>0.0</v>
      </c>
      <c r="H1497" s="62">
        <v>0.0</v>
      </c>
      <c r="I1497" s="62">
        <v>0.0</v>
      </c>
      <c r="J1497" s="62">
        <v>4.0</v>
      </c>
      <c r="K1497" s="62">
        <v>0.0</v>
      </c>
      <c r="L1497" s="62">
        <v>0.0</v>
      </c>
      <c r="M1497" s="62">
        <v>0.0</v>
      </c>
      <c r="N1497" s="62">
        <v>0.0</v>
      </c>
      <c r="O1497" s="62">
        <v>1.0</v>
      </c>
      <c r="P1497" s="62">
        <v>0.0</v>
      </c>
      <c r="Q1497" s="62">
        <v>0.0</v>
      </c>
      <c r="R1497" s="62">
        <v>10832.0</v>
      </c>
      <c r="S1497" s="62">
        <v>0.0</v>
      </c>
      <c r="T1497" s="62">
        <v>0.0</v>
      </c>
      <c r="U1497" s="62">
        <v>0.0</v>
      </c>
      <c r="V1497" s="62">
        <v>0.0</v>
      </c>
      <c r="W1497" s="62">
        <v>0.0</v>
      </c>
      <c r="X1497" s="62">
        <v>0.0</v>
      </c>
      <c r="Y1497" s="62">
        <v>0.872222222222222</v>
      </c>
      <c r="Z1497" s="62">
        <v>0.0</v>
      </c>
      <c r="AA1497" s="62">
        <v>0.0</v>
      </c>
      <c r="AB1497" s="62">
        <v>0.0</v>
      </c>
      <c r="AC1497" s="62">
        <v>0.0</v>
      </c>
      <c r="AD1497" s="62">
        <v>0.161111111111111</v>
      </c>
      <c r="AE1497" s="62">
        <v>0.0</v>
      </c>
      <c r="AF1497" s="62">
        <v>0.0</v>
      </c>
    </row>
    <row r="1498">
      <c r="A1498" s="68">
        <v>45982.0</v>
      </c>
      <c r="B1498" s="62" t="s">
        <v>26</v>
      </c>
      <c r="C1498" s="62" t="s">
        <v>178</v>
      </c>
      <c r="D1498" s="62">
        <v>2.0</v>
      </c>
      <c r="E1498" s="62">
        <v>0.0</v>
      </c>
      <c r="F1498" s="62">
        <v>0.0</v>
      </c>
      <c r="G1498" s="62">
        <v>1.0</v>
      </c>
      <c r="H1498" s="62">
        <v>1.0</v>
      </c>
      <c r="I1498" s="62">
        <v>0.0</v>
      </c>
      <c r="J1498" s="62">
        <v>3.0</v>
      </c>
      <c r="K1498" s="62">
        <v>1.0</v>
      </c>
      <c r="L1498" s="62">
        <v>3.0</v>
      </c>
      <c r="M1498" s="62">
        <v>4.0</v>
      </c>
      <c r="N1498" s="62">
        <v>11.0</v>
      </c>
      <c r="O1498" s="62">
        <v>1.0</v>
      </c>
      <c r="P1498" s="62">
        <v>11.0</v>
      </c>
      <c r="Q1498" s="62">
        <v>0.0</v>
      </c>
      <c r="R1498" s="62">
        <v>4814.0</v>
      </c>
      <c r="S1498" s="62">
        <v>0.0</v>
      </c>
      <c r="T1498" s="62">
        <v>0.0</v>
      </c>
      <c r="U1498" s="62">
        <v>0.0</v>
      </c>
      <c r="V1498" s="62">
        <v>0.198888888888888</v>
      </c>
      <c r="W1498" s="62">
        <v>0.198888888888888</v>
      </c>
      <c r="X1498" s="62">
        <v>0.0</v>
      </c>
      <c r="Y1498" s="62">
        <v>0.602499999999999</v>
      </c>
      <c r="Z1498" s="62">
        <v>0.205</v>
      </c>
      <c r="AA1498" s="62">
        <v>0.5925</v>
      </c>
      <c r="AB1498" s="62">
        <v>0.791111111111111</v>
      </c>
      <c r="AC1498" s="62">
        <v>2.14166666666666</v>
      </c>
      <c r="AD1498" s="62">
        <v>0.213888888888888</v>
      </c>
      <c r="AE1498" s="62">
        <v>2.14166666666666</v>
      </c>
      <c r="AF1498" s="62">
        <v>0.0</v>
      </c>
    </row>
    <row r="1499">
      <c r="A1499" s="68">
        <v>45981.0</v>
      </c>
      <c r="B1499" s="62" t="s">
        <v>71</v>
      </c>
      <c r="C1499" s="62" t="s">
        <v>163</v>
      </c>
      <c r="D1499" s="62">
        <v>0.0</v>
      </c>
      <c r="E1499" s="62">
        <v>3.0</v>
      </c>
      <c r="F1499" s="62">
        <v>3.0</v>
      </c>
      <c r="G1499" s="62">
        <v>0.0</v>
      </c>
      <c r="H1499" s="62">
        <v>0.0</v>
      </c>
      <c r="I1499" s="62">
        <v>0.0</v>
      </c>
      <c r="J1499" s="62">
        <v>0.0</v>
      </c>
      <c r="K1499" s="62">
        <v>0.0</v>
      </c>
      <c r="L1499" s="62">
        <v>0.0</v>
      </c>
      <c r="M1499" s="62">
        <v>0.0</v>
      </c>
      <c r="N1499" s="62">
        <v>0.0</v>
      </c>
      <c r="O1499" s="62">
        <v>0.0</v>
      </c>
      <c r="P1499" s="62">
        <v>0.0</v>
      </c>
      <c r="Q1499" s="62">
        <v>0.0</v>
      </c>
      <c r="R1499" s="62">
        <v>0.0</v>
      </c>
      <c r="S1499" s="62">
        <v>8064.0</v>
      </c>
      <c r="T1499" s="62">
        <v>0.256944444444444</v>
      </c>
      <c r="U1499" s="62">
        <v>0.799166666666666</v>
      </c>
      <c r="V1499" s="62">
        <v>0.0</v>
      </c>
      <c r="W1499" s="62">
        <v>0.0</v>
      </c>
      <c r="X1499" s="62">
        <v>0.0</v>
      </c>
      <c r="Y1499" s="62">
        <v>0.0</v>
      </c>
      <c r="Z1499" s="62">
        <v>0.0</v>
      </c>
      <c r="AA1499" s="62">
        <v>0.0</v>
      </c>
      <c r="AB1499" s="62">
        <v>0.0</v>
      </c>
      <c r="AC1499" s="62">
        <v>0.0</v>
      </c>
      <c r="AD1499" s="62">
        <v>0.0</v>
      </c>
      <c r="AE1499" s="62">
        <v>0.0</v>
      </c>
      <c r="AF1499" s="62">
        <v>1.0</v>
      </c>
    </row>
    <row r="1500">
      <c r="A1500" s="68">
        <v>45981.0</v>
      </c>
      <c r="B1500" s="62" t="s">
        <v>76</v>
      </c>
      <c r="C1500" s="62" t="s">
        <v>165</v>
      </c>
      <c r="D1500" s="62">
        <v>0.0</v>
      </c>
      <c r="E1500" s="62">
        <v>6.0</v>
      </c>
      <c r="F1500" s="62">
        <v>4.0</v>
      </c>
      <c r="G1500" s="62">
        <v>1.0</v>
      </c>
      <c r="H1500" s="62">
        <v>3.0</v>
      </c>
      <c r="I1500" s="62">
        <v>2.0</v>
      </c>
      <c r="J1500" s="62">
        <v>7.0</v>
      </c>
      <c r="K1500" s="62">
        <v>2.0</v>
      </c>
      <c r="L1500" s="62">
        <v>0.0</v>
      </c>
      <c r="M1500" s="62">
        <v>6.0</v>
      </c>
      <c r="N1500" s="62">
        <v>1.0</v>
      </c>
      <c r="O1500" s="62">
        <v>1.0</v>
      </c>
      <c r="P1500" s="62">
        <v>1.0</v>
      </c>
      <c r="Q1500" s="62">
        <v>0.0</v>
      </c>
      <c r="R1500" s="62">
        <v>0.0</v>
      </c>
      <c r="S1500" s="62">
        <v>14974.0</v>
      </c>
      <c r="T1500" s="62">
        <v>0.949444444444444</v>
      </c>
      <c r="U1500" s="62">
        <v>0.949444444444444</v>
      </c>
      <c r="V1500" s="62">
        <v>0.240277777777777</v>
      </c>
      <c r="W1500" s="62">
        <v>0.713888888888888</v>
      </c>
      <c r="X1500" s="62">
        <v>0.473611111111111</v>
      </c>
      <c r="Y1500" s="62">
        <v>1.66805555555555</v>
      </c>
      <c r="Z1500" s="62">
        <v>0.459166666666666</v>
      </c>
      <c r="AA1500" s="62">
        <v>0.0</v>
      </c>
      <c r="AB1500" s="62">
        <v>1.44833333333333</v>
      </c>
      <c r="AC1500" s="62">
        <v>0.239444444444444</v>
      </c>
      <c r="AD1500" s="62">
        <v>0.241388888888888</v>
      </c>
      <c r="AE1500" s="62">
        <v>0.239444444444444</v>
      </c>
      <c r="AF1500" s="62">
        <v>4.0</v>
      </c>
    </row>
    <row r="1501">
      <c r="A1501" s="68">
        <v>45981.0</v>
      </c>
      <c r="B1501" s="62" t="s">
        <v>32</v>
      </c>
      <c r="C1501" s="62" t="s">
        <v>168</v>
      </c>
      <c r="D1501" s="62">
        <v>2.0</v>
      </c>
      <c r="E1501" s="62">
        <v>3.0</v>
      </c>
      <c r="F1501" s="62">
        <v>0.0</v>
      </c>
      <c r="G1501" s="62">
        <v>0.0</v>
      </c>
      <c r="H1501" s="62">
        <v>0.0</v>
      </c>
      <c r="I1501" s="62">
        <v>0.0</v>
      </c>
      <c r="J1501" s="62">
        <v>5.0</v>
      </c>
      <c r="K1501" s="62">
        <v>2.0</v>
      </c>
      <c r="L1501" s="62">
        <v>0.0</v>
      </c>
      <c r="M1501" s="62">
        <v>2.0</v>
      </c>
      <c r="N1501" s="62">
        <v>0.0</v>
      </c>
      <c r="O1501" s="62">
        <v>1.0</v>
      </c>
      <c r="P1501" s="62">
        <v>0.0</v>
      </c>
      <c r="Q1501" s="62">
        <v>0.0</v>
      </c>
      <c r="R1501" s="62">
        <v>5397.0</v>
      </c>
      <c r="S1501" s="62">
        <v>6744.0</v>
      </c>
      <c r="T1501" s="62">
        <v>0.0</v>
      </c>
      <c r="U1501" s="62">
        <v>0.0</v>
      </c>
      <c r="V1501" s="62">
        <v>0.0</v>
      </c>
      <c r="W1501" s="62">
        <v>0.0</v>
      </c>
      <c r="X1501" s="62">
        <v>0.0</v>
      </c>
      <c r="Y1501" s="62">
        <v>1.08861111111111</v>
      </c>
      <c r="Z1501" s="62">
        <v>0.439166666666666</v>
      </c>
      <c r="AA1501" s="62">
        <v>0.0</v>
      </c>
      <c r="AB1501" s="62">
        <v>0.444444444444444</v>
      </c>
      <c r="AC1501" s="62">
        <v>0.0</v>
      </c>
      <c r="AD1501" s="62">
        <v>0.208055555555555</v>
      </c>
      <c r="AE1501" s="62">
        <v>0.0</v>
      </c>
      <c r="AF1501" s="62">
        <v>0.0</v>
      </c>
    </row>
    <row r="1502">
      <c r="A1502" s="68">
        <v>45981.0</v>
      </c>
      <c r="B1502" s="62" t="s">
        <v>56</v>
      </c>
      <c r="C1502" s="62" t="s">
        <v>176</v>
      </c>
      <c r="D1502" s="62">
        <v>0.0</v>
      </c>
      <c r="E1502" s="62">
        <v>0.0</v>
      </c>
      <c r="F1502" s="62">
        <v>1.0</v>
      </c>
      <c r="G1502" s="62">
        <v>2.0</v>
      </c>
      <c r="H1502" s="62">
        <v>5.0</v>
      </c>
      <c r="I1502" s="62">
        <v>3.0</v>
      </c>
      <c r="J1502" s="62">
        <v>2.0</v>
      </c>
      <c r="K1502" s="62">
        <v>0.0</v>
      </c>
      <c r="L1502" s="62">
        <v>0.0</v>
      </c>
      <c r="M1502" s="62">
        <v>4.0</v>
      </c>
      <c r="N1502" s="62">
        <v>4.0</v>
      </c>
      <c r="O1502" s="62">
        <v>1.0</v>
      </c>
      <c r="P1502" s="62">
        <v>4.0</v>
      </c>
      <c r="Q1502" s="62">
        <v>0.0</v>
      </c>
      <c r="R1502" s="62">
        <v>0.0</v>
      </c>
      <c r="S1502" s="62">
        <v>0.0</v>
      </c>
      <c r="T1502" s="62">
        <v>0.873055555555555</v>
      </c>
      <c r="U1502" s="62">
        <v>0.215277777777777</v>
      </c>
      <c r="V1502" s="62">
        <v>0.430833333333333</v>
      </c>
      <c r="W1502" s="62">
        <v>1.08861111111111</v>
      </c>
      <c r="X1502" s="62">
        <v>0.657777777777777</v>
      </c>
      <c r="Y1502" s="62">
        <v>0.439444444444444</v>
      </c>
      <c r="Z1502" s="62">
        <v>0.0</v>
      </c>
      <c r="AA1502" s="62">
        <v>0.0</v>
      </c>
      <c r="AB1502" s="62">
        <v>0.870277777777777</v>
      </c>
      <c r="AC1502" s="62">
        <v>0.870277777777777</v>
      </c>
      <c r="AD1502" s="62">
        <v>0.155277777777777</v>
      </c>
      <c r="AE1502" s="62">
        <v>0.870277777777777</v>
      </c>
      <c r="AF1502" s="62">
        <v>4.0</v>
      </c>
    </row>
    <row r="1503">
      <c r="A1503" s="68">
        <v>45981.0</v>
      </c>
      <c r="B1503" s="62" t="s">
        <v>26</v>
      </c>
      <c r="C1503" s="62" t="s">
        <v>178</v>
      </c>
      <c r="D1503" s="62">
        <v>5.0</v>
      </c>
      <c r="E1503" s="62">
        <v>2.0</v>
      </c>
      <c r="F1503" s="62">
        <v>1.0</v>
      </c>
      <c r="G1503" s="62">
        <v>0.0</v>
      </c>
      <c r="H1503" s="62">
        <v>2.0</v>
      </c>
      <c r="I1503" s="62">
        <v>2.0</v>
      </c>
      <c r="J1503" s="62">
        <v>1.0</v>
      </c>
      <c r="K1503" s="62">
        <v>2.0</v>
      </c>
      <c r="L1503" s="62">
        <v>0.0</v>
      </c>
      <c r="M1503" s="62">
        <v>2.0</v>
      </c>
      <c r="N1503" s="62">
        <v>1.0</v>
      </c>
      <c r="O1503" s="62">
        <v>1.0</v>
      </c>
      <c r="P1503" s="62">
        <v>1.0</v>
      </c>
      <c r="Q1503" s="62">
        <v>0.0</v>
      </c>
      <c r="R1503" s="62">
        <v>12368.0</v>
      </c>
      <c r="S1503" s="62">
        <v>4721.0</v>
      </c>
      <c r="T1503" s="62">
        <v>0.600277777777777</v>
      </c>
      <c r="U1503" s="62">
        <v>0.197222222222222</v>
      </c>
      <c r="V1503" s="62">
        <v>0.0</v>
      </c>
      <c r="W1503" s="62">
        <v>0.403055555555555</v>
      </c>
      <c r="X1503" s="62">
        <v>0.403055555555555</v>
      </c>
      <c r="Y1503" s="62">
        <v>0.198055555555555</v>
      </c>
      <c r="Z1503" s="62">
        <v>0.387499999999999</v>
      </c>
      <c r="AA1503" s="62">
        <v>0.0</v>
      </c>
      <c r="AB1503" s="62">
        <v>0.386944444444444</v>
      </c>
      <c r="AC1503" s="62">
        <v>0.209722222222222</v>
      </c>
      <c r="AD1503" s="62">
        <v>0.223333333333333</v>
      </c>
      <c r="AE1503" s="62">
        <v>0.209722222222222</v>
      </c>
      <c r="AF1503" s="62">
        <v>3.0</v>
      </c>
    </row>
    <row r="1504">
      <c r="A1504" s="68">
        <v>45980.0</v>
      </c>
      <c r="B1504" s="62" t="s">
        <v>71</v>
      </c>
      <c r="C1504" s="62" t="s">
        <v>163</v>
      </c>
      <c r="D1504" s="62">
        <v>0.0</v>
      </c>
      <c r="E1504" s="62">
        <v>2.0</v>
      </c>
      <c r="F1504" s="62">
        <v>0.0</v>
      </c>
      <c r="G1504" s="62">
        <v>0.0</v>
      </c>
      <c r="H1504" s="62">
        <v>0.0</v>
      </c>
      <c r="I1504" s="62">
        <v>0.0</v>
      </c>
      <c r="J1504" s="62">
        <v>0.0</v>
      </c>
      <c r="K1504" s="62">
        <v>0.0</v>
      </c>
      <c r="L1504" s="62">
        <v>0.0</v>
      </c>
      <c r="M1504" s="62">
        <v>0.0</v>
      </c>
      <c r="N1504" s="62">
        <v>0.0</v>
      </c>
      <c r="O1504" s="62">
        <v>0.0</v>
      </c>
      <c r="P1504" s="62">
        <v>0.0</v>
      </c>
      <c r="Q1504" s="62">
        <v>0.0</v>
      </c>
      <c r="R1504" s="62">
        <v>0.0</v>
      </c>
      <c r="S1504" s="62">
        <v>5354.0</v>
      </c>
      <c r="T1504" s="62">
        <v>0.542222222222222</v>
      </c>
      <c r="U1504" s="62">
        <v>0.0</v>
      </c>
      <c r="V1504" s="62">
        <v>0.0</v>
      </c>
      <c r="W1504" s="62">
        <v>0.0</v>
      </c>
      <c r="X1504" s="62">
        <v>0.0</v>
      </c>
      <c r="Y1504" s="62">
        <v>0.0</v>
      </c>
      <c r="Z1504" s="62">
        <v>0.0</v>
      </c>
      <c r="AA1504" s="62">
        <v>0.0</v>
      </c>
      <c r="AB1504" s="62">
        <v>0.0</v>
      </c>
      <c r="AC1504" s="62">
        <v>0.0</v>
      </c>
      <c r="AD1504" s="62">
        <v>0.0</v>
      </c>
      <c r="AE1504" s="62">
        <v>0.0</v>
      </c>
      <c r="AF1504" s="62">
        <v>2.0</v>
      </c>
    </row>
    <row r="1505">
      <c r="A1505" s="68">
        <v>45980.0</v>
      </c>
      <c r="B1505" s="62" t="s">
        <v>76</v>
      </c>
      <c r="C1505" s="62" t="s">
        <v>165</v>
      </c>
      <c r="D1505" s="62">
        <v>0.0</v>
      </c>
      <c r="E1505" s="62">
        <v>1.0</v>
      </c>
      <c r="F1505" s="62">
        <v>1.0</v>
      </c>
      <c r="G1505" s="62">
        <v>4.0</v>
      </c>
      <c r="H1505" s="62">
        <v>7.0</v>
      </c>
      <c r="I1505" s="62">
        <v>3.0</v>
      </c>
      <c r="J1505" s="62">
        <v>2.0</v>
      </c>
      <c r="K1505" s="62">
        <v>1.0</v>
      </c>
      <c r="L1505" s="62">
        <v>1.0</v>
      </c>
      <c r="M1505" s="62">
        <v>1.0</v>
      </c>
      <c r="N1505" s="62">
        <v>12.0</v>
      </c>
      <c r="O1505" s="62">
        <v>1.0</v>
      </c>
      <c r="P1505" s="62">
        <v>12.0</v>
      </c>
      <c r="Q1505" s="62">
        <v>0.0</v>
      </c>
      <c r="R1505" s="62">
        <v>0.0</v>
      </c>
      <c r="S1505" s="62">
        <v>2491.0</v>
      </c>
      <c r="T1505" s="62">
        <v>0.950555555555555</v>
      </c>
      <c r="U1505" s="62">
        <v>0.241111111111111</v>
      </c>
      <c r="V1505" s="62">
        <v>0.955833333333333</v>
      </c>
      <c r="W1505" s="62">
        <v>1.66527777777777</v>
      </c>
      <c r="X1505" s="62">
        <v>0.709444444444444</v>
      </c>
      <c r="Y1505" s="62">
        <v>0.471388888888888</v>
      </c>
      <c r="Z1505" s="62">
        <v>0.236666666666666</v>
      </c>
      <c r="AA1505" s="62">
        <v>0.239444444444444</v>
      </c>
      <c r="AB1505" s="62">
        <v>0.234722222222222</v>
      </c>
      <c r="AC1505" s="62">
        <v>2.86194444444444</v>
      </c>
      <c r="AD1505" s="62">
        <v>0.236944444444444</v>
      </c>
      <c r="AE1505" s="62">
        <v>2.86194444444444</v>
      </c>
      <c r="AF1505" s="62">
        <v>4.0</v>
      </c>
    </row>
    <row r="1506">
      <c r="A1506" s="68">
        <v>45980.0</v>
      </c>
      <c r="B1506" s="62" t="s">
        <v>32</v>
      </c>
      <c r="C1506" s="62" t="s">
        <v>168</v>
      </c>
      <c r="D1506" s="62">
        <v>1.0</v>
      </c>
      <c r="E1506" s="62">
        <v>5.0</v>
      </c>
      <c r="F1506" s="62">
        <v>1.0</v>
      </c>
      <c r="G1506" s="62">
        <v>0.0</v>
      </c>
      <c r="H1506" s="62">
        <v>9.0</v>
      </c>
      <c r="I1506" s="62">
        <v>9.0</v>
      </c>
      <c r="J1506" s="62">
        <v>1.0</v>
      </c>
      <c r="K1506" s="62">
        <v>0.0</v>
      </c>
      <c r="L1506" s="62">
        <v>0.0</v>
      </c>
      <c r="M1506" s="62">
        <v>2.0</v>
      </c>
      <c r="N1506" s="62">
        <v>4.0</v>
      </c>
      <c r="O1506" s="62">
        <v>1.0</v>
      </c>
      <c r="P1506" s="62">
        <v>4.0</v>
      </c>
      <c r="Q1506" s="62">
        <v>0.0</v>
      </c>
      <c r="R1506" s="62">
        <v>2258.0</v>
      </c>
      <c r="S1506" s="62">
        <v>11177.0</v>
      </c>
      <c r="T1506" s="62">
        <v>2.14277777777777</v>
      </c>
      <c r="U1506" s="62">
        <v>0.2175</v>
      </c>
      <c r="V1506" s="62">
        <v>0.0</v>
      </c>
      <c r="W1506" s="62">
        <v>1.92527777777777</v>
      </c>
      <c r="X1506" s="62">
        <v>1.92527777777777</v>
      </c>
      <c r="Y1506" s="62">
        <v>0.211666666666666</v>
      </c>
      <c r="Z1506" s="62">
        <v>0.0</v>
      </c>
      <c r="AA1506" s="62">
        <v>0.0</v>
      </c>
      <c r="AB1506" s="62">
        <v>0.428888888888888</v>
      </c>
      <c r="AC1506" s="62">
        <v>0.8325</v>
      </c>
      <c r="AD1506" s="62">
        <v>0.209166666666666</v>
      </c>
      <c r="AE1506" s="62">
        <v>0.8325</v>
      </c>
      <c r="AF1506" s="62">
        <v>10.0</v>
      </c>
    </row>
    <row r="1507">
      <c r="A1507" s="68">
        <v>45980.0</v>
      </c>
      <c r="B1507" s="62" t="s">
        <v>56</v>
      </c>
      <c r="C1507" s="62" t="s">
        <v>176</v>
      </c>
      <c r="D1507" s="62">
        <v>2.0</v>
      </c>
      <c r="E1507" s="62">
        <v>0.0</v>
      </c>
      <c r="F1507" s="62">
        <v>1.0</v>
      </c>
      <c r="G1507" s="62">
        <v>0.0</v>
      </c>
      <c r="H1507" s="62">
        <v>7.0</v>
      </c>
      <c r="I1507" s="62">
        <v>7.0</v>
      </c>
      <c r="J1507" s="62">
        <v>4.0</v>
      </c>
      <c r="K1507" s="62">
        <v>0.0</v>
      </c>
      <c r="L1507" s="62">
        <v>0.0</v>
      </c>
      <c r="M1507" s="62">
        <v>4.0</v>
      </c>
      <c r="N1507" s="62">
        <v>12.0</v>
      </c>
      <c r="O1507" s="62">
        <v>1.0</v>
      </c>
      <c r="P1507" s="62">
        <v>12.0</v>
      </c>
      <c r="Q1507" s="62">
        <v>0.0</v>
      </c>
      <c r="R1507" s="62">
        <v>4145.0</v>
      </c>
      <c r="S1507" s="62">
        <v>0.0</v>
      </c>
      <c r="T1507" s="62">
        <v>0.0</v>
      </c>
      <c r="U1507" s="62">
        <v>0.220555555555555</v>
      </c>
      <c r="V1507" s="62">
        <v>0.0</v>
      </c>
      <c r="W1507" s="62">
        <v>1.54805555555555</v>
      </c>
      <c r="X1507" s="62">
        <v>1.54805555555555</v>
      </c>
      <c r="Y1507" s="62">
        <v>0.835277777777777</v>
      </c>
      <c r="Z1507" s="62">
        <v>0.0</v>
      </c>
      <c r="AA1507" s="62">
        <v>0.0</v>
      </c>
      <c r="AB1507" s="62">
        <v>0.835277777777777</v>
      </c>
      <c r="AC1507" s="62">
        <v>2.40972222222222</v>
      </c>
      <c r="AD1507" s="62">
        <v>0.156111111111111</v>
      </c>
      <c r="AE1507" s="62">
        <v>2.40972222222222</v>
      </c>
      <c r="AF1507" s="62">
        <v>0.0</v>
      </c>
    </row>
    <row r="1508">
      <c r="A1508" s="68">
        <v>45980.0</v>
      </c>
      <c r="B1508" s="62" t="s">
        <v>26</v>
      </c>
      <c r="C1508" s="62" t="s">
        <v>178</v>
      </c>
      <c r="D1508" s="62">
        <v>1.0</v>
      </c>
      <c r="E1508" s="62">
        <v>4.0</v>
      </c>
      <c r="F1508" s="62">
        <v>0.0</v>
      </c>
      <c r="G1508" s="62">
        <v>1.0</v>
      </c>
      <c r="H1508" s="62">
        <v>1.0</v>
      </c>
      <c r="I1508" s="62">
        <v>0.0</v>
      </c>
      <c r="J1508" s="62">
        <v>4.0</v>
      </c>
      <c r="K1508" s="62">
        <v>1.0</v>
      </c>
      <c r="L1508" s="62">
        <v>1.0</v>
      </c>
      <c r="M1508" s="62">
        <v>5.0</v>
      </c>
      <c r="N1508" s="62">
        <v>0.0</v>
      </c>
      <c r="O1508" s="62">
        <v>1.0</v>
      </c>
      <c r="P1508" s="62">
        <v>0.0</v>
      </c>
      <c r="Q1508" s="62">
        <v>0.0</v>
      </c>
      <c r="R1508" s="62">
        <v>3141.0</v>
      </c>
      <c r="S1508" s="62">
        <v>9326.0</v>
      </c>
      <c r="T1508" s="62">
        <v>0.0</v>
      </c>
      <c r="U1508" s="62">
        <v>0.0</v>
      </c>
      <c r="V1508" s="62">
        <v>0.198055555555555</v>
      </c>
      <c r="W1508" s="62">
        <v>0.198055555555555</v>
      </c>
      <c r="X1508" s="62">
        <v>0.0</v>
      </c>
      <c r="Y1508" s="62">
        <v>0.7825</v>
      </c>
      <c r="Z1508" s="62">
        <v>0.202222222222222</v>
      </c>
      <c r="AA1508" s="62">
        <v>0.202222222222222</v>
      </c>
      <c r="AB1508" s="62">
        <v>0.984722222222222</v>
      </c>
      <c r="AC1508" s="62">
        <v>0.0</v>
      </c>
      <c r="AD1508" s="62">
        <v>0.198055555555555</v>
      </c>
      <c r="AE1508" s="62">
        <v>0.0</v>
      </c>
      <c r="AF1508" s="62">
        <v>0.0</v>
      </c>
    </row>
    <row r="1509">
      <c r="A1509" s="68">
        <v>45979.0</v>
      </c>
      <c r="B1509" s="62" t="s">
        <v>76</v>
      </c>
      <c r="C1509" s="62" t="s">
        <v>165</v>
      </c>
      <c r="D1509" s="62">
        <v>0.0</v>
      </c>
      <c r="E1509" s="62">
        <v>0.0</v>
      </c>
      <c r="F1509" s="62">
        <v>4.0</v>
      </c>
      <c r="G1509" s="62">
        <v>2.0</v>
      </c>
      <c r="H1509" s="62">
        <v>2.0</v>
      </c>
      <c r="I1509" s="62">
        <v>0.0</v>
      </c>
      <c r="J1509" s="62">
        <v>4.0</v>
      </c>
      <c r="K1509" s="62">
        <v>0.0</v>
      </c>
      <c r="L1509" s="62">
        <v>1.0</v>
      </c>
      <c r="M1509" s="62">
        <v>6.0</v>
      </c>
      <c r="N1509" s="62">
        <v>1.0</v>
      </c>
      <c r="O1509" s="62">
        <v>1.0</v>
      </c>
      <c r="P1509" s="62">
        <v>1.0</v>
      </c>
      <c r="Q1509" s="62">
        <v>0.0</v>
      </c>
      <c r="R1509" s="62">
        <v>0.0</v>
      </c>
      <c r="S1509" s="62">
        <v>0.0</v>
      </c>
      <c r="T1509" s="62">
        <v>0.951666666666666</v>
      </c>
      <c r="U1509" s="62">
        <v>0.951666666666666</v>
      </c>
      <c r="V1509" s="62">
        <v>0.471388888888888</v>
      </c>
      <c r="W1509" s="62">
        <v>0.471388888888888</v>
      </c>
      <c r="X1509" s="62">
        <v>0.0</v>
      </c>
      <c r="Y1509" s="62">
        <v>0.958055555555555</v>
      </c>
      <c r="Z1509" s="62">
        <v>0.0</v>
      </c>
      <c r="AA1509" s="62">
        <v>0.235833333333333</v>
      </c>
      <c r="AB1509" s="62">
        <v>1.44138888888888</v>
      </c>
      <c r="AC1509" s="62">
        <v>0.235277777777777</v>
      </c>
      <c r="AD1509" s="62">
        <v>0.239444444444444</v>
      </c>
      <c r="AE1509" s="62">
        <v>0.235277777777777</v>
      </c>
      <c r="AF1509" s="62">
        <v>4.0</v>
      </c>
    </row>
    <row r="1510">
      <c r="A1510" s="68">
        <v>45979.0</v>
      </c>
      <c r="B1510" s="62" t="s">
        <v>32</v>
      </c>
      <c r="C1510" s="62" t="s">
        <v>168</v>
      </c>
      <c r="D1510" s="62">
        <v>5.0</v>
      </c>
      <c r="E1510" s="62">
        <v>6.0</v>
      </c>
      <c r="F1510" s="62">
        <v>1.0</v>
      </c>
      <c r="G1510" s="62">
        <v>0.0</v>
      </c>
      <c r="H1510" s="62">
        <v>1.0</v>
      </c>
      <c r="I1510" s="62">
        <v>1.0</v>
      </c>
      <c r="J1510" s="62">
        <v>3.0</v>
      </c>
      <c r="K1510" s="62">
        <v>1.0</v>
      </c>
      <c r="L1510" s="62">
        <v>0.0</v>
      </c>
      <c r="M1510" s="62">
        <v>7.0</v>
      </c>
      <c r="N1510" s="62">
        <v>4.0</v>
      </c>
      <c r="O1510" s="62">
        <v>1.0</v>
      </c>
      <c r="P1510" s="62">
        <v>4.0</v>
      </c>
      <c r="Q1510" s="62">
        <v>0.0</v>
      </c>
      <c r="R1510" s="62">
        <v>13483.0</v>
      </c>
      <c r="S1510" s="62">
        <v>13577.0</v>
      </c>
      <c r="T1510" s="62">
        <v>0.436944444444444</v>
      </c>
      <c r="U1510" s="62">
        <v>0.219722222222222</v>
      </c>
      <c r="V1510" s="62">
        <v>0.0</v>
      </c>
      <c r="W1510" s="62">
        <v>0.217222222222222</v>
      </c>
      <c r="X1510" s="62">
        <v>0.217222222222222</v>
      </c>
      <c r="Y1510" s="62">
        <v>0.624444444444444</v>
      </c>
      <c r="Z1510" s="62">
        <v>0.216944444444444</v>
      </c>
      <c r="AA1510" s="62">
        <v>0.0</v>
      </c>
      <c r="AB1510" s="62">
        <v>1.45666666666666</v>
      </c>
      <c r="AC1510" s="62">
        <v>0.824722222222222</v>
      </c>
      <c r="AD1510" s="62">
        <v>0.208888888888888</v>
      </c>
      <c r="AE1510" s="62">
        <v>0.824722222222222</v>
      </c>
      <c r="AF1510" s="62">
        <v>2.0</v>
      </c>
    </row>
    <row r="1511">
      <c r="A1511" s="68">
        <v>45979.0</v>
      </c>
      <c r="B1511" s="62" t="s">
        <v>56</v>
      </c>
      <c r="C1511" s="62" t="s">
        <v>176</v>
      </c>
      <c r="D1511" s="62">
        <v>4.0</v>
      </c>
      <c r="E1511" s="62">
        <v>1.0</v>
      </c>
      <c r="F1511" s="62">
        <v>1.0</v>
      </c>
      <c r="G1511" s="62">
        <v>0.0</v>
      </c>
      <c r="H1511" s="62">
        <v>6.0</v>
      </c>
      <c r="I1511" s="62">
        <v>6.0</v>
      </c>
      <c r="J1511" s="62">
        <v>4.0</v>
      </c>
      <c r="K1511" s="62">
        <v>0.0</v>
      </c>
      <c r="L1511" s="62">
        <v>0.0</v>
      </c>
      <c r="M1511" s="62">
        <v>8.0</v>
      </c>
      <c r="N1511" s="62">
        <v>0.0</v>
      </c>
      <c r="O1511" s="62">
        <v>1.0</v>
      </c>
      <c r="P1511" s="62">
        <v>0.0</v>
      </c>
      <c r="Q1511" s="62">
        <v>0.0</v>
      </c>
      <c r="R1511" s="62">
        <v>8291.0</v>
      </c>
      <c r="S1511" s="62">
        <v>2185.0</v>
      </c>
      <c r="T1511" s="62">
        <v>3.25611111111111</v>
      </c>
      <c r="U1511" s="62">
        <v>0.211388888888888</v>
      </c>
      <c r="V1511" s="62">
        <v>0.0</v>
      </c>
      <c r="W1511" s="62">
        <v>1.27611111111111</v>
      </c>
      <c r="X1511" s="62">
        <v>1.27611111111111</v>
      </c>
      <c r="Y1511" s="62">
        <v>0.909444444444444</v>
      </c>
      <c r="Z1511" s="62">
        <v>0.0</v>
      </c>
      <c r="AA1511" s="62">
        <v>0.0</v>
      </c>
      <c r="AB1511" s="62">
        <v>1.57444444444444</v>
      </c>
      <c r="AC1511" s="62">
        <v>0.0</v>
      </c>
      <c r="AD1511" s="62">
        <v>0.166944444444444</v>
      </c>
      <c r="AE1511" s="62">
        <v>0.0</v>
      </c>
      <c r="AF1511" s="62">
        <v>15.0</v>
      </c>
    </row>
    <row r="1512">
      <c r="A1512" s="68">
        <v>45979.0</v>
      </c>
      <c r="B1512" s="62" t="s">
        <v>26</v>
      </c>
      <c r="C1512" s="62" t="s">
        <v>178</v>
      </c>
      <c r="D1512" s="62">
        <v>5.0</v>
      </c>
      <c r="E1512" s="62">
        <v>9.0</v>
      </c>
      <c r="F1512" s="62">
        <v>0.0</v>
      </c>
      <c r="G1512" s="62">
        <v>0.0</v>
      </c>
      <c r="H1512" s="62">
        <v>8.0</v>
      </c>
      <c r="I1512" s="62">
        <v>8.0</v>
      </c>
      <c r="J1512" s="62">
        <v>4.0</v>
      </c>
      <c r="K1512" s="62">
        <v>0.0</v>
      </c>
      <c r="L1512" s="62">
        <v>1.0</v>
      </c>
      <c r="M1512" s="62">
        <v>4.0</v>
      </c>
      <c r="N1512" s="62">
        <v>3.0</v>
      </c>
      <c r="O1512" s="62">
        <v>2.0</v>
      </c>
      <c r="P1512" s="62">
        <v>3.0</v>
      </c>
      <c r="Q1512" s="62">
        <v>0.0</v>
      </c>
      <c r="R1512" s="62">
        <v>12121.0</v>
      </c>
      <c r="S1512" s="62">
        <v>17863.0</v>
      </c>
      <c r="T1512" s="62">
        <v>0.781944444444444</v>
      </c>
      <c r="U1512" s="62">
        <v>0.0</v>
      </c>
      <c r="V1512" s="62">
        <v>0.0</v>
      </c>
      <c r="W1512" s="62">
        <v>1.55444444444444</v>
      </c>
      <c r="X1512" s="62">
        <v>1.55444444444444</v>
      </c>
      <c r="Y1512" s="62">
        <v>0.778611111111111</v>
      </c>
      <c r="Z1512" s="62">
        <v>0.0</v>
      </c>
      <c r="AA1512" s="62">
        <v>0.214444444444444</v>
      </c>
      <c r="AB1512" s="62">
        <v>0.806666666666666</v>
      </c>
      <c r="AC1512" s="62">
        <v>0.623888888888888</v>
      </c>
      <c r="AD1512" s="62">
        <v>0.366111111111111</v>
      </c>
      <c r="AE1512" s="62">
        <v>0.623888888888888</v>
      </c>
      <c r="AF1512" s="62">
        <v>4.0</v>
      </c>
    </row>
    <row r="1513">
      <c r="A1513" s="68">
        <v>45978.0</v>
      </c>
      <c r="B1513" s="62" t="s">
        <v>71</v>
      </c>
      <c r="C1513" s="62" t="s">
        <v>163</v>
      </c>
      <c r="D1513" s="62">
        <v>0.0</v>
      </c>
      <c r="E1513" s="62">
        <v>1.0</v>
      </c>
      <c r="F1513" s="62">
        <v>0.0</v>
      </c>
      <c r="G1513" s="62">
        <v>0.0</v>
      </c>
      <c r="H1513" s="62">
        <v>0.0</v>
      </c>
      <c r="I1513" s="62">
        <v>0.0</v>
      </c>
      <c r="J1513" s="62">
        <v>0.0</v>
      </c>
      <c r="K1513" s="62">
        <v>0.0</v>
      </c>
      <c r="L1513" s="62">
        <v>0.0</v>
      </c>
      <c r="M1513" s="62">
        <v>0.0</v>
      </c>
      <c r="N1513" s="62">
        <v>0.0</v>
      </c>
      <c r="O1513" s="62">
        <v>0.0</v>
      </c>
      <c r="P1513" s="62">
        <v>0.0</v>
      </c>
      <c r="Q1513" s="62">
        <v>0.0</v>
      </c>
      <c r="R1513" s="62">
        <v>0.0</v>
      </c>
      <c r="S1513" s="62">
        <v>2744.0</v>
      </c>
      <c r="T1513" s="62">
        <v>0.0</v>
      </c>
      <c r="U1513" s="62">
        <v>0.0</v>
      </c>
      <c r="V1513" s="62">
        <v>0.0</v>
      </c>
      <c r="W1513" s="62">
        <v>0.0</v>
      </c>
      <c r="X1513" s="62">
        <v>0.0</v>
      </c>
      <c r="Y1513" s="62">
        <v>0.0</v>
      </c>
      <c r="Z1513" s="62">
        <v>0.0</v>
      </c>
      <c r="AA1513" s="62">
        <v>0.0</v>
      </c>
      <c r="AB1513" s="62">
        <v>0.0</v>
      </c>
      <c r="AC1513" s="62">
        <v>0.0</v>
      </c>
      <c r="AD1513" s="62">
        <v>0.0</v>
      </c>
      <c r="AE1513" s="62">
        <v>0.0</v>
      </c>
      <c r="AF1513" s="62">
        <v>0.0</v>
      </c>
    </row>
    <row r="1514">
      <c r="A1514" s="68">
        <v>45978.0</v>
      </c>
      <c r="B1514" s="62" t="s">
        <v>76</v>
      </c>
      <c r="C1514" s="62" t="s">
        <v>165</v>
      </c>
      <c r="D1514" s="62">
        <v>0.0</v>
      </c>
      <c r="E1514" s="62">
        <v>5.0</v>
      </c>
      <c r="F1514" s="62">
        <v>4.0</v>
      </c>
      <c r="G1514" s="62">
        <v>2.0</v>
      </c>
      <c r="H1514" s="62">
        <v>5.0</v>
      </c>
      <c r="I1514" s="62">
        <v>3.0</v>
      </c>
      <c r="J1514" s="62">
        <v>4.0</v>
      </c>
      <c r="K1514" s="62">
        <v>2.0</v>
      </c>
      <c r="L1514" s="62">
        <v>1.0</v>
      </c>
      <c r="M1514" s="62">
        <v>7.0</v>
      </c>
      <c r="N1514" s="62">
        <v>1.0</v>
      </c>
      <c r="O1514" s="62">
        <v>1.0</v>
      </c>
      <c r="P1514" s="62">
        <v>1.0</v>
      </c>
      <c r="Q1514" s="62">
        <v>0.0</v>
      </c>
      <c r="R1514" s="62">
        <v>0.0</v>
      </c>
      <c r="S1514" s="62">
        <v>12131.0</v>
      </c>
      <c r="T1514" s="62">
        <v>1.19555555555555</v>
      </c>
      <c r="U1514" s="62">
        <v>0.934722222222222</v>
      </c>
      <c r="V1514" s="62">
        <v>0.466111111111111</v>
      </c>
      <c r="W1514" s="62">
        <v>1.18916666666666</v>
      </c>
      <c r="X1514" s="62">
        <v>0.723055555555555</v>
      </c>
      <c r="Y1514" s="62">
        <v>0.954444444444444</v>
      </c>
      <c r="Z1514" s="62">
        <v>0.483333333333333</v>
      </c>
      <c r="AA1514" s="62">
        <v>0.2475</v>
      </c>
      <c r="AB1514" s="62">
        <v>1.65499999999999</v>
      </c>
      <c r="AC1514" s="62">
        <v>0.233888888888888</v>
      </c>
      <c r="AD1514" s="62">
        <v>0.248055555555555</v>
      </c>
      <c r="AE1514" s="62">
        <v>0.233888888888888</v>
      </c>
      <c r="AF1514" s="62">
        <v>5.0</v>
      </c>
    </row>
    <row r="1515">
      <c r="A1515" s="68">
        <v>45978.0</v>
      </c>
      <c r="B1515" s="62" t="s">
        <v>32</v>
      </c>
      <c r="C1515" s="62" t="s">
        <v>168</v>
      </c>
      <c r="D1515" s="62">
        <v>0.0</v>
      </c>
      <c r="E1515" s="62">
        <v>2.0</v>
      </c>
      <c r="F1515" s="62">
        <v>2.0</v>
      </c>
      <c r="G1515" s="62">
        <v>0.0</v>
      </c>
      <c r="H1515" s="62">
        <v>9.0</v>
      </c>
      <c r="I1515" s="62">
        <v>7.0</v>
      </c>
      <c r="J1515" s="62">
        <v>6.0</v>
      </c>
      <c r="K1515" s="62">
        <v>0.0</v>
      </c>
      <c r="L1515" s="62">
        <v>0.0</v>
      </c>
      <c r="M1515" s="62">
        <v>1.0</v>
      </c>
      <c r="N1515" s="62">
        <v>0.0</v>
      </c>
      <c r="O1515" s="62">
        <v>1.0</v>
      </c>
      <c r="P1515" s="62">
        <v>0.0</v>
      </c>
      <c r="Q1515" s="62">
        <v>0.0</v>
      </c>
      <c r="R1515" s="62">
        <v>0.0</v>
      </c>
      <c r="S1515" s="62">
        <v>4559.0</v>
      </c>
      <c r="T1515" s="62">
        <v>0.65</v>
      </c>
      <c r="U1515" s="62">
        <v>0.423888888888888</v>
      </c>
      <c r="V1515" s="62">
        <v>0.0</v>
      </c>
      <c r="W1515" s="62">
        <v>1.935</v>
      </c>
      <c r="X1515" s="62">
        <v>1.52</v>
      </c>
      <c r="Y1515" s="62">
        <v>1.25</v>
      </c>
      <c r="Z1515" s="62">
        <v>0.0</v>
      </c>
      <c r="AA1515" s="62">
        <v>0.0</v>
      </c>
      <c r="AB1515" s="62">
        <v>0.200555555555555</v>
      </c>
      <c r="AC1515" s="62">
        <v>0.0</v>
      </c>
      <c r="AD1515" s="62">
        <v>0.207777777777777</v>
      </c>
      <c r="AE1515" s="62">
        <v>0.0</v>
      </c>
      <c r="AF1515" s="62">
        <v>3.0</v>
      </c>
    </row>
    <row r="1516">
      <c r="A1516" s="68">
        <v>45978.0</v>
      </c>
      <c r="B1516" s="62" t="s">
        <v>56</v>
      </c>
      <c r="C1516" s="62" t="s">
        <v>176</v>
      </c>
      <c r="D1516" s="62">
        <v>3.0</v>
      </c>
      <c r="E1516" s="62">
        <v>6.0</v>
      </c>
      <c r="F1516" s="62">
        <v>0.0</v>
      </c>
      <c r="G1516" s="62">
        <v>0.0</v>
      </c>
      <c r="H1516" s="62">
        <v>7.0</v>
      </c>
      <c r="I1516" s="62">
        <v>7.0</v>
      </c>
      <c r="J1516" s="62">
        <v>7.0</v>
      </c>
      <c r="K1516" s="62">
        <v>0.0</v>
      </c>
      <c r="L1516" s="62">
        <v>0.0</v>
      </c>
      <c r="M1516" s="62">
        <v>3.0</v>
      </c>
      <c r="N1516" s="62">
        <v>27.0</v>
      </c>
      <c r="O1516" s="62">
        <v>1.0</v>
      </c>
      <c r="P1516" s="62">
        <v>27.0</v>
      </c>
      <c r="Q1516" s="62">
        <v>0.0</v>
      </c>
      <c r="R1516" s="62">
        <v>6345.0</v>
      </c>
      <c r="S1516" s="62">
        <v>11939.0</v>
      </c>
      <c r="T1516" s="62">
        <v>1.34277777777777</v>
      </c>
      <c r="U1516" s="62">
        <v>0.0</v>
      </c>
      <c r="V1516" s="62">
        <v>0.0</v>
      </c>
      <c r="W1516" s="62">
        <v>1.34277777777777</v>
      </c>
      <c r="X1516" s="62">
        <v>1.34277777777777</v>
      </c>
      <c r="Y1516" s="62">
        <v>1.31</v>
      </c>
      <c r="Z1516" s="62">
        <v>0.0</v>
      </c>
      <c r="AA1516" s="62">
        <v>0.0</v>
      </c>
      <c r="AB1516" s="62">
        <v>0.645</v>
      </c>
      <c r="AC1516" s="62">
        <v>4.59472222222222</v>
      </c>
      <c r="AD1516" s="62">
        <v>0.156666666666666</v>
      </c>
      <c r="AE1516" s="62">
        <v>4.59472222222222</v>
      </c>
      <c r="AF1516" s="62">
        <v>7.0</v>
      </c>
    </row>
    <row r="1517">
      <c r="A1517" s="68">
        <v>45978.0</v>
      </c>
      <c r="B1517" s="62" t="s">
        <v>26</v>
      </c>
      <c r="C1517" s="62" t="s">
        <v>178</v>
      </c>
      <c r="D1517" s="62">
        <v>3.0</v>
      </c>
      <c r="E1517" s="62">
        <v>0.0</v>
      </c>
      <c r="F1517" s="62">
        <v>1.0</v>
      </c>
      <c r="G1517" s="62">
        <v>0.0</v>
      </c>
      <c r="H1517" s="62">
        <v>3.0</v>
      </c>
      <c r="I1517" s="62">
        <v>3.0</v>
      </c>
      <c r="J1517" s="62">
        <v>3.0</v>
      </c>
      <c r="K1517" s="62">
        <v>1.0</v>
      </c>
      <c r="L1517" s="62">
        <v>0.0</v>
      </c>
      <c r="M1517" s="62">
        <v>2.0</v>
      </c>
      <c r="N1517" s="62">
        <v>0.0</v>
      </c>
      <c r="O1517" s="62">
        <v>1.0</v>
      </c>
      <c r="P1517" s="62">
        <v>0.0</v>
      </c>
      <c r="Q1517" s="62">
        <v>0.0</v>
      </c>
      <c r="R1517" s="62">
        <v>8177.0</v>
      </c>
      <c r="S1517" s="62">
        <v>0.0</v>
      </c>
      <c r="T1517" s="62">
        <v>1.55611111111111</v>
      </c>
      <c r="U1517" s="62">
        <v>0.195833333333333</v>
      </c>
      <c r="V1517" s="62">
        <v>0.0</v>
      </c>
      <c r="W1517" s="62">
        <v>0.587777777777777</v>
      </c>
      <c r="X1517" s="62">
        <v>0.587777777777777</v>
      </c>
      <c r="Y1517" s="62">
        <v>0.592222222222222</v>
      </c>
      <c r="Z1517" s="62">
        <v>0.214444444444444</v>
      </c>
      <c r="AA1517" s="62">
        <v>0.0</v>
      </c>
      <c r="AB1517" s="62">
        <v>0.409444444444444</v>
      </c>
      <c r="AC1517" s="62">
        <v>0.0</v>
      </c>
      <c r="AD1517" s="62">
        <v>0.239722222222222</v>
      </c>
      <c r="AE1517" s="62">
        <v>0.0</v>
      </c>
      <c r="AF1517" s="62">
        <v>8.0</v>
      </c>
    </row>
    <row r="1518">
      <c r="A1518" s="68">
        <v>45977.0</v>
      </c>
      <c r="B1518" s="62" t="s">
        <v>56</v>
      </c>
      <c r="C1518" s="62" t="s">
        <v>176</v>
      </c>
      <c r="D1518" s="62">
        <v>0.0</v>
      </c>
      <c r="E1518" s="62">
        <v>0.0</v>
      </c>
      <c r="F1518" s="62">
        <v>0.0</v>
      </c>
      <c r="G1518" s="62">
        <v>3.0</v>
      </c>
      <c r="H1518" s="62">
        <v>3.0</v>
      </c>
      <c r="I1518" s="62">
        <v>0.0</v>
      </c>
      <c r="J1518" s="62">
        <v>0.0</v>
      </c>
      <c r="K1518" s="62">
        <v>0.0</v>
      </c>
      <c r="L1518" s="62">
        <v>0.0</v>
      </c>
      <c r="M1518" s="62">
        <v>1.0</v>
      </c>
      <c r="N1518" s="62">
        <v>0.0</v>
      </c>
      <c r="O1518" s="62">
        <v>1.0</v>
      </c>
      <c r="P1518" s="62">
        <v>0.0</v>
      </c>
      <c r="Q1518" s="62">
        <v>0.0</v>
      </c>
      <c r="R1518" s="62">
        <v>0.0</v>
      </c>
      <c r="S1518" s="62">
        <v>0.0</v>
      </c>
      <c r="T1518" s="62">
        <v>0.0</v>
      </c>
      <c r="U1518" s="62">
        <v>0.0</v>
      </c>
      <c r="V1518" s="62">
        <v>0.645</v>
      </c>
      <c r="W1518" s="62">
        <v>0.645</v>
      </c>
      <c r="X1518" s="62">
        <v>0.0</v>
      </c>
      <c r="Y1518" s="62">
        <v>0.0</v>
      </c>
      <c r="Z1518" s="62">
        <v>0.0</v>
      </c>
      <c r="AA1518" s="62">
        <v>0.0</v>
      </c>
      <c r="AB1518" s="62">
        <v>0.148611111111111</v>
      </c>
      <c r="AC1518" s="62">
        <v>0.0</v>
      </c>
      <c r="AD1518" s="62">
        <v>0.150833333333333</v>
      </c>
      <c r="AE1518" s="62">
        <v>0.0</v>
      </c>
      <c r="AF1518" s="62">
        <v>0.0</v>
      </c>
    </row>
    <row r="1519">
      <c r="A1519" s="68">
        <v>45976.0</v>
      </c>
      <c r="B1519" s="62" t="s">
        <v>76</v>
      </c>
      <c r="C1519" s="62" t="s">
        <v>165</v>
      </c>
      <c r="D1519" s="62">
        <v>0.0</v>
      </c>
      <c r="E1519" s="62">
        <v>4.0</v>
      </c>
      <c r="F1519" s="62">
        <v>0.0</v>
      </c>
      <c r="G1519" s="62">
        <v>3.0</v>
      </c>
      <c r="H1519" s="62">
        <v>3.0</v>
      </c>
      <c r="I1519" s="62">
        <v>0.0</v>
      </c>
      <c r="J1519" s="62">
        <v>1.0</v>
      </c>
      <c r="K1519" s="62">
        <v>0.0</v>
      </c>
      <c r="L1519" s="62">
        <v>0.0</v>
      </c>
      <c r="M1519" s="62">
        <v>0.0</v>
      </c>
      <c r="N1519" s="62">
        <v>0.0</v>
      </c>
      <c r="O1519" s="62">
        <v>1.0</v>
      </c>
      <c r="P1519" s="62">
        <v>0.0</v>
      </c>
      <c r="Q1519" s="62">
        <v>0.0</v>
      </c>
      <c r="R1519" s="62">
        <v>0.0</v>
      </c>
      <c r="S1519" s="62">
        <v>9377.0</v>
      </c>
      <c r="T1519" s="62">
        <v>0.0</v>
      </c>
      <c r="U1519" s="62">
        <v>0.0</v>
      </c>
      <c r="V1519" s="62">
        <v>0.718611111111111</v>
      </c>
      <c r="W1519" s="62">
        <v>0.718611111111111</v>
      </c>
      <c r="X1519" s="62">
        <v>0.0</v>
      </c>
      <c r="Y1519" s="62">
        <v>0.238055555555555</v>
      </c>
      <c r="Z1519" s="62">
        <v>0.0</v>
      </c>
      <c r="AA1519" s="62">
        <v>0.0</v>
      </c>
      <c r="AB1519" s="62">
        <v>0.0</v>
      </c>
      <c r="AC1519" s="62">
        <v>0.0</v>
      </c>
      <c r="AD1519" s="62">
        <v>0.231388888888888</v>
      </c>
      <c r="AE1519" s="62">
        <v>0.0</v>
      </c>
      <c r="AF1519" s="62">
        <v>0.0</v>
      </c>
    </row>
    <row r="1520">
      <c r="A1520" s="68">
        <v>45975.0</v>
      </c>
      <c r="B1520" s="62" t="s">
        <v>76</v>
      </c>
      <c r="C1520" s="62" t="s">
        <v>165</v>
      </c>
      <c r="D1520" s="62">
        <v>14.0</v>
      </c>
      <c r="E1520" s="62">
        <v>4.0</v>
      </c>
      <c r="F1520" s="62">
        <v>0.0</v>
      </c>
      <c r="G1520" s="62">
        <v>1.0</v>
      </c>
      <c r="H1520" s="62">
        <v>1.0</v>
      </c>
      <c r="I1520" s="62">
        <v>0.0</v>
      </c>
      <c r="J1520" s="62">
        <v>2.0</v>
      </c>
      <c r="K1520" s="62">
        <v>0.0</v>
      </c>
      <c r="L1520" s="62">
        <v>0.0</v>
      </c>
      <c r="M1520" s="62">
        <v>1.0</v>
      </c>
      <c r="N1520" s="62">
        <v>5.0</v>
      </c>
      <c r="O1520" s="62">
        <v>1.0</v>
      </c>
      <c r="P1520" s="62">
        <v>5.0</v>
      </c>
      <c r="Q1520" s="62">
        <v>0.0</v>
      </c>
      <c r="R1520" s="62">
        <v>30849.0</v>
      </c>
      <c r="S1520" s="62">
        <v>9918.0</v>
      </c>
      <c r="T1520" s="62">
        <v>0.462222222222222</v>
      </c>
      <c r="U1520" s="62">
        <v>0.0</v>
      </c>
      <c r="V1520" s="62">
        <v>0.233888888888888</v>
      </c>
      <c r="W1520" s="62">
        <v>0.233888888888888</v>
      </c>
      <c r="X1520" s="62">
        <v>0.0</v>
      </c>
      <c r="Y1520" s="62">
        <v>0.467777777777777</v>
      </c>
      <c r="Z1520" s="62">
        <v>0.0</v>
      </c>
      <c r="AA1520" s="62">
        <v>0.0</v>
      </c>
      <c r="AB1520" s="62">
        <v>0.235</v>
      </c>
      <c r="AC1520" s="62">
        <v>1.18305555555555</v>
      </c>
      <c r="AD1520" s="62">
        <v>0.234722222222222</v>
      </c>
      <c r="AE1520" s="62">
        <v>1.18305555555555</v>
      </c>
      <c r="AF1520" s="62">
        <v>2.0</v>
      </c>
    </row>
    <row r="1521">
      <c r="A1521" s="68">
        <v>45975.0</v>
      </c>
      <c r="B1521" s="62" t="s">
        <v>32</v>
      </c>
      <c r="C1521" s="62" t="s">
        <v>168</v>
      </c>
      <c r="D1521" s="62">
        <v>5.0</v>
      </c>
      <c r="E1521" s="62">
        <v>4.0</v>
      </c>
      <c r="F1521" s="62">
        <v>1.0</v>
      </c>
      <c r="G1521" s="62">
        <v>0.0</v>
      </c>
      <c r="H1521" s="62">
        <v>3.0</v>
      </c>
      <c r="I1521" s="62">
        <v>2.0</v>
      </c>
      <c r="J1521" s="62">
        <v>5.0</v>
      </c>
      <c r="K1521" s="62">
        <v>0.0</v>
      </c>
      <c r="L1521" s="62">
        <v>0.0</v>
      </c>
      <c r="M1521" s="62">
        <v>7.0</v>
      </c>
      <c r="N1521" s="62">
        <v>7.0</v>
      </c>
      <c r="O1521" s="62">
        <v>1.0</v>
      </c>
      <c r="P1521" s="62">
        <v>7.0</v>
      </c>
      <c r="Q1521" s="62">
        <v>0.0</v>
      </c>
      <c r="R1521" s="62">
        <v>13381.0</v>
      </c>
      <c r="S1521" s="62">
        <v>9293.0</v>
      </c>
      <c r="T1521" s="62">
        <v>1.91361111111111</v>
      </c>
      <c r="U1521" s="62">
        <v>0.207222222222222</v>
      </c>
      <c r="V1521" s="62">
        <v>0.0</v>
      </c>
      <c r="W1521" s="62">
        <v>0.6175</v>
      </c>
      <c r="X1521" s="62">
        <v>0.4125</v>
      </c>
      <c r="Y1521" s="62">
        <v>1.02194444444444</v>
      </c>
      <c r="Z1521" s="62">
        <v>0.0</v>
      </c>
      <c r="AA1521" s="62">
        <v>0.0</v>
      </c>
      <c r="AB1521" s="62">
        <v>1.43194444444444</v>
      </c>
      <c r="AC1521" s="62">
        <v>1.43194444444444</v>
      </c>
      <c r="AD1521" s="62">
        <v>0.199444444444444</v>
      </c>
      <c r="AE1521" s="62">
        <v>1.43194444444444</v>
      </c>
      <c r="AF1521" s="62">
        <v>9.0</v>
      </c>
    </row>
    <row r="1522">
      <c r="A1522" s="68">
        <v>45975.0</v>
      </c>
      <c r="B1522" s="62" t="s">
        <v>56</v>
      </c>
      <c r="C1522" s="62" t="s">
        <v>176</v>
      </c>
      <c r="D1522" s="62">
        <v>3.0</v>
      </c>
      <c r="E1522" s="62">
        <v>6.0</v>
      </c>
      <c r="F1522" s="62">
        <v>4.0</v>
      </c>
      <c r="G1522" s="62">
        <v>1.0</v>
      </c>
      <c r="H1522" s="62">
        <v>1.0</v>
      </c>
      <c r="I1522" s="62">
        <v>0.0</v>
      </c>
      <c r="J1522" s="62">
        <v>1.0</v>
      </c>
      <c r="K1522" s="62">
        <v>0.0</v>
      </c>
      <c r="L1522" s="62">
        <v>0.0</v>
      </c>
      <c r="M1522" s="62">
        <v>4.0</v>
      </c>
      <c r="N1522" s="62">
        <v>0.0</v>
      </c>
      <c r="O1522" s="62">
        <v>1.0</v>
      </c>
      <c r="P1522" s="62">
        <v>0.0</v>
      </c>
      <c r="Q1522" s="62">
        <v>0.0</v>
      </c>
      <c r="R1522" s="62">
        <v>6271.0</v>
      </c>
      <c r="S1522" s="62">
        <v>12662.0</v>
      </c>
      <c r="T1522" s="62">
        <v>0.0</v>
      </c>
      <c r="U1522" s="62">
        <v>0.851666666666666</v>
      </c>
      <c r="V1522" s="62">
        <v>0.211666666666666</v>
      </c>
      <c r="W1522" s="62">
        <v>0.211666666666666</v>
      </c>
      <c r="X1522" s="62">
        <v>0.0</v>
      </c>
      <c r="Y1522" s="62">
        <v>0.211666666666666</v>
      </c>
      <c r="Z1522" s="62">
        <v>0.0</v>
      </c>
      <c r="AA1522" s="62">
        <v>0.0</v>
      </c>
      <c r="AB1522" s="62">
        <v>0.8375</v>
      </c>
      <c r="AC1522" s="62">
        <v>0.0</v>
      </c>
      <c r="AD1522" s="62">
        <v>0.151111111111111</v>
      </c>
      <c r="AE1522" s="62">
        <v>0.0</v>
      </c>
      <c r="AF1522" s="62">
        <v>0.0</v>
      </c>
    </row>
    <row r="1523">
      <c r="A1523" s="68">
        <v>45975.0</v>
      </c>
      <c r="B1523" s="62" t="s">
        <v>26</v>
      </c>
      <c r="C1523" s="62" t="s">
        <v>178</v>
      </c>
      <c r="D1523" s="62">
        <v>3.0</v>
      </c>
      <c r="E1523" s="62">
        <v>0.0</v>
      </c>
      <c r="F1523" s="62">
        <v>0.0</v>
      </c>
      <c r="G1523" s="62">
        <v>0.0</v>
      </c>
      <c r="H1523" s="62">
        <v>1.0</v>
      </c>
      <c r="I1523" s="62">
        <v>0.0</v>
      </c>
      <c r="J1523" s="62">
        <v>3.0</v>
      </c>
      <c r="K1523" s="62">
        <v>0.0</v>
      </c>
      <c r="L1523" s="62">
        <v>4.0</v>
      </c>
      <c r="M1523" s="62">
        <v>3.0</v>
      </c>
      <c r="N1523" s="62">
        <v>11.0</v>
      </c>
      <c r="O1523" s="62">
        <v>1.0</v>
      </c>
      <c r="P1523" s="62">
        <v>11.0</v>
      </c>
      <c r="Q1523" s="62">
        <v>0.0</v>
      </c>
      <c r="R1523" s="62">
        <v>10002.0</v>
      </c>
      <c r="S1523" s="62">
        <v>0.0</v>
      </c>
      <c r="T1523" s="62">
        <v>0.0</v>
      </c>
      <c r="U1523" s="62">
        <v>0.0</v>
      </c>
      <c r="V1523" s="62">
        <v>0.0</v>
      </c>
      <c r="W1523" s="62">
        <v>0.214444444444444</v>
      </c>
      <c r="X1523" s="62">
        <v>0.0</v>
      </c>
      <c r="Y1523" s="62">
        <v>0.623888888888888</v>
      </c>
      <c r="Z1523" s="62">
        <v>0.0</v>
      </c>
      <c r="AA1523" s="62">
        <v>0.809999999999999</v>
      </c>
      <c r="AB1523" s="62">
        <v>0.603888888888888</v>
      </c>
      <c r="AC1523" s="62">
        <v>2.10722222222222</v>
      </c>
      <c r="AD1523" s="62">
        <v>0.1925</v>
      </c>
      <c r="AE1523" s="62">
        <v>2.10722222222222</v>
      </c>
      <c r="AF1523" s="62">
        <v>0.0</v>
      </c>
    </row>
    <row r="1524">
      <c r="A1524" s="68">
        <v>45974.0</v>
      </c>
      <c r="B1524" s="62" t="s">
        <v>71</v>
      </c>
      <c r="C1524" s="62" t="s">
        <v>163</v>
      </c>
      <c r="D1524" s="62">
        <v>11.0</v>
      </c>
      <c r="E1524" s="62">
        <v>0.0</v>
      </c>
      <c r="F1524" s="62">
        <v>0.0</v>
      </c>
      <c r="G1524" s="62">
        <v>0.0</v>
      </c>
      <c r="H1524" s="62">
        <v>0.0</v>
      </c>
      <c r="I1524" s="62">
        <v>0.0</v>
      </c>
      <c r="J1524" s="62">
        <v>0.0</v>
      </c>
      <c r="K1524" s="62">
        <v>0.0</v>
      </c>
      <c r="L1524" s="62">
        <v>0.0</v>
      </c>
      <c r="M1524" s="62">
        <v>0.0</v>
      </c>
      <c r="N1524" s="62">
        <v>0.0</v>
      </c>
      <c r="O1524" s="62">
        <v>0.0</v>
      </c>
      <c r="P1524" s="62">
        <v>0.0</v>
      </c>
      <c r="Q1524" s="62">
        <v>0.0</v>
      </c>
      <c r="R1524" s="62">
        <v>30855.0</v>
      </c>
      <c r="S1524" s="62">
        <v>0.0</v>
      </c>
      <c r="T1524" s="62">
        <v>0.0</v>
      </c>
      <c r="U1524" s="62">
        <v>0.0</v>
      </c>
      <c r="V1524" s="62">
        <v>0.0</v>
      </c>
      <c r="W1524" s="62">
        <v>0.0</v>
      </c>
      <c r="X1524" s="62">
        <v>0.0</v>
      </c>
      <c r="Y1524" s="62">
        <v>0.0</v>
      </c>
      <c r="Z1524" s="62">
        <v>0.0</v>
      </c>
      <c r="AA1524" s="62">
        <v>0.0</v>
      </c>
      <c r="AB1524" s="62">
        <v>0.0</v>
      </c>
      <c r="AC1524" s="62">
        <v>0.0</v>
      </c>
      <c r="AD1524" s="62">
        <v>0.0</v>
      </c>
      <c r="AE1524" s="62">
        <v>0.0</v>
      </c>
      <c r="AF1524" s="62">
        <v>0.0</v>
      </c>
    </row>
    <row r="1525">
      <c r="A1525" s="68">
        <v>45974.0</v>
      </c>
      <c r="B1525" s="62" t="s">
        <v>76</v>
      </c>
      <c r="C1525" s="62" t="s">
        <v>165</v>
      </c>
      <c r="D1525" s="62">
        <v>0.0</v>
      </c>
      <c r="E1525" s="62">
        <v>3.0</v>
      </c>
      <c r="F1525" s="62">
        <v>3.0</v>
      </c>
      <c r="G1525" s="62">
        <v>1.0</v>
      </c>
      <c r="H1525" s="62">
        <v>2.0</v>
      </c>
      <c r="I1525" s="62">
        <v>1.0</v>
      </c>
      <c r="J1525" s="62">
        <v>6.0</v>
      </c>
      <c r="K1525" s="62">
        <v>1.0</v>
      </c>
      <c r="L1525" s="62">
        <v>1.0</v>
      </c>
      <c r="M1525" s="62">
        <v>3.0</v>
      </c>
      <c r="N1525" s="62">
        <v>1.0</v>
      </c>
      <c r="O1525" s="62">
        <v>1.0</v>
      </c>
      <c r="P1525" s="62">
        <v>1.0</v>
      </c>
      <c r="Q1525" s="62">
        <v>0.0</v>
      </c>
      <c r="R1525" s="62">
        <v>0.0</v>
      </c>
      <c r="S1525" s="62">
        <v>7519.0</v>
      </c>
      <c r="T1525" s="62">
        <v>0.954722222222222</v>
      </c>
      <c r="U1525" s="62">
        <v>0.7175</v>
      </c>
      <c r="V1525" s="62">
        <v>0.233888888888888</v>
      </c>
      <c r="W1525" s="62">
        <v>0.471111111111111</v>
      </c>
      <c r="X1525" s="62">
        <v>0.237222222222222</v>
      </c>
      <c r="Y1525" s="62">
        <v>1.42833333333333</v>
      </c>
      <c r="Z1525" s="62">
        <v>0.235</v>
      </c>
      <c r="AA1525" s="62">
        <v>0.235</v>
      </c>
      <c r="AB1525" s="62">
        <v>0.715277777777777</v>
      </c>
      <c r="AC1525" s="62">
        <v>0.227222222222222</v>
      </c>
      <c r="AD1525" s="62">
        <v>0.243888888888888</v>
      </c>
      <c r="AE1525" s="62">
        <v>0.227222222222222</v>
      </c>
      <c r="AF1525" s="62">
        <v>4.0</v>
      </c>
    </row>
    <row r="1526">
      <c r="A1526" s="68">
        <v>45974.0</v>
      </c>
      <c r="B1526" s="62" t="s">
        <v>32</v>
      </c>
      <c r="C1526" s="62" t="s">
        <v>168</v>
      </c>
      <c r="D1526" s="62">
        <v>5.0</v>
      </c>
      <c r="E1526" s="62">
        <v>8.0</v>
      </c>
      <c r="F1526" s="62">
        <v>1.0</v>
      </c>
      <c r="G1526" s="62">
        <v>0.0</v>
      </c>
      <c r="H1526" s="62">
        <v>11.0</v>
      </c>
      <c r="I1526" s="62">
        <v>8.0</v>
      </c>
      <c r="J1526" s="62">
        <v>8.0</v>
      </c>
      <c r="K1526" s="62">
        <v>0.0</v>
      </c>
      <c r="L1526" s="62">
        <v>0.0</v>
      </c>
      <c r="M1526" s="62">
        <v>6.0</v>
      </c>
      <c r="N1526" s="62">
        <v>16.0</v>
      </c>
      <c r="O1526" s="62">
        <v>1.0</v>
      </c>
      <c r="P1526" s="62">
        <v>16.0</v>
      </c>
      <c r="Q1526" s="62">
        <v>0.0</v>
      </c>
      <c r="R1526" s="62">
        <v>13312.0</v>
      </c>
      <c r="S1526" s="62">
        <v>18393.0</v>
      </c>
      <c r="T1526" s="62">
        <v>0.396666666666666</v>
      </c>
      <c r="U1526" s="62">
        <v>0.206388888888888</v>
      </c>
      <c r="V1526" s="62">
        <v>0.0</v>
      </c>
      <c r="W1526" s="62">
        <v>2.2375</v>
      </c>
      <c r="X1526" s="62">
        <v>1.62361111111111</v>
      </c>
      <c r="Y1526" s="62">
        <v>1.61833333333333</v>
      </c>
      <c r="Z1526" s="62">
        <v>0.0</v>
      </c>
      <c r="AA1526" s="62">
        <v>0.0</v>
      </c>
      <c r="AB1526" s="62">
        <v>1.20833333333333</v>
      </c>
      <c r="AC1526" s="62">
        <v>3.38694444444444</v>
      </c>
      <c r="AD1526" s="62">
        <v>0.2025</v>
      </c>
      <c r="AE1526" s="62">
        <v>3.38694444444444</v>
      </c>
      <c r="AF1526" s="62">
        <v>2.0</v>
      </c>
    </row>
    <row r="1527">
      <c r="A1527" s="68">
        <v>45974.0</v>
      </c>
      <c r="B1527" s="62" t="s">
        <v>56</v>
      </c>
      <c r="C1527" s="62" t="s">
        <v>176</v>
      </c>
      <c r="D1527" s="62">
        <v>5.0</v>
      </c>
      <c r="E1527" s="62">
        <v>0.0</v>
      </c>
      <c r="F1527" s="62">
        <v>0.0</v>
      </c>
      <c r="G1527" s="62">
        <v>0.0</v>
      </c>
      <c r="H1527" s="62">
        <v>3.0</v>
      </c>
      <c r="I1527" s="62">
        <v>3.0</v>
      </c>
      <c r="J1527" s="62">
        <v>3.0</v>
      </c>
      <c r="K1527" s="62">
        <v>7.0</v>
      </c>
      <c r="L1527" s="62">
        <v>6.0</v>
      </c>
      <c r="M1527" s="62">
        <v>18.0</v>
      </c>
      <c r="N1527" s="62">
        <v>0.0</v>
      </c>
      <c r="O1527" s="62">
        <v>1.0</v>
      </c>
      <c r="P1527" s="62">
        <v>0.0</v>
      </c>
      <c r="Q1527" s="62">
        <v>0.0</v>
      </c>
      <c r="R1527" s="62">
        <v>9319.0</v>
      </c>
      <c r="S1527" s="62">
        <v>0.0</v>
      </c>
      <c r="T1527" s="62">
        <v>0.0</v>
      </c>
      <c r="U1527" s="62">
        <v>0.0</v>
      </c>
      <c r="V1527" s="62">
        <v>0.0</v>
      </c>
      <c r="W1527" s="62">
        <v>0.625555555555555</v>
      </c>
      <c r="X1527" s="62">
        <v>0.625555555555555</v>
      </c>
      <c r="Y1527" s="62">
        <v>0.625833333333333</v>
      </c>
      <c r="Z1527" s="62">
        <v>1.01416666666666</v>
      </c>
      <c r="AA1527" s="62">
        <v>0.922499999999999</v>
      </c>
      <c r="AB1527" s="62">
        <v>2.79833333333333</v>
      </c>
      <c r="AC1527" s="62">
        <v>0.0</v>
      </c>
      <c r="AD1527" s="62">
        <v>0.145555555555555</v>
      </c>
      <c r="AE1527" s="62">
        <v>0.0</v>
      </c>
      <c r="AF1527" s="62">
        <v>0.0</v>
      </c>
    </row>
    <row r="1528">
      <c r="A1528" s="68">
        <v>45974.0</v>
      </c>
      <c r="B1528" s="62" t="s">
        <v>26</v>
      </c>
      <c r="C1528" s="62" t="s">
        <v>178</v>
      </c>
      <c r="D1528" s="62">
        <v>5.0</v>
      </c>
      <c r="E1528" s="62">
        <v>7.0</v>
      </c>
      <c r="F1528" s="62">
        <v>1.0</v>
      </c>
      <c r="G1528" s="62">
        <v>1.0</v>
      </c>
      <c r="H1528" s="62">
        <v>6.0</v>
      </c>
      <c r="I1528" s="62">
        <v>5.0</v>
      </c>
      <c r="J1528" s="62">
        <v>4.0</v>
      </c>
      <c r="K1528" s="62">
        <v>4.0</v>
      </c>
      <c r="L1528" s="62">
        <v>0.0</v>
      </c>
      <c r="M1528" s="62">
        <v>2.0</v>
      </c>
      <c r="N1528" s="62">
        <v>1.0</v>
      </c>
      <c r="O1528" s="62">
        <v>1.0</v>
      </c>
      <c r="P1528" s="62">
        <v>1.0</v>
      </c>
      <c r="Q1528" s="62">
        <v>0.0</v>
      </c>
      <c r="R1528" s="62">
        <v>11922.0</v>
      </c>
      <c r="S1528" s="62">
        <v>15653.0</v>
      </c>
      <c r="T1528" s="62">
        <v>0.404722222222222</v>
      </c>
      <c r="U1528" s="62">
        <v>0.213055555555555</v>
      </c>
      <c r="V1528" s="62">
        <v>0.206111111111111</v>
      </c>
      <c r="W1528" s="62">
        <v>1.20888888888888</v>
      </c>
      <c r="X1528" s="62">
        <v>1.00277777777777</v>
      </c>
      <c r="Y1528" s="62">
        <v>0.809999999999999</v>
      </c>
      <c r="Z1528" s="62">
        <v>0.809999999999999</v>
      </c>
      <c r="AA1528" s="62">
        <v>0.0</v>
      </c>
      <c r="AB1528" s="62">
        <v>0.401666666666666</v>
      </c>
      <c r="AC1528" s="62">
        <v>0.176666666666666</v>
      </c>
      <c r="AD1528" s="62">
        <v>0.182777777777777</v>
      </c>
      <c r="AE1528" s="62">
        <v>0.176666666666666</v>
      </c>
      <c r="AF1528" s="62">
        <v>2.0</v>
      </c>
    </row>
    <row r="1529">
      <c r="A1529" s="68">
        <v>45973.0</v>
      </c>
      <c r="B1529" s="62" t="s">
        <v>76</v>
      </c>
      <c r="C1529" s="62" t="s">
        <v>165</v>
      </c>
      <c r="D1529" s="62">
        <v>0.0</v>
      </c>
      <c r="E1529" s="62">
        <v>7.0</v>
      </c>
      <c r="F1529" s="62">
        <v>2.0</v>
      </c>
      <c r="G1529" s="62">
        <v>4.0</v>
      </c>
      <c r="H1529" s="62">
        <v>6.0</v>
      </c>
      <c r="I1529" s="62">
        <v>2.0</v>
      </c>
      <c r="J1529" s="62">
        <v>2.0</v>
      </c>
      <c r="K1529" s="62">
        <v>0.0</v>
      </c>
      <c r="L1529" s="62">
        <v>0.0</v>
      </c>
      <c r="M1529" s="62">
        <v>2.0</v>
      </c>
      <c r="N1529" s="62">
        <v>8.0</v>
      </c>
      <c r="O1529" s="62">
        <v>1.0</v>
      </c>
      <c r="P1529" s="62">
        <v>8.0</v>
      </c>
      <c r="Q1529" s="62">
        <v>0.0</v>
      </c>
      <c r="R1529" s="62">
        <v>0.0</v>
      </c>
      <c r="S1529" s="62">
        <v>17608.0</v>
      </c>
      <c r="T1529" s="62">
        <v>0.941111111111111</v>
      </c>
      <c r="U1529" s="62">
        <v>0.465</v>
      </c>
      <c r="V1529" s="62">
        <v>0.950277777777777</v>
      </c>
      <c r="W1529" s="62">
        <v>1.42638888888888</v>
      </c>
      <c r="X1529" s="62">
        <v>0.476111111111111</v>
      </c>
      <c r="Y1529" s="62">
        <v>0.459999999999999</v>
      </c>
      <c r="Z1529" s="62">
        <v>0.0</v>
      </c>
      <c r="AA1529" s="62">
        <v>0.0</v>
      </c>
      <c r="AB1529" s="62">
        <v>0.459999999999999</v>
      </c>
      <c r="AC1529" s="62">
        <v>1.86694444444444</v>
      </c>
      <c r="AD1529" s="62">
        <v>0.255833333333333</v>
      </c>
      <c r="AE1529" s="62">
        <v>1.86694444444444</v>
      </c>
      <c r="AF1529" s="62">
        <v>4.0</v>
      </c>
    </row>
    <row r="1530">
      <c r="A1530" s="68">
        <v>45973.0</v>
      </c>
      <c r="B1530" s="62" t="s">
        <v>32</v>
      </c>
      <c r="C1530" s="62" t="s">
        <v>168</v>
      </c>
      <c r="D1530" s="62">
        <v>10.0</v>
      </c>
      <c r="E1530" s="62">
        <v>5.0</v>
      </c>
      <c r="F1530" s="62">
        <v>1.0</v>
      </c>
      <c r="G1530" s="62">
        <v>2.0</v>
      </c>
      <c r="H1530" s="62">
        <v>4.0</v>
      </c>
      <c r="I1530" s="62">
        <v>0.0</v>
      </c>
      <c r="J1530" s="62">
        <v>5.0</v>
      </c>
      <c r="K1530" s="62">
        <v>0.0</v>
      </c>
      <c r="L1530" s="62">
        <v>0.0</v>
      </c>
      <c r="M1530" s="62">
        <v>6.0</v>
      </c>
      <c r="N1530" s="62">
        <v>0.0</v>
      </c>
      <c r="O1530" s="62">
        <v>1.0</v>
      </c>
      <c r="P1530" s="62">
        <v>0.0</v>
      </c>
      <c r="Q1530" s="62">
        <v>0.0</v>
      </c>
      <c r="R1530" s="62">
        <v>26305.0</v>
      </c>
      <c r="S1530" s="62">
        <v>8891.0</v>
      </c>
      <c r="T1530" s="62">
        <v>1.64527777777777</v>
      </c>
      <c r="U1530" s="62">
        <v>0.211944444444444</v>
      </c>
      <c r="V1530" s="62">
        <v>0.426944444444444</v>
      </c>
      <c r="W1530" s="62">
        <v>0.855833333333333</v>
      </c>
      <c r="X1530" s="62">
        <v>0.0</v>
      </c>
      <c r="Y1530" s="62">
        <v>1.06805555555555</v>
      </c>
      <c r="Z1530" s="62">
        <v>0.0</v>
      </c>
      <c r="AA1530" s="62">
        <v>0.0</v>
      </c>
      <c r="AB1530" s="62">
        <v>1.27972222222222</v>
      </c>
      <c r="AC1530" s="62">
        <v>0.0</v>
      </c>
      <c r="AD1530" s="62">
        <v>0.217222222222222</v>
      </c>
      <c r="AE1530" s="62">
        <v>0.0</v>
      </c>
      <c r="AF1530" s="62">
        <v>8.0</v>
      </c>
    </row>
    <row r="1531">
      <c r="A1531" s="68">
        <v>45973.0</v>
      </c>
      <c r="B1531" s="62" t="s">
        <v>56</v>
      </c>
      <c r="C1531" s="62" t="s">
        <v>176</v>
      </c>
      <c r="D1531" s="62">
        <v>2.0</v>
      </c>
      <c r="E1531" s="62">
        <v>4.0</v>
      </c>
      <c r="F1531" s="62">
        <v>1.0</v>
      </c>
      <c r="G1531" s="62">
        <v>0.0</v>
      </c>
      <c r="H1531" s="62">
        <v>0.0</v>
      </c>
      <c r="I1531" s="62">
        <v>0.0</v>
      </c>
      <c r="J1531" s="62">
        <v>0.0</v>
      </c>
      <c r="K1531" s="62">
        <v>11.0</v>
      </c>
      <c r="L1531" s="62">
        <v>0.0</v>
      </c>
      <c r="M1531" s="62">
        <v>0.0</v>
      </c>
      <c r="N1531" s="62">
        <v>0.0</v>
      </c>
      <c r="O1531" s="62">
        <v>1.0</v>
      </c>
      <c r="P1531" s="62">
        <v>0.0</v>
      </c>
      <c r="Q1531" s="62">
        <v>0.0</v>
      </c>
      <c r="R1531" s="62">
        <v>4277.0</v>
      </c>
      <c r="S1531" s="62">
        <v>8359.0</v>
      </c>
      <c r="T1531" s="62">
        <v>0.837499999999999</v>
      </c>
      <c r="U1531" s="62">
        <v>0.159166666666666</v>
      </c>
      <c r="V1531" s="62">
        <v>0.0</v>
      </c>
      <c r="W1531" s="62">
        <v>0.0</v>
      </c>
      <c r="X1531" s="62">
        <v>0.0</v>
      </c>
      <c r="Y1531" s="62">
        <v>0.0</v>
      </c>
      <c r="Z1531" s="62">
        <v>1.77444444444444</v>
      </c>
      <c r="AA1531" s="62">
        <v>0.0</v>
      </c>
      <c r="AB1531" s="62">
        <v>0.0</v>
      </c>
      <c r="AC1531" s="62">
        <v>0.0</v>
      </c>
      <c r="AD1531" s="62">
        <v>0.157777777777777</v>
      </c>
      <c r="AE1531" s="62">
        <v>0.0</v>
      </c>
      <c r="AF1531" s="62">
        <v>4.0</v>
      </c>
    </row>
    <row r="1532">
      <c r="A1532" s="68">
        <v>45973.0</v>
      </c>
      <c r="B1532" s="62" t="s">
        <v>26</v>
      </c>
      <c r="C1532" s="62" t="s">
        <v>178</v>
      </c>
      <c r="D1532" s="62">
        <v>4.0</v>
      </c>
      <c r="E1532" s="62">
        <v>3.0</v>
      </c>
      <c r="F1532" s="62">
        <v>0.0</v>
      </c>
      <c r="G1532" s="62">
        <v>0.0</v>
      </c>
      <c r="H1532" s="62">
        <v>0.0</v>
      </c>
      <c r="I1532" s="62">
        <v>0.0</v>
      </c>
      <c r="J1532" s="62">
        <v>2.0</v>
      </c>
      <c r="K1532" s="62">
        <v>0.0</v>
      </c>
      <c r="L1532" s="62">
        <v>0.0</v>
      </c>
      <c r="M1532" s="62">
        <v>3.0</v>
      </c>
      <c r="N1532" s="62">
        <v>3.0</v>
      </c>
      <c r="O1532" s="62">
        <v>1.0</v>
      </c>
      <c r="P1532" s="62">
        <v>3.0</v>
      </c>
      <c r="Q1532" s="62">
        <v>0.0</v>
      </c>
      <c r="R1532" s="62">
        <v>8905.0</v>
      </c>
      <c r="S1532" s="62">
        <v>6686.0</v>
      </c>
      <c r="T1532" s="62">
        <v>0.811111111111111</v>
      </c>
      <c r="U1532" s="62">
        <v>0.0</v>
      </c>
      <c r="V1532" s="62">
        <v>0.0</v>
      </c>
      <c r="W1532" s="62">
        <v>0.0</v>
      </c>
      <c r="X1532" s="62">
        <v>0.0</v>
      </c>
      <c r="Y1532" s="62">
        <v>0.373333333333333</v>
      </c>
      <c r="Z1532" s="62">
        <v>0.0</v>
      </c>
      <c r="AA1532" s="62">
        <v>0.0</v>
      </c>
      <c r="AB1532" s="62">
        <v>0.554722222222222</v>
      </c>
      <c r="AC1532" s="62">
        <v>0.539166666666666</v>
      </c>
      <c r="AD1532" s="62">
        <v>0.181666666666666</v>
      </c>
      <c r="AE1532" s="62">
        <v>0.539166666666666</v>
      </c>
      <c r="AF1532" s="62">
        <v>4.0</v>
      </c>
    </row>
    <row r="1533">
      <c r="A1533" s="68">
        <v>45972.0</v>
      </c>
      <c r="B1533" s="62" t="s">
        <v>76</v>
      </c>
      <c r="C1533" s="62" t="s">
        <v>165</v>
      </c>
      <c r="D1533" s="62">
        <v>1.0</v>
      </c>
      <c r="E1533" s="62">
        <v>8.0</v>
      </c>
      <c r="F1533" s="62">
        <v>0.0</v>
      </c>
      <c r="G1533" s="62">
        <v>3.0</v>
      </c>
      <c r="H1533" s="62">
        <v>3.0</v>
      </c>
      <c r="I1533" s="62">
        <v>0.0</v>
      </c>
      <c r="J1533" s="62">
        <v>5.0</v>
      </c>
      <c r="K1533" s="62">
        <v>0.0</v>
      </c>
      <c r="L1533" s="62">
        <v>0.0</v>
      </c>
      <c r="M1533" s="62">
        <v>5.0</v>
      </c>
      <c r="N1533" s="62">
        <v>1.0</v>
      </c>
      <c r="O1533" s="62">
        <v>1.0</v>
      </c>
      <c r="P1533" s="62">
        <v>1.0</v>
      </c>
      <c r="Q1533" s="62">
        <v>0.0</v>
      </c>
      <c r="R1533" s="62">
        <v>2597.0</v>
      </c>
      <c r="S1533" s="62">
        <v>17389.0</v>
      </c>
      <c r="T1533" s="62">
        <v>0.0</v>
      </c>
      <c r="U1533" s="62">
        <v>0.0</v>
      </c>
      <c r="V1533" s="62">
        <v>0.686111111111111</v>
      </c>
      <c r="W1533" s="62">
        <v>0.686111111111111</v>
      </c>
      <c r="X1533" s="62">
        <v>0.0</v>
      </c>
      <c r="Y1533" s="62">
        <v>1.15222222222222</v>
      </c>
      <c r="Z1533" s="62">
        <v>0.0</v>
      </c>
      <c r="AA1533" s="62">
        <v>0.0</v>
      </c>
      <c r="AB1533" s="62">
        <v>1.15222222222222</v>
      </c>
      <c r="AC1533" s="62">
        <v>0.222222222222222</v>
      </c>
      <c r="AD1533" s="62">
        <v>0.249722222222222</v>
      </c>
      <c r="AE1533" s="62">
        <v>0.222222222222222</v>
      </c>
      <c r="AF1533" s="62">
        <v>0.0</v>
      </c>
    </row>
    <row r="1534">
      <c r="A1534" s="68">
        <v>45972.0</v>
      </c>
      <c r="B1534" s="62" t="s">
        <v>32</v>
      </c>
      <c r="C1534" s="62" t="s">
        <v>168</v>
      </c>
      <c r="D1534" s="62">
        <v>0.0</v>
      </c>
      <c r="E1534" s="62">
        <v>3.0</v>
      </c>
      <c r="F1534" s="62">
        <v>2.0</v>
      </c>
      <c r="G1534" s="62">
        <v>1.0</v>
      </c>
      <c r="H1534" s="62">
        <v>3.0</v>
      </c>
      <c r="I1534" s="62">
        <v>2.0</v>
      </c>
      <c r="J1534" s="62">
        <v>4.0</v>
      </c>
      <c r="K1534" s="62">
        <v>0.0</v>
      </c>
      <c r="L1534" s="62">
        <v>0.0</v>
      </c>
      <c r="M1534" s="62">
        <v>3.0</v>
      </c>
      <c r="N1534" s="62">
        <v>1.0</v>
      </c>
      <c r="O1534" s="62">
        <v>1.0</v>
      </c>
      <c r="P1534" s="62">
        <v>1.0</v>
      </c>
      <c r="Q1534" s="62">
        <v>0.0</v>
      </c>
      <c r="R1534" s="62">
        <v>0.0</v>
      </c>
      <c r="S1534" s="62">
        <v>6457.0</v>
      </c>
      <c r="T1534" s="62">
        <v>0.7775</v>
      </c>
      <c r="U1534" s="62">
        <v>0.400555555555555</v>
      </c>
      <c r="V1534" s="62">
        <v>0.231111111111111</v>
      </c>
      <c r="W1534" s="62">
        <v>0.608055555555555</v>
      </c>
      <c r="X1534" s="62">
        <v>0.376944444444444</v>
      </c>
      <c r="Y1534" s="62">
        <v>0.900277777777777</v>
      </c>
      <c r="Z1534" s="62">
        <v>0.0</v>
      </c>
      <c r="AA1534" s="62">
        <v>0.0</v>
      </c>
      <c r="AB1534" s="62">
        <v>0.688611111111111</v>
      </c>
      <c r="AC1534" s="62">
        <v>0.230833333333333</v>
      </c>
      <c r="AD1534" s="62">
        <v>0.214444444444444</v>
      </c>
      <c r="AE1534" s="62">
        <v>0.230833333333333</v>
      </c>
      <c r="AF1534" s="62">
        <v>4.0</v>
      </c>
    </row>
    <row r="1535">
      <c r="A1535" s="68">
        <v>45972.0</v>
      </c>
      <c r="B1535" s="62" t="s">
        <v>56</v>
      </c>
      <c r="C1535" s="62" t="s">
        <v>176</v>
      </c>
      <c r="D1535" s="62">
        <v>6.0</v>
      </c>
      <c r="E1535" s="62">
        <v>6.0</v>
      </c>
      <c r="F1535" s="62">
        <v>0.0</v>
      </c>
      <c r="G1535" s="62">
        <v>1.0</v>
      </c>
      <c r="H1535" s="62">
        <v>14.0</v>
      </c>
      <c r="I1535" s="62">
        <v>1.0</v>
      </c>
      <c r="J1535" s="62">
        <v>15.0</v>
      </c>
      <c r="K1535" s="62">
        <v>0.0</v>
      </c>
      <c r="L1535" s="62">
        <v>1.0</v>
      </c>
      <c r="M1535" s="62">
        <v>0.0</v>
      </c>
      <c r="N1535" s="62">
        <v>0.0</v>
      </c>
      <c r="O1535" s="62">
        <v>1.0</v>
      </c>
      <c r="P1535" s="62">
        <v>0.0</v>
      </c>
      <c r="Q1535" s="62">
        <v>0.0</v>
      </c>
      <c r="R1535" s="62">
        <v>10410.0</v>
      </c>
      <c r="S1535" s="62">
        <v>10334.0</v>
      </c>
      <c r="T1535" s="62">
        <v>0.0</v>
      </c>
      <c r="U1535" s="62">
        <v>0.0</v>
      </c>
      <c r="V1535" s="62">
        <v>0.167222222222222</v>
      </c>
      <c r="W1535" s="62">
        <v>2.17083333333333</v>
      </c>
      <c r="X1535" s="62">
        <v>0.138888888888888</v>
      </c>
      <c r="Y1535" s="62">
        <v>2.31611111111111</v>
      </c>
      <c r="Z1535" s="62">
        <v>0.0</v>
      </c>
      <c r="AA1535" s="62">
        <v>0.165277777777777</v>
      </c>
      <c r="AB1535" s="62">
        <v>0.0</v>
      </c>
      <c r="AC1535" s="62">
        <v>0.0</v>
      </c>
      <c r="AD1535" s="62">
        <v>0.141944444444444</v>
      </c>
      <c r="AE1535" s="62">
        <v>0.0</v>
      </c>
      <c r="AF1535" s="62">
        <v>0.0</v>
      </c>
    </row>
    <row r="1536">
      <c r="A1536" s="68">
        <v>45972.0</v>
      </c>
      <c r="B1536" s="62" t="s">
        <v>26</v>
      </c>
      <c r="C1536" s="62" t="s">
        <v>178</v>
      </c>
      <c r="D1536" s="62">
        <v>3.0</v>
      </c>
      <c r="E1536" s="62">
        <v>5.0</v>
      </c>
      <c r="F1536" s="62">
        <v>1.0</v>
      </c>
      <c r="G1536" s="62">
        <v>2.0</v>
      </c>
      <c r="H1536" s="62">
        <v>6.0</v>
      </c>
      <c r="I1536" s="62">
        <v>4.0</v>
      </c>
      <c r="J1536" s="62">
        <v>6.0</v>
      </c>
      <c r="K1536" s="62">
        <v>0.0</v>
      </c>
      <c r="L1536" s="62">
        <v>0.0</v>
      </c>
      <c r="M1536" s="62">
        <v>6.0</v>
      </c>
      <c r="N1536" s="62">
        <v>0.0</v>
      </c>
      <c r="O1536" s="62">
        <v>1.0</v>
      </c>
      <c r="P1536" s="62">
        <v>0.0</v>
      </c>
      <c r="Q1536" s="62">
        <v>0.0</v>
      </c>
      <c r="R1536" s="62">
        <v>7088.0</v>
      </c>
      <c r="S1536" s="62">
        <v>11176.0</v>
      </c>
      <c r="T1536" s="62">
        <v>0.945833333333333</v>
      </c>
      <c r="U1536" s="62">
        <v>0.2025</v>
      </c>
      <c r="V1536" s="62">
        <v>0.352222222222222</v>
      </c>
      <c r="W1536" s="62">
        <v>1.09555555555555</v>
      </c>
      <c r="X1536" s="62">
        <v>0.743333333333333</v>
      </c>
      <c r="Y1536" s="62">
        <v>1.08472222222222</v>
      </c>
      <c r="Z1536" s="62">
        <v>0.0</v>
      </c>
      <c r="AA1536" s="62">
        <v>0.0</v>
      </c>
      <c r="AB1536" s="62">
        <v>1.08444444444444</v>
      </c>
      <c r="AC1536" s="62">
        <v>0.0</v>
      </c>
      <c r="AD1536" s="62">
        <v>0.193611111111111</v>
      </c>
      <c r="AE1536" s="62">
        <v>0.0</v>
      </c>
      <c r="AF1536" s="62">
        <v>5.0</v>
      </c>
    </row>
    <row r="1537">
      <c r="A1537" s="68">
        <v>45971.0</v>
      </c>
      <c r="B1537" s="62" t="s">
        <v>76</v>
      </c>
      <c r="C1537" s="62" t="s">
        <v>165</v>
      </c>
      <c r="D1537" s="62">
        <v>6.0</v>
      </c>
      <c r="E1537" s="62">
        <v>4.0</v>
      </c>
      <c r="F1537" s="62">
        <v>9.0</v>
      </c>
      <c r="G1537" s="62">
        <v>3.0</v>
      </c>
      <c r="H1537" s="62">
        <v>5.0</v>
      </c>
      <c r="I1537" s="62">
        <v>3.0</v>
      </c>
      <c r="J1537" s="62">
        <v>1.0</v>
      </c>
      <c r="K1537" s="62">
        <v>0.0</v>
      </c>
      <c r="L1537" s="62">
        <v>0.0</v>
      </c>
      <c r="M1537" s="62">
        <v>4.0</v>
      </c>
      <c r="N1537" s="62">
        <v>0.0</v>
      </c>
      <c r="O1537" s="62">
        <v>1.0</v>
      </c>
      <c r="P1537" s="62">
        <v>0.0</v>
      </c>
      <c r="Q1537" s="62">
        <v>0.0</v>
      </c>
      <c r="R1537" s="62">
        <v>16298.0</v>
      </c>
      <c r="S1537" s="62">
        <v>9975.0</v>
      </c>
      <c r="T1537" s="62">
        <v>1.88138888888888</v>
      </c>
      <c r="U1537" s="62">
        <v>2.06972222222222</v>
      </c>
      <c r="V1537" s="62">
        <v>0.671388888888888</v>
      </c>
      <c r="W1537" s="62">
        <v>1.15888888888888</v>
      </c>
      <c r="X1537" s="62">
        <v>0.706111111111111</v>
      </c>
      <c r="Y1537" s="62">
        <v>0.236944444444444</v>
      </c>
      <c r="Z1537" s="62">
        <v>0.0</v>
      </c>
      <c r="AA1537" s="62">
        <v>0.0</v>
      </c>
      <c r="AB1537" s="62">
        <v>0.936944444444444</v>
      </c>
      <c r="AC1537" s="62">
        <v>0.0</v>
      </c>
      <c r="AD1537" s="62">
        <v>0.244444444444444</v>
      </c>
      <c r="AE1537" s="62">
        <v>0.0</v>
      </c>
      <c r="AF1537" s="62">
        <v>8.0</v>
      </c>
    </row>
    <row r="1538">
      <c r="A1538" s="68">
        <v>45971.0</v>
      </c>
      <c r="B1538" s="62" t="s">
        <v>32</v>
      </c>
      <c r="C1538" s="62" t="s">
        <v>168</v>
      </c>
      <c r="D1538" s="62">
        <v>0.0</v>
      </c>
      <c r="E1538" s="62">
        <v>0.0</v>
      </c>
      <c r="F1538" s="62">
        <v>2.0</v>
      </c>
      <c r="G1538" s="62">
        <v>0.0</v>
      </c>
      <c r="H1538" s="62">
        <v>3.0</v>
      </c>
      <c r="I1538" s="62">
        <v>3.0</v>
      </c>
      <c r="J1538" s="62">
        <v>0.0</v>
      </c>
      <c r="K1538" s="62">
        <v>0.0</v>
      </c>
      <c r="L1538" s="62">
        <v>0.0</v>
      </c>
      <c r="M1538" s="62">
        <v>3.0</v>
      </c>
      <c r="N1538" s="62">
        <v>1.0</v>
      </c>
      <c r="O1538" s="62">
        <v>1.0</v>
      </c>
      <c r="P1538" s="62">
        <v>1.0</v>
      </c>
      <c r="Q1538" s="62">
        <v>0.0</v>
      </c>
      <c r="R1538" s="62">
        <v>0.0</v>
      </c>
      <c r="S1538" s="62">
        <v>0.0</v>
      </c>
      <c r="T1538" s="62">
        <v>1.04611111111111</v>
      </c>
      <c r="U1538" s="62">
        <v>0.428055555555555</v>
      </c>
      <c r="V1538" s="62">
        <v>0.0</v>
      </c>
      <c r="W1538" s="62">
        <v>0.618055555555555</v>
      </c>
      <c r="X1538" s="62">
        <v>0.618055555555555</v>
      </c>
      <c r="Y1538" s="62">
        <v>0.0</v>
      </c>
      <c r="Z1538" s="62">
        <v>0.0</v>
      </c>
      <c r="AA1538" s="62">
        <v>0.0</v>
      </c>
      <c r="AB1538" s="62">
        <v>0.648888888888888</v>
      </c>
      <c r="AC1538" s="62">
        <v>0.207777777777777</v>
      </c>
      <c r="AD1538" s="62">
        <v>0.210833333333333</v>
      </c>
      <c r="AE1538" s="62">
        <v>0.207777777777777</v>
      </c>
      <c r="AF1538" s="62">
        <v>5.0</v>
      </c>
    </row>
    <row r="1539">
      <c r="A1539" s="68">
        <v>45971.0</v>
      </c>
      <c r="B1539" s="62" t="s">
        <v>56</v>
      </c>
      <c r="C1539" s="62" t="s">
        <v>176</v>
      </c>
      <c r="D1539" s="62">
        <v>5.0</v>
      </c>
      <c r="E1539" s="62">
        <v>2.0</v>
      </c>
      <c r="F1539" s="62">
        <v>0.0</v>
      </c>
      <c r="G1539" s="62">
        <v>0.0</v>
      </c>
      <c r="H1539" s="62">
        <v>0.0</v>
      </c>
      <c r="I1539" s="62">
        <v>0.0</v>
      </c>
      <c r="J1539" s="62">
        <v>0.0</v>
      </c>
      <c r="K1539" s="62">
        <v>0.0</v>
      </c>
      <c r="L1539" s="62">
        <v>0.0</v>
      </c>
      <c r="M1539" s="62">
        <v>0.0</v>
      </c>
      <c r="N1539" s="62">
        <v>0.0</v>
      </c>
      <c r="O1539" s="62">
        <v>1.0</v>
      </c>
      <c r="P1539" s="62">
        <v>0.0</v>
      </c>
      <c r="Q1539" s="62">
        <v>0.0</v>
      </c>
      <c r="R1539" s="62">
        <v>10374.0</v>
      </c>
      <c r="S1539" s="62">
        <v>4115.0</v>
      </c>
      <c r="T1539" s="62">
        <v>0.0</v>
      </c>
      <c r="U1539" s="62">
        <v>0.0</v>
      </c>
      <c r="V1539" s="62">
        <v>0.0</v>
      </c>
      <c r="W1539" s="62">
        <v>0.0</v>
      </c>
      <c r="X1539" s="62">
        <v>0.0</v>
      </c>
      <c r="Y1539" s="62">
        <v>0.0</v>
      </c>
      <c r="Z1539" s="62">
        <v>0.0</v>
      </c>
      <c r="AA1539" s="62">
        <v>0.0</v>
      </c>
      <c r="AB1539" s="62">
        <v>0.0</v>
      </c>
      <c r="AC1539" s="62">
        <v>0.0</v>
      </c>
      <c r="AD1539" s="62">
        <v>0.155833333333333</v>
      </c>
      <c r="AE1539" s="62">
        <v>0.0</v>
      </c>
      <c r="AF1539" s="62">
        <v>0.0</v>
      </c>
    </row>
    <row r="1540">
      <c r="A1540" s="68">
        <v>45971.0</v>
      </c>
      <c r="B1540" s="62" t="s">
        <v>26</v>
      </c>
      <c r="C1540" s="62" t="s">
        <v>178</v>
      </c>
      <c r="D1540" s="62">
        <v>3.0</v>
      </c>
      <c r="E1540" s="62">
        <v>0.0</v>
      </c>
      <c r="F1540" s="62">
        <v>2.0</v>
      </c>
      <c r="G1540" s="62">
        <v>0.0</v>
      </c>
      <c r="H1540" s="62">
        <v>4.0</v>
      </c>
      <c r="I1540" s="62">
        <v>4.0</v>
      </c>
      <c r="J1540" s="62">
        <v>2.0</v>
      </c>
      <c r="K1540" s="62">
        <v>0.0</v>
      </c>
      <c r="L1540" s="62">
        <v>0.0</v>
      </c>
      <c r="M1540" s="62">
        <v>0.0</v>
      </c>
      <c r="N1540" s="62">
        <v>0.0</v>
      </c>
      <c r="O1540" s="62">
        <v>1.0</v>
      </c>
      <c r="P1540" s="62">
        <v>0.0</v>
      </c>
      <c r="Q1540" s="62">
        <v>0.0</v>
      </c>
      <c r="R1540" s="62">
        <v>7837.0</v>
      </c>
      <c r="S1540" s="62">
        <v>0.0</v>
      </c>
      <c r="T1540" s="62">
        <v>1.07277777777777</v>
      </c>
      <c r="U1540" s="62">
        <v>0.348611111111111</v>
      </c>
      <c r="V1540" s="62">
        <v>0.0</v>
      </c>
      <c r="W1540" s="62">
        <v>0.724166666666666</v>
      </c>
      <c r="X1540" s="62">
        <v>0.724166666666666</v>
      </c>
      <c r="Y1540" s="62">
        <v>0.376666666666666</v>
      </c>
      <c r="Z1540" s="62">
        <v>0.0</v>
      </c>
      <c r="AA1540" s="62">
        <v>0.0</v>
      </c>
      <c r="AB1540" s="62">
        <v>0.0</v>
      </c>
      <c r="AC1540" s="62">
        <v>0.0</v>
      </c>
      <c r="AD1540" s="62">
        <v>0.198333333333333</v>
      </c>
      <c r="AE1540" s="62">
        <v>0.0</v>
      </c>
      <c r="AF1540" s="62">
        <v>6.0</v>
      </c>
    </row>
    <row r="1541">
      <c r="A1541" s="68">
        <v>45969.0</v>
      </c>
      <c r="B1541" s="62" t="s">
        <v>76</v>
      </c>
      <c r="C1541" s="62" t="s">
        <v>165</v>
      </c>
      <c r="D1541" s="62">
        <v>0.0</v>
      </c>
      <c r="E1541" s="62">
        <v>0.0</v>
      </c>
      <c r="F1541" s="62">
        <v>0.0</v>
      </c>
      <c r="G1541" s="62">
        <v>0.0</v>
      </c>
      <c r="H1541" s="62">
        <v>0.0</v>
      </c>
      <c r="I1541" s="62">
        <v>0.0</v>
      </c>
      <c r="J1541" s="62">
        <v>0.0</v>
      </c>
      <c r="K1541" s="62">
        <v>0.0</v>
      </c>
      <c r="L1541" s="62">
        <v>0.0</v>
      </c>
      <c r="M1541" s="62">
        <v>0.0</v>
      </c>
      <c r="N1541" s="62">
        <v>0.0</v>
      </c>
      <c r="O1541" s="62">
        <v>1.0</v>
      </c>
      <c r="P1541" s="62">
        <v>0.0</v>
      </c>
      <c r="Q1541" s="62">
        <v>0.0</v>
      </c>
      <c r="R1541" s="62">
        <v>0.0</v>
      </c>
      <c r="S1541" s="62">
        <v>0.0</v>
      </c>
      <c r="T1541" s="62">
        <v>0.6775</v>
      </c>
      <c r="U1541" s="62">
        <v>0.0</v>
      </c>
      <c r="V1541" s="62">
        <v>0.0</v>
      </c>
      <c r="W1541" s="62">
        <v>0.0</v>
      </c>
      <c r="X1541" s="62">
        <v>0.0</v>
      </c>
      <c r="Y1541" s="62">
        <v>0.0</v>
      </c>
      <c r="Z1541" s="62">
        <v>0.0</v>
      </c>
      <c r="AA1541" s="62">
        <v>0.0</v>
      </c>
      <c r="AB1541" s="62">
        <v>0.0</v>
      </c>
      <c r="AC1541" s="62">
        <v>0.0</v>
      </c>
      <c r="AD1541" s="62">
        <v>0.247777777777777</v>
      </c>
      <c r="AE1541" s="62">
        <v>0.0</v>
      </c>
      <c r="AF1541" s="62">
        <v>3.0</v>
      </c>
    </row>
    <row r="1542">
      <c r="A1542" s="68">
        <v>45969.0</v>
      </c>
      <c r="B1542" s="62" t="s">
        <v>32</v>
      </c>
      <c r="C1542" s="62" t="s">
        <v>168</v>
      </c>
      <c r="D1542" s="62">
        <v>0.0</v>
      </c>
      <c r="E1542" s="62">
        <v>7.0</v>
      </c>
      <c r="F1542" s="62">
        <v>0.0</v>
      </c>
      <c r="G1542" s="62">
        <v>0.0</v>
      </c>
      <c r="H1542" s="62">
        <v>0.0</v>
      </c>
      <c r="I1542" s="62">
        <v>0.0</v>
      </c>
      <c r="J1542" s="62">
        <v>1.0</v>
      </c>
      <c r="K1542" s="62">
        <v>0.0</v>
      </c>
      <c r="L1542" s="62">
        <v>0.0</v>
      </c>
      <c r="M1542" s="62">
        <v>0.0</v>
      </c>
      <c r="N1542" s="62">
        <v>0.0</v>
      </c>
      <c r="O1542" s="62">
        <v>1.0</v>
      </c>
      <c r="P1542" s="62">
        <v>0.0</v>
      </c>
      <c r="Q1542" s="62">
        <v>0.0</v>
      </c>
      <c r="R1542" s="62">
        <v>0.0</v>
      </c>
      <c r="S1542" s="62">
        <v>15265.0</v>
      </c>
      <c r="T1542" s="62">
        <v>0.0</v>
      </c>
      <c r="U1542" s="62">
        <v>0.0</v>
      </c>
      <c r="V1542" s="62">
        <v>0.0</v>
      </c>
      <c r="W1542" s="62">
        <v>0.0</v>
      </c>
      <c r="X1542" s="62">
        <v>0.0</v>
      </c>
      <c r="Y1542" s="62">
        <v>0.210277777777777</v>
      </c>
      <c r="Z1542" s="62">
        <v>0.0</v>
      </c>
      <c r="AA1542" s="62">
        <v>0.0</v>
      </c>
      <c r="AB1542" s="62">
        <v>0.0</v>
      </c>
      <c r="AC1542" s="62">
        <v>0.0</v>
      </c>
      <c r="AD1542" s="62">
        <v>0.219166666666666</v>
      </c>
      <c r="AE1542" s="62">
        <v>0.0</v>
      </c>
      <c r="AF1542" s="62">
        <v>0.0</v>
      </c>
    </row>
    <row r="1543">
      <c r="A1543" s="68">
        <v>45969.0</v>
      </c>
      <c r="B1543" s="62" t="s">
        <v>26</v>
      </c>
      <c r="C1543" s="62" t="s">
        <v>178</v>
      </c>
      <c r="D1543" s="62">
        <v>0.0</v>
      </c>
      <c r="E1543" s="62">
        <v>8.0</v>
      </c>
      <c r="F1543" s="62">
        <v>0.0</v>
      </c>
      <c r="G1543" s="62">
        <v>0.0</v>
      </c>
      <c r="H1543" s="62">
        <v>0.0</v>
      </c>
      <c r="I1543" s="62">
        <v>0.0</v>
      </c>
      <c r="J1543" s="62">
        <v>0.0</v>
      </c>
      <c r="K1543" s="62">
        <v>0.0</v>
      </c>
      <c r="L1543" s="62">
        <v>0.0</v>
      </c>
      <c r="M1543" s="62">
        <v>0.0</v>
      </c>
      <c r="N1543" s="62">
        <v>0.0</v>
      </c>
      <c r="O1543" s="62">
        <v>1.0</v>
      </c>
      <c r="P1543" s="62">
        <v>0.0</v>
      </c>
      <c r="Q1543" s="62">
        <v>0.0</v>
      </c>
      <c r="R1543" s="62">
        <v>0.0</v>
      </c>
      <c r="S1543" s="62">
        <v>17567.0</v>
      </c>
      <c r="T1543" s="62">
        <v>0.0</v>
      </c>
      <c r="U1543" s="62">
        <v>0.0</v>
      </c>
      <c r="V1543" s="62">
        <v>0.0</v>
      </c>
      <c r="W1543" s="62">
        <v>0.0</v>
      </c>
      <c r="X1543" s="62">
        <v>0.0</v>
      </c>
      <c r="Y1543" s="62">
        <v>0.0</v>
      </c>
      <c r="Z1543" s="62">
        <v>0.0</v>
      </c>
      <c r="AA1543" s="62">
        <v>0.0</v>
      </c>
      <c r="AB1543" s="62">
        <v>0.0</v>
      </c>
      <c r="AC1543" s="62">
        <v>0.0</v>
      </c>
      <c r="AD1543" s="62">
        <v>0.205555555555555</v>
      </c>
      <c r="AE1543" s="62">
        <v>0.0</v>
      </c>
      <c r="AF1543" s="62">
        <v>0.0</v>
      </c>
    </row>
    <row r="1544">
      <c r="A1544" s="68">
        <v>45968.0</v>
      </c>
      <c r="B1544" s="62" t="s">
        <v>76</v>
      </c>
      <c r="C1544" s="62" t="s">
        <v>165</v>
      </c>
      <c r="D1544" s="62">
        <v>10.0</v>
      </c>
      <c r="E1544" s="62">
        <v>2.0</v>
      </c>
      <c r="F1544" s="62">
        <v>1.0</v>
      </c>
      <c r="G1544" s="62">
        <v>3.0</v>
      </c>
      <c r="H1544" s="62">
        <v>3.0</v>
      </c>
      <c r="I1544" s="62">
        <v>0.0</v>
      </c>
      <c r="J1544" s="62">
        <v>3.0</v>
      </c>
      <c r="K1544" s="62">
        <v>0.0</v>
      </c>
      <c r="L1544" s="62">
        <v>0.0</v>
      </c>
      <c r="M1544" s="62">
        <v>0.0</v>
      </c>
      <c r="N1544" s="62">
        <v>0.0</v>
      </c>
      <c r="O1544" s="62">
        <v>1.0</v>
      </c>
      <c r="P1544" s="62">
        <v>0.0</v>
      </c>
      <c r="Q1544" s="62">
        <v>0.0</v>
      </c>
      <c r="R1544" s="62">
        <v>26580.0</v>
      </c>
      <c r="S1544" s="62">
        <v>4956.0</v>
      </c>
      <c r="T1544" s="62">
        <v>0.225</v>
      </c>
      <c r="U1544" s="62">
        <v>0.225</v>
      </c>
      <c r="V1544" s="62">
        <v>0.7</v>
      </c>
      <c r="W1544" s="62">
        <v>0.7</v>
      </c>
      <c r="X1544" s="62">
        <v>0.0</v>
      </c>
      <c r="Y1544" s="62">
        <v>0.7</v>
      </c>
      <c r="Z1544" s="62">
        <v>0.0</v>
      </c>
      <c r="AA1544" s="62">
        <v>0.0</v>
      </c>
      <c r="AB1544" s="62">
        <v>0.0</v>
      </c>
      <c r="AC1544" s="62">
        <v>0.0</v>
      </c>
      <c r="AD1544" s="62">
        <v>0.247777777777777</v>
      </c>
      <c r="AE1544" s="62">
        <v>0.0</v>
      </c>
      <c r="AF1544" s="62">
        <v>1.0</v>
      </c>
    </row>
    <row r="1545">
      <c r="A1545" s="68">
        <v>45968.0</v>
      </c>
      <c r="B1545" s="62" t="s">
        <v>32</v>
      </c>
      <c r="C1545" s="62" t="s">
        <v>168</v>
      </c>
      <c r="D1545" s="62">
        <v>9.0</v>
      </c>
      <c r="E1545" s="62">
        <v>6.0</v>
      </c>
      <c r="F1545" s="62">
        <v>3.0</v>
      </c>
      <c r="G1545" s="62">
        <v>2.0</v>
      </c>
      <c r="H1545" s="62">
        <v>6.0</v>
      </c>
      <c r="I1545" s="62">
        <v>4.0</v>
      </c>
      <c r="J1545" s="62">
        <v>7.0</v>
      </c>
      <c r="K1545" s="62">
        <v>0.0</v>
      </c>
      <c r="L1545" s="62">
        <v>0.0</v>
      </c>
      <c r="M1545" s="62">
        <v>6.0</v>
      </c>
      <c r="N1545" s="62">
        <v>11.0</v>
      </c>
      <c r="O1545" s="62">
        <v>1.0</v>
      </c>
      <c r="P1545" s="62">
        <v>11.0</v>
      </c>
      <c r="Q1545" s="62">
        <v>0.0</v>
      </c>
      <c r="R1545" s="62">
        <v>23109.0</v>
      </c>
      <c r="S1545" s="62">
        <v>13131.0</v>
      </c>
      <c r="T1545" s="62">
        <v>1.53444444444444</v>
      </c>
      <c r="U1545" s="62">
        <v>0.647222222222222</v>
      </c>
      <c r="V1545" s="62">
        <v>0.446944444444444</v>
      </c>
      <c r="W1545" s="62">
        <v>1.33416666666666</v>
      </c>
      <c r="X1545" s="62">
        <v>0.887222222222222</v>
      </c>
      <c r="Y1545" s="62">
        <v>1.49194444444444</v>
      </c>
      <c r="Z1545" s="62">
        <v>0.0</v>
      </c>
      <c r="AA1545" s="62">
        <v>0.0</v>
      </c>
      <c r="AB1545" s="62">
        <v>1.26694444444444</v>
      </c>
      <c r="AC1545" s="62">
        <v>2.37666666666666</v>
      </c>
      <c r="AD1545" s="62">
        <v>0.2175</v>
      </c>
      <c r="AE1545" s="62">
        <v>2.37666666666666</v>
      </c>
      <c r="AF1545" s="62">
        <v>7.0</v>
      </c>
    </row>
    <row r="1546">
      <c r="A1546" s="68">
        <v>45968.0</v>
      </c>
      <c r="B1546" s="62" t="s">
        <v>56</v>
      </c>
      <c r="C1546" s="62" t="s">
        <v>176</v>
      </c>
      <c r="D1546" s="62">
        <v>4.0</v>
      </c>
      <c r="E1546" s="62">
        <v>4.0</v>
      </c>
      <c r="F1546" s="62">
        <v>0.0</v>
      </c>
      <c r="G1546" s="62">
        <v>0.0</v>
      </c>
      <c r="H1546" s="62">
        <v>0.0</v>
      </c>
      <c r="I1546" s="62">
        <v>0.0</v>
      </c>
      <c r="J1546" s="62">
        <v>0.0</v>
      </c>
      <c r="K1546" s="62">
        <v>0.0</v>
      </c>
      <c r="L1546" s="62">
        <v>0.0</v>
      </c>
      <c r="M1546" s="62">
        <v>0.0</v>
      </c>
      <c r="N1546" s="62">
        <v>0.0</v>
      </c>
      <c r="O1546" s="62">
        <v>1.0</v>
      </c>
      <c r="P1546" s="62">
        <v>0.0</v>
      </c>
      <c r="Q1546" s="62">
        <v>0.0</v>
      </c>
      <c r="R1546" s="62">
        <v>7886.0</v>
      </c>
      <c r="S1546" s="62">
        <v>7919.0</v>
      </c>
      <c r="T1546" s="62">
        <v>0.0</v>
      </c>
      <c r="U1546" s="62">
        <v>0.0</v>
      </c>
      <c r="V1546" s="62">
        <v>0.0</v>
      </c>
      <c r="W1546" s="62">
        <v>0.0</v>
      </c>
      <c r="X1546" s="62">
        <v>0.0</v>
      </c>
      <c r="Y1546" s="62">
        <v>0.0</v>
      </c>
      <c r="Z1546" s="62">
        <v>0.0</v>
      </c>
      <c r="AA1546" s="62">
        <v>0.0</v>
      </c>
      <c r="AB1546" s="62">
        <v>0.0</v>
      </c>
      <c r="AC1546" s="62">
        <v>0.0</v>
      </c>
      <c r="AD1546" s="62">
        <v>0.156944444444444</v>
      </c>
      <c r="AE1546" s="62">
        <v>0.0</v>
      </c>
      <c r="AF1546" s="62">
        <v>0.0</v>
      </c>
    </row>
    <row r="1547">
      <c r="A1547" s="68">
        <v>45968.0</v>
      </c>
      <c r="B1547" s="62" t="s">
        <v>26</v>
      </c>
      <c r="C1547" s="62" t="s">
        <v>178</v>
      </c>
      <c r="D1547" s="62">
        <v>2.0</v>
      </c>
      <c r="E1547" s="62">
        <v>2.0</v>
      </c>
      <c r="F1547" s="62">
        <v>0.0</v>
      </c>
      <c r="G1547" s="62">
        <v>2.0</v>
      </c>
      <c r="H1547" s="62">
        <v>2.0</v>
      </c>
      <c r="I1547" s="62">
        <v>0.0</v>
      </c>
      <c r="J1547" s="62">
        <v>3.0</v>
      </c>
      <c r="K1547" s="62">
        <v>0.0</v>
      </c>
      <c r="L1547" s="62">
        <v>2.0</v>
      </c>
      <c r="M1547" s="62">
        <v>4.0</v>
      </c>
      <c r="N1547" s="62">
        <v>9.0</v>
      </c>
      <c r="O1547" s="62">
        <v>1.0</v>
      </c>
      <c r="P1547" s="62">
        <v>9.0</v>
      </c>
      <c r="Q1547" s="62">
        <v>0.0</v>
      </c>
      <c r="R1547" s="62">
        <v>4018.0</v>
      </c>
      <c r="S1547" s="62">
        <v>4160.0</v>
      </c>
      <c r="T1547" s="62">
        <v>0.0</v>
      </c>
      <c r="U1547" s="62">
        <v>0.0</v>
      </c>
      <c r="V1547" s="62">
        <v>0.350833333333333</v>
      </c>
      <c r="W1547" s="62">
        <v>0.350833333333333</v>
      </c>
      <c r="X1547" s="62">
        <v>0.0</v>
      </c>
      <c r="Y1547" s="62">
        <v>0.548055555555555</v>
      </c>
      <c r="Z1547" s="62">
        <v>0.0</v>
      </c>
      <c r="AA1547" s="62">
        <v>0.366388888888888</v>
      </c>
      <c r="AB1547" s="62">
        <v>0.726666666666666</v>
      </c>
      <c r="AC1547" s="62">
        <v>1.68611111111111</v>
      </c>
      <c r="AD1547" s="62">
        <v>0.189722222222222</v>
      </c>
      <c r="AE1547" s="62">
        <v>1.68611111111111</v>
      </c>
      <c r="AF1547" s="62">
        <v>0.0</v>
      </c>
    </row>
    <row r="1548">
      <c r="A1548" s="68">
        <v>45967.0</v>
      </c>
      <c r="B1548" s="62" t="s">
        <v>76</v>
      </c>
      <c r="C1548" s="62" t="s">
        <v>165</v>
      </c>
      <c r="D1548" s="62">
        <v>0.0</v>
      </c>
      <c r="E1548" s="62">
        <v>1.0</v>
      </c>
      <c r="F1548" s="62">
        <v>3.0</v>
      </c>
      <c r="G1548" s="62">
        <v>0.0</v>
      </c>
      <c r="H1548" s="62">
        <v>0.0</v>
      </c>
      <c r="I1548" s="62">
        <v>0.0</v>
      </c>
      <c r="J1548" s="62">
        <v>0.0</v>
      </c>
      <c r="K1548" s="62">
        <v>0.0</v>
      </c>
      <c r="L1548" s="62">
        <v>0.0</v>
      </c>
      <c r="M1548" s="62">
        <v>0.0</v>
      </c>
      <c r="N1548" s="62">
        <v>0.0</v>
      </c>
      <c r="O1548" s="62">
        <v>1.0</v>
      </c>
      <c r="P1548" s="62">
        <v>0.0</v>
      </c>
      <c r="Q1548" s="62">
        <v>0.0</v>
      </c>
      <c r="R1548" s="62">
        <v>0.0</v>
      </c>
      <c r="S1548" s="62">
        <v>2380.0</v>
      </c>
      <c r="T1548" s="62">
        <v>0.691944444444444</v>
      </c>
      <c r="U1548" s="62">
        <v>0.694722222222222</v>
      </c>
      <c r="V1548" s="62">
        <v>0.0</v>
      </c>
      <c r="W1548" s="62">
        <v>0.0</v>
      </c>
      <c r="X1548" s="62">
        <v>0.0</v>
      </c>
      <c r="Y1548" s="62">
        <v>0.0</v>
      </c>
      <c r="Z1548" s="62">
        <v>0.0</v>
      </c>
      <c r="AA1548" s="62">
        <v>0.0</v>
      </c>
      <c r="AB1548" s="62">
        <v>0.0</v>
      </c>
      <c r="AC1548" s="62">
        <v>0.0</v>
      </c>
      <c r="AD1548" s="62">
        <v>0.258888888888888</v>
      </c>
      <c r="AE1548" s="62">
        <v>0.0</v>
      </c>
      <c r="AF1548" s="62">
        <v>3.0</v>
      </c>
    </row>
    <row r="1549">
      <c r="A1549" s="68">
        <v>45967.0</v>
      </c>
      <c r="B1549" s="62" t="s">
        <v>32</v>
      </c>
      <c r="C1549" s="62" t="s">
        <v>168</v>
      </c>
      <c r="D1549" s="62">
        <v>0.0</v>
      </c>
      <c r="E1549" s="62">
        <v>9.0</v>
      </c>
      <c r="F1549" s="62">
        <v>2.0</v>
      </c>
      <c r="G1549" s="62">
        <v>1.0</v>
      </c>
      <c r="H1549" s="62">
        <v>6.0</v>
      </c>
      <c r="I1549" s="62">
        <v>5.0</v>
      </c>
      <c r="J1549" s="62">
        <v>4.0</v>
      </c>
      <c r="K1549" s="62">
        <v>0.0</v>
      </c>
      <c r="L1549" s="62">
        <v>1.0</v>
      </c>
      <c r="M1549" s="62">
        <v>4.0</v>
      </c>
      <c r="N1549" s="62">
        <v>1.0</v>
      </c>
      <c r="O1549" s="62">
        <v>1.0</v>
      </c>
      <c r="P1549" s="62">
        <v>1.0</v>
      </c>
      <c r="Q1549" s="62">
        <v>0.0</v>
      </c>
      <c r="R1549" s="62">
        <v>0.0</v>
      </c>
      <c r="S1549" s="62">
        <v>20088.0</v>
      </c>
      <c r="T1549" s="62">
        <v>1.48972222222222</v>
      </c>
      <c r="U1549" s="62">
        <v>0.433611111111111</v>
      </c>
      <c r="V1549" s="62">
        <v>0.188611111111111</v>
      </c>
      <c r="W1549" s="62">
        <v>1.24472222222222</v>
      </c>
      <c r="X1549" s="62">
        <v>1.05611111111111</v>
      </c>
      <c r="Y1549" s="62">
        <v>0.859444444444444</v>
      </c>
      <c r="Z1549" s="62">
        <v>0.0</v>
      </c>
      <c r="AA1549" s="62">
        <v>0.213611111111111</v>
      </c>
      <c r="AB1549" s="62">
        <v>0.859444444444444</v>
      </c>
      <c r="AC1549" s="62">
        <v>0.213611111111111</v>
      </c>
      <c r="AD1549" s="62">
        <v>0.201666666666666</v>
      </c>
      <c r="AE1549" s="62">
        <v>0.213611111111111</v>
      </c>
      <c r="AF1549" s="62">
        <v>7.0</v>
      </c>
    </row>
    <row r="1550">
      <c r="A1550" s="68">
        <v>45967.0</v>
      </c>
      <c r="B1550" s="62" t="s">
        <v>56</v>
      </c>
      <c r="C1550" s="62" t="s">
        <v>176</v>
      </c>
      <c r="D1550" s="62">
        <v>2.0</v>
      </c>
      <c r="E1550" s="62">
        <v>6.0</v>
      </c>
      <c r="F1550" s="62">
        <v>0.0</v>
      </c>
      <c r="G1550" s="62">
        <v>0.0</v>
      </c>
      <c r="H1550" s="62">
        <v>0.0</v>
      </c>
      <c r="I1550" s="62">
        <v>0.0</v>
      </c>
      <c r="J1550" s="62">
        <v>0.0</v>
      </c>
      <c r="K1550" s="62">
        <v>0.0</v>
      </c>
      <c r="L1550" s="62">
        <v>0.0</v>
      </c>
      <c r="M1550" s="62">
        <v>0.0</v>
      </c>
      <c r="N1550" s="62">
        <v>0.0</v>
      </c>
      <c r="O1550" s="62">
        <v>1.0</v>
      </c>
      <c r="P1550" s="62">
        <v>0.0</v>
      </c>
      <c r="Q1550" s="62">
        <v>0.0</v>
      </c>
      <c r="R1550" s="62">
        <v>4148.0</v>
      </c>
      <c r="S1550" s="62">
        <v>11182.0</v>
      </c>
      <c r="T1550" s="62">
        <v>0.0</v>
      </c>
      <c r="U1550" s="62">
        <v>0.0</v>
      </c>
      <c r="V1550" s="62">
        <v>0.0</v>
      </c>
      <c r="W1550" s="62">
        <v>0.0</v>
      </c>
      <c r="X1550" s="62">
        <v>0.0</v>
      </c>
      <c r="Y1550" s="62">
        <v>0.0</v>
      </c>
      <c r="Z1550" s="62">
        <v>0.0</v>
      </c>
      <c r="AA1550" s="62">
        <v>0.0</v>
      </c>
      <c r="AB1550" s="62">
        <v>0.0</v>
      </c>
      <c r="AC1550" s="62">
        <v>0.0</v>
      </c>
      <c r="AD1550" s="62">
        <v>0.162222222222222</v>
      </c>
      <c r="AE1550" s="62">
        <v>0.0</v>
      </c>
      <c r="AF1550" s="62">
        <v>0.0</v>
      </c>
    </row>
    <row r="1551">
      <c r="A1551" s="68">
        <v>45967.0</v>
      </c>
      <c r="B1551" s="62" t="s">
        <v>26</v>
      </c>
      <c r="C1551" s="62" t="s">
        <v>178</v>
      </c>
      <c r="D1551" s="62">
        <v>5.0</v>
      </c>
      <c r="E1551" s="62">
        <v>3.0</v>
      </c>
      <c r="F1551" s="62">
        <v>2.0</v>
      </c>
      <c r="G1551" s="62">
        <v>1.0</v>
      </c>
      <c r="H1551" s="62">
        <v>2.0</v>
      </c>
      <c r="I1551" s="62">
        <v>1.0</v>
      </c>
      <c r="J1551" s="62">
        <v>4.0</v>
      </c>
      <c r="K1551" s="62">
        <v>2.0</v>
      </c>
      <c r="L1551" s="62">
        <v>0.0</v>
      </c>
      <c r="M1551" s="62">
        <v>4.0</v>
      </c>
      <c r="N1551" s="62">
        <v>1.0</v>
      </c>
      <c r="O1551" s="62">
        <v>1.0</v>
      </c>
      <c r="P1551" s="62">
        <v>1.0</v>
      </c>
      <c r="Q1551" s="62">
        <v>0.0</v>
      </c>
      <c r="R1551" s="62">
        <v>10444.0</v>
      </c>
      <c r="S1551" s="62">
        <v>6169.0</v>
      </c>
      <c r="T1551" s="62">
        <v>0.0</v>
      </c>
      <c r="U1551" s="62">
        <v>0.349722222222222</v>
      </c>
      <c r="V1551" s="62">
        <v>0.197222222222222</v>
      </c>
      <c r="W1551" s="62">
        <v>0.384166666666666</v>
      </c>
      <c r="X1551" s="62">
        <v>0.186944444444444</v>
      </c>
      <c r="Y1551" s="62">
        <v>0.732222222222222</v>
      </c>
      <c r="Z1551" s="62">
        <v>0.366388888888888</v>
      </c>
      <c r="AA1551" s="62">
        <v>0.0</v>
      </c>
      <c r="AB1551" s="62">
        <v>0.747777777777777</v>
      </c>
      <c r="AC1551" s="62">
        <v>0.196944444444444</v>
      </c>
      <c r="AD1551" s="62">
        <v>0.180555555555555</v>
      </c>
      <c r="AE1551" s="62">
        <v>0.196944444444444</v>
      </c>
      <c r="AF1551" s="62">
        <v>0.0</v>
      </c>
    </row>
    <row r="1552">
      <c r="A1552" s="68">
        <v>45966.0</v>
      </c>
      <c r="B1552" s="62" t="s">
        <v>76</v>
      </c>
      <c r="C1552" s="62" t="s">
        <v>165</v>
      </c>
      <c r="D1552" s="62">
        <v>0.0</v>
      </c>
      <c r="E1552" s="62">
        <v>3.0</v>
      </c>
      <c r="F1552" s="62">
        <v>0.0</v>
      </c>
      <c r="G1552" s="62">
        <v>0.0</v>
      </c>
      <c r="H1552" s="62">
        <v>0.0</v>
      </c>
      <c r="I1552" s="62">
        <v>0.0</v>
      </c>
      <c r="J1552" s="62">
        <v>0.0</v>
      </c>
      <c r="K1552" s="62">
        <v>0.0</v>
      </c>
      <c r="L1552" s="62">
        <v>0.0</v>
      </c>
      <c r="M1552" s="62">
        <v>0.0</v>
      </c>
      <c r="N1552" s="62">
        <v>0.0</v>
      </c>
      <c r="O1552" s="62">
        <v>1.0</v>
      </c>
      <c r="P1552" s="62">
        <v>0.0</v>
      </c>
      <c r="Q1552" s="62">
        <v>0.0</v>
      </c>
      <c r="R1552" s="62">
        <v>0.0</v>
      </c>
      <c r="S1552" s="62">
        <v>7432.0</v>
      </c>
      <c r="T1552" s="62">
        <v>0.0</v>
      </c>
      <c r="U1552" s="62">
        <v>0.0</v>
      </c>
      <c r="V1552" s="62">
        <v>0.0</v>
      </c>
      <c r="W1552" s="62">
        <v>0.0</v>
      </c>
      <c r="X1552" s="62">
        <v>0.0</v>
      </c>
      <c r="Y1552" s="62">
        <v>0.0</v>
      </c>
      <c r="Z1552" s="62">
        <v>0.0</v>
      </c>
      <c r="AA1552" s="62">
        <v>0.0</v>
      </c>
      <c r="AB1552" s="62">
        <v>0.0</v>
      </c>
      <c r="AC1552" s="62">
        <v>0.0</v>
      </c>
      <c r="AD1552" s="62">
        <v>0.267777777777777</v>
      </c>
      <c r="AE1552" s="62">
        <v>0.0</v>
      </c>
      <c r="AF1552" s="62">
        <v>0.0</v>
      </c>
    </row>
    <row r="1553">
      <c r="A1553" s="68">
        <v>45966.0</v>
      </c>
      <c r="B1553" s="62" t="s">
        <v>32</v>
      </c>
      <c r="C1553" s="62" t="s">
        <v>168</v>
      </c>
      <c r="D1553" s="62">
        <v>15.0</v>
      </c>
      <c r="E1553" s="62">
        <v>4.0</v>
      </c>
      <c r="F1553" s="62">
        <v>1.0</v>
      </c>
      <c r="G1553" s="62">
        <v>1.0</v>
      </c>
      <c r="H1553" s="62">
        <v>3.0</v>
      </c>
      <c r="I1553" s="62">
        <v>2.0</v>
      </c>
      <c r="J1553" s="62">
        <v>2.0</v>
      </c>
      <c r="K1553" s="62">
        <v>1.0</v>
      </c>
      <c r="L1553" s="62">
        <v>0.0</v>
      </c>
      <c r="M1553" s="62">
        <v>6.0</v>
      </c>
      <c r="N1553" s="62">
        <v>11.0</v>
      </c>
      <c r="O1553" s="62">
        <v>2.0</v>
      </c>
      <c r="P1553" s="62">
        <v>11.0</v>
      </c>
      <c r="Q1553" s="62">
        <v>0.0</v>
      </c>
      <c r="R1553" s="62">
        <v>32361.0</v>
      </c>
      <c r="S1553" s="62">
        <v>8763.0</v>
      </c>
      <c r="T1553" s="62">
        <v>0.620833333333333</v>
      </c>
      <c r="U1553" s="62">
        <v>0.193055555555555</v>
      </c>
      <c r="V1553" s="62">
        <v>0.209722222222222</v>
      </c>
      <c r="W1553" s="62">
        <v>0.6375</v>
      </c>
      <c r="X1553" s="62">
        <v>0.427777777777777</v>
      </c>
      <c r="Y1553" s="62">
        <v>0.411388888888888</v>
      </c>
      <c r="Z1553" s="62">
        <v>0.213611111111111</v>
      </c>
      <c r="AA1553" s="62">
        <v>0.0</v>
      </c>
      <c r="AB1553" s="62">
        <v>1.33527777777777</v>
      </c>
      <c r="AC1553" s="62">
        <v>2.40916666666666</v>
      </c>
      <c r="AD1553" s="62">
        <v>0.4375</v>
      </c>
      <c r="AE1553" s="62">
        <v>2.40916666666666</v>
      </c>
      <c r="AF1553" s="62">
        <v>3.0</v>
      </c>
    </row>
    <row r="1554">
      <c r="A1554" s="68">
        <v>45966.0</v>
      </c>
      <c r="B1554" s="62" t="s">
        <v>56</v>
      </c>
      <c r="C1554" s="62" t="s">
        <v>176</v>
      </c>
      <c r="D1554" s="62">
        <v>0.0</v>
      </c>
      <c r="E1554" s="62">
        <v>1.0</v>
      </c>
      <c r="F1554" s="62">
        <v>0.0</v>
      </c>
      <c r="G1554" s="62">
        <v>0.0</v>
      </c>
      <c r="H1554" s="62">
        <v>0.0</v>
      </c>
      <c r="I1554" s="62">
        <v>0.0</v>
      </c>
      <c r="J1554" s="62">
        <v>0.0</v>
      </c>
      <c r="K1554" s="62">
        <v>0.0</v>
      </c>
      <c r="L1554" s="62">
        <v>0.0</v>
      </c>
      <c r="M1554" s="62">
        <v>0.0</v>
      </c>
      <c r="N1554" s="62">
        <v>0.0</v>
      </c>
      <c r="O1554" s="62">
        <v>1.0</v>
      </c>
      <c r="P1554" s="62">
        <v>0.0</v>
      </c>
      <c r="Q1554" s="62">
        <v>0.0</v>
      </c>
      <c r="R1554" s="62">
        <v>0.0</v>
      </c>
      <c r="S1554" s="62">
        <v>1417.0</v>
      </c>
      <c r="T1554" s="62">
        <v>0.0</v>
      </c>
      <c r="U1554" s="62">
        <v>0.0</v>
      </c>
      <c r="V1554" s="62">
        <v>0.0</v>
      </c>
      <c r="W1554" s="62">
        <v>0.0</v>
      </c>
      <c r="X1554" s="62">
        <v>0.0</v>
      </c>
      <c r="Y1554" s="62">
        <v>0.0</v>
      </c>
      <c r="Z1554" s="62">
        <v>0.0</v>
      </c>
      <c r="AA1554" s="62">
        <v>0.0</v>
      </c>
      <c r="AB1554" s="62">
        <v>0.0</v>
      </c>
      <c r="AC1554" s="62">
        <v>0.0</v>
      </c>
      <c r="AD1554" s="62">
        <v>0.168333333333333</v>
      </c>
      <c r="AE1554" s="62">
        <v>0.0</v>
      </c>
      <c r="AF1554" s="62">
        <v>0.0</v>
      </c>
    </row>
    <row r="1555">
      <c r="A1555" s="68">
        <v>45966.0</v>
      </c>
      <c r="B1555" s="62" t="s">
        <v>26</v>
      </c>
      <c r="C1555" s="62" t="s">
        <v>178</v>
      </c>
      <c r="D1555" s="62">
        <v>0.0</v>
      </c>
      <c r="E1555" s="62">
        <v>3.0</v>
      </c>
      <c r="F1555" s="62">
        <v>0.0</v>
      </c>
      <c r="G1555" s="62">
        <v>3.0</v>
      </c>
      <c r="H1555" s="62">
        <v>3.0</v>
      </c>
      <c r="I1555" s="62">
        <v>0.0</v>
      </c>
      <c r="J1555" s="62">
        <v>1.0</v>
      </c>
      <c r="K1555" s="62">
        <v>0.0</v>
      </c>
      <c r="L1555" s="62">
        <v>0.0</v>
      </c>
      <c r="M1555" s="62">
        <v>2.0</v>
      </c>
      <c r="N1555" s="62">
        <v>3.0</v>
      </c>
      <c r="O1555" s="62">
        <v>1.0</v>
      </c>
      <c r="P1555" s="62">
        <v>3.0</v>
      </c>
      <c r="Q1555" s="62">
        <v>0.0</v>
      </c>
      <c r="R1555" s="62">
        <v>0.0</v>
      </c>
      <c r="S1555" s="62">
        <v>6132.0</v>
      </c>
      <c r="T1555" s="62">
        <v>0.6125</v>
      </c>
      <c r="U1555" s="62">
        <v>0.0</v>
      </c>
      <c r="V1555" s="62">
        <v>0.544444444444444</v>
      </c>
      <c r="W1555" s="62">
        <v>0.544444444444444</v>
      </c>
      <c r="X1555" s="62">
        <v>0.0</v>
      </c>
      <c r="Y1555" s="62">
        <v>0.194166666666666</v>
      </c>
      <c r="Z1555" s="62">
        <v>0.0</v>
      </c>
      <c r="AA1555" s="62">
        <v>0.0</v>
      </c>
      <c r="AB1555" s="62">
        <v>0.39</v>
      </c>
      <c r="AC1555" s="62">
        <v>0.546666666666666</v>
      </c>
      <c r="AD1555" s="62">
        <v>0.204722222222222</v>
      </c>
      <c r="AE1555" s="62">
        <v>0.546666666666666</v>
      </c>
      <c r="AF1555" s="62">
        <v>3.0</v>
      </c>
    </row>
    <row r="1556">
      <c r="A1556" s="68">
        <v>45965.0</v>
      </c>
      <c r="B1556" s="62" t="s">
        <v>76</v>
      </c>
      <c r="C1556" s="62" t="s">
        <v>165</v>
      </c>
      <c r="D1556" s="62">
        <v>0.0</v>
      </c>
      <c r="E1556" s="62">
        <v>2.0</v>
      </c>
      <c r="F1556" s="62">
        <v>0.0</v>
      </c>
      <c r="G1556" s="62">
        <v>0.0</v>
      </c>
      <c r="H1556" s="62">
        <v>0.0</v>
      </c>
      <c r="I1556" s="62">
        <v>0.0</v>
      </c>
      <c r="J1556" s="62">
        <v>0.0</v>
      </c>
      <c r="K1556" s="62">
        <v>0.0</v>
      </c>
      <c r="L1556" s="62">
        <v>0.0</v>
      </c>
      <c r="M1556" s="62">
        <v>0.0</v>
      </c>
      <c r="N1556" s="62">
        <v>0.0</v>
      </c>
      <c r="O1556" s="62">
        <v>1.0</v>
      </c>
      <c r="P1556" s="62">
        <v>0.0</v>
      </c>
      <c r="Q1556" s="62">
        <v>0.0</v>
      </c>
      <c r="R1556" s="62">
        <v>0.0</v>
      </c>
      <c r="S1556" s="62">
        <v>5085.0</v>
      </c>
      <c r="T1556" s="62">
        <v>0.0</v>
      </c>
      <c r="U1556" s="62">
        <v>0.0</v>
      </c>
      <c r="V1556" s="62">
        <v>0.0</v>
      </c>
      <c r="W1556" s="62">
        <v>0.0</v>
      </c>
      <c r="X1556" s="62">
        <v>0.0</v>
      </c>
      <c r="Y1556" s="62">
        <v>0.0</v>
      </c>
      <c r="Z1556" s="62">
        <v>0.0</v>
      </c>
      <c r="AA1556" s="62">
        <v>0.0</v>
      </c>
      <c r="AB1556" s="62">
        <v>0.0</v>
      </c>
      <c r="AC1556" s="62">
        <v>0.0</v>
      </c>
      <c r="AD1556" s="62">
        <v>0.250555555555555</v>
      </c>
      <c r="AE1556" s="62">
        <v>0.0</v>
      </c>
      <c r="AF1556" s="62">
        <v>0.0</v>
      </c>
    </row>
    <row r="1557">
      <c r="A1557" s="68">
        <v>45965.0</v>
      </c>
      <c r="B1557" s="62" t="s">
        <v>32</v>
      </c>
      <c r="C1557" s="62" t="s">
        <v>168</v>
      </c>
      <c r="D1557" s="62">
        <v>0.0</v>
      </c>
      <c r="E1557" s="62">
        <v>1.0</v>
      </c>
      <c r="F1557" s="62">
        <v>2.0</v>
      </c>
      <c r="G1557" s="62">
        <v>2.0</v>
      </c>
      <c r="H1557" s="62">
        <v>7.0</v>
      </c>
      <c r="I1557" s="62">
        <v>5.0</v>
      </c>
      <c r="J1557" s="62">
        <v>8.0</v>
      </c>
      <c r="K1557" s="62">
        <v>0.0</v>
      </c>
      <c r="L1557" s="62">
        <v>0.0</v>
      </c>
      <c r="M1557" s="62">
        <v>4.0</v>
      </c>
      <c r="N1557" s="62">
        <v>0.0</v>
      </c>
      <c r="O1557" s="62">
        <v>1.0</v>
      </c>
      <c r="P1557" s="62">
        <v>0.0</v>
      </c>
      <c r="Q1557" s="62">
        <v>0.0</v>
      </c>
      <c r="R1557" s="62">
        <v>0.0</v>
      </c>
      <c r="S1557" s="62">
        <v>2054.0</v>
      </c>
      <c r="T1557" s="62">
        <v>1.53972222222222</v>
      </c>
      <c r="U1557" s="62">
        <v>0.425833333333333</v>
      </c>
      <c r="V1557" s="62">
        <v>0.411388888888888</v>
      </c>
      <c r="W1557" s="62">
        <v>1.52527777777777</v>
      </c>
      <c r="X1557" s="62">
        <v>1.11388888888888</v>
      </c>
      <c r="Y1557" s="62">
        <v>1.79527777777777</v>
      </c>
      <c r="Z1557" s="62">
        <v>0.0</v>
      </c>
      <c r="AA1557" s="62">
        <v>0.0</v>
      </c>
      <c r="AB1557" s="62">
        <v>0.8925</v>
      </c>
      <c r="AC1557" s="62">
        <v>0.0</v>
      </c>
      <c r="AD1557" s="62">
        <v>0.225833333333333</v>
      </c>
      <c r="AE1557" s="62">
        <v>0.0</v>
      </c>
      <c r="AF1557" s="62">
        <v>7.0</v>
      </c>
    </row>
    <row r="1558">
      <c r="A1558" s="68">
        <v>45965.0</v>
      </c>
      <c r="B1558" s="62" t="s">
        <v>56</v>
      </c>
      <c r="C1558" s="62" t="s">
        <v>176</v>
      </c>
      <c r="D1558" s="62">
        <v>8.0</v>
      </c>
      <c r="E1558" s="62">
        <v>1.0</v>
      </c>
      <c r="F1558" s="62">
        <v>0.0</v>
      </c>
      <c r="G1558" s="62">
        <v>0.0</v>
      </c>
      <c r="H1558" s="62">
        <v>0.0</v>
      </c>
      <c r="I1558" s="62">
        <v>0.0</v>
      </c>
      <c r="J1558" s="62">
        <v>3.0</v>
      </c>
      <c r="K1558" s="62">
        <v>1.0</v>
      </c>
      <c r="L1558" s="62">
        <v>0.0</v>
      </c>
      <c r="M1558" s="62">
        <v>0.0</v>
      </c>
      <c r="N1558" s="62">
        <v>1.0</v>
      </c>
      <c r="O1558" s="62">
        <v>1.0</v>
      </c>
      <c r="P1558" s="62">
        <v>1.0</v>
      </c>
      <c r="Q1558" s="62">
        <v>0.0</v>
      </c>
      <c r="R1558" s="62">
        <v>14783.0</v>
      </c>
      <c r="S1558" s="62">
        <v>2184.0</v>
      </c>
      <c r="T1558" s="62">
        <v>0.639722222222222</v>
      </c>
      <c r="U1558" s="62">
        <v>0.0</v>
      </c>
      <c r="V1558" s="62">
        <v>0.0</v>
      </c>
      <c r="W1558" s="62">
        <v>0.0</v>
      </c>
      <c r="X1558" s="62">
        <v>0.0</v>
      </c>
      <c r="Y1558" s="62">
        <v>0.665</v>
      </c>
      <c r="Z1558" s="62">
        <v>0.239722222222222</v>
      </c>
      <c r="AA1558" s="62">
        <v>0.0</v>
      </c>
      <c r="AB1558" s="62">
        <v>0.0</v>
      </c>
      <c r="AC1558" s="62">
        <v>0.221111111111111</v>
      </c>
      <c r="AD1558" s="62">
        <v>0.171388888888888</v>
      </c>
      <c r="AE1558" s="62">
        <v>0.155555555555555</v>
      </c>
      <c r="AF1558" s="62">
        <v>3.0</v>
      </c>
    </row>
    <row r="1559">
      <c r="A1559" s="68">
        <v>45965.0</v>
      </c>
      <c r="B1559" s="62" t="s">
        <v>26</v>
      </c>
      <c r="C1559" s="62" t="s">
        <v>178</v>
      </c>
      <c r="D1559" s="62">
        <v>6.0</v>
      </c>
      <c r="E1559" s="62">
        <v>3.0</v>
      </c>
      <c r="F1559" s="62">
        <v>4.0</v>
      </c>
      <c r="G1559" s="62">
        <v>0.0</v>
      </c>
      <c r="H1559" s="62">
        <v>3.0</v>
      </c>
      <c r="I1559" s="62">
        <v>3.0</v>
      </c>
      <c r="J1559" s="62">
        <v>2.0</v>
      </c>
      <c r="K1559" s="62">
        <v>0.0</v>
      </c>
      <c r="L1559" s="62">
        <v>0.0</v>
      </c>
      <c r="M1559" s="62">
        <v>3.0</v>
      </c>
      <c r="N1559" s="62">
        <v>1.0</v>
      </c>
      <c r="O1559" s="62">
        <v>1.0</v>
      </c>
      <c r="P1559" s="62">
        <v>1.0</v>
      </c>
      <c r="Q1559" s="62">
        <v>0.0</v>
      </c>
      <c r="R1559" s="62">
        <v>12704.0</v>
      </c>
      <c r="S1559" s="62">
        <v>6030.0</v>
      </c>
      <c r="T1559" s="62">
        <v>1.31138888888888</v>
      </c>
      <c r="U1559" s="62">
        <v>0.731388888888889</v>
      </c>
      <c r="V1559" s="62">
        <v>0.0</v>
      </c>
      <c r="W1559" s="62">
        <v>0.58</v>
      </c>
      <c r="X1559" s="62">
        <v>0.58</v>
      </c>
      <c r="Y1559" s="62">
        <v>0.39</v>
      </c>
      <c r="Z1559" s="62">
        <v>0.0</v>
      </c>
      <c r="AA1559" s="62">
        <v>0.0</v>
      </c>
      <c r="AB1559" s="62">
        <v>0.555555555555555</v>
      </c>
      <c r="AC1559" s="62">
        <v>0.197777777777777</v>
      </c>
      <c r="AD1559" s="62">
        <v>0.18</v>
      </c>
      <c r="AE1559" s="62">
        <v>0.197777777777777</v>
      </c>
      <c r="AF1559" s="62">
        <v>7.0</v>
      </c>
    </row>
    <row r="1560">
      <c r="A1560" s="68">
        <v>45964.0</v>
      </c>
      <c r="B1560" s="62" t="s">
        <v>32</v>
      </c>
      <c r="C1560" s="62" t="s">
        <v>168</v>
      </c>
      <c r="D1560" s="62">
        <v>0.0</v>
      </c>
      <c r="E1560" s="62">
        <v>1.0</v>
      </c>
      <c r="F1560" s="62">
        <v>2.0</v>
      </c>
      <c r="G1560" s="62">
        <v>1.0</v>
      </c>
      <c r="H1560" s="62">
        <v>3.0</v>
      </c>
      <c r="I1560" s="62">
        <v>2.0</v>
      </c>
      <c r="J1560" s="62">
        <v>0.0</v>
      </c>
      <c r="K1560" s="62">
        <v>1.0</v>
      </c>
      <c r="L1560" s="62">
        <v>1.0</v>
      </c>
      <c r="M1560" s="62">
        <v>3.0</v>
      </c>
      <c r="N1560" s="62">
        <v>0.0</v>
      </c>
      <c r="O1560" s="62">
        <v>1.0</v>
      </c>
      <c r="P1560" s="62">
        <v>0.0</v>
      </c>
      <c r="Q1560" s="62">
        <v>0.0</v>
      </c>
      <c r="R1560" s="62">
        <v>0.0</v>
      </c>
      <c r="S1560" s="62">
        <v>2232.0</v>
      </c>
      <c r="T1560" s="62">
        <v>0.418888888888888</v>
      </c>
      <c r="U1560" s="62">
        <v>0.423888888888888</v>
      </c>
      <c r="V1560" s="62">
        <v>0.218333333333333</v>
      </c>
      <c r="W1560" s="62">
        <v>0.637222222222222</v>
      </c>
      <c r="X1560" s="62">
        <v>0.418888888888888</v>
      </c>
      <c r="Y1560" s="62">
        <v>0.0</v>
      </c>
      <c r="Z1560" s="62">
        <v>0.234722222222222</v>
      </c>
      <c r="AA1560" s="62">
        <v>0.234722222222222</v>
      </c>
      <c r="AB1560" s="62">
        <v>0.645277777777777</v>
      </c>
      <c r="AC1560" s="62">
        <v>0.0</v>
      </c>
      <c r="AD1560" s="62">
        <v>0.214722222222222</v>
      </c>
      <c r="AE1560" s="62">
        <v>0.0</v>
      </c>
      <c r="AF1560" s="62">
        <v>2.0</v>
      </c>
    </row>
    <row r="1561">
      <c r="A1561" s="68">
        <v>45964.0</v>
      </c>
      <c r="B1561" s="62" t="s">
        <v>56</v>
      </c>
      <c r="C1561" s="62" t="s">
        <v>176</v>
      </c>
      <c r="D1561" s="62">
        <v>50.0</v>
      </c>
      <c r="E1561" s="62">
        <v>51.0</v>
      </c>
      <c r="F1561" s="62">
        <v>1.0</v>
      </c>
      <c r="G1561" s="62">
        <v>0.0</v>
      </c>
      <c r="H1561" s="62">
        <v>3.0</v>
      </c>
      <c r="I1561" s="62">
        <v>3.0</v>
      </c>
      <c r="J1561" s="62">
        <v>3.0</v>
      </c>
      <c r="K1561" s="62">
        <v>0.0</v>
      </c>
      <c r="L1561" s="62">
        <v>0.0</v>
      </c>
      <c r="M1561" s="62">
        <v>3.0</v>
      </c>
      <c r="N1561" s="62">
        <v>1.0</v>
      </c>
      <c r="O1561" s="62">
        <v>2.0</v>
      </c>
      <c r="P1561" s="62">
        <v>1.0</v>
      </c>
      <c r="Q1561" s="62">
        <v>0.0</v>
      </c>
      <c r="R1561" s="62">
        <v>76637.0</v>
      </c>
      <c r="S1561" s="62">
        <v>77845.0</v>
      </c>
      <c r="T1561" s="62">
        <v>0.0</v>
      </c>
      <c r="U1561" s="62">
        <v>0.211944444444444</v>
      </c>
      <c r="V1561" s="62">
        <v>0.0</v>
      </c>
      <c r="W1561" s="62">
        <v>0.625555555555555</v>
      </c>
      <c r="X1561" s="62">
        <v>0.625555555555555</v>
      </c>
      <c r="Y1561" s="62">
        <v>0.692222222222222</v>
      </c>
      <c r="Z1561" s="62">
        <v>0.0</v>
      </c>
      <c r="AA1561" s="62">
        <v>0.0</v>
      </c>
      <c r="AB1561" s="62">
        <v>0.692222222222222</v>
      </c>
      <c r="AC1561" s="62">
        <v>0.231388888888888</v>
      </c>
      <c r="AD1561" s="62">
        <v>0.346388888888888</v>
      </c>
      <c r="AE1561" s="62">
        <v>0.153611111111111</v>
      </c>
      <c r="AF1561" s="62">
        <v>0.0</v>
      </c>
    </row>
    <row r="1562">
      <c r="A1562" s="68">
        <v>45964.0</v>
      </c>
      <c r="B1562" s="62" t="s">
        <v>26</v>
      </c>
      <c r="C1562" s="62" t="s">
        <v>178</v>
      </c>
      <c r="D1562" s="62">
        <v>0.0</v>
      </c>
      <c r="E1562" s="62">
        <v>0.0</v>
      </c>
      <c r="F1562" s="62">
        <v>0.0</v>
      </c>
      <c r="G1562" s="62">
        <v>3.0</v>
      </c>
      <c r="H1562" s="62">
        <v>6.0</v>
      </c>
      <c r="I1562" s="62">
        <v>3.0</v>
      </c>
      <c r="J1562" s="62">
        <v>6.0</v>
      </c>
      <c r="K1562" s="62">
        <v>0.0</v>
      </c>
      <c r="L1562" s="62">
        <v>0.0</v>
      </c>
      <c r="M1562" s="62">
        <v>3.0</v>
      </c>
      <c r="N1562" s="62">
        <v>1.0</v>
      </c>
      <c r="O1562" s="62">
        <v>1.0</v>
      </c>
      <c r="P1562" s="62">
        <v>1.0</v>
      </c>
      <c r="Q1562" s="62">
        <v>0.0</v>
      </c>
      <c r="R1562" s="62">
        <v>0.0</v>
      </c>
      <c r="S1562" s="62">
        <v>0.0</v>
      </c>
      <c r="T1562" s="62">
        <v>0.551666666666666</v>
      </c>
      <c r="U1562" s="62">
        <v>0.0</v>
      </c>
      <c r="V1562" s="62">
        <v>0.593333333333333</v>
      </c>
      <c r="W1562" s="62">
        <v>1.145</v>
      </c>
      <c r="X1562" s="62">
        <v>0.551666666666666</v>
      </c>
      <c r="Y1562" s="62">
        <v>1.14888888888888</v>
      </c>
      <c r="Z1562" s="62">
        <v>0.0</v>
      </c>
      <c r="AA1562" s="62">
        <v>0.0</v>
      </c>
      <c r="AB1562" s="62">
        <v>0.593333333333333</v>
      </c>
      <c r="AC1562" s="62">
        <v>0.2075</v>
      </c>
      <c r="AD1562" s="62">
        <v>0.228888888888888</v>
      </c>
      <c r="AE1562" s="62">
        <v>0.2075</v>
      </c>
      <c r="AF1562" s="62">
        <v>3.0</v>
      </c>
    </row>
    <row r="1563">
      <c r="A1563" s="68">
        <v>45963.0</v>
      </c>
      <c r="B1563" s="62" t="s">
        <v>32</v>
      </c>
      <c r="C1563" s="62" t="s">
        <v>168</v>
      </c>
      <c r="D1563" s="62">
        <v>0.0</v>
      </c>
      <c r="E1563" s="62">
        <v>0.0</v>
      </c>
      <c r="F1563" s="62">
        <v>0.0</v>
      </c>
      <c r="G1563" s="62">
        <v>0.0</v>
      </c>
      <c r="H1563" s="62">
        <v>0.0</v>
      </c>
      <c r="I1563" s="62">
        <v>0.0</v>
      </c>
      <c r="J1563" s="62">
        <v>2.0</v>
      </c>
      <c r="K1563" s="62">
        <v>0.0</v>
      </c>
      <c r="L1563" s="62">
        <v>0.0</v>
      </c>
      <c r="M1563" s="62">
        <v>0.0</v>
      </c>
      <c r="N1563" s="62">
        <v>0.0</v>
      </c>
      <c r="O1563" s="62">
        <v>1.0</v>
      </c>
      <c r="P1563" s="62">
        <v>0.0</v>
      </c>
      <c r="Q1563" s="62">
        <v>0.0</v>
      </c>
      <c r="R1563" s="62">
        <v>0.0</v>
      </c>
      <c r="S1563" s="62">
        <v>0.0</v>
      </c>
      <c r="T1563" s="62">
        <v>0.423888888888888</v>
      </c>
      <c r="U1563" s="62">
        <v>0.0</v>
      </c>
      <c r="V1563" s="62">
        <v>0.0</v>
      </c>
      <c r="W1563" s="62">
        <v>0.0</v>
      </c>
      <c r="X1563" s="62">
        <v>0.0</v>
      </c>
      <c r="Y1563" s="62">
        <v>0.466388888888888</v>
      </c>
      <c r="Z1563" s="62">
        <v>0.0</v>
      </c>
      <c r="AA1563" s="62">
        <v>0.0</v>
      </c>
      <c r="AB1563" s="62">
        <v>0.0</v>
      </c>
      <c r="AC1563" s="62">
        <v>0.0</v>
      </c>
      <c r="AD1563" s="62">
        <v>0.221666666666666</v>
      </c>
      <c r="AE1563" s="62">
        <v>0.0</v>
      </c>
      <c r="AF1563" s="62">
        <v>2.0</v>
      </c>
    </row>
    <row r="1564">
      <c r="A1564" s="68">
        <v>45962.0</v>
      </c>
      <c r="B1564" s="62" t="s">
        <v>32</v>
      </c>
      <c r="C1564" s="62" t="s">
        <v>168</v>
      </c>
      <c r="D1564" s="62">
        <v>0.0</v>
      </c>
      <c r="E1564" s="62">
        <v>0.0</v>
      </c>
      <c r="F1564" s="62">
        <v>0.0</v>
      </c>
      <c r="G1564" s="62">
        <v>0.0</v>
      </c>
      <c r="H1564" s="62">
        <v>0.0</v>
      </c>
      <c r="I1564" s="62">
        <v>0.0</v>
      </c>
      <c r="J1564" s="62">
        <v>2.0</v>
      </c>
      <c r="K1564" s="62">
        <v>0.0</v>
      </c>
      <c r="L1564" s="62">
        <v>0.0</v>
      </c>
      <c r="M1564" s="62">
        <v>0.0</v>
      </c>
      <c r="N1564" s="62">
        <v>0.0</v>
      </c>
      <c r="O1564" s="62">
        <v>2.0</v>
      </c>
      <c r="P1564" s="62">
        <v>0.0</v>
      </c>
      <c r="Q1564" s="62">
        <v>0.0</v>
      </c>
      <c r="R1564" s="62">
        <v>0.0</v>
      </c>
      <c r="S1564" s="62">
        <v>0.0</v>
      </c>
      <c r="T1564" s="62">
        <v>0.0</v>
      </c>
      <c r="U1564" s="62">
        <v>0.0</v>
      </c>
      <c r="V1564" s="62">
        <v>0.0</v>
      </c>
      <c r="W1564" s="62">
        <v>0.0</v>
      </c>
      <c r="X1564" s="62">
        <v>0.0</v>
      </c>
      <c r="Y1564" s="62">
        <v>0.413611111111111</v>
      </c>
      <c r="Z1564" s="62">
        <v>0.0</v>
      </c>
      <c r="AA1564" s="62">
        <v>0.0</v>
      </c>
      <c r="AB1564" s="62">
        <v>0.0</v>
      </c>
      <c r="AC1564" s="62">
        <v>0.0</v>
      </c>
      <c r="AD1564" s="62">
        <v>0.4325</v>
      </c>
      <c r="AE1564" s="62">
        <v>0.0</v>
      </c>
      <c r="AF1564" s="62">
        <v>0.0</v>
      </c>
    </row>
    <row r="1565">
      <c r="A1565" s="68">
        <v>45962.0</v>
      </c>
      <c r="B1565" s="62" t="s">
        <v>56</v>
      </c>
      <c r="C1565" s="62" t="s">
        <v>176</v>
      </c>
      <c r="D1565" s="62">
        <v>0.0</v>
      </c>
      <c r="E1565" s="62">
        <v>0.0</v>
      </c>
      <c r="F1565" s="62">
        <v>0.0</v>
      </c>
      <c r="G1565" s="62">
        <v>0.0</v>
      </c>
      <c r="H1565" s="62">
        <v>0.0</v>
      </c>
      <c r="I1565" s="62">
        <v>0.0</v>
      </c>
      <c r="J1565" s="62">
        <v>0.0</v>
      </c>
      <c r="K1565" s="62">
        <v>0.0</v>
      </c>
      <c r="L1565" s="62">
        <v>0.0</v>
      </c>
      <c r="M1565" s="62">
        <v>0.0</v>
      </c>
      <c r="N1565" s="62">
        <v>0.0</v>
      </c>
      <c r="O1565" s="62">
        <v>1.0</v>
      </c>
      <c r="P1565" s="62">
        <v>0.0</v>
      </c>
      <c r="Q1565" s="62">
        <v>0.0</v>
      </c>
      <c r="R1565" s="62">
        <v>0.0</v>
      </c>
      <c r="S1565" s="62">
        <v>0.0</v>
      </c>
      <c r="T1565" s="62">
        <v>0.8375</v>
      </c>
      <c r="U1565" s="62">
        <v>0.0</v>
      </c>
      <c r="V1565" s="62">
        <v>0.0</v>
      </c>
      <c r="W1565" s="62">
        <v>0.0</v>
      </c>
      <c r="X1565" s="62">
        <v>0.0</v>
      </c>
      <c r="Y1565" s="62">
        <v>0.0</v>
      </c>
      <c r="Z1565" s="62">
        <v>0.0</v>
      </c>
      <c r="AA1565" s="62">
        <v>0.0</v>
      </c>
      <c r="AB1565" s="62">
        <v>0.0</v>
      </c>
      <c r="AC1565" s="62">
        <v>0.0</v>
      </c>
      <c r="AD1565" s="62">
        <v>0.186388888888888</v>
      </c>
      <c r="AE1565" s="62">
        <v>0.0</v>
      </c>
      <c r="AF1565" s="62">
        <v>4.0</v>
      </c>
    </row>
    <row r="1566">
      <c r="A1566" s="68">
        <v>45961.0</v>
      </c>
      <c r="B1566" s="62" t="s">
        <v>76</v>
      </c>
      <c r="C1566" s="62" t="s">
        <v>165</v>
      </c>
      <c r="D1566" s="62">
        <v>21.0</v>
      </c>
      <c r="E1566" s="62">
        <v>7.0</v>
      </c>
      <c r="F1566" s="62">
        <v>0.0</v>
      </c>
      <c r="G1566" s="62">
        <v>0.0</v>
      </c>
      <c r="H1566" s="62">
        <v>0.0</v>
      </c>
      <c r="I1566" s="62">
        <v>0.0</v>
      </c>
      <c r="J1566" s="62">
        <v>0.0</v>
      </c>
      <c r="K1566" s="62">
        <v>0.0</v>
      </c>
      <c r="L1566" s="62">
        <v>0.0</v>
      </c>
      <c r="M1566" s="62">
        <v>0.0</v>
      </c>
      <c r="N1566" s="62">
        <v>4.0</v>
      </c>
      <c r="O1566" s="62">
        <v>1.0</v>
      </c>
      <c r="P1566" s="62">
        <v>4.0</v>
      </c>
      <c r="Q1566" s="62">
        <v>0.0</v>
      </c>
      <c r="R1566" s="62">
        <v>60657.0</v>
      </c>
      <c r="S1566" s="62">
        <v>17477.0</v>
      </c>
      <c r="T1566" s="62">
        <v>0.0</v>
      </c>
      <c r="U1566" s="62">
        <v>0.0</v>
      </c>
      <c r="V1566" s="62">
        <v>0.0</v>
      </c>
      <c r="W1566" s="62">
        <v>0.0</v>
      </c>
      <c r="X1566" s="62">
        <v>0.0</v>
      </c>
      <c r="Y1566" s="62">
        <v>0.0</v>
      </c>
      <c r="Z1566" s="62">
        <v>0.0</v>
      </c>
      <c r="AA1566" s="62">
        <v>0.0</v>
      </c>
      <c r="AB1566" s="62">
        <v>0.0</v>
      </c>
      <c r="AC1566" s="62">
        <v>0.940277777777777</v>
      </c>
      <c r="AD1566" s="62">
        <v>0.257777777777777</v>
      </c>
      <c r="AE1566" s="62">
        <v>0.940277777777777</v>
      </c>
      <c r="AF1566" s="62">
        <v>0.0</v>
      </c>
    </row>
    <row r="1567">
      <c r="A1567" s="68">
        <v>45961.0</v>
      </c>
      <c r="B1567" s="62" t="s">
        <v>32</v>
      </c>
      <c r="C1567" s="62" t="s">
        <v>168</v>
      </c>
      <c r="D1567" s="62">
        <v>16.0</v>
      </c>
      <c r="E1567" s="62">
        <v>4.0</v>
      </c>
      <c r="F1567" s="62">
        <v>0.0</v>
      </c>
      <c r="G1567" s="62">
        <v>1.0</v>
      </c>
      <c r="H1567" s="62">
        <v>6.0</v>
      </c>
      <c r="I1567" s="62">
        <v>5.0</v>
      </c>
      <c r="J1567" s="62">
        <v>2.0</v>
      </c>
      <c r="K1567" s="62">
        <v>0.0</v>
      </c>
      <c r="L1567" s="62">
        <v>0.0</v>
      </c>
      <c r="M1567" s="62">
        <v>9.0</v>
      </c>
      <c r="N1567" s="62">
        <v>16.0</v>
      </c>
      <c r="O1567" s="62">
        <v>2.0</v>
      </c>
      <c r="P1567" s="62">
        <v>16.0</v>
      </c>
      <c r="Q1567" s="62">
        <v>0.0</v>
      </c>
      <c r="R1567" s="62">
        <v>34247.0</v>
      </c>
      <c r="S1567" s="62">
        <v>8528.0</v>
      </c>
      <c r="T1567" s="62">
        <v>0.0</v>
      </c>
      <c r="U1567" s="62">
        <v>0.0</v>
      </c>
      <c r="V1567" s="62">
        <v>0.226111111111111</v>
      </c>
      <c r="W1567" s="62">
        <v>1.3</v>
      </c>
      <c r="X1567" s="62">
        <v>1.07388888888888</v>
      </c>
      <c r="Y1567" s="62">
        <v>0.440277777777777</v>
      </c>
      <c r="Z1567" s="62">
        <v>0.0</v>
      </c>
      <c r="AA1567" s="62">
        <v>0.0</v>
      </c>
      <c r="AB1567" s="62">
        <v>1.96416666666666</v>
      </c>
      <c r="AC1567" s="62">
        <v>3.44305555555555</v>
      </c>
      <c r="AD1567" s="62">
        <v>0.4525</v>
      </c>
      <c r="AE1567" s="62">
        <v>3.44305555555555</v>
      </c>
      <c r="AF1567" s="62">
        <v>0.0</v>
      </c>
    </row>
    <row r="1568">
      <c r="A1568" s="68">
        <v>45961.0</v>
      </c>
      <c r="B1568" s="62" t="s">
        <v>56</v>
      </c>
      <c r="C1568" s="62" t="s">
        <v>176</v>
      </c>
      <c r="D1568" s="62">
        <v>0.0</v>
      </c>
      <c r="E1568" s="62">
        <v>0.0</v>
      </c>
      <c r="F1568" s="62">
        <v>0.0</v>
      </c>
      <c r="G1568" s="62">
        <v>1.0</v>
      </c>
      <c r="H1568" s="62">
        <v>1.0</v>
      </c>
      <c r="I1568" s="62">
        <v>0.0</v>
      </c>
      <c r="J1568" s="62">
        <v>2.0</v>
      </c>
      <c r="K1568" s="62">
        <v>0.0</v>
      </c>
      <c r="L1568" s="62">
        <v>0.0</v>
      </c>
      <c r="M1568" s="62">
        <v>3.0</v>
      </c>
      <c r="N1568" s="62">
        <v>6.0</v>
      </c>
      <c r="O1568" s="62">
        <v>1.0</v>
      </c>
      <c r="P1568" s="62">
        <v>6.0</v>
      </c>
      <c r="Q1568" s="62">
        <v>0.0</v>
      </c>
      <c r="R1568" s="62">
        <v>0.0</v>
      </c>
      <c r="S1568" s="62">
        <v>0.0</v>
      </c>
      <c r="T1568" s="62">
        <v>0.0</v>
      </c>
      <c r="U1568" s="62">
        <v>0.0</v>
      </c>
      <c r="V1568" s="62">
        <v>0.243333333333333</v>
      </c>
      <c r="W1568" s="62">
        <v>0.243333333333333</v>
      </c>
      <c r="X1568" s="62">
        <v>0.0</v>
      </c>
      <c r="Y1568" s="62">
        <v>0.470277777777777</v>
      </c>
      <c r="Z1568" s="62">
        <v>0.0</v>
      </c>
      <c r="AA1568" s="62">
        <v>0.0</v>
      </c>
      <c r="AB1568" s="62">
        <v>0.713611111111111</v>
      </c>
      <c r="AC1568" s="62">
        <v>1.42583333333333</v>
      </c>
      <c r="AD1568" s="62">
        <v>0.235833333333333</v>
      </c>
      <c r="AE1568" s="62">
        <v>0.925833333333333</v>
      </c>
      <c r="AF1568" s="62">
        <v>0.0</v>
      </c>
    </row>
    <row r="1569">
      <c r="A1569" s="68">
        <v>45961.0</v>
      </c>
      <c r="B1569" s="62" t="s">
        <v>26</v>
      </c>
      <c r="C1569" s="62" t="s">
        <v>178</v>
      </c>
      <c r="D1569" s="62">
        <v>3.0</v>
      </c>
      <c r="E1569" s="62">
        <v>6.0</v>
      </c>
      <c r="F1569" s="62">
        <v>4.0</v>
      </c>
      <c r="G1569" s="62">
        <v>0.0</v>
      </c>
      <c r="H1569" s="62">
        <v>2.0</v>
      </c>
      <c r="I1569" s="62">
        <v>1.0</v>
      </c>
      <c r="J1569" s="62">
        <v>2.0</v>
      </c>
      <c r="K1569" s="62">
        <v>0.0</v>
      </c>
      <c r="L1569" s="62">
        <v>0.0</v>
      </c>
      <c r="M1569" s="62">
        <v>6.0</v>
      </c>
      <c r="N1569" s="62">
        <v>13.0</v>
      </c>
      <c r="O1569" s="62">
        <v>1.0</v>
      </c>
      <c r="P1569" s="62">
        <v>13.0</v>
      </c>
      <c r="Q1569" s="62">
        <v>0.0</v>
      </c>
      <c r="R1569" s="62">
        <v>6625.0</v>
      </c>
      <c r="S1569" s="62">
        <v>13169.0</v>
      </c>
      <c r="T1569" s="62">
        <v>0.585</v>
      </c>
      <c r="U1569" s="62">
        <v>0.782777777777777</v>
      </c>
      <c r="V1569" s="62">
        <v>0.0</v>
      </c>
      <c r="W1569" s="62">
        <v>0.386666666666666</v>
      </c>
      <c r="X1569" s="62">
        <v>0.188333333333333</v>
      </c>
      <c r="Y1569" s="62">
        <v>0.386388888888888</v>
      </c>
      <c r="Z1569" s="62">
        <v>0.0</v>
      </c>
      <c r="AA1569" s="62">
        <v>0.0</v>
      </c>
      <c r="AB1569" s="62">
        <v>1.15972222222222</v>
      </c>
      <c r="AC1569" s="62">
        <v>2.58722222222222</v>
      </c>
      <c r="AD1569" s="62">
        <v>0.194444444444444</v>
      </c>
      <c r="AE1569" s="62">
        <v>2.58722222222222</v>
      </c>
      <c r="AF1569" s="62">
        <v>3.0</v>
      </c>
    </row>
    <row r="1570">
      <c r="A1570" s="68">
        <v>45960.0</v>
      </c>
      <c r="B1570" s="62" t="s">
        <v>76</v>
      </c>
      <c r="C1570" s="62" t="s">
        <v>165</v>
      </c>
      <c r="D1570" s="62">
        <v>0.0</v>
      </c>
      <c r="E1570" s="62">
        <v>6.0</v>
      </c>
      <c r="F1570" s="62">
        <v>0.0</v>
      </c>
      <c r="G1570" s="62">
        <v>0.0</v>
      </c>
      <c r="H1570" s="62">
        <v>0.0</v>
      </c>
      <c r="I1570" s="62">
        <v>0.0</v>
      </c>
      <c r="J1570" s="62">
        <v>3.0</v>
      </c>
      <c r="K1570" s="62">
        <v>0.0</v>
      </c>
      <c r="L1570" s="62">
        <v>0.0</v>
      </c>
      <c r="M1570" s="62">
        <v>3.0</v>
      </c>
      <c r="N1570" s="62">
        <v>0.0</v>
      </c>
      <c r="O1570" s="62">
        <v>1.0</v>
      </c>
      <c r="P1570" s="62">
        <v>0.0</v>
      </c>
      <c r="Q1570" s="62">
        <v>0.0</v>
      </c>
      <c r="R1570" s="62">
        <v>0.0</v>
      </c>
      <c r="S1570" s="62">
        <v>15055.0</v>
      </c>
      <c r="T1570" s="62">
        <v>0.0</v>
      </c>
      <c r="U1570" s="62">
        <v>0.0</v>
      </c>
      <c r="V1570" s="62">
        <v>0.0</v>
      </c>
      <c r="W1570" s="62">
        <v>0.0</v>
      </c>
      <c r="X1570" s="62">
        <v>0.0</v>
      </c>
      <c r="Y1570" s="62">
        <v>0.7075</v>
      </c>
      <c r="Z1570" s="62">
        <v>0.0</v>
      </c>
      <c r="AA1570" s="62">
        <v>0.0</v>
      </c>
      <c r="AB1570" s="62">
        <v>0.7075</v>
      </c>
      <c r="AC1570" s="62">
        <v>0.0</v>
      </c>
      <c r="AD1570" s="62">
        <v>0.2625</v>
      </c>
      <c r="AE1570" s="62">
        <v>0.0</v>
      </c>
      <c r="AF1570" s="62">
        <v>0.0</v>
      </c>
    </row>
    <row r="1571">
      <c r="A1571" s="68">
        <v>45960.0</v>
      </c>
      <c r="B1571" s="62" t="s">
        <v>32</v>
      </c>
      <c r="C1571" s="62" t="s">
        <v>168</v>
      </c>
      <c r="D1571" s="62">
        <v>0.0</v>
      </c>
      <c r="E1571" s="62">
        <v>8.0</v>
      </c>
      <c r="F1571" s="62">
        <v>4.0</v>
      </c>
      <c r="G1571" s="62">
        <v>5.0</v>
      </c>
      <c r="H1571" s="62">
        <v>8.0</v>
      </c>
      <c r="I1571" s="62">
        <v>3.0</v>
      </c>
      <c r="J1571" s="62">
        <v>10.0</v>
      </c>
      <c r="K1571" s="62">
        <v>0.0</v>
      </c>
      <c r="L1571" s="62">
        <v>0.0</v>
      </c>
      <c r="M1571" s="62">
        <v>3.0</v>
      </c>
      <c r="N1571" s="62">
        <v>0.0</v>
      </c>
      <c r="O1571" s="62">
        <v>2.0</v>
      </c>
      <c r="P1571" s="62">
        <v>0.0</v>
      </c>
      <c r="Q1571" s="62">
        <v>0.0</v>
      </c>
      <c r="R1571" s="62">
        <v>0.0</v>
      </c>
      <c r="S1571" s="62">
        <v>15444.0</v>
      </c>
      <c r="T1571" s="62">
        <v>1.07388888888888</v>
      </c>
      <c r="U1571" s="62">
        <v>0.88</v>
      </c>
      <c r="V1571" s="62">
        <v>1.09833333333333</v>
      </c>
      <c r="W1571" s="62">
        <v>1.73416666666666</v>
      </c>
      <c r="X1571" s="62">
        <v>0.635833333333333</v>
      </c>
      <c r="Y1571" s="62">
        <v>2.16888888888888</v>
      </c>
      <c r="Z1571" s="62">
        <v>0.0</v>
      </c>
      <c r="AA1571" s="62">
        <v>0.0</v>
      </c>
      <c r="AB1571" s="62">
        <v>0.645</v>
      </c>
      <c r="AC1571" s="62">
        <v>0.0</v>
      </c>
      <c r="AD1571" s="62">
        <v>0.454722222222222</v>
      </c>
      <c r="AE1571" s="62">
        <v>0.0</v>
      </c>
      <c r="AF1571" s="62">
        <v>5.0</v>
      </c>
    </row>
    <row r="1572">
      <c r="A1572" s="68">
        <v>45960.0</v>
      </c>
      <c r="B1572" s="62" t="s">
        <v>56</v>
      </c>
      <c r="C1572" s="62" t="s">
        <v>176</v>
      </c>
      <c r="D1572" s="62">
        <v>0.0</v>
      </c>
      <c r="E1572" s="62">
        <v>0.0</v>
      </c>
      <c r="F1572" s="62">
        <v>0.0</v>
      </c>
      <c r="G1572" s="62">
        <v>1.0</v>
      </c>
      <c r="H1572" s="62">
        <v>1.0</v>
      </c>
      <c r="I1572" s="62">
        <v>0.0</v>
      </c>
      <c r="J1572" s="62">
        <v>2.0</v>
      </c>
      <c r="K1572" s="62">
        <v>0.0</v>
      </c>
      <c r="L1572" s="62">
        <v>0.0</v>
      </c>
      <c r="M1572" s="62">
        <v>3.0</v>
      </c>
      <c r="N1572" s="62">
        <v>0.0</v>
      </c>
      <c r="O1572" s="62">
        <v>1.0</v>
      </c>
      <c r="P1572" s="62">
        <v>0.0</v>
      </c>
      <c r="Q1572" s="62">
        <v>0.0</v>
      </c>
      <c r="R1572" s="62">
        <v>0.0</v>
      </c>
      <c r="S1572" s="62">
        <v>0.0</v>
      </c>
      <c r="T1572" s="62">
        <v>0.0</v>
      </c>
      <c r="U1572" s="62">
        <v>0.0</v>
      </c>
      <c r="V1572" s="62">
        <v>0.226388888888888</v>
      </c>
      <c r="W1572" s="62">
        <v>0.226388888888888</v>
      </c>
      <c r="X1572" s="62">
        <v>0.0</v>
      </c>
      <c r="Y1572" s="62">
        <v>0.485833333333333</v>
      </c>
      <c r="Z1572" s="62">
        <v>0.0</v>
      </c>
      <c r="AA1572" s="62">
        <v>0.0</v>
      </c>
      <c r="AB1572" s="62">
        <v>0.712222222222222</v>
      </c>
      <c r="AC1572" s="62">
        <v>0.0</v>
      </c>
      <c r="AD1572" s="62">
        <v>0.242777777777777</v>
      </c>
      <c r="AE1572" s="62">
        <v>0.0</v>
      </c>
      <c r="AF1572" s="62">
        <v>0.0</v>
      </c>
    </row>
    <row r="1573">
      <c r="A1573" s="68">
        <v>45960.0</v>
      </c>
      <c r="B1573" s="62" t="s">
        <v>26</v>
      </c>
      <c r="C1573" s="62" t="s">
        <v>178</v>
      </c>
      <c r="D1573" s="62">
        <v>3.0</v>
      </c>
      <c r="E1573" s="62">
        <v>3.0</v>
      </c>
      <c r="F1573" s="62">
        <v>0.0</v>
      </c>
      <c r="G1573" s="62">
        <v>0.0</v>
      </c>
      <c r="H1573" s="62">
        <v>2.0</v>
      </c>
      <c r="I1573" s="62">
        <v>0.0</v>
      </c>
      <c r="J1573" s="62">
        <v>5.0</v>
      </c>
      <c r="K1573" s="62">
        <v>2.0</v>
      </c>
      <c r="L1573" s="62">
        <v>0.0</v>
      </c>
      <c r="M1573" s="62">
        <v>3.0</v>
      </c>
      <c r="N1573" s="62">
        <v>1.0</v>
      </c>
      <c r="O1573" s="62">
        <v>1.0</v>
      </c>
      <c r="P1573" s="62">
        <v>1.0</v>
      </c>
      <c r="Q1573" s="62">
        <v>0.0</v>
      </c>
      <c r="R1573" s="62">
        <v>6209.0</v>
      </c>
      <c r="S1573" s="62">
        <v>6401.0</v>
      </c>
      <c r="T1573" s="62">
        <v>0.386111111111111</v>
      </c>
      <c r="U1573" s="62">
        <v>0.0</v>
      </c>
      <c r="V1573" s="62">
        <v>0.0</v>
      </c>
      <c r="W1573" s="62">
        <v>0.405555555555555</v>
      </c>
      <c r="X1573" s="62">
        <v>0.0</v>
      </c>
      <c r="Y1573" s="62">
        <v>0.983611111111111</v>
      </c>
      <c r="Z1573" s="62">
        <v>0.386111111111111</v>
      </c>
      <c r="AA1573" s="62">
        <v>0.0</v>
      </c>
      <c r="AB1573" s="62">
        <v>0.603055555555555</v>
      </c>
      <c r="AC1573" s="62">
        <v>0.226388888888888</v>
      </c>
      <c r="AD1573" s="62">
        <v>0.211666666666666</v>
      </c>
      <c r="AE1573" s="62">
        <v>0.226388888888888</v>
      </c>
      <c r="AF1573" s="62">
        <v>2.0</v>
      </c>
    </row>
    <row r="1574">
      <c r="A1574" s="68">
        <v>45959.0</v>
      </c>
      <c r="B1574" s="62" t="s">
        <v>71</v>
      </c>
      <c r="C1574" s="62" t="s">
        <v>163</v>
      </c>
      <c r="D1574" s="62">
        <v>2.0</v>
      </c>
      <c r="E1574" s="62">
        <v>0.0</v>
      </c>
      <c r="F1574" s="62">
        <v>0.0</v>
      </c>
      <c r="G1574" s="62">
        <v>0.0</v>
      </c>
      <c r="H1574" s="62">
        <v>0.0</v>
      </c>
      <c r="I1574" s="62">
        <v>0.0</v>
      </c>
      <c r="J1574" s="62">
        <v>0.0</v>
      </c>
      <c r="K1574" s="62">
        <v>0.0</v>
      </c>
      <c r="L1574" s="62">
        <v>0.0</v>
      </c>
      <c r="M1574" s="62">
        <v>0.0</v>
      </c>
      <c r="N1574" s="62">
        <v>0.0</v>
      </c>
      <c r="O1574" s="62">
        <v>0.0</v>
      </c>
      <c r="P1574" s="62">
        <v>0.0</v>
      </c>
      <c r="Q1574" s="62">
        <v>0.0</v>
      </c>
      <c r="R1574" s="62">
        <v>5354.0</v>
      </c>
      <c r="S1574" s="62">
        <v>0.0</v>
      </c>
      <c r="T1574" s="62">
        <v>0.0</v>
      </c>
      <c r="U1574" s="62">
        <v>0.0</v>
      </c>
      <c r="V1574" s="62">
        <v>0.0</v>
      </c>
      <c r="W1574" s="62">
        <v>0.0</v>
      </c>
      <c r="X1574" s="62">
        <v>0.0</v>
      </c>
      <c r="Y1574" s="62">
        <v>0.0</v>
      </c>
      <c r="Z1574" s="62">
        <v>0.0</v>
      </c>
      <c r="AA1574" s="62">
        <v>0.0</v>
      </c>
      <c r="AB1574" s="62">
        <v>0.0</v>
      </c>
      <c r="AC1574" s="62">
        <v>0.0</v>
      </c>
      <c r="AD1574" s="62">
        <v>0.0</v>
      </c>
      <c r="AE1574" s="62">
        <v>0.0</v>
      </c>
      <c r="AF1574" s="62">
        <v>0.0</v>
      </c>
    </row>
    <row r="1575">
      <c r="A1575" s="68">
        <v>45959.0</v>
      </c>
      <c r="B1575" s="62" t="s">
        <v>76</v>
      </c>
      <c r="C1575" s="62" t="s">
        <v>165</v>
      </c>
      <c r="D1575" s="62">
        <v>0.0</v>
      </c>
      <c r="E1575" s="62">
        <v>6.0</v>
      </c>
      <c r="F1575" s="62">
        <v>0.0</v>
      </c>
      <c r="G1575" s="62">
        <v>2.0</v>
      </c>
      <c r="H1575" s="62">
        <v>3.0</v>
      </c>
      <c r="I1575" s="62">
        <v>1.0</v>
      </c>
      <c r="J1575" s="62">
        <v>2.0</v>
      </c>
      <c r="K1575" s="62">
        <v>0.0</v>
      </c>
      <c r="L1575" s="62">
        <v>0.0</v>
      </c>
      <c r="M1575" s="62">
        <v>2.0</v>
      </c>
      <c r="N1575" s="62">
        <v>9.0</v>
      </c>
      <c r="O1575" s="62">
        <v>1.0</v>
      </c>
      <c r="P1575" s="62">
        <v>9.0</v>
      </c>
      <c r="Q1575" s="62">
        <v>0.0</v>
      </c>
      <c r="R1575" s="62">
        <v>0.0</v>
      </c>
      <c r="S1575" s="62">
        <v>14623.0</v>
      </c>
      <c r="T1575" s="62">
        <v>0.2325</v>
      </c>
      <c r="U1575" s="62">
        <v>0.0</v>
      </c>
      <c r="V1575" s="62">
        <v>0.473888888888888</v>
      </c>
      <c r="W1575" s="62">
        <v>0.706388888888888</v>
      </c>
      <c r="X1575" s="62">
        <v>0.2325</v>
      </c>
      <c r="Y1575" s="62">
        <v>0.462222222222222</v>
      </c>
      <c r="Z1575" s="62">
        <v>0.0</v>
      </c>
      <c r="AA1575" s="62">
        <v>0.0</v>
      </c>
      <c r="AB1575" s="62">
        <v>0.462222222222222</v>
      </c>
      <c r="AC1575" s="62">
        <v>2.18694444444444</v>
      </c>
      <c r="AD1575" s="62">
        <v>0.245833333333333</v>
      </c>
      <c r="AE1575" s="62">
        <v>2.18694444444444</v>
      </c>
      <c r="AF1575" s="62">
        <v>1.0</v>
      </c>
    </row>
    <row r="1576">
      <c r="A1576" s="68">
        <v>45959.0</v>
      </c>
      <c r="B1576" s="62" t="s">
        <v>32</v>
      </c>
      <c r="C1576" s="62" t="s">
        <v>168</v>
      </c>
      <c r="D1576" s="62">
        <v>3.0</v>
      </c>
      <c r="E1576" s="62">
        <v>10.0</v>
      </c>
      <c r="F1576" s="62">
        <v>3.0</v>
      </c>
      <c r="G1576" s="62">
        <v>2.0</v>
      </c>
      <c r="H1576" s="62">
        <v>4.0</v>
      </c>
      <c r="I1576" s="62">
        <v>2.0</v>
      </c>
      <c r="J1576" s="62">
        <v>4.0</v>
      </c>
      <c r="K1576" s="62">
        <v>0.0</v>
      </c>
      <c r="L1576" s="62">
        <v>0.0</v>
      </c>
      <c r="M1576" s="62">
        <v>7.0</v>
      </c>
      <c r="N1576" s="62">
        <v>3.0</v>
      </c>
      <c r="O1576" s="62">
        <v>1.0</v>
      </c>
      <c r="P1576" s="62">
        <v>3.0</v>
      </c>
      <c r="Q1576" s="62">
        <v>0.0</v>
      </c>
      <c r="R1576" s="62">
        <v>6833.0</v>
      </c>
      <c r="S1576" s="62">
        <v>20016.0</v>
      </c>
      <c r="T1576" s="62">
        <v>2.57333333333333</v>
      </c>
      <c r="U1576" s="62">
        <v>0.640833333333333</v>
      </c>
      <c r="V1576" s="62">
        <v>0.428611111111111</v>
      </c>
      <c r="W1576" s="62">
        <v>0.845277777777777</v>
      </c>
      <c r="X1576" s="62">
        <v>0.416666666666666</v>
      </c>
      <c r="Y1576" s="62">
        <v>0.833888888888888</v>
      </c>
      <c r="Z1576" s="62">
        <v>0.0</v>
      </c>
      <c r="AA1576" s="62">
        <v>0.0</v>
      </c>
      <c r="AB1576" s="62">
        <v>1.47749999999999</v>
      </c>
      <c r="AC1576" s="62">
        <v>0.643611111111111</v>
      </c>
      <c r="AD1576" s="62">
        <v>0.238333333333333</v>
      </c>
      <c r="AE1576" s="62">
        <v>0.643611111111111</v>
      </c>
      <c r="AF1576" s="62">
        <v>12.0</v>
      </c>
    </row>
    <row r="1577">
      <c r="A1577" s="68">
        <v>45959.0</v>
      </c>
      <c r="B1577" s="62" t="s">
        <v>56</v>
      </c>
      <c r="C1577" s="62" t="s">
        <v>176</v>
      </c>
      <c r="D1577" s="62">
        <v>2.0</v>
      </c>
      <c r="E1577" s="62">
        <v>0.0</v>
      </c>
      <c r="F1577" s="62">
        <v>1.0</v>
      </c>
      <c r="G1577" s="62">
        <v>0.0</v>
      </c>
      <c r="H1577" s="62">
        <v>8.0</v>
      </c>
      <c r="I1577" s="62">
        <v>8.0</v>
      </c>
      <c r="J1577" s="62">
        <v>3.0</v>
      </c>
      <c r="K1577" s="62">
        <v>0.0</v>
      </c>
      <c r="L1577" s="62">
        <v>0.0</v>
      </c>
      <c r="M1577" s="62">
        <v>3.0</v>
      </c>
      <c r="N1577" s="62">
        <v>8.0</v>
      </c>
      <c r="O1577" s="62">
        <v>1.0</v>
      </c>
      <c r="P1577" s="62">
        <v>8.0</v>
      </c>
      <c r="Q1577" s="62">
        <v>0.0</v>
      </c>
      <c r="R1577" s="62">
        <v>2735.0</v>
      </c>
      <c r="S1577" s="62">
        <v>0.0</v>
      </c>
      <c r="T1577" s="62">
        <v>2.11972222222222</v>
      </c>
      <c r="U1577" s="62">
        <v>0.243888888888888</v>
      </c>
      <c r="V1577" s="62">
        <v>0.0</v>
      </c>
      <c r="W1577" s="62">
        <v>1.87583333333333</v>
      </c>
      <c r="X1577" s="62">
        <v>1.87583333333333</v>
      </c>
      <c r="Y1577" s="62">
        <v>0.697777777777777</v>
      </c>
      <c r="Z1577" s="62">
        <v>0.0</v>
      </c>
      <c r="AA1577" s="62">
        <v>0.0</v>
      </c>
      <c r="AB1577" s="62">
        <v>0.697777777777777</v>
      </c>
      <c r="AC1577" s="62">
        <v>1.81333333333333</v>
      </c>
      <c r="AD1577" s="62">
        <v>0.221944444444444</v>
      </c>
      <c r="AE1577" s="62">
        <v>1.22638888888888</v>
      </c>
      <c r="AF1577" s="62">
        <v>9.0</v>
      </c>
    </row>
    <row r="1578">
      <c r="A1578" s="68">
        <v>45959.0</v>
      </c>
      <c r="B1578" s="62" t="s">
        <v>26</v>
      </c>
      <c r="C1578" s="62" t="s">
        <v>178</v>
      </c>
      <c r="D1578" s="62">
        <v>3.0</v>
      </c>
      <c r="E1578" s="62">
        <v>1.0</v>
      </c>
      <c r="F1578" s="62">
        <v>1.0</v>
      </c>
      <c r="G1578" s="62">
        <v>0.0</v>
      </c>
      <c r="H1578" s="62">
        <v>3.0</v>
      </c>
      <c r="I1578" s="62">
        <v>1.0</v>
      </c>
      <c r="J1578" s="62">
        <v>4.0</v>
      </c>
      <c r="K1578" s="62">
        <v>0.0</v>
      </c>
      <c r="L1578" s="62">
        <v>0.0</v>
      </c>
      <c r="M1578" s="62">
        <v>4.0</v>
      </c>
      <c r="N1578" s="62">
        <v>1.0</v>
      </c>
      <c r="O1578" s="62">
        <v>1.0</v>
      </c>
      <c r="P1578" s="62">
        <v>1.0</v>
      </c>
      <c r="Q1578" s="62">
        <v>0.0</v>
      </c>
      <c r="R1578" s="62">
        <v>4037.0</v>
      </c>
      <c r="S1578" s="62">
        <v>2015.0</v>
      </c>
      <c r="T1578" s="62">
        <v>0.0</v>
      </c>
      <c r="U1578" s="62">
        <v>0.195833333333333</v>
      </c>
      <c r="V1578" s="62">
        <v>0.0</v>
      </c>
      <c r="W1578" s="62">
        <v>0.585555555555555</v>
      </c>
      <c r="X1578" s="62">
        <v>0.192777777777777</v>
      </c>
      <c r="Y1578" s="62">
        <v>0.802222222222222</v>
      </c>
      <c r="Z1578" s="62">
        <v>0.0</v>
      </c>
      <c r="AA1578" s="62">
        <v>0.0</v>
      </c>
      <c r="AB1578" s="62">
        <v>0.824444444444444</v>
      </c>
      <c r="AC1578" s="62">
        <v>0.213888888888888</v>
      </c>
      <c r="AD1578" s="62">
        <v>0.183888888888888</v>
      </c>
      <c r="AE1578" s="62">
        <v>0.213888888888888</v>
      </c>
      <c r="AF1578" s="62">
        <v>0.0</v>
      </c>
    </row>
    <row r="1579">
      <c r="A1579" s="68">
        <v>45958.0</v>
      </c>
      <c r="B1579" s="62" t="s">
        <v>76</v>
      </c>
      <c r="C1579" s="62" t="s">
        <v>165</v>
      </c>
      <c r="D1579" s="62">
        <v>0.0</v>
      </c>
      <c r="E1579" s="62">
        <v>4.0</v>
      </c>
      <c r="F1579" s="62">
        <v>1.0</v>
      </c>
      <c r="G1579" s="62">
        <v>1.0</v>
      </c>
      <c r="H1579" s="62">
        <v>0.0</v>
      </c>
      <c r="I1579" s="62">
        <v>0.0</v>
      </c>
      <c r="J1579" s="62">
        <v>5.0</v>
      </c>
      <c r="K1579" s="62">
        <v>0.0</v>
      </c>
      <c r="L1579" s="62">
        <v>1.0</v>
      </c>
      <c r="M1579" s="62">
        <v>7.0</v>
      </c>
      <c r="N1579" s="62">
        <v>0.0</v>
      </c>
      <c r="O1579" s="62">
        <v>1.0</v>
      </c>
      <c r="P1579" s="62">
        <v>0.0</v>
      </c>
      <c r="Q1579" s="62">
        <v>0.0</v>
      </c>
      <c r="R1579" s="62">
        <v>0.0</v>
      </c>
      <c r="S1579" s="62">
        <v>9616.0</v>
      </c>
      <c r="T1579" s="62">
        <v>0.236111111111111</v>
      </c>
      <c r="U1579" s="62">
        <v>0.236111111111111</v>
      </c>
      <c r="V1579" s="62">
        <v>0.229444444444444</v>
      </c>
      <c r="W1579" s="62">
        <v>0.0</v>
      </c>
      <c r="X1579" s="62">
        <v>0.0</v>
      </c>
      <c r="Y1579" s="62">
        <v>1.22916666666666</v>
      </c>
      <c r="Z1579" s="62">
        <v>0.0</v>
      </c>
      <c r="AA1579" s="62">
        <v>0.246666666666666</v>
      </c>
      <c r="AB1579" s="62">
        <v>1.6975</v>
      </c>
      <c r="AC1579" s="62">
        <v>0.0</v>
      </c>
      <c r="AD1579" s="62">
        <v>0.257777777777777</v>
      </c>
      <c r="AE1579" s="62">
        <v>0.0</v>
      </c>
      <c r="AF1579" s="62">
        <v>1.0</v>
      </c>
    </row>
    <row r="1580">
      <c r="A1580" s="68">
        <v>45958.0</v>
      </c>
      <c r="B1580" s="62" t="s">
        <v>32</v>
      </c>
      <c r="C1580" s="62" t="s">
        <v>168</v>
      </c>
      <c r="D1580" s="62">
        <v>0.0</v>
      </c>
      <c r="E1580" s="62">
        <v>4.0</v>
      </c>
      <c r="F1580" s="62">
        <v>1.0</v>
      </c>
      <c r="G1580" s="62">
        <v>3.0</v>
      </c>
      <c r="H1580" s="62">
        <v>6.0</v>
      </c>
      <c r="I1580" s="62">
        <v>3.0</v>
      </c>
      <c r="J1580" s="62">
        <v>4.0</v>
      </c>
      <c r="K1580" s="62">
        <v>1.0</v>
      </c>
      <c r="L1580" s="62">
        <v>1.0</v>
      </c>
      <c r="M1580" s="62">
        <v>4.0</v>
      </c>
      <c r="N1580" s="62">
        <v>4.0</v>
      </c>
      <c r="O1580" s="62">
        <v>2.0</v>
      </c>
      <c r="P1580" s="62">
        <v>4.0</v>
      </c>
      <c r="Q1580" s="62">
        <v>0.0</v>
      </c>
      <c r="R1580" s="62">
        <v>0.0</v>
      </c>
      <c r="S1580" s="62">
        <v>8735.0</v>
      </c>
      <c r="T1580" s="62">
        <v>0.0</v>
      </c>
      <c r="U1580" s="62">
        <v>0.205833333333333</v>
      </c>
      <c r="V1580" s="62">
        <v>0.663333333333333</v>
      </c>
      <c r="W1580" s="62">
        <v>1.28305555555555</v>
      </c>
      <c r="X1580" s="62">
        <v>0.619722222222222</v>
      </c>
      <c r="Y1580" s="62">
        <v>0.868611111111111</v>
      </c>
      <c r="Z1580" s="62">
        <v>0.199444444444444</v>
      </c>
      <c r="AA1580" s="62">
        <v>0.199444444444444</v>
      </c>
      <c r="AB1580" s="62">
        <v>0.833888888888888</v>
      </c>
      <c r="AC1580" s="62">
        <v>0.833888888888888</v>
      </c>
      <c r="AD1580" s="62">
        <v>0.465555555555555</v>
      </c>
      <c r="AE1580" s="62">
        <v>0.833888888888888</v>
      </c>
      <c r="AF1580" s="62">
        <v>0.0</v>
      </c>
    </row>
    <row r="1581">
      <c r="A1581" s="68">
        <v>45958.0</v>
      </c>
      <c r="B1581" s="62" t="s">
        <v>56</v>
      </c>
      <c r="C1581" s="62" t="s">
        <v>176</v>
      </c>
      <c r="D1581" s="62">
        <v>0.0</v>
      </c>
      <c r="E1581" s="62">
        <v>0.0</v>
      </c>
      <c r="F1581" s="62">
        <v>1.0</v>
      </c>
      <c r="G1581" s="62">
        <v>0.0</v>
      </c>
      <c r="H1581" s="62">
        <v>6.0</v>
      </c>
      <c r="I1581" s="62">
        <v>6.0</v>
      </c>
      <c r="J1581" s="62">
        <v>3.0</v>
      </c>
      <c r="K1581" s="62">
        <v>0.0</v>
      </c>
      <c r="L1581" s="62">
        <v>0.0</v>
      </c>
      <c r="M1581" s="62">
        <v>6.0</v>
      </c>
      <c r="N1581" s="62">
        <v>1.0</v>
      </c>
      <c r="O1581" s="62">
        <v>1.0</v>
      </c>
      <c r="P1581" s="62">
        <v>1.0</v>
      </c>
      <c r="Q1581" s="62">
        <v>0.0</v>
      </c>
      <c r="R1581" s="62">
        <v>0.0</v>
      </c>
      <c r="S1581" s="62">
        <v>0.0</v>
      </c>
      <c r="T1581" s="62">
        <v>0.700833333333333</v>
      </c>
      <c r="U1581" s="62">
        <v>0.226666666666666</v>
      </c>
      <c r="V1581" s="62">
        <v>0.0</v>
      </c>
      <c r="W1581" s="62">
        <v>1.36277777777777</v>
      </c>
      <c r="X1581" s="62">
        <v>1.36277777777777</v>
      </c>
      <c r="Y1581" s="62">
        <v>0.646666666666666</v>
      </c>
      <c r="Z1581" s="62">
        <v>0.0</v>
      </c>
      <c r="AA1581" s="62">
        <v>0.0</v>
      </c>
      <c r="AB1581" s="62">
        <v>1.32222222222222</v>
      </c>
      <c r="AC1581" s="62">
        <v>0.206666666666666</v>
      </c>
      <c r="AD1581" s="62">
        <v>0.213055555555555</v>
      </c>
      <c r="AE1581" s="62">
        <v>0.174444444444444</v>
      </c>
      <c r="AF1581" s="62">
        <v>3.0</v>
      </c>
    </row>
    <row r="1582">
      <c r="A1582" s="68">
        <v>45958.0</v>
      </c>
      <c r="B1582" s="62" t="s">
        <v>26</v>
      </c>
      <c r="C1582" s="62" t="s">
        <v>178</v>
      </c>
      <c r="D1582" s="62">
        <v>2.0</v>
      </c>
      <c r="E1582" s="62">
        <v>5.0</v>
      </c>
      <c r="F1582" s="62">
        <v>0.0</v>
      </c>
      <c r="G1582" s="62">
        <v>0.0</v>
      </c>
      <c r="H1582" s="62">
        <v>1.0</v>
      </c>
      <c r="I1582" s="62">
        <v>0.0</v>
      </c>
      <c r="J1582" s="62">
        <v>2.0</v>
      </c>
      <c r="K1582" s="62">
        <v>0.0</v>
      </c>
      <c r="L1582" s="62">
        <v>0.0</v>
      </c>
      <c r="M1582" s="62">
        <v>0.0</v>
      </c>
      <c r="N1582" s="62">
        <v>1.0</v>
      </c>
      <c r="O1582" s="62">
        <v>1.0</v>
      </c>
      <c r="P1582" s="62">
        <v>1.0</v>
      </c>
      <c r="Q1582" s="62">
        <v>0.0</v>
      </c>
      <c r="R1582" s="62">
        <v>4168.0</v>
      </c>
      <c r="S1582" s="62">
        <v>10822.0</v>
      </c>
      <c r="T1582" s="62">
        <v>0.388611111111111</v>
      </c>
      <c r="U1582" s="62">
        <v>0.0</v>
      </c>
      <c r="V1582" s="62">
        <v>0.0</v>
      </c>
      <c r="W1582" s="62">
        <v>0.215</v>
      </c>
      <c r="X1582" s="62">
        <v>0.0</v>
      </c>
      <c r="Y1582" s="62">
        <v>0.415</v>
      </c>
      <c r="Z1582" s="62">
        <v>0.0</v>
      </c>
      <c r="AA1582" s="62">
        <v>0.0</v>
      </c>
      <c r="AB1582" s="62">
        <v>0.0</v>
      </c>
      <c r="AC1582" s="62">
        <v>0.218333333333333</v>
      </c>
      <c r="AD1582" s="62">
        <v>0.194444444444444</v>
      </c>
      <c r="AE1582" s="62">
        <v>0.218333333333333</v>
      </c>
      <c r="AF1582" s="62">
        <v>2.0</v>
      </c>
    </row>
    <row r="1583">
      <c r="A1583" s="68">
        <v>45957.0</v>
      </c>
      <c r="B1583" s="62" t="s">
        <v>76</v>
      </c>
      <c r="C1583" s="62" t="s">
        <v>165</v>
      </c>
      <c r="D1583" s="62">
        <v>0.0</v>
      </c>
      <c r="E1583" s="62">
        <v>4.0</v>
      </c>
      <c r="F1583" s="62">
        <v>2.0</v>
      </c>
      <c r="G1583" s="62">
        <v>3.0</v>
      </c>
      <c r="H1583" s="62">
        <v>5.0</v>
      </c>
      <c r="I1583" s="62">
        <v>2.0</v>
      </c>
      <c r="J1583" s="62">
        <v>2.0</v>
      </c>
      <c r="K1583" s="62">
        <v>1.0</v>
      </c>
      <c r="L1583" s="62">
        <v>0.0</v>
      </c>
      <c r="M1583" s="62">
        <v>1.0</v>
      </c>
      <c r="N1583" s="62">
        <v>0.0</v>
      </c>
      <c r="O1583" s="62">
        <v>1.0</v>
      </c>
      <c r="P1583" s="62">
        <v>0.0</v>
      </c>
      <c r="Q1583" s="62">
        <v>0.0</v>
      </c>
      <c r="R1583" s="62">
        <v>0.0</v>
      </c>
      <c r="S1583" s="62">
        <v>9999.0</v>
      </c>
      <c r="T1583" s="62">
        <v>0.699166666666666</v>
      </c>
      <c r="U1583" s="62">
        <v>0.463055555555555</v>
      </c>
      <c r="V1583" s="62">
        <v>0.758055555555555</v>
      </c>
      <c r="W1583" s="62">
        <v>1.22111111111111</v>
      </c>
      <c r="X1583" s="62">
        <v>0.463055555555555</v>
      </c>
      <c r="Y1583" s="62">
        <v>0.468333333333333</v>
      </c>
      <c r="Z1583" s="62">
        <v>0.246666666666666</v>
      </c>
      <c r="AA1583" s="62">
        <v>0.0</v>
      </c>
      <c r="AB1583" s="62">
        <v>0.26</v>
      </c>
      <c r="AC1583" s="62">
        <v>0.0</v>
      </c>
      <c r="AD1583" s="62">
        <v>0.256944444444444</v>
      </c>
      <c r="AE1583" s="62">
        <v>0.0</v>
      </c>
      <c r="AF1583" s="62">
        <v>3.0</v>
      </c>
    </row>
    <row r="1584">
      <c r="A1584" s="68">
        <v>45957.0</v>
      </c>
      <c r="B1584" s="62" t="s">
        <v>32</v>
      </c>
      <c r="C1584" s="62" t="s">
        <v>168</v>
      </c>
      <c r="D1584" s="62">
        <v>8.0</v>
      </c>
      <c r="E1584" s="62">
        <v>1.0</v>
      </c>
      <c r="F1584" s="62">
        <v>3.0</v>
      </c>
      <c r="G1584" s="62">
        <v>0.0</v>
      </c>
      <c r="H1584" s="62">
        <v>2.0</v>
      </c>
      <c r="I1584" s="62">
        <v>2.0</v>
      </c>
      <c r="J1584" s="62">
        <v>3.0</v>
      </c>
      <c r="K1584" s="62">
        <v>0.0</v>
      </c>
      <c r="L1584" s="62">
        <v>0.0</v>
      </c>
      <c r="M1584" s="62">
        <v>2.0</v>
      </c>
      <c r="N1584" s="62">
        <v>2.0</v>
      </c>
      <c r="O1584" s="62">
        <v>2.0</v>
      </c>
      <c r="P1584" s="62">
        <v>2.0</v>
      </c>
      <c r="Q1584" s="62">
        <v>0.0</v>
      </c>
      <c r="R1584" s="62">
        <v>15825.0</v>
      </c>
      <c r="S1584" s="62">
        <v>2302.0</v>
      </c>
      <c r="T1584" s="62">
        <v>1.85277777777777</v>
      </c>
      <c r="U1584" s="62">
        <v>0.640277777777777</v>
      </c>
      <c r="V1584" s="62">
        <v>0.0</v>
      </c>
      <c r="W1584" s="62">
        <v>0.386944444444444</v>
      </c>
      <c r="X1584" s="62">
        <v>0.386944444444444</v>
      </c>
      <c r="Y1584" s="62">
        <v>0.608888888888888</v>
      </c>
      <c r="Z1584" s="62">
        <v>0.0</v>
      </c>
      <c r="AA1584" s="62">
        <v>0.0</v>
      </c>
      <c r="AB1584" s="62">
        <v>0.464444444444444</v>
      </c>
      <c r="AC1584" s="62">
        <v>0.464444444444444</v>
      </c>
      <c r="AD1584" s="62">
        <v>0.474444444444444</v>
      </c>
      <c r="AE1584" s="62">
        <v>0.464444444444444</v>
      </c>
      <c r="AF1584" s="62">
        <v>9.0</v>
      </c>
    </row>
    <row r="1585">
      <c r="A1585" s="68">
        <v>45957.0</v>
      </c>
      <c r="B1585" s="62" t="s">
        <v>56</v>
      </c>
      <c r="C1585" s="62" t="s">
        <v>176</v>
      </c>
      <c r="D1585" s="62">
        <v>0.0</v>
      </c>
      <c r="E1585" s="62">
        <v>0.0</v>
      </c>
      <c r="F1585" s="62">
        <v>0.0</v>
      </c>
      <c r="G1585" s="62">
        <v>2.0</v>
      </c>
      <c r="H1585" s="62">
        <v>2.0</v>
      </c>
      <c r="I1585" s="62">
        <v>0.0</v>
      </c>
      <c r="J1585" s="62">
        <v>1.0</v>
      </c>
      <c r="K1585" s="62">
        <v>0.0</v>
      </c>
      <c r="L1585" s="62">
        <v>0.0</v>
      </c>
      <c r="M1585" s="62">
        <v>0.0</v>
      </c>
      <c r="N1585" s="62">
        <v>0.0</v>
      </c>
      <c r="O1585" s="62">
        <v>1.0</v>
      </c>
      <c r="P1585" s="62">
        <v>0.0</v>
      </c>
      <c r="Q1585" s="62">
        <v>0.0</v>
      </c>
      <c r="R1585" s="62">
        <v>0.0</v>
      </c>
      <c r="S1585" s="62">
        <v>0.0</v>
      </c>
      <c r="T1585" s="62">
        <v>0.888611111111111</v>
      </c>
      <c r="U1585" s="62">
        <v>0.0</v>
      </c>
      <c r="V1585" s="62">
        <v>0.429722222222222</v>
      </c>
      <c r="W1585" s="62">
        <v>0.429722222222222</v>
      </c>
      <c r="X1585" s="62">
        <v>0.0</v>
      </c>
      <c r="Y1585" s="62">
        <v>0.245833333333333</v>
      </c>
      <c r="Z1585" s="62">
        <v>0.0</v>
      </c>
      <c r="AA1585" s="62">
        <v>0.0</v>
      </c>
      <c r="AB1585" s="62">
        <v>0.0</v>
      </c>
      <c r="AC1585" s="62">
        <v>0.0</v>
      </c>
      <c r="AD1585" s="62">
        <v>0.219722222222222</v>
      </c>
      <c r="AE1585" s="62">
        <v>0.0</v>
      </c>
      <c r="AF1585" s="62">
        <v>4.0</v>
      </c>
    </row>
    <row r="1586">
      <c r="A1586" s="68">
        <v>45957.0</v>
      </c>
      <c r="B1586" s="62" t="s">
        <v>26</v>
      </c>
      <c r="C1586" s="62" t="s">
        <v>178</v>
      </c>
      <c r="D1586" s="62">
        <v>3.0</v>
      </c>
      <c r="E1586" s="62">
        <v>2.0</v>
      </c>
      <c r="F1586" s="62">
        <v>4.0</v>
      </c>
      <c r="G1586" s="62">
        <v>0.0</v>
      </c>
      <c r="H1586" s="62">
        <v>8.0</v>
      </c>
      <c r="I1586" s="62">
        <v>8.0</v>
      </c>
      <c r="J1586" s="62">
        <v>3.0</v>
      </c>
      <c r="K1586" s="62">
        <v>0.0</v>
      </c>
      <c r="L1586" s="62">
        <v>0.0</v>
      </c>
      <c r="M1586" s="62">
        <v>3.0</v>
      </c>
      <c r="N1586" s="62">
        <v>3.0</v>
      </c>
      <c r="O1586" s="62">
        <v>1.0</v>
      </c>
      <c r="P1586" s="62">
        <v>3.0</v>
      </c>
      <c r="Q1586" s="62">
        <v>0.0</v>
      </c>
      <c r="R1586" s="62">
        <v>6470.0</v>
      </c>
      <c r="S1586" s="62">
        <v>4662.0</v>
      </c>
      <c r="T1586" s="62">
        <v>0.809722222222222</v>
      </c>
      <c r="U1586" s="62">
        <v>0.825277777777777</v>
      </c>
      <c r="V1586" s="62">
        <v>0.0</v>
      </c>
      <c r="W1586" s="62">
        <v>1.64333333333333</v>
      </c>
      <c r="X1586" s="62">
        <v>1.64333333333333</v>
      </c>
      <c r="Y1586" s="62">
        <v>0.658611111111111</v>
      </c>
      <c r="Z1586" s="62">
        <v>0.0</v>
      </c>
      <c r="AA1586" s="62">
        <v>0.0</v>
      </c>
      <c r="AB1586" s="62">
        <v>0.658611111111111</v>
      </c>
      <c r="AC1586" s="62">
        <v>0.594444444444444</v>
      </c>
      <c r="AD1586" s="62">
        <v>0.191388888888888</v>
      </c>
      <c r="AE1586" s="62">
        <v>0.594444444444444</v>
      </c>
      <c r="AF1586" s="62">
        <v>4.0</v>
      </c>
    </row>
    <row r="1587">
      <c r="A1587" s="68">
        <v>45956.0</v>
      </c>
      <c r="B1587" s="62" t="s">
        <v>76</v>
      </c>
      <c r="C1587" s="62" t="s">
        <v>165</v>
      </c>
      <c r="D1587" s="62">
        <v>0.0</v>
      </c>
      <c r="E1587" s="62">
        <v>0.0</v>
      </c>
      <c r="F1587" s="62">
        <v>0.0</v>
      </c>
      <c r="G1587" s="62">
        <v>1.0</v>
      </c>
      <c r="H1587" s="62">
        <v>1.0</v>
      </c>
      <c r="I1587" s="62">
        <v>0.0</v>
      </c>
      <c r="J1587" s="62">
        <v>1.0</v>
      </c>
      <c r="K1587" s="62">
        <v>0.0</v>
      </c>
      <c r="L1587" s="62">
        <v>0.0</v>
      </c>
      <c r="M1587" s="62">
        <v>0.0</v>
      </c>
      <c r="N1587" s="62">
        <v>0.0</v>
      </c>
      <c r="O1587" s="62">
        <v>1.0</v>
      </c>
      <c r="P1587" s="62">
        <v>0.0</v>
      </c>
      <c r="Q1587" s="62">
        <v>0.0</v>
      </c>
      <c r="R1587" s="62">
        <v>0.0</v>
      </c>
      <c r="S1587" s="62">
        <v>0.0</v>
      </c>
      <c r="T1587" s="62">
        <v>0.0</v>
      </c>
      <c r="U1587" s="62">
        <v>0.0</v>
      </c>
      <c r="V1587" s="62">
        <v>0.246666666666666</v>
      </c>
      <c r="W1587" s="62">
        <v>0.246666666666666</v>
      </c>
      <c r="X1587" s="62">
        <v>0.0</v>
      </c>
      <c r="Y1587" s="62">
        <v>0.26</v>
      </c>
      <c r="Z1587" s="62">
        <v>0.0</v>
      </c>
      <c r="AA1587" s="62">
        <v>0.0</v>
      </c>
      <c r="AB1587" s="62">
        <v>0.0</v>
      </c>
      <c r="AC1587" s="62">
        <v>0.0</v>
      </c>
      <c r="AD1587" s="62">
        <v>0.245555555555555</v>
      </c>
      <c r="AE1587" s="62">
        <v>0.0</v>
      </c>
      <c r="AF1587" s="62">
        <v>0.0</v>
      </c>
    </row>
    <row r="1588">
      <c r="A1588" s="68">
        <v>45955.0</v>
      </c>
      <c r="B1588" s="62" t="s">
        <v>32</v>
      </c>
      <c r="C1588" s="62" t="s">
        <v>168</v>
      </c>
      <c r="D1588" s="62">
        <v>0.0</v>
      </c>
      <c r="E1588" s="62">
        <v>1.0</v>
      </c>
      <c r="F1588" s="62">
        <v>0.0</v>
      </c>
      <c r="G1588" s="62">
        <v>0.0</v>
      </c>
      <c r="H1588" s="62">
        <v>0.0</v>
      </c>
      <c r="I1588" s="62">
        <v>0.0</v>
      </c>
      <c r="J1588" s="62">
        <v>0.0</v>
      </c>
      <c r="K1588" s="62">
        <v>0.0</v>
      </c>
      <c r="L1588" s="62">
        <v>0.0</v>
      </c>
      <c r="M1588" s="62">
        <v>0.0</v>
      </c>
      <c r="N1588" s="62">
        <v>0.0</v>
      </c>
      <c r="O1588" s="62">
        <v>1.0</v>
      </c>
      <c r="P1588" s="62">
        <v>0.0</v>
      </c>
      <c r="Q1588" s="62">
        <v>0.0</v>
      </c>
      <c r="R1588" s="62">
        <v>0.0</v>
      </c>
      <c r="S1588" s="62">
        <v>2238.0</v>
      </c>
      <c r="T1588" s="62">
        <v>0.0</v>
      </c>
      <c r="U1588" s="62">
        <v>0.0</v>
      </c>
      <c r="V1588" s="62">
        <v>0.0</v>
      </c>
      <c r="W1588" s="62">
        <v>0.0</v>
      </c>
      <c r="X1588" s="62">
        <v>0.0</v>
      </c>
      <c r="Y1588" s="62">
        <v>0.0</v>
      </c>
      <c r="Z1588" s="62">
        <v>0.0</v>
      </c>
      <c r="AA1588" s="62">
        <v>0.0</v>
      </c>
      <c r="AB1588" s="62">
        <v>0.0</v>
      </c>
      <c r="AC1588" s="62">
        <v>0.0</v>
      </c>
      <c r="AD1588" s="62">
        <v>0.239722222222222</v>
      </c>
      <c r="AE1588" s="62">
        <v>0.0</v>
      </c>
      <c r="AF1588" s="62">
        <v>0.0</v>
      </c>
    </row>
    <row r="1589">
      <c r="A1589" s="68">
        <v>45955.0</v>
      </c>
      <c r="B1589" s="62" t="s">
        <v>26</v>
      </c>
      <c r="C1589" s="62" t="s">
        <v>178</v>
      </c>
      <c r="D1589" s="62">
        <v>0.0</v>
      </c>
      <c r="E1589" s="62">
        <v>0.0</v>
      </c>
      <c r="F1589" s="62">
        <v>0.0</v>
      </c>
      <c r="G1589" s="62">
        <v>0.0</v>
      </c>
      <c r="H1589" s="62">
        <v>0.0</v>
      </c>
      <c r="I1589" s="62">
        <v>0.0</v>
      </c>
      <c r="J1589" s="62">
        <v>0.0</v>
      </c>
      <c r="K1589" s="62">
        <v>0.0</v>
      </c>
      <c r="L1589" s="62">
        <v>0.0</v>
      </c>
      <c r="M1589" s="62">
        <v>0.0</v>
      </c>
      <c r="N1589" s="62">
        <v>0.0</v>
      </c>
      <c r="O1589" s="62">
        <v>1.0</v>
      </c>
      <c r="P1589" s="62">
        <v>0.0</v>
      </c>
      <c r="Q1589" s="62">
        <v>0.0</v>
      </c>
      <c r="R1589" s="62">
        <v>0.0</v>
      </c>
      <c r="S1589" s="62">
        <v>0.0</v>
      </c>
      <c r="T1589" s="62">
        <v>0.792222222222222</v>
      </c>
      <c r="U1589" s="62">
        <v>0.0</v>
      </c>
      <c r="V1589" s="62">
        <v>0.0</v>
      </c>
      <c r="W1589" s="62">
        <v>0.0</v>
      </c>
      <c r="X1589" s="62">
        <v>0.0</v>
      </c>
      <c r="Y1589" s="62">
        <v>0.0</v>
      </c>
      <c r="Z1589" s="62">
        <v>0.0</v>
      </c>
      <c r="AA1589" s="62">
        <v>0.0</v>
      </c>
      <c r="AB1589" s="62">
        <v>0.0</v>
      </c>
      <c r="AC1589" s="62">
        <v>0.0</v>
      </c>
      <c r="AD1589" s="62">
        <v>0.196111111111111</v>
      </c>
      <c r="AE1589" s="62">
        <v>0.0</v>
      </c>
      <c r="AF1589" s="62">
        <v>4.0</v>
      </c>
    </row>
    <row r="1590">
      <c r="A1590" s="68">
        <v>45954.0</v>
      </c>
      <c r="B1590" s="62" t="s">
        <v>76</v>
      </c>
      <c r="C1590" s="62" t="s">
        <v>165</v>
      </c>
      <c r="D1590" s="62">
        <v>16.0</v>
      </c>
      <c r="E1590" s="62">
        <v>1.0</v>
      </c>
      <c r="F1590" s="62">
        <v>5.0</v>
      </c>
      <c r="G1590" s="62">
        <v>4.0</v>
      </c>
      <c r="H1590" s="62">
        <v>8.0</v>
      </c>
      <c r="I1590" s="62">
        <v>4.0</v>
      </c>
      <c r="J1590" s="62">
        <v>7.0</v>
      </c>
      <c r="K1590" s="62">
        <v>2.0</v>
      </c>
      <c r="L1590" s="62">
        <v>2.0</v>
      </c>
      <c r="M1590" s="62">
        <v>9.0</v>
      </c>
      <c r="N1590" s="62">
        <v>9.0</v>
      </c>
      <c r="O1590" s="62">
        <v>1.0</v>
      </c>
      <c r="P1590" s="62">
        <v>9.0</v>
      </c>
      <c r="Q1590" s="62">
        <v>0.0</v>
      </c>
      <c r="R1590" s="62">
        <v>51216.0</v>
      </c>
      <c r="S1590" s="62">
        <v>2614.0</v>
      </c>
      <c r="T1590" s="62">
        <v>1.16333333333333</v>
      </c>
      <c r="U1590" s="62">
        <v>1.27638888888888</v>
      </c>
      <c r="V1590" s="62">
        <v>0.970555555555555</v>
      </c>
      <c r="W1590" s="62">
        <v>1.91111111111111</v>
      </c>
      <c r="X1590" s="62">
        <v>0.940555555555555</v>
      </c>
      <c r="Y1590" s="62">
        <v>1.63666666666666</v>
      </c>
      <c r="Z1590" s="62">
        <v>0.463888888888888</v>
      </c>
      <c r="AA1590" s="62">
        <v>0.463888888888888</v>
      </c>
      <c r="AB1590" s="62">
        <v>2.12666666666666</v>
      </c>
      <c r="AC1590" s="62">
        <v>2.12666666666666</v>
      </c>
      <c r="AD1590" s="62">
        <v>0.252222222222222</v>
      </c>
      <c r="AE1590" s="62">
        <v>2.12666666666666</v>
      </c>
      <c r="AF1590" s="62">
        <v>5.0</v>
      </c>
    </row>
    <row r="1591">
      <c r="A1591" s="68">
        <v>45954.0</v>
      </c>
      <c r="B1591" s="62" t="s">
        <v>32</v>
      </c>
      <c r="C1591" s="62" t="s">
        <v>168</v>
      </c>
      <c r="D1591" s="62">
        <v>8.0</v>
      </c>
      <c r="E1591" s="62">
        <v>5.0</v>
      </c>
      <c r="F1591" s="62">
        <v>0.0</v>
      </c>
      <c r="G1591" s="62">
        <v>2.0</v>
      </c>
      <c r="H1591" s="62">
        <v>3.0</v>
      </c>
      <c r="I1591" s="62">
        <v>1.0</v>
      </c>
      <c r="J1591" s="62">
        <v>4.0</v>
      </c>
      <c r="K1591" s="62">
        <v>0.0</v>
      </c>
      <c r="L1591" s="62">
        <v>0.0</v>
      </c>
      <c r="M1591" s="62">
        <v>4.0</v>
      </c>
      <c r="N1591" s="62">
        <v>10.0</v>
      </c>
      <c r="O1591" s="62">
        <v>1.0</v>
      </c>
      <c r="P1591" s="62">
        <v>10.0</v>
      </c>
      <c r="Q1591" s="62">
        <v>0.0</v>
      </c>
      <c r="R1591" s="62">
        <v>17938.0</v>
      </c>
      <c r="S1591" s="62">
        <v>10982.0</v>
      </c>
      <c r="T1591" s="62">
        <v>0.22</v>
      </c>
      <c r="U1591" s="62">
        <v>0.0</v>
      </c>
      <c r="V1591" s="62">
        <v>0.464444444444444</v>
      </c>
      <c r="W1591" s="62">
        <v>0.684444444444444</v>
      </c>
      <c r="X1591" s="62">
        <v>0.22</v>
      </c>
      <c r="Y1591" s="62">
        <v>0.896111111111111</v>
      </c>
      <c r="Z1591" s="62">
        <v>0.0</v>
      </c>
      <c r="AA1591" s="62">
        <v>0.0</v>
      </c>
      <c r="AB1591" s="62">
        <v>0.890277777777777</v>
      </c>
      <c r="AC1591" s="62">
        <v>2.25055555555555</v>
      </c>
      <c r="AD1591" s="62">
        <v>0.241666666666666</v>
      </c>
      <c r="AE1591" s="62">
        <v>2.25055555555555</v>
      </c>
      <c r="AF1591" s="62">
        <v>1.0</v>
      </c>
    </row>
    <row r="1592">
      <c r="A1592" s="68">
        <v>45954.0</v>
      </c>
      <c r="B1592" s="62" t="s">
        <v>56</v>
      </c>
      <c r="C1592" s="62" t="s">
        <v>176</v>
      </c>
      <c r="D1592" s="62">
        <v>0.0</v>
      </c>
      <c r="E1592" s="62">
        <v>0.0</v>
      </c>
      <c r="F1592" s="62">
        <v>0.0</v>
      </c>
      <c r="G1592" s="62">
        <v>1.0</v>
      </c>
      <c r="H1592" s="62">
        <v>1.0</v>
      </c>
      <c r="I1592" s="62">
        <v>0.0</v>
      </c>
      <c r="J1592" s="62">
        <v>5.0</v>
      </c>
      <c r="K1592" s="62">
        <v>0.0</v>
      </c>
      <c r="L1592" s="62">
        <v>0.0</v>
      </c>
      <c r="M1592" s="62">
        <v>6.0</v>
      </c>
      <c r="N1592" s="62">
        <v>9.0</v>
      </c>
      <c r="O1592" s="62">
        <v>1.0</v>
      </c>
      <c r="P1592" s="62">
        <v>9.0</v>
      </c>
      <c r="Q1592" s="62">
        <v>0.0</v>
      </c>
      <c r="R1592" s="62">
        <v>0.0</v>
      </c>
      <c r="S1592" s="62">
        <v>0.0</v>
      </c>
      <c r="T1592" s="62">
        <v>0.0</v>
      </c>
      <c r="U1592" s="62">
        <v>0.0</v>
      </c>
      <c r="V1592" s="62">
        <v>0.218055555555555</v>
      </c>
      <c r="W1592" s="62">
        <v>0.218055555555555</v>
      </c>
      <c r="X1592" s="62">
        <v>0.0</v>
      </c>
      <c r="Y1592" s="62">
        <v>1.13166666666666</v>
      </c>
      <c r="Z1592" s="62">
        <v>0.0</v>
      </c>
      <c r="AA1592" s="62">
        <v>0.0</v>
      </c>
      <c r="AB1592" s="62">
        <v>1.34972222222222</v>
      </c>
      <c r="AC1592" s="62">
        <v>2.00305555555555</v>
      </c>
      <c r="AD1592" s="62">
        <v>0.21</v>
      </c>
      <c r="AE1592" s="62">
        <v>1.41305555555555</v>
      </c>
      <c r="AF1592" s="62">
        <v>0.0</v>
      </c>
    </row>
    <row r="1593">
      <c r="A1593" s="68">
        <v>45954.0</v>
      </c>
      <c r="B1593" s="62" t="s">
        <v>26</v>
      </c>
      <c r="C1593" s="62" t="s">
        <v>178</v>
      </c>
      <c r="D1593" s="62">
        <v>3.0</v>
      </c>
      <c r="E1593" s="62">
        <v>0.0</v>
      </c>
      <c r="F1593" s="62">
        <v>0.0</v>
      </c>
      <c r="G1593" s="62">
        <v>0.0</v>
      </c>
      <c r="H1593" s="62">
        <v>0.0</v>
      </c>
      <c r="I1593" s="62">
        <v>0.0</v>
      </c>
      <c r="J1593" s="62">
        <v>2.0</v>
      </c>
      <c r="K1593" s="62">
        <v>0.0</v>
      </c>
      <c r="L1593" s="62">
        <v>0.0</v>
      </c>
      <c r="M1593" s="62">
        <v>5.0</v>
      </c>
      <c r="N1593" s="62">
        <v>6.0</v>
      </c>
      <c r="O1593" s="62">
        <v>1.0</v>
      </c>
      <c r="P1593" s="62">
        <v>6.0</v>
      </c>
      <c r="Q1593" s="62">
        <v>0.0</v>
      </c>
      <c r="R1593" s="62">
        <v>6617.0</v>
      </c>
      <c r="S1593" s="62">
        <v>0.0</v>
      </c>
      <c r="T1593" s="62">
        <v>0.866666666666666</v>
      </c>
      <c r="U1593" s="62">
        <v>0.0</v>
      </c>
      <c r="V1593" s="62">
        <v>0.0</v>
      </c>
      <c r="W1593" s="62">
        <v>0.0</v>
      </c>
      <c r="X1593" s="62">
        <v>0.0</v>
      </c>
      <c r="Y1593" s="62">
        <v>0.385833333333333</v>
      </c>
      <c r="Z1593" s="62">
        <v>0.0</v>
      </c>
      <c r="AA1593" s="62">
        <v>0.0</v>
      </c>
      <c r="AB1593" s="62">
        <v>1.02583333333333</v>
      </c>
      <c r="AC1593" s="62">
        <v>1.24694444444444</v>
      </c>
      <c r="AD1593" s="62">
        <v>0.188611111111111</v>
      </c>
      <c r="AE1593" s="62">
        <v>1.24694444444444</v>
      </c>
      <c r="AF1593" s="62">
        <v>4.0</v>
      </c>
    </row>
    <row r="1594">
      <c r="A1594" s="68">
        <v>45953.0</v>
      </c>
      <c r="B1594" s="62" t="s">
        <v>76</v>
      </c>
      <c r="C1594" s="62" t="s">
        <v>165</v>
      </c>
      <c r="D1594" s="62">
        <v>0.0</v>
      </c>
      <c r="E1594" s="62">
        <v>0.0</v>
      </c>
      <c r="F1594" s="62">
        <v>7.0</v>
      </c>
      <c r="G1594" s="62">
        <v>4.0</v>
      </c>
      <c r="H1594" s="62">
        <v>5.0</v>
      </c>
      <c r="I1594" s="62">
        <v>1.0</v>
      </c>
      <c r="J1594" s="62">
        <v>2.0</v>
      </c>
      <c r="K1594" s="62">
        <v>0.0</v>
      </c>
      <c r="L1594" s="62">
        <v>0.0</v>
      </c>
      <c r="M1594" s="62">
        <v>0.0</v>
      </c>
      <c r="N1594" s="62">
        <v>0.0</v>
      </c>
      <c r="O1594" s="62">
        <v>1.0</v>
      </c>
      <c r="P1594" s="62">
        <v>0.0</v>
      </c>
      <c r="Q1594" s="62">
        <v>0.0</v>
      </c>
      <c r="R1594" s="62">
        <v>0.0</v>
      </c>
      <c r="S1594" s="62">
        <v>0.0</v>
      </c>
      <c r="T1594" s="62">
        <v>1.30749999999999</v>
      </c>
      <c r="U1594" s="62">
        <v>1.58583333333333</v>
      </c>
      <c r="V1594" s="62">
        <v>0.900833333333333</v>
      </c>
      <c r="W1594" s="62">
        <v>1.15472222222222</v>
      </c>
      <c r="X1594" s="62">
        <v>0.253888888888888</v>
      </c>
      <c r="Y1594" s="62">
        <v>0.49</v>
      </c>
      <c r="Z1594" s="62">
        <v>0.0</v>
      </c>
      <c r="AA1594" s="62">
        <v>0.0</v>
      </c>
      <c r="AB1594" s="62">
        <v>0.0</v>
      </c>
      <c r="AC1594" s="62">
        <v>0.0</v>
      </c>
      <c r="AD1594" s="62">
        <v>0.248333333333333</v>
      </c>
      <c r="AE1594" s="62">
        <v>0.0</v>
      </c>
      <c r="AF1594" s="62">
        <v>5.0</v>
      </c>
    </row>
    <row r="1595">
      <c r="A1595" s="68">
        <v>45953.0</v>
      </c>
      <c r="B1595" s="62" t="s">
        <v>32</v>
      </c>
      <c r="C1595" s="62" t="s">
        <v>168</v>
      </c>
      <c r="D1595" s="62">
        <v>0.0</v>
      </c>
      <c r="E1595" s="62">
        <v>11.0</v>
      </c>
      <c r="F1595" s="62">
        <v>4.0</v>
      </c>
      <c r="G1595" s="62">
        <v>3.0</v>
      </c>
      <c r="H1595" s="62">
        <v>5.0</v>
      </c>
      <c r="I1595" s="62">
        <v>2.0</v>
      </c>
      <c r="J1595" s="62">
        <v>10.0</v>
      </c>
      <c r="K1595" s="62">
        <v>0.0</v>
      </c>
      <c r="L1595" s="62">
        <v>0.0</v>
      </c>
      <c r="M1595" s="62">
        <v>8.0</v>
      </c>
      <c r="N1595" s="62">
        <v>6.0</v>
      </c>
      <c r="O1595" s="62">
        <v>1.0</v>
      </c>
      <c r="P1595" s="62">
        <v>6.0</v>
      </c>
      <c r="Q1595" s="62">
        <v>0.0</v>
      </c>
      <c r="R1595" s="62">
        <v>0.0</v>
      </c>
      <c r="S1595" s="62">
        <v>24080.0</v>
      </c>
      <c r="T1595" s="62">
        <v>0.0</v>
      </c>
      <c r="U1595" s="62">
        <v>0.906666666666666</v>
      </c>
      <c r="V1595" s="62">
        <v>0.671111111111111</v>
      </c>
      <c r="W1595" s="62">
        <v>1.12</v>
      </c>
      <c r="X1595" s="62">
        <v>0.448888888888888</v>
      </c>
      <c r="Y1595" s="62">
        <v>2.22027777777777</v>
      </c>
      <c r="Z1595" s="62">
        <v>0.0</v>
      </c>
      <c r="AA1595" s="62">
        <v>0.0</v>
      </c>
      <c r="AB1595" s="62">
        <v>1.76166666666666</v>
      </c>
      <c r="AC1595" s="62">
        <v>1.24916666666666</v>
      </c>
      <c r="AD1595" s="62">
        <v>0.237222222222222</v>
      </c>
      <c r="AE1595" s="62">
        <v>1.24916666666666</v>
      </c>
      <c r="AF1595" s="62">
        <v>0.0</v>
      </c>
    </row>
    <row r="1596">
      <c r="A1596" s="68">
        <v>45953.0</v>
      </c>
      <c r="B1596" s="62" t="s">
        <v>56</v>
      </c>
      <c r="C1596" s="62" t="s">
        <v>176</v>
      </c>
      <c r="D1596" s="62">
        <v>0.0</v>
      </c>
      <c r="E1596" s="62">
        <v>0.0</v>
      </c>
      <c r="F1596" s="62">
        <v>3.0</v>
      </c>
      <c r="G1596" s="62">
        <v>1.0</v>
      </c>
      <c r="H1596" s="62">
        <v>9.0</v>
      </c>
      <c r="I1596" s="62">
        <v>8.0</v>
      </c>
      <c r="J1596" s="62">
        <v>2.0</v>
      </c>
      <c r="K1596" s="62">
        <v>0.0</v>
      </c>
      <c r="L1596" s="62">
        <v>0.0</v>
      </c>
      <c r="M1596" s="62">
        <v>2.0</v>
      </c>
      <c r="N1596" s="62">
        <v>0.0</v>
      </c>
      <c r="O1596" s="62">
        <v>1.0</v>
      </c>
      <c r="P1596" s="62">
        <v>0.0</v>
      </c>
      <c r="Q1596" s="62">
        <v>0.0</v>
      </c>
      <c r="R1596" s="62">
        <v>0.0</v>
      </c>
      <c r="S1596" s="62">
        <v>0.0</v>
      </c>
      <c r="T1596" s="62">
        <v>0.681666666666666</v>
      </c>
      <c r="U1596" s="62">
        <v>0.646944444444444</v>
      </c>
      <c r="V1596" s="62">
        <v>0.211111111111111</v>
      </c>
      <c r="W1596" s="62">
        <v>2.02916666666666</v>
      </c>
      <c r="X1596" s="62">
        <v>1.81805555555555</v>
      </c>
      <c r="Y1596" s="62">
        <v>0.437222222222222</v>
      </c>
      <c r="Z1596" s="62">
        <v>0.0</v>
      </c>
      <c r="AA1596" s="62">
        <v>0.0</v>
      </c>
      <c r="AB1596" s="62">
        <v>0.437222222222222</v>
      </c>
      <c r="AC1596" s="62">
        <v>0.0</v>
      </c>
      <c r="AD1596" s="62">
        <v>0.246666666666666</v>
      </c>
      <c r="AE1596" s="62">
        <v>0.0</v>
      </c>
      <c r="AF1596" s="62">
        <v>3.0</v>
      </c>
    </row>
    <row r="1597">
      <c r="A1597" s="68">
        <v>45953.0</v>
      </c>
      <c r="B1597" s="62" t="s">
        <v>26</v>
      </c>
      <c r="C1597" s="62" t="s">
        <v>178</v>
      </c>
      <c r="D1597" s="62">
        <v>3.0</v>
      </c>
      <c r="E1597" s="62">
        <v>0.0</v>
      </c>
      <c r="F1597" s="62">
        <v>0.0</v>
      </c>
      <c r="G1597" s="62">
        <v>0.0</v>
      </c>
      <c r="H1597" s="62">
        <v>0.0</v>
      </c>
      <c r="I1597" s="62">
        <v>0.0</v>
      </c>
      <c r="J1597" s="62">
        <v>2.0</v>
      </c>
      <c r="K1597" s="62">
        <v>0.0</v>
      </c>
      <c r="L1597" s="62">
        <v>0.0</v>
      </c>
      <c r="M1597" s="62">
        <v>3.0</v>
      </c>
      <c r="N1597" s="62">
        <v>1.0</v>
      </c>
      <c r="O1597" s="62">
        <v>1.0</v>
      </c>
      <c r="P1597" s="62">
        <v>1.0</v>
      </c>
      <c r="Q1597" s="62">
        <v>0.0</v>
      </c>
      <c r="R1597" s="62">
        <v>6299.0</v>
      </c>
      <c r="S1597" s="62">
        <v>0.0</v>
      </c>
      <c r="T1597" s="62">
        <v>0.0</v>
      </c>
      <c r="U1597" s="62">
        <v>0.0</v>
      </c>
      <c r="V1597" s="62">
        <v>0.0</v>
      </c>
      <c r="W1597" s="62">
        <v>0.0</v>
      </c>
      <c r="X1597" s="62">
        <v>0.0</v>
      </c>
      <c r="Y1597" s="62">
        <v>0.419444444444444</v>
      </c>
      <c r="Z1597" s="62">
        <v>0.0</v>
      </c>
      <c r="AA1597" s="62">
        <v>0.0</v>
      </c>
      <c r="AB1597" s="62">
        <v>0.6075</v>
      </c>
      <c r="AC1597" s="62">
        <v>0.205277777777777</v>
      </c>
      <c r="AD1597" s="62">
        <v>0.190833333333333</v>
      </c>
      <c r="AE1597" s="62">
        <v>0.205277777777777</v>
      </c>
      <c r="AF1597" s="62">
        <v>0.0</v>
      </c>
    </row>
    <row r="1598">
      <c r="A1598" s="68">
        <v>45952.0</v>
      </c>
      <c r="B1598" s="62" t="s">
        <v>76</v>
      </c>
      <c r="C1598" s="62" t="s">
        <v>165</v>
      </c>
      <c r="D1598" s="62">
        <v>0.0</v>
      </c>
      <c r="E1598" s="62">
        <v>0.0</v>
      </c>
      <c r="F1598" s="62">
        <v>0.0</v>
      </c>
      <c r="G1598" s="62">
        <v>0.0</v>
      </c>
      <c r="H1598" s="62">
        <v>0.0</v>
      </c>
      <c r="I1598" s="62">
        <v>0.0</v>
      </c>
      <c r="J1598" s="62">
        <v>0.0</v>
      </c>
      <c r="K1598" s="62">
        <v>0.0</v>
      </c>
      <c r="L1598" s="62">
        <v>0.0</v>
      </c>
      <c r="M1598" s="62">
        <v>0.0</v>
      </c>
      <c r="N1598" s="62">
        <v>0.0</v>
      </c>
      <c r="O1598" s="62">
        <v>1.0</v>
      </c>
      <c r="P1598" s="62">
        <v>0.0</v>
      </c>
      <c r="Q1598" s="62">
        <v>0.0</v>
      </c>
      <c r="R1598" s="62">
        <v>0.0</v>
      </c>
      <c r="S1598" s="62">
        <v>0.0</v>
      </c>
      <c r="T1598" s="62">
        <v>1.58583333333333</v>
      </c>
      <c r="U1598" s="62">
        <v>0.0</v>
      </c>
      <c r="V1598" s="62">
        <v>0.0</v>
      </c>
      <c r="W1598" s="62">
        <v>0.0</v>
      </c>
      <c r="X1598" s="62">
        <v>0.0</v>
      </c>
      <c r="Y1598" s="62">
        <v>0.0</v>
      </c>
      <c r="Z1598" s="62">
        <v>0.0</v>
      </c>
      <c r="AA1598" s="62">
        <v>0.0</v>
      </c>
      <c r="AB1598" s="62">
        <v>0.0</v>
      </c>
      <c r="AC1598" s="62">
        <v>0.0</v>
      </c>
      <c r="AD1598" s="62">
        <v>0.251944444444444</v>
      </c>
      <c r="AE1598" s="62">
        <v>0.0</v>
      </c>
      <c r="AF1598" s="62">
        <v>7.0</v>
      </c>
    </row>
    <row r="1599">
      <c r="A1599" s="68">
        <v>45952.0</v>
      </c>
      <c r="B1599" s="62" t="s">
        <v>32</v>
      </c>
      <c r="C1599" s="62" t="s">
        <v>168</v>
      </c>
      <c r="D1599" s="62">
        <v>0.0</v>
      </c>
      <c r="E1599" s="62">
        <v>0.0</v>
      </c>
      <c r="F1599" s="62">
        <v>0.0</v>
      </c>
      <c r="G1599" s="62">
        <v>0.0</v>
      </c>
      <c r="H1599" s="62">
        <v>0.0</v>
      </c>
      <c r="I1599" s="62">
        <v>0.0</v>
      </c>
      <c r="J1599" s="62">
        <v>0.0</v>
      </c>
      <c r="K1599" s="62">
        <v>0.0</v>
      </c>
      <c r="L1599" s="62">
        <v>0.0</v>
      </c>
      <c r="M1599" s="62">
        <v>0.0</v>
      </c>
      <c r="N1599" s="62">
        <v>0.0</v>
      </c>
      <c r="O1599" s="62">
        <v>1.0</v>
      </c>
      <c r="P1599" s="62">
        <v>0.0</v>
      </c>
      <c r="Q1599" s="62">
        <v>0.0</v>
      </c>
      <c r="R1599" s="62">
        <v>0.0</v>
      </c>
      <c r="S1599" s="62">
        <v>0.0</v>
      </c>
      <c r="T1599" s="62">
        <v>1.35555555555555</v>
      </c>
      <c r="U1599" s="62">
        <v>0.0</v>
      </c>
      <c r="V1599" s="62">
        <v>0.0</v>
      </c>
      <c r="W1599" s="62">
        <v>0.0</v>
      </c>
      <c r="X1599" s="62">
        <v>0.0</v>
      </c>
      <c r="Y1599" s="62">
        <v>0.0</v>
      </c>
      <c r="Z1599" s="62">
        <v>0.0</v>
      </c>
      <c r="AA1599" s="62">
        <v>0.0</v>
      </c>
      <c r="AB1599" s="62">
        <v>0.0</v>
      </c>
      <c r="AC1599" s="62">
        <v>0.0</v>
      </c>
      <c r="AD1599" s="62">
        <v>0.233055555555555</v>
      </c>
      <c r="AE1599" s="62">
        <v>0.0</v>
      </c>
      <c r="AF1599" s="62">
        <v>6.0</v>
      </c>
    </row>
    <row r="1600">
      <c r="A1600" s="68">
        <v>45952.0</v>
      </c>
      <c r="B1600" s="62" t="s">
        <v>56</v>
      </c>
      <c r="C1600" s="62" t="s">
        <v>176</v>
      </c>
      <c r="D1600" s="62">
        <v>0.0</v>
      </c>
      <c r="E1600" s="62">
        <v>0.0</v>
      </c>
      <c r="F1600" s="62">
        <v>0.0</v>
      </c>
      <c r="G1600" s="62">
        <v>0.0</v>
      </c>
      <c r="H1600" s="62">
        <v>0.0</v>
      </c>
      <c r="I1600" s="62">
        <v>0.0</v>
      </c>
      <c r="J1600" s="62">
        <v>0.0</v>
      </c>
      <c r="K1600" s="62">
        <v>0.0</v>
      </c>
      <c r="L1600" s="62">
        <v>0.0</v>
      </c>
      <c r="M1600" s="62">
        <v>0.0</v>
      </c>
      <c r="N1600" s="62">
        <v>0.0</v>
      </c>
      <c r="O1600" s="62">
        <v>1.0</v>
      </c>
      <c r="P1600" s="62">
        <v>0.0</v>
      </c>
      <c r="Q1600" s="62">
        <v>0.0</v>
      </c>
      <c r="R1600" s="62">
        <v>0.0</v>
      </c>
      <c r="S1600" s="62">
        <v>0.0</v>
      </c>
      <c r="T1600" s="62">
        <v>0.8875</v>
      </c>
      <c r="U1600" s="62">
        <v>0.0</v>
      </c>
      <c r="V1600" s="62">
        <v>0.0</v>
      </c>
      <c r="W1600" s="62">
        <v>0.0</v>
      </c>
      <c r="X1600" s="62">
        <v>0.0</v>
      </c>
      <c r="Y1600" s="62">
        <v>0.0</v>
      </c>
      <c r="Z1600" s="62">
        <v>0.0</v>
      </c>
      <c r="AA1600" s="62">
        <v>0.0</v>
      </c>
      <c r="AB1600" s="62">
        <v>0.0</v>
      </c>
      <c r="AC1600" s="62">
        <v>0.0</v>
      </c>
      <c r="AD1600" s="62">
        <v>0.252777777777777</v>
      </c>
      <c r="AE1600" s="62">
        <v>0.0</v>
      </c>
      <c r="AF1600" s="62">
        <v>4.0</v>
      </c>
    </row>
    <row r="1601">
      <c r="A1601" s="68">
        <v>45952.0</v>
      </c>
      <c r="B1601" s="62" t="s">
        <v>26</v>
      </c>
      <c r="C1601" s="62" t="s">
        <v>178</v>
      </c>
      <c r="D1601" s="62">
        <v>0.0</v>
      </c>
      <c r="E1601" s="62">
        <v>0.0</v>
      </c>
      <c r="F1601" s="62">
        <v>0.0</v>
      </c>
      <c r="G1601" s="62">
        <v>0.0</v>
      </c>
      <c r="H1601" s="62">
        <v>0.0</v>
      </c>
      <c r="I1601" s="62">
        <v>0.0</v>
      </c>
      <c r="J1601" s="62">
        <v>1.0</v>
      </c>
      <c r="K1601" s="62">
        <v>0.0</v>
      </c>
      <c r="L1601" s="62">
        <v>0.0</v>
      </c>
      <c r="M1601" s="62">
        <v>0.0</v>
      </c>
      <c r="N1601" s="62">
        <v>0.0</v>
      </c>
      <c r="O1601" s="62">
        <v>1.0</v>
      </c>
      <c r="P1601" s="62">
        <v>0.0</v>
      </c>
      <c r="Q1601" s="62">
        <v>0.0</v>
      </c>
      <c r="R1601" s="62">
        <v>0.0</v>
      </c>
      <c r="S1601" s="62">
        <v>0.0</v>
      </c>
      <c r="T1601" s="62">
        <v>0.0</v>
      </c>
      <c r="U1601" s="62">
        <v>0.0</v>
      </c>
      <c r="V1601" s="62">
        <v>0.0</v>
      </c>
      <c r="W1601" s="62">
        <v>0.0</v>
      </c>
      <c r="X1601" s="62">
        <v>0.0</v>
      </c>
      <c r="Y1601" s="62">
        <v>0.201111111111111</v>
      </c>
      <c r="Z1601" s="62">
        <v>0.0</v>
      </c>
      <c r="AA1601" s="62">
        <v>0.0</v>
      </c>
      <c r="AB1601" s="62">
        <v>0.0</v>
      </c>
      <c r="AC1601" s="62">
        <v>0.0</v>
      </c>
      <c r="AD1601" s="62">
        <v>0.214444444444444</v>
      </c>
      <c r="AE1601" s="62">
        <v>0.0</v>
      </c>
      <c r="AF1601" s="62">
        <v>0.0</v>
      </c>
    </row>
    <row r="1602">
      <c r="A1602" s="68">
        <v>45951.0</v>
      </c>
      <c r="B1602" s="62" t="s">
        <v>32</v>
      </c>
      <c r="C1602" s="62" t="s">
        <v>168</v>
      </c>
      <c r="D1602" s="62">
        <v>0.0</v>
      </c>
      <c r="E1602" s="62">
        <v>2.0</v>
      </c>
      <c r="F1602" s="62">
        <v>3.0</v>
      </c>
      <c r="G1602" s="62">
        <v>5.0</v>
      </c>
      <c r="H1602" s="62">
        <v>9.0</v>
      </c>
      <c r="I1602" s="62">
        <v>4.0</v>
      </c>
      <c r="J1602" s="62">
        <v>2.0</v>
      </c>
      <c r="K1602" s="62">
        <v>0.0</v>
      </c>
      <c r="L1602" s="62">
        <v>0.0</v>
      </c>
      <c r="M1602" s="62">
        <v>4.0</v>
      </c>
      <c r="N1602" s="62">
        <v>0.0</v>
      </c>
      <c r="O1602" s="62">
        <v>1.0</v>
      </c>
      <c r="P1602" s="62">
        <v>0.0</v>
      </c>
      <c r="Q1602" s="62">
        <v>0.0</v>
      </c>
      <c r="R1602" s="62">
        <v>0.0</v>
      </c>
      <c r="S1602" s="62">
        <v>4739.0</v>
      </c>
      <c r="T1602" s="62">
        <v>0.0</v>
      </c>
      <c r="U1602" s="62">
        <v>0.674166666666666</v>
      </c>
      <c r="V1602" s="62">
        <v>1.07694444444444</v>
      </c>
      <c r="W1602" s="62">
        <v>1.94611111111111</v>
      </c>
      <c r="X1602" s="62">
        <v>0.869166666666666</v>
      </c>
      <c r="Y1602" s="62">
        <v>0.443333333333333</v>
      </c>
      <c r="Z1602" s="62">
        <v>0.0</v>
      </c>
      <c r="AA1602" s="62">
        <v>0.0</v>
      </c>
      <c r="AB1602" s="62">
        <v>0.847777777777777</v>
      </c>
      <c r="AC1602" s="62">
        <v>0.0</v>
      </c>
      <c r="AD1602" s="62">
        <v>0.227777777777777</v>
      </c>
      <c r="AE1602" s="62">
        <v>0.0</v>
      </c>
      <c r="AF1602" s="62">
        <v>0.0</v>
      </c>
    </row>
    <row r="1603">
      <c r="A1603" s="68">
        <v>45951.0</v>
      </c>
      <c r="B1603" s="62" t="s">
        <v>56</v>
      </c>
      <c r="C1603" s="62" t="s">
        <v>176</v>
      </c>
      <c r="D1603" s="62">
        <v>0.0</v>
      </c>
      <c r="E1603" s="62">
        <v>0.0</v>
      </c>
      <c r="F1603" s="62">
        <v>0.0</v>
      </c>
      <c r="G1603" s="62">
        <v>0.0</v>
      </c>
      <c r="H1603" s="62">
        <v>0.0</v>
      </c>
      <c r="I1603" s="62">
        <v>0.0</v>
      </c>
      <c r="J1603" s="62">
        <v>0.0</v>
      </c>
      <c r="K1603" s="62">
        <v>0.0</v>
      </c>
      <c r="L1603" s="62">
        <v>0.0</v>
      </c>
      <c r="M1603" s="62">
        <v>0.0</v>
      </c>
      <c r="N1603" s="62">
        <v>0.0</v>
      </c>
      <c r="O1603" s="62">
        <v>1.0</v>
      </c>
      <c r="P1603" s="62">
        <v>0.0</v>
      </c>
      <c r="Q1603" s="62">
        <v>0.0</v>
      </c>
      <c r="R1603" s="62">
        <v>0.0</v>
      </c>
      <c r="S1603" s="62">
        <v>0.0</v>
      </c>
      <c r="T1603" s="62">
        <v>0.895833333333333</v>
      </c>
      <c r="U1603" s="62">
        <v>0.0</v>
      </c>
      <c r="V1603" s="62">
        <v>0.0</v>
      </c>
      <c r="W1603" s="62">
        <v>0.0</v>
      </c>
      <c r="X1603" s="62">
        <v>0.0</v>
      </c>
      <c r="Y1603" s="62">
        <v>0.0</v>
      </c>
      <c r="Z1603" s="62">
        <v>0.0</v>
      </c>
      <c r="AA1603" s="62">
        <v>0.0</v>
      </c>
      <c r="AB1603" s="62">
        <v>0.0</v>
      </c>
      <c r="AC1603" s="62">
        <v>0.0</v>
      </c>
      <c r="AD1603" s="62">
        <v>0.231388888888888</v>
      </c>
      <c r="AE1603" s="62">
        <v>0.0</v>
      </c>
      <c r="AF1603" s="62">
        <v>4.0</v>
      </c>
    </row>
    <row r="1604">
      <c r="A1604" s="68">
        <v>45951.0</v>
      </c>
      <c r="B1604" s="62" t="s">
        <v>26</v>
      </c>
      <c r="C1604" s="62" t="s">
        <v>178</v>
      </c>
      <c r="D1604" s="62">
        <v>3.0</v>
      </c>
      <c r="E1604" s="62">
        <v>3.0</v>
      </c>
      <c r="F1604" s="62">
        <v>0.0</v>
      </c>
      <c r="G1604" s="62">
        <v>0.0</v>
      </c>
      <c r="H1604" s="62">
        <v>0.0</v>
      </c>
      <c r="I1604" s="62">
        <v>0.0</v>
      </c>
      <c r="J1604" s="62">
        <v>3.0</v>
      </c>
      <c r="K1604" s="62">
        <v>2.0</v>
      </c>
      <c r="L1604" s="62">
        <v>0.0</v>
      </c>
      <c r="M1604" s="62">
        <v>2.0</v>
      </c>
      <c r="N1604" s="62">
        <v>2.0</v>
      </c>
      <c r="O1604" s="62">
        <v>1.0</v>
      </c>
      <c r="P1604" s="62">
        <v>2.0</v>
      </c>
      <c r="Q1604" s="62">
        <v>0.0</v>
      </c>
      <c r="R1604" s="62">
        <v>6830.0</v>
      </c>
      <c r="S1604" s="62">
        <v>6768.0</v>
      </c>
      <c r="T1604" s="62">
        <v>0.0</v>
      </c>
      <c r="U1604" s="62">
        <v>0.0</v>
      </c>
      <c r="V1604" s="62">
        <v>0.0</v>
      </c>
      <c r="W1604" s="62">
        <v>0.0</v>
      </c>
      <c r="X1604" s="62">
        <v>0.0</v>
      </c>
      <c r="Y1604" s="62">
        <v>0.616111111111111</v>
      </c>
      <c r="Z1604" s="62">
        <v>0.431388888888888</v>
      </c>
      <c r="AA1604" s="62">
        <v>0.0</v>
      </c>
      <c r="AB1604" s="62">
        <v>0.413333333333333</v>
      </c>
      <c r="AC1604" s="62">
        <v>0.415555555555555</v>
      </c>
      <c r="AD1604" s="62">
        <v>0.186111111111111</v>
      </c>
      <c r="AE1604" s="62">
        <v>0.415555555555555</v>
      </c>
      <c r="AF1604" s="62">
        <v>0.0</v>
      </c>
    </row>
    <row r="1605">
      <c r="A1605" s="68">
        <v>45950.0</v>
      </c>
      <c r="B1605" s="62" t="s">
        <v>76</v>
      </c>
      <c r="C1605" s="62" t="s">
        <v>165</v>
      </c>
      <c r="D1605" s="62">
        <v>0.0</v>
      </c>
      <c r="E1605" s="62">
        <v>0.0</v>
      </c>
      <c r="F1605" s="62">
        <v>0.0</v>
      </c>
      <c r="G1605" s="62">
        <v>0.0</v>
      </c>
      <c r="H1605" s="62">
        <v>0.0</v>
      </c>
      <c r="I1605" s="62">
        <v>0.0</v>
      </c>
      <c r="J1605" s="62">
        <v>0.0</v>
      </c>
      <c r="K1605" s="62">
        <v>0.0</v>
      </c>
      <c r="L1605" s="62">
        <v>0.0</v>
      </c>
      <c r="M1605" s="62">
        <v>1.0</v>
      </c>
      <c r="N1605" s="62">
        <v>1.0</v>
      </c>
      <c r="O1605" s="62">
        <v>1.0</v>
      </c>
      <c r="P1605" s="62">
        <v>1.0</v>
      </c>
      <c r="Q1605" s="62">
        <v>0.0</v>
      </c>
      <c r="R1605" s="62">
        <v>0.0</v>
      </c>
      <c r="S1605" s="62">
        <v>0.0</v>
      </c>
      <c r="T1605" s="62">
        <v>0.0</v>
      </c>
      <c r="U1605" s="62">
        <v>0.0</v>
      </c>
      <c r="V1605" s="62">
        <v>0.0</v>
      </c>
      <c r="W1605" s="62">
        <v>0.0</v>
      </c>
      <c r="X1605" s="62">
        <v>0.0</v>
      </c>
      <c r="Y1605" s="62">
        <v>0.0</v>
      </c>
      <c r="Z1605" s="62">
        <v>0.0</v>
      </c>
      <c r="AA1605" s="62">
        <v>0.0</v>
      </c>
      <c r="AB1605" s="62">
        <v>0.241944444444444</v>
      </c>
      <c r="AC1605" s="62">
        <v>0.241944444444444</v>
      </c>
      <c r="AD1605" s="62">
        <v>0.253611111111111</v>
      </c>
      <c r="AE1605" s="62">
        <v>0.241944444444444</v>
      </c>
      <c r="AF1605" s="62">
        <v>0.0</v>
      </c>
    </row>
    <row r="1606">
      <c r="A1606" s="68">
        <v>45950.0</v>
      </c>
      <c r="B1606" s="62" t="s">
        <v>32</v>
      </c>
      <c r="C1606" s="62" t="s">
        <v>168</v>
      </c>
      <c r="D1606" s="62">
        <v>0.0</v>
      </c>
      <c r="E1606" s="62">
        <v>0.0</v>
      </c>
      <c r="F1606" s="62">
        <v>2.0</v>
      </c>
      <c r="G1606" s="62">
        <v>0.0</v>
      </c>
      <c r="H1606" s="62">
        <v>1.0</v>
      </c>
      <c r="I1606" s="62">
        <v>1.0</v>
      </c>
      <c r="J1606" s="62">
        <v>2.0</v>
      </c>
      <c r="K1606" s="62">
        <v>1.0</v>
      </c>
      <c r="L1606" s="62">
        <v>0.0</v>
      </c>
      <c r="M1606" s="62">
        <v>0.0</v>
      </c>
      <c r="N1606" s="62">
        <v>0.0</v>
      </c>
      <c r="O1606" s="62">
        <v>1.0</v>
      </c>
      <c r="P1606" s="62">
        <v>0.0</v>
      </c>
      <c r="Q1606" s="62">
        <v>0.0</v>
      </c>
      <c r="R1606" s="62">
        <v>0.0</v>
      </c>
      <c r="S1606" s="62">
        <v>0.0</v>
      </c>
      <c r="T1606" s="62">
        <v>1.54333333333333</v>
      </c>
      <c r="U1606" s="62">
        <v>0.413611111111111</v>
      </c>
      <c r="V1606" s="62">
        <v>0.0</v>
      </c>
      <c r="W1606" s="62">
        <v>0.188055555555555</v>
      </c>
      <c r="X1606" s="62">
        <v>0.188055555555555</v>
      </c>
      <c r="Y1606" s="62">
        <v>0.404444444444444</v>
      </c>
      <c r="Z1606" s="62">
        <v>0.218333333333333</v>
      </c>
      <c r="AA1606" s="62">
        <v>0.0</v>
      </c>
      <c r="AB1606" s="62">
        <v>0.0</v>
      </c>
      <c r="AC1606" s="62">
        <v>0.0</v>
      </c>
      <c r="AD1606" s="62">
        <v>0.2225</v>
      </c>
      <c r="AE1606" s="62">
        <v>0.0</v>
      </c>
      <c r="AF1606" s="62">
        <v>7.0</v>
      </c>
    </row>
    <row r="1607">
      <c r="A1607" s="68">
        <v>45950.0</v>
      </c>
      <c r="B1607" s="62" t="s">
        <v>56</v>
      </c>
      <c r="C1607" s="62" t="s">
        <v>176</v>
      </c>
      <c r="D1607" s="62">
        <v>0.0</v>
      </c>
      <c r="E1607" s="62">
        <v>0.0</v>
      </c>
      <c r="F1607" s="62">
        <v>0.0</v>
      </c>
      <c r="G1607" s="62">
        <v>0.0</v>
      </c>
      <c r="H1607" s="62">
        <v>0.0</v>
      </c>
      <c r="I1607" s="62">
        <v>0.0</v>
      </c>
      <c r="J1607" s="62">
        <v>0.0</v>
      </c>
      <c r="K1607" s="62">
        <v>0.0</v>
      </c>
      <c r="L1607" s="62">
        <v>0.0</v>
      </c>
      <c r="M1607" s="62">
        <v>1.0</v>
      </c>
      <c r="N1607" s="62">
        <v>0.0</v>
      </c>
      <c r="O1607" s="62">
        <v>1.0</v>
      </c>
      <c r="P1607" s="62">
        <v>0.0</v>
      </c>
      <c r="Q1607" s="62">
        <v>0.0</v>
      </c>
      <c r="R1607" s="62">
        <v>0.0</v>
      </c>
      <c r="S1607" s="62">
        <v>0.0</v>
      </c>
      <c r="T1607" s="62">
        <v>0.0</v>
      </c>
      <c r="U1607" s="62">
        <v>0.0</v>
      </c>
      <c r="V1607" s="62">
        <v>0.0</v>
      </c>
      <c r="W1607" s="62">
        <v>0.0</v>
      </c>
      <c r="X1607" s="62">
        <v>0.0</v>
      </c>
      <c r="Y1607" s="62">
        <v>0.0</v>
      </c>
      <c r="Z1607" s="62">
        <v>0.0</v>
      </c>
      <c r="AA1607" s="62">
        <v>0.0</v>
      </c>
      <c r="AB1607" s="62">
        <v>0.216111111111111</v>
      </c>
      <c r="AC1607" s="62">
        <v>0.0</v>
      </c>
      <c r="AD1607" s="62">
        <v>0.241944444444444</v>
      </c>
      <c r="AE1607" s="62">
        <v>0.0</v>
      </c>
      <c r="AF1607" s="62">
        <v>0.0</v>
      </c>
    </row>
    <row r="1608">
      <c r="A1608" s="68">
        <v>45950.0</v>
      </c>
      <c r="B1608" s="62" t="s">
        <v>26</v>
      </c>
      <c r="C1608" s="62" t="s">
        <v>178</v>
      </c>
      <c r="D1608" s="62">
        <v>3.0</v>
      </c>
      <c r="E1608" s="62">
        <v>0.0</v>
      </c>
      <c r="F1608" s="62">
        <v>0.0</v>
      </c>
      <c r="G1608" s="62">
        <v>0.0</v>
      </c>
      <c r="H1608" s="62">
        <v>9.0</v>
      </c>
      <c r="I1608" s="62">
        <v>5.0</v>
      </c>
      <c r="J1608" s="62">
        <v>4.0</v>
      </c>
      <c r="K1608" s="62">
        <v>0.0</v>
      </c>
      <c r="L1608" s="62">
        <v>0.0</v>
      </c>
      <c r="M1608" s="62">
        <v>2.0</v>
      </c>
      <c r="N1608" s="62">
        <v>0.0</v>
      </c>
      <c r="O1608" s="62">
        <v>1.0</v>
      </c>
      <c r="P1608" s="62">
        <v>0.0</v>
      </c>
      <c r="Q1608" s="62">
        <v>0.0</v>
      </c>
      <c r="R1608" s="62">
        <v>6211.0</v>
      </c>
      <c r="S1608" s="62">
        <v>0.0</v>
      </c>
      <c r="T1608" s="62">
        <v>0.0</v>
      </c>
      <c r="U1608" s="62">
        <v>0.0</v>
      </c>
      <c r="V1608" s="62">
        <v>0.0</v>
      </c>
      <c r="W1608" s="62">
        <v>1.83194444444444</v>
      </c>
      <c r="X1608" s="62">
        <v>0.992222222222222</v>
      </c>
      <c r="Y1608" s="62">
        <v>0.839722222222222</v>
      </c>
      <c r="Z1608" s="62">
        <v>0.0</v>
      </c>
      <c r="AA1608" s="62">
        <v>0.0</v>
      </c>
      <c r="AB1608" s="62">
        <v>0.415555555555555</v>
      </c>
      <c r="AC1608" s="62">
        <v>0.0</v>
      </c>
      <c r="AD1608" s="62">
        <v>0.216111111111111</v>
      </c>
      <c r="AE1608" s="62">
        <v>0.0</v>
      </c>
      <c r="AF1608" s="62">
        <v>0.0</v>
      </c>
    </row>
    <row r="1609">
      <c r="A1609" s="68">
        <v>45948.0</v>
      </c>
      <c r="B1609" s="62" t="s">
        <v>76</v>
      </c>
      <c r="C1609" s="62" t="s">
        <v>165</v>
      </c>
      <c r="D1609" s="62">
        <v>0.0</v>
      </c>
      <c r="E1609" s="62">
        <v>0.0</v>
      </c>
      <c r="F1609" s="62">
        <v>0.0</v>
      </c>
      <c r="G1609" s="62">
        <v>0.0</v>
      </c>
      <c r="H1609" s="62">
        <v>0.0</v>
      </c>
      <c r="I1609" s="62">
        <v>0.0</v>
      </c>
      <c r="J1609" s="62">
        <v>0.0</v>
      </c>
      <c r="K1609" s="62">
        <v>0.0</v>
      </c>
      <c r="L1609" s="62">
        <v>0.0</v>
      </c>
      <c r="M1609" s="62">
        <v>0.0</v>
      </c>
      <c r="N1609" s="62">
        <v>1.0</v>
      </c>
      <c r="O1609" s="62">
        <v>1.0</v>
      </c>
      <c r="P1609" s="62">
        <v>1.0</v>
      </c>
      <c r="Q1609" s="62">
        <v>0.0</v>
      </c>
      <c r="R1609" s="62">
        <v>0.0</v>
      </c>
      <c r="S1609" s="62">
        <v>0.0</v>
      </c>
      <c r="T1609" s="62">
        <v>0.0</v>
      </c>
      <c r="U1609" s="62">
        <v>0.0</v>
      </c>
      <c r="V1609" s="62">
        <v>0.0</v>
      </c>
      <c r="W1609" s="62">
        <v>0.0</v>
      </c>
      <c r="X1609" s="62">
        <v>0.0</v>
      </c>
      <c r="Y1609" s="62">
        <v>0.0</v>
      </c>
      <c r="Z1609" s="62">
        <v>0.0</v>
      </c>
      <c r="AA1609" s="62">
        <v>0.0</v>
      </c>
      <c r="AB1609" s="62">
        <v>0.0</v>
      </c>
      <c r="AC1609" s="62">
        <v>0.241388888888888</v>
      </c>
      <c r="AD1609" s="62">
        <v>0.281111111111111</v>
      </c>
      <c r="AE1609" s="62">
        <v>0.241388888888888</v>
      </c>
      <c r="AF1609" s="62">
        <v>0.0</v>
      </c>
    </row>
    <row r="1610">
      <c r="A1610" s="68">
        <v>45948.0</v>
      </c>
      <c r="B1610" s="62" t="s">
        <v>32</v>
      </c>
      <c r="C1610" s="62" t="s">
        <v>168</v>
      </c>
      <c r="D1610" s="62">
        <v>0.0</v>
      </c>
      <c r="E1610" s="62">
        <v>0.0</v>
      </c>
      <c r="F1610" s="62">
        <v>0.0</v>
      </c>
      <c r="G1610" s="62">
        <v>0.0</v>
      </c>
      <c r="H1610" s="62">
        <v>0.0</v>
      </c>
      <c r="I1610" s="62">
        <v>0.0</v>
      </c>
      <c r="J1610" s="62">
        <v>0.0</v>
      </c>
      <c r="K1610" s="62">
        <v>0.0</v>
      </c>
      <c r="L1610" s="62">
        <v>0.0</v>
      </c>
      <c r="M1610" s="62">
        <v>0.0</v>
      </c>
      <c r="N1610" s="62">
        <v>5.0</v>
      </c>
      <c r="O1610" s="62">
        <v>1.0</v>
      </c>
      <c r="P1610" s="62">
        <v>5.0</v>
      </c>
      <c r="Q1610" s="62">
        <v>0.0</v>
      </c>
      <c r="R1610" s="62">
        <v>0.0</v>
      </c>
      <c r="S1610" s="62">
        <v>0.0</v>
      </c>
      <c r="T1610" s="62">
        <v>0.0</v>
      </c>
      <c r="U1610" s="62">
        <v>0.0</v>
      </c>
      <c r="V1610" s="62">
        <v>0.0</v>
      </c>
      <c r="W1610" s="62">
        <v>0.0</v>
      </c>
      <c r="X1610" s="62">
        <v>0.0</v>
      </c>
      <c r="Y1610" s="62">
        <v>0.0</v>
      </c>
      <c r="Z1610" s="62">
        <v>0.0</v>
      </c>
      <c r="AA1610" s="62">
        <v>0.0</v>
      </c>
      <c r="AB1610" s="62">
        <v>0.0</v>
      </c>
      <c r="AC1610" s="62">
        <v>1.04083333333333</v>
      </c>
      <c r="AD1610" s="62">
        <v>0.232777777777777</v>
      </c>
      <c r="AE1610" s="62">
        <v>1.04083333333333</v>
      </c>
      <c r="AF1610" s="62">
        <v>0.0</v>
      </c>
    </row>
    <row r="1611">
      <c r="A1611" s="68">
        <v>45948.0</v>
      </c>
      <c r="B1611" s="62" t="s">
        <v>56</v>
      </c>
      <c r="C1611" s="62" t="s">
        <v>176</v>
      </c>
      <c r="D1611" s="62">
        <v>0.0</v>
      </c>
      <c r="E1611" s="62">
        <v>0.0</v>
      </c>
      <c r="F1611" s="62">
        <v>0.0</v>
      </c>
      <c r="G1611" s="62">
        <v>0.0</v>
      </c>
      <c r="H1611" s="62">
        <v>0.0</v>
      </c>
      <c r="I1611" s="62">
        <v>0.0</v>
      </c>
      <c r="J1611" s="62">
        <v>0.0</v>
      </c>
      <c r="K1611" s="62">
        <v>0.0</v>
      </c>
      <c r="L1611" s="62">
        <v>0.0</v>
      </c>
      <c r="M1611" s="62">
        <v>0.0</v>
      </c>
      <c r="N1611" s="62">
        <v>10.0</v>
      </c>
      <c r="O1611" s="62">
        <v>1.0</v>
      </c>
      <c r="P1611" s="62">
        <v>10.0</v>
      </c>
      <c r="Q1611" s="62">
        <v>0.0</v>
      </c>
      <c r="R1611" s="62">
        <v>0.0</v>
      </c>
      <c r="S1611" s="62">
        <v>0.0</v>
      </c>
      <c r="T1611" s="62">
        <v>0.0</v>
      </c>
      <c r="U1611" s="62">
        <v>0.0</v>
      </c>
      <c r="V1611" s="62">
        <v>0.0</v>
      </c>
      <c r="W1611" s="62">
        <v>0.0</v>
      </c>
      <c r="X1611" s="62">
        <v>0.0</v>
      </c>
      <c r="Y1611" s="62">
        <v>0.0</v>
      </c>
      <c r="Z1611" s="62">
        <v>0.0</v>
      </c>
      <c r="AA1611" s="62">
        <v>0.0</v>
      </c>
      <c r="AB1611" s="62">
        <v>0.0</v>
      </c>
      <c r="AC1611" s="62">
        <v>2.27805555555555</v>
      </c>
      <c r="AD1611" s="62">
        <v>0.246666666666666</v>
      </c>
      <c r="AE1611" s="62">
        <v>2.025</v>
      </c>
      <c r="AF1611" s="62">
        <v>0.0</v>
      </c>
    </row>
    <row r="1612">
      <c r="A1612" s="68">
        <v>45948.0</v>
      </c>
      <c r="B1612" s="62" t="s">
        <v>26</v>
      </c>
      <c r="C1612" s="62" t="s">
        <v>178</v>
      </c>
      <c r="D1612" s="62">
        <v>0.0</v>
      </c>
      <c r="E1612" s="62">
        <v>0.0</v>
      </c>
      <c r="F1612" s="62">
        <v>0.0</v>
      </c>
      <c r="G1612" s="62">
        <v>0.0</v>
      </c>
      <c r="H1612" s="62">
        <v>0.0</v>
      </c>
      <c r="I1612" s="62">
        <v>0.0</v>
      </c>
      <c r="J1612" s="62">
        <v>0.0</v>
      </c>
      <c r="K1612" s="62">
        <v>0.0</v>
      </c>
      <c r="L1612" s="62">
        <v>0.0</v>
      </c>
      <c r="M1612" s="62">
        <v>0.0</v>
      </c>
      <c r="N1612" s="62">
        <v>0.0</v>
      </c>
      <c r="O1612" s="62">
        <v>1.0</v>
      </c>
      <c r="P1612" s="62">
        <v>0.0</v>
      </c>
      <c r="Q1612" s="62">
        <v>0.0</v>
      </c>
      <c r="R1612" s="62">
        <v>0.0</v>
      </c>
      <c r="S1612" s="62">
        <v>0.0</v>
      </c>
      <c r="T1612" s="62">
        <v>0.992222222222222</v>
      </c>
      <c r="U1612" s="62">
        <v>0.0</v>
      </c>
      <c r="V1612" s="62">
        <v>0.0</v>
      </c>
      <c r="W1612" s="62">
        <v>0.0</v>
      </c>
      <c r="X1612" s="62">
        <v>0.0</v>
      </c>
      <c r="Y1612" s="62">
        <v>0.0</v>
      </c>
      <c r="Z1612" s="62">
        <v>0.0</v>
      </c>
      <c r="AA1612" s="62">
        <v>0.0</v>
      </c>
      <c r="AB1612" s="62">
        <v>0.0</v>
      </c>
      <c r="AC1612" s="62">
        <v>0.0</v>
      </c>
      <c r="AD1612" s="62">
        <v>0.201111111111111</v>
      </c>
      <c r="AE1612" s="62">
        <v>0.0</v>
      </c>
      <c r="AF1612" s="62">
        <v>5.0</v>
      </c>
    </row>
    <row r="1613">
      <c r="A1613" s="68">
        <v>45947.0</v>
      </c>
      <c r="B1613" s="62" t="s">
        <v>76</v>
      </c>
      <c r="C1613" s="62" t="s">
        <v>165</v>
      </c>
      <c r="D1613" s="62">
        <v>10.0</v>
      </c>
      <c r="E1613" s="62">
        <v>5.0</v>
      </c>
      <c r="F1613" s="62">
        <v>2.0</v>
      </c>
      <c r="G1613" s="62">
        <v>3.0</v>
      </c>
      <c r="H1613" s="62">
        <v>3.0</v>
      </c>
      <c r="I1613" s="62">
        <v>0.0</v>
      </c>
      <c r="J1613" s="62">
        <v>5.0</v>
      </c>
      <c r="K1613" s="62">
        <v>0.0</v>
      </c>
      <c r="L1613" s="62">
        <v>0.0</v>
      </c>
      <c r="M1613" s="62">
        <v>5.0</v>
      </c>
      <c r="N1613" s="62">
        <v>10.0</v>
      </c>
      <c r="O1613" s="62">
        <v>1.0</v>
      </c>
      <c r="P1613" s="62">
        <v>10.0</v>
      </c>
      <c r="Q1613" s="62">
        <v>0.0</v>
      </c>
      <c r="R1613" s="62">
        <v>28195.0</v>
      </c>
      <c r="S1613" s="62">
        <v>12296.0</v>
      </c>
      <c r="T1613" s="62">
        <v>0.238888888888888</v>
      </c>
      <c r="U1613" s="62">
        <v>0.479166666666666</v>
      </c>
      <c r="V1613" s="62">
        <v>0.720277777777777</v>
      </c>
      <c r="W1613" s="62">
        <v>0.720277777777777</v>
      </c>
      <c r="X1613" s="62">
        <v>0.0</v>
      </c>
      <c r="Y1613" s="62">
        <v>1.20638888888888</v>
      </c>
      <c r="Z1613" s="62">
        <v>0.0</v>
      </c>
      <c r="AA1613" s="62">
        <v>0.0</v>
      </c>
      <c r="AB1613" s="62">
        <v>1.20388888888888</v>
      </c>
      <c r="AC1613" s="62">
        <v>2.4225</v>
      </c>
      <c r="AD1613" s="62">
        <v>0.26</v>
      </c>
      <c r="AE1613" s="62">
        <v>2.4225</v>
      </c>
      <c r="AF1613" s="62">
        <v>1.0</v>
      </c>
    </row>
    <row r="1614">
      <c r="A1614" s="68">
        <v>45947.0</v>
      </c>
      <c r="B1614" s="62" t="s">
        <v>32</v>
      </c>
      <c r="C1614" s="62" t="s">
        <v>168</v>
      </c>
      <c r="D1614" s="62">
        <v>3.0</v>
      </c>
      <c r="E1614" s="62">
        <v>2.0</v>
      </c>
      <c r="F1614" s="62">
        <v>1.0</v>
      </c>
      <c r="G1614" s="62">
        <v>2.0</v>
      </c>
      <c r="H1614" s="62">
        <v>3.0</v>
      </c>
      <c r="I1614" s="62">
        <v>1.0</v>
      </c>
      <c r="J1614" s="62">
        <v>5.0</v>
      </c>
      <c r="K1614" s="62">
        <v>0.0</v>
      </c>
      <c r="L1614" s="62">
        <v>0.0</v>
      </c>
      <c r="M1614" s="62">
        <v>8.0</v>
      </c>
      <c r="N1614" s="62">
        <v>11.0</v>
      </c>
      <c r="O1614" s="62">
        <v>1.0</v>
      </c>
      <c r="P1614" s="62">
        <v>11.0</v>
      </c>
      <c r="Q1614" s="62">
        <v>0.0</v>
      </c>
      <c r="R1614" s="62">
        <v>6586.0</v>
      </c>
      <c r="S1614" s="62">
        <v>4800.0</v>
      </c>
      <c r="T1614" s="62">
        <v>0.999166666666666</v>
      </c>
      <c r="U1614" s="62">
        <v>0.194444444444444</v>
      </c>
      <c r="V1614" s="62">
        <v>0.420833333333333</v>
      </c>
      <c r="W1614" s="62">
        <v>0.623888888888888</v>
      </c>
      <c r="X1614" s="62">
        <v>0.203055555555555</v>
      </c>
      <c r="Y1614" s="62">
        <v>1.04083333333333</v>
      </c>
      <c r="Z1614" s="62">
        <v>0.0</v>
      </c>
      <c r="AA1614" s="62">
        <v>0.0</v>
      </c>
      <c r="AB1614" s="62">
        <v>1.57249999999999</v>
      </c>
      <c r="AC1614" s="62">
        <v>2.30472222222222</v>
      </c>
      <c r="AD1614" s="62">
        <v>0.224166666666666</v>
      </c>
      <c r="AE1614" s="62">
        <v>2.30472222222222</v>
      </c>
      <c r="AF1614" s="62">
        <v>5.0</v>
      </c>
    </row>
    <row r="1615">
      <c r="A1615" s="68">
        <v>45947.0</v>
      </c>
      <c r="B1615" s="62" t="s">
        <v>56</v>
      </c>
      <c r="C1615" s="62" t="s">
        <v>176</v>
      </c>
      <c r="D1615" s="62">
        <v>0.0</v>
      </c>
      <c r="E1615" s="62">
        <v>0.0</v>
      </c>
      <c r="F1615" s="62">
        <v>0.0</v>
      </c>
      <c r="G1615" s="62">
        <v>4.0</v>
      </c>
      <c r="H1615" s="62">
        <v>4.0</v>
      </c>
      <c r="I1615" s="62">
        <v>0.0</v>
      </c>
      <c r="J1615" s="62">
        <v>4.0</v>
      </c>
      <c r="K1615" s="62">
        <v>0.0</v>
      </c>
      <c r="L1615" s="62">
        <v>0.0</v>
      </c>
      <c r="M1615" s="62">
        <v>4.0</v>
      </c>
      <c r="N1615" s="62">
        <v>4.0</v>
      </c>
      <c r="O1615" s="62">
        <v>1.0</v>
      </c>
      <c r="P1615" s="62">
        <v>4.0</v>
      </c>
      <c r="Q1615" s="62">
        <v>0.0</v>
      </c>
      <c r="R1615" s="62">
        <v>0.0</v>
      </c>
      <c r="S1615" s="62">
        <v>0.0</v>
      </c>
      <c r="T1615" s="62">
        <v>0.0</v>
      </c>
      <c r="U1615" s="62">
        <v>0.0</v>
      </c>
      <c r="V1615" s="62">
        <v>0.869166666666666</v>
      </c>
      <c r="W1615" s="62">
        <v>0.869166666666666</v>
      </c>
      <c r="X1615" s="62">
        <v>0.0</v>
      </c>
      <c r="Y1615" s="62">
        <v>0.869166666666666</v>
      </c>
      <c r="Z1615" s="62">
        <v>0.0</v>
      </c>
      <c r="AA1615" s="62">
        <v>0.0</v>
      </c>
      <c r="AB1615" s="62">
        <v>0.888333333333333</v>
      </c>
      <c r="AC1615" s="62">
        <v>0.903611111111111</v>
      </c>
      <c r="AD1615" s="62">
        <v>0.229166666666666</v>
      </c>
      <c r="AE1615" s="62">
        <v>0.903611111111111</v>
      </c>
      <c r="AF1615" s="62">
        <v>0.0</v>
      </c>
    </row>
    <row r="1616">
      <c r="A1616" s="68">
        <v>45947.0</v>
      </c>
      <c r="B1616" s="62" t="s">
        <v>26</v>
      </c>
      <c r="C1616" s="62" t="s">
        <v>178</v>
      </c>
      <c r="D1616" s="62">
        <v>3.0</v>
      </c>
      <c r="E1616" s="62">
        <v>5.0</v>
      </c>
      <c r="F1616" s="62">
        <v>1.0</v>
      </c>
      <c r="G1616" s="62">
        <v>0.0</v>
      </c>
      <c r="H1616" s="62">
        <v>4.0</v>
      </c>
      <c r="I1616" s="62">
        <v>3.0</v>
      </c>
      <c r="J1616" s="62">
        <v>1.0</v>
      </c>
      <c r="K1616" s="62">
        <v>0.0</v>
      </c>
      <c r="L1616" s="62">
        <v>0.0</v>
      </c>
      <c r="M1616" s="62">
        <v>1.0</v>
      </c>
      <c r="N1616" s="62">
        <v>5.0</v>
      </c>
      <c r="O1616" s="62">
        <v>1.0</v>
      </c>
      <c r="P1616" s="62">
        <v>5.0</v>
      </c>
      <c r="Q1616" s="62">
        <v>0.0</v>
      </c>
      <c r="R1616" s="62">
        <v>6177.0</v>
      </c>
      <c r="S1616" s="62">
        <v>10972.0</v>
      </c>
      <c r="T1616" s="62">
        <v>0.0</v>
      </c>
      <c r="U1616" s="62">
        <v>0.218055555555555</v>
      </c>
      <c r="V1616" s="62">
        <v>0.0</v>
      </c>
      <c r="W1616" s="62">
        <v>0.806944444444444</v>
      </c>
      <c r="X1616" s="62">
        <v>0.606666666666666</v>
      </c>
      <c r="Y1616" s="62">
        <v>0.200277777777777</v>
      </c>
      <c r="Z1616" s="62">
        <v>0.0</v>
      </c>
      <c r="AA1616" s="62">
        <v>0.0</v>
      </c>
      <c r="AB1616" s="62">
        <v>0.200277777777777</v>
      </c>
      <c r="AC1616" s="62">
        <v>1.02111111111111</v>
      </c>
      <c r="AD1616" s="62">
        <v>0.187222222222222</v>
      </c>
      <c r="AE1616" s="62">
        <v>1.02111111111111</v>
      </c>
      <c r="AF1616" s="62">
        <v>0.0</v>
      </c>
    </row>
    <row r="1617">
      <c r="A1617" s="68">
        <v>45946.0</v>
      </c>
      <c r="B1617" s="62" t="s">
        <v>76</v>
      </c>
      <c r="C1617" s="62" t="s">
        <v>165</v>
      </c>
      <c r="D1617" s="62">
        <v>0.0</v>
      </c>
      <c r="E1617" s="62">
        <v>2.0</v>
      </c>
      <c r="F1617" s="62">
        <v>2.0</v>
      </c>
      <c r="G1617" s="62">
        <v>2.0</v>
      </c>
      <c r="H1617" s="62">
        <v>3.0</v>
      </c>
      <c r="I1617" s="62">
        <v>1.0</v>
      </c>
      <c r="J1617" s="62">
        <v>2.0</v>
      </c>
      <c r="K1617" s="62">
        <v>0.0</v>
      </c>
      <c r="L1617" s="62">
        <v>0.0</v>
      </c>
      <c r="M1617" s="62">
        <v>4.0</v>
      </c>
      <c r="N1617" s="62">
        <v>0.0</v>
      </c>
      <c r="O1617" s="62">
        <v>1.0</v>
      </c>
      <c r="P1617" s="62">
        <v>0.0</v>
      </c>
      <c r="Q1617" s="62">
        <v>0.0</v>
      </c>
      <c r="R1617" s="62">
        <v>0.0</v>
      </c>
      <c r="S1617" s="62">
        <v>4828.0</v>
      </c>
      <c r="T1617" s="62">
        <v>0.958333333333333</v>
      </c>
      <c r="U1617" s="62">
        <v>0.48</v>
      </c>
      <c r="V1617" s="62">
        <v>0.486111111111111</v>
      </c>
      <c r="W1617" s="62">
        <v>0.724166666666666</v>
      </c>
      <c r="X1617" s="62">
        <v>0.238055555555555</v>
      </c>
      <c r="Y1617" s="62">
        <v>0.483333333333333</v>
      </c>
      <c r="Z1617" s="62">
        <v>0.0</v>
      </c>
      <c r="AA1617" s="62">
        <v>0.0</v>
      </c>
      <c r="AB1617" s="62">
        <v>0.954444444444444</v>
      </c>
      <c r="AC1617" s="62">
        <v>0.0</v>
      </c>
      <c r="AD1617" s="62">
        <v>0.284444444444444</v>
      </c>
      <c r="AE1617" s="62">
        <v>0.0</v>
      </c>
      <c r="AF1617" s="62">
        <v>4.0</v>
      </c>
    </row>
    <row r="1618">
      <c r="A1618" s="68">
        <v>45946.0</v>
      </c>
      <c r="B1618" s="62" t="s">
        <v>32</v>
      </c>
      <c r="C1618" s="62" t="s">
        <v>168</v>
      </c>
      <c r="D1618" s="62">
        <v>16.0</v>
      </c>
      <c r="E1618" s="62">
        <v>0.0</v>
      </c>
      <c r="F1618" s="62">
        <v>5.0</v>
      </c>
      <c r="G1618" s="62">
        <v>3.0</v>
      </c>
      <c r="H1618" s="62">
        <v>7.0</v>
      </c>
      <c r="I1618" s="62">
        <v>4.0</v>
      </c>
      <c r="J1618" s="62">
        <v>4.0</v>
      </c>
      <c r="K1618" s="62">
        <v>1.0</v>
      </c>
      <c r="L1618" s="62">
        <v>1.0</v>
      </c>
      <c r="M1618" s="62">
        <v>4.0</v>
      </c>
      <c r="N1618" s="62">
        <v>0.0</v>
      </c>
      <c r="O1618" s="62">
        <v>1.0</v>
      </c>
      <c r="P1618" s="62">
        <v>0.0</v>
      </c>
      <c r="Q1618" s="62">
        <v>0.0</v>
      </c>
      <c r="R1618" s="62">
        <v>35425.0</v>
      </c>
      <c r="S1618" s="62">
        <v>0.0</v>
      </c>
      <c r="T1618" s="62">
        <v>1.20027777777777</v>
      </c>
      <c r="U1618" s="62">
        <v>0.953611111111111</v>
      </c>
      <c r="V1618" s="62">
        <v>0.531666666666666</v>
      </c>
      <c r="W1618" s="62">
        <v>1.32638888888888</v>
      </c>
      <c r="X1618" s="62">
        <v>0.794722222222222</v>
      </c>
      <c r="Y1618" s="62">
        <v>0.743611111111111</v>
      </c>
      <c r="Z1618" s="62">
        <v>0.241944444444444</v>
      </c>
      <c r="AA1618" s="62">
        <v>0.241944444444444</v>
      </c>
      <c r="AB1618" s="62">
        <v>0.905</v>
      </c>
      <c r="AC1618" s="62">
        <v>0.0</v>
      </c>
      <c r="AD1618" s="62">
        <v>0.2125</v>
      </c>
      <c r="AE1618" s="62">
        <v>0.0</v>
      </c>
      <c r="AF1618" s="62">
        <v>6.0</v>
      </c>
    </row>
    <row r="1619">
      <c r="A1619" s="68">
        <v>45946.0</v>
      </c>
      <c r="B1619" s="62" t="s">
        <v>56</v>
      </c>
      <c r="C1619" s="62" t="s">
        <v>176</v>
      </c>
      <c r="D1619" s="62">
        <v>0.0</v>
      </c>
      <c r="E1619" s="62">
        <v>0.0</v>
      </c>
      <c r="F1619" s="62">
        <v>3.0</v>
      </c>
      <c r="G1619" s="62">
        <v>1.0</v>
      </c>
      <c r="H1619" s="62">
        <v>1.0</v>
      </c>
      <c r="I1619" s="62">
        <v>0.0</v>
      </c>
      <c r="J1619" s="62">
        <v>5.0</v>
      </c>
      <c r="K1619" s="62">
        <v>0.0</v>
      </c>
      <c r="L1619" s="62">
        <v>0.0</v>
      </c>
      <c r="M1619" s="62">
        <v>5.0</v>
      </c>
      <c r="N1619" s="62">
        <v>1.0</v>
      </c>
      <c r="O1619" s="62">
        <v>1.0</v>
      </c>
      <c r="P1619" s="62">
        <v>1.0</v>
      </c>
      <c r="Q1619" s="62">
        <v>0.0</v>
      </c>
      <c r="R1619" s="62">
        <v>0.0</v>
      </c>
      <c r="S1619" s="62">
        <v>0.0</v>
      </c>
      <c r="T1619" s="62">
        <v>0.0</v>
      </c>
      <c r="U1619" s="62">
        <v>0.632777777777777</v>
      </c>
      <c r="V1619" s="62">
        <v>0.233888888888888</v>
      </c>
      <c r="W1619" s="62">
        <v>0.233888888888888</v>
      </c>
      <c r="X1619" s="62">
        <v>0.0</v>
      </c>
      <c r="Y1619" s="62">
        <v>1.18333333333333</v>
      </c>
      <c r="Z1619" s="62">
        <v>0.0</v>
      </c>
      <c r="AA1619" s="62">
        <v>0.0</v>
      </c>
      <c r="AB1619" s="62">
        <v>1.17</v>
      </c>
      <c r="AC1619" s="62">
        <v>0.252777777777777</v>
      </c>
      <c r="AD1619" s="62">
        <v>0.225</v>
      </c>
      <c r="AE1619" s="62">
        <v>0.252777777777777</v>
      </c>
      <c r="AF1619" s="62">
        <v>0.0</v>
      </c>
    </row>
    <row r="1620">
      <c r="A1620" s="68">
        <v>45946.0</v>
      </c>
      <c r="B1620" s="62" t="s">
        <v>26</v>
      </c>
      <c r="C1620" s="62" t="s">
        <v>178</v>
      </c>
      <c r="D1620" s="62">
        <v>3.0</v>
      </c>
      <c r="E1620" s="62">
        <v>5.0</v>
      </c>
      <c r="F1620" s="62">
        <v>5.0</v>
      </c>
      <c r="G1620" s="62">
        <v>0.0</v>
      </c>
      <c r="H1620" s="62">
        <v>1.0</v>
      </c>
      <c r="I1620" s="62">
        <v>0.0</v>
      </c>
      <c r="J1620" s="62">
        <v>1.0</v>
      </c>
      <c r="K1620" s="62">
        <v>0.0</v>
      </c>
      <c r="L1620" s="62">
        <v>0.0</v>
      </c>
      <c r="M1620" s="62">
        <v>1.0</v>
      </c>
      <c r="N1620" s="62">
        <v>1.0</v>
      </c>
      <c r="O1620" s="62">
        <v>1.0</v>
      </c>
      <c r="P1620" s="62">
        <v>1.0</v>
      </c>
      <c r="Q1620" s="62">
        <v>0.0</v>
      </c>
      <c r="R1620" s="62">
        <v>6285.0</v>
      </c>
      <c r="S1620" s="62">
        <v>11060.0</v>
      </c>
      <c r="T1620" s="62">
        <v>1.81444444444444</v>
      </c>
      <c r="U1620" s="62">
        <v>0.989722222222222</v>
      </c>
      <c r="V1620" s="62">
        <v>0.0</v>
      </c>
      <c r="W1620" s="62">
        <v>0.188055555555555</v>
      </c>
      <c r="X1620" s="62">
        <v>0.0</v>
      </c>
      <c r="Y1620" s="62">
        <v>0.188055555555555</v>
      </c>
      <c r="Z1620" s="62">
        <v>0.0</v>
      </c>
      <c r="AA1620" s="62">
        <v>0.0</v>
      </c>
      <c r="AB1620" s="62">
        <v>0.188055555555555</v>
      </c>
      <c r="AC1620" s="62">
        <v>0.201944444444444</v>
      </c>
      <c r="AD1620" s="62">
        <v>0.1925</v>
      </c>
      <c r="AE1620" s="62">
        <v>0.201944444444444</v>
      </c>
      <c r="AF1620" s="62">
        <v>9.0</v>
      </c>
    </row>
    <row r="1621">
      <c r="A1621" s="68">
        <v>45945.0</v>
      </c>
      <c r="B1621" s="62" t="s">
        <v>76</v>
      </c>
      <c r="C1621" s="62" t="s">
        <v>165</v>
      </c>
      <c r="D1621" s="62">
        <v>0.0</v>
      </c>
      <c r="E1621" s="62">
        <v>4.0</v>
      </c>
      <c r="F1621" s="62">
        <v>2.0</v>
      </c>
      <c r="G1621" s="62">
        <v>1.0</v>
      </c>
      <c r="H1621" s="62">
        <v>3.0</v>
      </c>
      <c r="I1621" s="62">
        <v>2.0</v>
      </c>
      <c r="J1621" s="62">
        <v>4.0</v>
      </c>
      <c r="K1621" s="62">
        <v>1.0</v>
      </c>
      <c r="L1621" s="62">
        <v>1.0</v>
      </c>
      <c r="M1621" s="62">
        <v>2.0</v>
      </c>
      <c r="N1621" s="62">
        <v>0.0</v>
      </c>
      <c r="O1621" s="62">
        <v>1.0</v>
      </c>
      <c r="P1621" s="62">
        <v>0.0</v>
      </c>
      <c r="Q1621" s="62">
        <v>0.0</v>
      </c>
      <c r="R1621" s="62">
        <v>0.0</v>
      </c>
      <c r="S1621" s="62">
        <v>9907.0</v>
      </c>
      <c r="T1621" s="62">
        <v>0.943611111111111</v>
      </c>
      <c r="U1621" s="62">
        <v>0.479444444444444</v>
      </c>
      <c r="V1621" s="62">
        <v>0.243888888888888</v>
      </c>
      <c r="W1621" s="62">
        <v>0.708055555555555</v>
      </c>
      <c r="X1621" s="62">
        <v>0.464166666666666</v>
      </c>
      <c r="Y1621" s="62">
        <v>0.966388888888889</v>
      </c>
      <c r="Z1621" s="62">
        <v>0.244444444444444</v>
      </c>
      <c r="AA1621" s="62">
        <v>0.244444444444444</v>
      </c>
      <c r="AB1621" s="62">
        <v>0.505555555555555</v>
      </c>
      <c r="AC1621" s="62">
        <v>0.0</v>
      </c>
      <c r="AD1621" s="62">
        <v>0.260833333333333</v>
      </c>
      <c r="AE1621" s="62">
        <v>0.0</v>
      </c>
      <c r="AF1621" s="62">
        <v>4.0</v>
      </c>
    </row>
    <row r="1622">
      <c r="A1622" s="68">
        <v>45945.0</v>
      </c>
      <c r="B1622" s="62" t="s">
        <v>32</v>
      </c>
      <c r="C1622" s="62" t="s">
        <v>168</v>
      </c>
      <c r="D1622" s="62">
        <v>1.0</v>
      </c>
      <c r="E1622" s="62">
        <v>0.0</v>
      </c>
      <c r="F1622" s="62">
        <v>0.0</v>
      </c>
      <c r="G1622" s="62">
        <v>6.0</v>
      </c>
      <c r="H1622" s="62">
        <v>6.0</v>
      </c>
      <c r="I1622" s="62">
        <v>0.0</v>
      </c>
      <c r="J1622" s="62">
        <v>6.0</v>
      </c>
      <c r="K1622" s="62">
        <v>0.0</v>
      </c>
      <c r="L1622" s="62">
        <v>0.0</v>
      </c>
      <c r="M1622" s="62">
        <v>6.0</v>
      </c>
      <c r="N1622" s="62">
        <v>2.0</v>
      </c>
      <c r="O1622" s="62">
        <v>1.0</v>
      </c>
      <c r="P1622" s="62">
        <v>2.0</v>
      </c>
      <c r="Q1622" s="62">
        <v>0.0</v>
      </c>
      <c r="R1622" s="62">
        <v>2265.0</v>
      </c>
      <c r="S1622" s="62">
        <v>0.0</v>
      </c>
      <c r="T1622" s="62">
        <v>0.548055555555555</v>
      </c>
      <c r="U1622" s="62">
        <v>0.0</v>
      </c>
      <c r="V1622" s="62">
        <v>1.31944444444444</v>
      </c>
      <c r="W1622" s="62">
        <v>1.31944444444444</v>
      </c>
      <c r="X1622" s="62">
        <v>0.0</v>
      </c>
      <c r="Y1622" s="62">
        <v>1.31944444444444</v>
      </c>
      <c r="Z1622" s="62">
        <v>0.0</v>
      </c>
      <c r="AA1622" s="62">
        <v>0.0</v>
      </c>
      <c r="AB1622" s="62">
        <v>1.32027777777777</v>
      </c>
      <c r="AC1622" s="62">
        <v>0.452222222222222</v>
      </c>
      <c r="AD1622" s="62">
        <v>0.208611111111111</v>
      </c>
      <c r="AE1622" s="62">
        <v>0.452222222222222</v>
      </c>
      <c r="AF1622" s="62">
        <v>3.0</v>
      </c>
    </row>
    <row r="1623">
      <c r="A1623" s="68">
        <v>45945.0</v>
      </c>
      <c r="B1623" s="62" t="s">
        <v>56</v>
      </c>
      <c r="C1623" s="62" t="s">
        <v>176</v>
      </c>
      <c r="D1623" s="62">
        <v>0.0</v>
      </c>
      <c r="E1623" s="62">
        <v>0.0</v>
      </c>
      <c r="F1623" s="62">
        <v>3.0</v>
      </c>
      <c r="G1623" s="62">
        <v>3.0</v>
      </c>
      <c r="H1623" s="62">
        <v>4.0</v>
      </c>
      <c r="I1623" s="62">
        <v>1.0</v>
      </c>
      <c r="J1623" s="62">
        <v>1.0</v>
      </c>
      <c r="K1623" s="62">
        <v>0.0</v>
      </c>
      <c r="L1623" s="62">
        <v>0.0</v>
      </c>
      <c r="M1623" s="62">
        <v>0.0</v>
      </c>
      <c r="N1623" s="62">
        <v>0.0</v>
      </c>
      <c r="O1623" s="62">
        <v>1.0</v>
      </c>
      <c r="P1623" s="62">
        <v>0.0</v>
      </c>
      <c r="Q1623" s="62">
        <v>0.0</v>
      </c>
      <c r="R1623" s="62">
        <v>0.0</v>
      </c>
      <c r="S1623" s="62">
        <v>0.0</v>
      </c>
      <c r="T1623" s="62">
        <v>0.632777777777777</v>
      </c>
      <c r="U1623" s="62">
        <v>0.703611111111111</v>
      </c>
      <c r="V1623" s="62">
        <v>0.714166666666666</v>
      </c>
      <c r="W1623" s="62">
        <v>0.949722222222222</v>
      </c>
      <c r="X1623" s="62">
        <v>0.235555555555555</v>
      </c>
      <c r="Y1623" s="62">
        <v>0.221944444444444</v>
      </c>
      <c r="Z1623" s="62">
        <v>0.0</v>
      </c>
      <c r="AA1623" s="62">
        <v>0.0</v>
      </c>
      <c r="AB1623" s="62">
        <v>0.0</v>
      </c>
      <c r="AC1623" s="62">
        <v>0.0</v>
      </c>
      <c r="AD1623" s="62">
        <v>0.243055555555555</v>
      </c>
      <c r="AE1623" s="62">
        <v>0.0</v>
      </c>
      <c r="AF1623" s="62">
        <v>3.0</v>
      </c>
    </row>
    <row r="1624">
      <c r="A1624" s="68">
        <v>45945.0</v>
      </c>
      <c r="B1624" s="62" t="s">
        <v>26</v>
      </c>
      <c r="C1624" s="62" t="s">
        <v>178</v>
      </c>
      <c r="D1624" s="62">
        <v>3.0</v>
      </c>
      <c r="E1624" s="62">
        <v>3.0</v>
      </c>
      <c r="F1624" s="62">
        <v>0.0</v>
      </c>
      <c r="G1624" s="62">
        <v>0.0</v>
      </c>
      <c r="H1624" s="62">
        <v>0.0</v>
      </c>
      <c r="I1624" s="62">
        <v>0.0</v>
      </c>
      <c r="J1624" s="62">
        <v>3.0</v>
      </c>
      <c r="K1624" s="62">
        <v>0.0</v>
      </c>
      <c r="L1624" s="62">
        <v>0.0</v>
      </c>
      <c r="M1624" s="62">
        <v>5.0</v>
      </c>
      <c r="N1624" s="62">
        <v>1.0</v>
      </c>
      <c r="O1624" s="62">
        <v>1.0</v>
      </c>
      <c r="P1624" s="62">
        <v>1.0</v>
      </c>
      <c r="Q1624" s="62">
        <v>0.0</v>
      </c>
      <c r="R1624" s="62">
        <v>6099.0</v>
      </c>
      <c r="S1624" s="62">
        <v>6780.0</v>
      </c>
      <c r="T1624" s="62">
        <v>0.0</v>
      </c>
      <c r="U1624" s="62">
        <v>0.0</v>
      </c>
      <c r="V1624" s="62">
        <v>0.0</v>
      </c>
      <c r="W1624" s="62">
        <v>0.0</v>
      </c>
      <c r="X1624" s="62">
        <v>0.0</v>
      </c>
      <c r="Y1624" s="62">
        <v>0.623333333333333</v>
      </c>
      <c r="Z1624" s="62">
        <v>0.0</v>
      </c>
      <c r="AA1624" s="62">
        <v>0.0</v>
      </c>
      <c r="AB1624" s="62">
        <v>1.04694444444444</v>
      </c>
      <c r="AC1624" s="62">
        <v>0.212222222222222</v>
      </c>
      <c r="AD1624" s="62">
        <v>0.195</v>
      </c>
      <c r="AE1624" s="62">
        <v>0.212222222222222</v>
      </c>
      <c r="AF1624" s="62">
        <v>0.0</v>
      </c>
    </row>
    <row r="1625">
      <c r="A1625" s="68">
        <v>45944.0</v>
      </c>
      <c r="B1625" s="62" t="s">
        <v>76</v>
      </c>
      <c r="C1625" s="62" t="s">
        <v>165</v>
      </c>
      <c r="D1625" s="62">
        <v>0.0</v>
      </c>
      <c r="E1625" s="62">
        <v>6.0</v>
      </c>
      <c r="F1625" s="62">
        <v>1.0</v>
      </c>
      <c r="G1625" s="62">
        <v>3.0</v>
      </c>
      <c r="H1625" s="62">
        <v>4.0</v>
      </c>
      <c r="I1625" s="62">
        <v>1.0</v>
      </c>
      <c r="J1625" s="62">
        <v>5.0</v>
      </c>
      <c r="K1625" s="62">
        <v>0.0</v>
      </c>
      <c r="L1625" s="62">
        <v>0.0</v>
      </c>
      <c r="M1625" s="62">
        <v>4.0</v>
      </c>
      <c r="N1625" s="62">
        <v>4.0</v>
      </c>
      <c r="O1625" s="62">
        <v>1.0</v>
      </c>
      <c r="P1625" s="62">
        <v>4.0</v>
      </c>
      <c r="Q1625" s="62">
        <v>0.0</v>
      </c>
      <c r="R1625" s="62">
        <v>0.0</v>
      </c>
      <c r="S1625" s="62">
        <v>14335.0</v>
      </c>
      <c r="T1625" s="62">
        <v>0.504166666666666</v>
      </c>
      <c r="U1625" s="62">
        <v>0.255833333333333</v>
      </c>
      <c r="V1625" s="62">
        <v>0.744444444444444</v>
      </c>
      <c r="W1625" s="62">
        <v>0.992777777777777</v>
      </c>
      <c r="X1625" s="62">
        <v>0.248333333333333</v>
      </c>
      <c r="Y1625" s="62">
        <v>1.24833333333333</v>
      </c>
      <c r="Z1625" s="62">
        <v>0.0</v>
      </c>
      <c r="AA1625" s="62">
        <v>0.0</v>
      </c>
      <c r="AB1625" s="62">
        <v>0.998611111111111</v>
      </c>
      <c r="AC1625" s="62">
        <v>0.998611111111111</v>
      </c>
      <c r="AD1625" s="62">
        <v>0.247777777777777</v>
      </c>
      <c r="AE1625" s="62">
        <v>0.998611111111111</v>
      </c>
      <c r="AF1625" s="62">
        <v>2.0</v>
      </c>
    </row>
    <row r="1626">
      <c r="A1626" s="68">
        <v>45944.0</v>
      </c>
      <c r="B1626" s="62" t="s">
        <v>32</v>
      </c>
      <c r="C1626" s="62" t="s">
        <v>168</v>
      </c>
      <c r="D1626" s="62">
        <v>0.0</v>
      </c>
      <c r="E1626" s="62">
        <v>4.0</v>
      </c>
      <c r="F1626" s="62">
        <v>7.0</v>
      </c>
      <c r="G1626" s="62">
        <v>1.0</v>
      </c>
      <c r="H1626" s="62">
        <v>5.0</v>
      </c>
      <c r="I1626" s="62">
        <v>4.0</v>
      </c>
      <c r="J1626" s="62">
        <v>5.0</v>
      </c>
      <c r="K1626" s="62">
        <v>1.0</v>
      </c>
      <c r="L1626" s="62">
        <v>1.0</v>
      </c>
      <c r="M1626" s="62">
        <v>6.0</v>
      </c>
      <c r="N1626" s="62">
        <v>7.0</v>
      </c>
      <c r="O1626" s="62">
        <v>1.0</v>
      </c>
      <c r="P1626" s="62">
        <v>7.0</v>
      </c>
      <c r="Q1626" s="62">
        <v>0.0</v>
      </c>
      <c r="R1626" s="62">
        <v>0.0</v>
      </c>
      <c r="S1626" s="62">
        <v>8325.0</v>
      </c>
      <c r="T1626" s="62">
        <v>0.625833333333333</v>
      </c>
      <c r="U1626" s="62">
        <v>1.4875</v>
      </c>
      <c r="V1626" s="62">
        <v>0.215833333333333</v>
      </c>
      <c r="W1626" s="62">
        <v>1.04527777777777</v>
      </c>
      <c r="X1626" s="62">
        <v>0.829444444444444</v>
      </c>
      <c r="Y1626" s="62">
        <v>1.07166666666666</v>
      </c>
      <c r="Z1626" s="62">
        <v>0.205277777777777</v>
      </c>
      <c r="AA1626" s="62">
        <v>0.206111111111111</v>
      </c>
      <c r="AB1626" s="62">
        <v>1.23888888888888</v>
      </c>
      <c r="AC1626" s="62">
        <v>1.47583333333333</v>
      </c>
      <c r="AD1626" s="62">
        <v>0.229722222222222</v>
      </c>
      <c r="AE1626" s="62">
        <v>1.47583333333333</v>
      </c>
      <c r="AF1626" s="62">
        <v>3.0</v>
      </c>
    </row>
    <row r="1627">
      <c r="A1627" s="68">
        <v>45944.0</v>
      </c>
      <c r="B1627" s="62" t="s">
        <v>56</v>
      </c>
      <c r="C1627" s="62" t="s">
        <v>176</v>
      </c>
      <c r="D1627" s="62">
        <v>0.0</v>
      </c>
      <c r="E1627" s="62">
        <v>0.0</v>
      </c>
      <c r="F1627" s="62">
        <v>3.0</v>
      </c>
      <c r="G1627" s="62">
        <v>3.0</v>
      </c>
      <c r="H1627" s="62">
        <v>4.0</v>
      </c>
      <c r="I1627" s="62">
        <v>1.0</v>
      </c>
      <c r="J1627" s="62">
        <v>4.0</v>
      </c>
      <c r="K1627" s="62">
        <v>0.0</v>
      </c>
      <c r="L1627" s="62">
        <v>0.0</v>
      </c>
      <c r="M1627" s="62">
        <v>6.0</v>
      </c>
      <c r="N1627" s="62">
        <v>0.0</v>
      </c>
      <c r="O1627" s="62">
        <v>1.0</v>
      </c>
      <c r="P1627" s="62">
        <v>0.0</v>
      </c>
      <c r="Q1627" s="62">
        <v>0.0</v>
      </c>
      <c r="R1627" s="62">
        <v>0.0</v>
      </c>
      <c r="S1627" s="62">
        <v>0.0</v>
      </c>
      <c r="T1627" s="62">
        <v>0.939166666666666</v>
      </c>
      <c r="U1627" s="62">
        <v>0.691944444444444</v>
      </c>
      <c r="V1627" s="62">
        <v>0.653611111111111</v>
      </c>
      <c r="W1627" s="62">
        <v>0.876388888888888</v>
      </c>
      <c r="X1627" s="62">
        <v>0.222777777777777</v>
      </c>
      <c r="Y1627" s="62">
        <v>0.876666666666666</v>
      </c>
      <c r="Z1627" s="62">
        <v>0.0</v>
      </c>
      <c r="AA1627" s="62">
        <v>0.0</v>
      </c>
      <c r="AB1627" s="62">
        <v>1.37388888888888</v>
      </c>
      <c r="AC1627" s="62">
        <v>0.0</v>
      </c>
      <c r="AD1627" s="62">
        <v>0.243888888888888</v>
      </c>
      <c r="AE1627" s="62">
        <v>0.0</v>
      </c>
      <c r="AF1627" s="62">
        <v>4.0</v>
      </c>
    </row>
    <row r="1628">
      <c r="A1628" s="68">
        <v>45944.0</v>
      </c>
      <c r="B1628" s="62" t="s">
        <v>26</v>
      </c>
      <c r="C1628" s="62" t="s">
        <v>178</v>
      </c>
      <c r="D1628" s="62">
        <v>3.0</v>
      </c>
      <c r="E1628" s="62">
        <v>7.0</v>
      </c>
      <c r="F1628" s="62">
        <v>1.0</v>
      </c>
      <c r="G1628" s="62">
        <v>3.0</v>
      </c>
      <c r="H1628" s="62">
        <v>5.0</v>
      </c>
      <c r="I1628" s="62">
        <v>2.0</v>
      </c>
      <c r="J1628" s="62">
        <v>2.0</v>
      </c>
      <c r="K1628" s="62">
        <v>0.0</v>
      </c>
      <c r="L1628" s="62">
        <v>0.0</v>
      </c>
      <c r="M1628" s="62">
        <v>2.0</v>
      </c>
      <c r="N1628" s="62">
        <v>3.0</v>
      </c>
      <c r="O1628" s="62">
        <v>1.0</v>
      </c>
      <c r="P1628" s="62">
        <v>3.0</v>
      </c>
      <c r="Q1628" s="62">
        <v>0.0</v>
      </c>
      <c r="R1628" s="62">
        <v>6102.0</v>
      </c>
      <c r="S1628" s="62">
        <v>15579.0</v>
      </c>
      <c r="T1628" s="62">
        <v>0.624444444444444</v>
      </c>
      <c r="U1628" s="62">
        <v>0.205277777777777</v>
      </c>
      <c r="V1628" s="62">
        <v>0.623333333333333</v>
      </c>
      <c r="W1628" s="62">
        <v>1.0425</v>
      </c>
      <c r="X1628" s="62">
        <v>0.419166666666666</v>
      </c>
      <c r="Y1628" s="62">
        <v>0.423611111111111</v>
      </c>
      <c r="Z1628" s="62">
        <v>0.0</v>
      </c>
      <c r="AA1628" s="62">
        <v>0.0</v>
      </c>
      <c r="AB1628" s="62">
        <v>0.4275</v>
      </c>
      <c r="AC1628" s="62">
        <v>0.630833333333333</v>
      </c>
      <c r="AD1628" s="62">
        <v>0.213888888888888</v>
      </c>
      <c r="AE1628" s="62">
        <v>0.630833333333333</v>
      </c>
      <c r="AF1628" s="62">
        <v>3.0</v>
      </c>
    </row>
    <row r="1629">
      <c r="A1629" s="68">
        <v>45943.0</v>
      </c>
      <c r="B1629" s="62" t="s">
        <v>76</v>
      </c>
      <c r="C1629" s="62" t="s">
        <v>165</v>
      </c>
      <c r="D1629" s="62">
        <v>8.0</v>
      </c>
      <c r="E1629" s="62">
        <v>6.0</v>
      </c>
      <c r="F1629" s="62">
        <v>2.0</v>
      </c>
      <c r="G1629" s="62">
        <v>3.0</v>
      </c>
      <c r="H1629" s="62">
        <v>3.0</v>
      </c>
      <c r="I1629" s="62">
        <v>0.0</v>
      </c>
      <c r="J1629" s="62">
        <v>0.0</v>
      </c>
      <c r="K1629" s="62">
        <v>0.0</v>
      </c>
      <c r="L1629" s="62">
        <v>0.0</v>
      </c>
      <c r="M1629" s="62">
        <v>2.0</v>
      </c>
      <c r="N1629" s="62">
        <v>2.0</v>
      </c>
      <c r="O1629" s="62">
        <v>1.0</v>
      </c>
      <c r="P1629" s="62">
        <v>2.0</v>
      </c>
      <c r="Q1629" s="62">
        <v>0.0</v>
      </c>
      <c r="R1629" s="62">
        <v>17893.0</v>
      </c>
      <c r="S1629" s="62">
        <v>13924.0</v>
      </c>
      <c r="T1629" s="62">
        <v>0.485555555555555</v>
      </c>
      <c r="U1629" s="62">
        <v>0.485555555555555</v>
      </c>
      <c r="V1629" s="62">
        <v>0.754444444444444</v>
      </c>
      <c r="W1629" s="62">
        <v>0.754444444444444</v>
      </c>
      <c r="X1629" s="62">
        <v>0.0</v>
      </c>
      <c r="Y1629" s="62">
        <v>0.0</v>
      </c>
      <c r="Z1629" s="62">
        <v>0.0</v>
      </c>
      <c r="AA1629" s="62">
        <v>0.0</v>
      </c>
      <c r="AB1629" s="62">
        <v>0.518333333333333</v>
      </c>
      <c r="AC1629" s="62">
        <v>0.518333333333333</v>
      </c>
      <c r="AD1629" s="62">
        <v>0.246944444444444</v>
      </c>
      <c r="AE1629" s="62">
        <v>0.518333333333333</v>
      </c>
      <c r="AF1629" s="62">
        <v>2.0</v>
      </c>
    </row>
    <row r="1630">
      <c r="A1630" s="68">
        <v>45943.0</v>
      </c>
      <c r="B1630" s="62" t="s">
        <v>32</v>
      </c>
      <c r="C1630" s="62" t="s">
        <v>168</v>
      </c>
      <c r="D1630" s="62">
        <v>0.0</v>
      </c>
      <c r="E1630" s="62">
        <v>5.0</v>
      </c>
      <c r="F1630" s="62">
        <v>0.0</v>
      </c>
      <c r="G1630" s="62">
        <v>0.0</v>
      </c>
      <c r="H1630" s="62">
        <v>4.0</v>
      </c>
      <c r="I1630" s="62">
        <v>4.0</v>
      </c>
      <c r="J1630" s="62">
        <v>4.0</v>
      </c>
      <c r="K1630" s="62">
        <v>0.0</v>
      </c>
      <c r="L1630" s="62">
        <v>0.0</v>
      </c>
      <c r="M1630" s="62">
        <v>3.0</v>
      </c>
      <c r="N1630" s="62">
        <v>2.0</v>
      </c>
      <c r="O1630" s="62">
        <v>1.0</v>
      </c>
      <c r="P1630" s="62">
        <v>2.0</v>
      </c>
      <c r="Q1630" s="62">
        <v>0.0</v>
      </c>
      <c r="R1630" s="62">
        <v>0.0</v>
      </c>
      <c r="S1630" s="62">
        <v>11142.0</v>
      </c>
      <c r="T1630" s="62">
        <v>1.69111111111111</v>
      </c>
      <c r="U1630" s="62">
        <v>0.0</v>
      </c>
      <c r="V1630" s="62">
        <v>0.0</v>
      </c>
      <c r="W1630" s="62">
        <v>0.840555555555555</v>
      </c>
      <c r="X1630" s="62">
        <v>0.840555555555555</v>
      </c>
      <c r="Y1630" s="62">
        <v>0.860277777777777</v>
      </c>
      <c r="Z1630" s="62">
        <v>0.0</v>
      </c>
      <c r="AA1630" s="62">
        <v>0.0</v>
      </c>
      <c r="AB1630" s="62">
        <v>0.676388888888888</v>
      </c>
      <c r="AC1630" s="62">
        <v>0.439444444444444</v>
      </c>
      <c r="AD1630" s="62">
        <v>0.221388888888888</v>
      </c>
      <c r="AE1630" s="62">
        <v>0.439444444444444</v>
      </c>
      <c r="AF1630" s="62">
        <v>8.0</v>
      </c>
    </row>
    <row r="1631">
      <c r="A1631" s="68">
        <v>45943.0</v>
      </c>
      <c r="B1631" s="62" t="s">
        <v>56</v>
      </c>
      <c r="C1631" s="62" t="s">
        <v>176</v>
      </c>
      <c r="D1631" s="62">
        <v>0.0</v>
      </c>
      <c r="E1631" s="62">
        <v>0.0</v>
      </c>
      <c r="F1631" s="62">
        <v>3.0</v>
      </c>
      <c r="G1631" s="62">
        <v>0.0</v>
      </c>
      <c r="H1631" s="62">
        <v>1.0</v>
      </c>
      <c r="I1631" s="62">
        <v>1.0</v>
      </c>
      <c r="J1631" s="62">
        <v>0.0</v>
      </c>
      <c r="K1631" s="62">
        <v>0.0</v>
      </c>
      <c r="L1631" s="62">
        <v>0.0</v>
      </c>
      <c r="M1631" s="62">
        <v>0.0</v>
      </c>
      <c r="N1631" s="62">
        <v>0.0</v>
      </c>
      <c r="O1631" s="62">
        <v>1.0</v>
      </c>
      <c r="P1631" s="62">
        <v>0.0</v>
      </c>
      <c r="Q1631" s="62">
        <v>0.0</v>
      </c>
      <c r="R1631" s="62">
        <v>0.0</v>
      </c>
      <c r="S1631" s="62">
        <v>0.0</v>
      </c>
      <c r="T1631" s="62">
        <v>0.914722222222222</v>
      </c>
      <c r="U1631" s="62">
        <v>0.656944444444444</v>
      </c>
      <c r="V1631" s="62">
        <v>0.0</v>
      </c>
      <c r="W1631" s="62">
        <v>0.222222222222222</v>
      </c>
      <c r="X1631" s="62">
        <v>0.222222222222222</v>
      </c>
      <c r="Y1631" s="62">
        <v>0.0</v>
      </c>
      <c r="Z1631" s="62">
        <v>0.0</v>
      </c>
      <c r="AA1631" s="62">
        <v>0.0</v>
      </c>
      <c r="AB1631" s="62">
        <v>0.0</v>
      </c>
      <c r="AC1631" s="62">
        <v>0.0</v>
      </c>
      <c r="AD1631" s="62">
        <v>0.231388888888888</v>
      </c>
      <c r="AE1631" s="62">
        <v>0.0</v>
      </c>
      <c r="AF1631" s="62">
        <v>4.0</v>
      </c>
    </row>
    <row r="1632">
      <c r="A1632" s="68">
        <v>45943.0</v>
      </c>
      <c r="B1632" s="62" t="s">
        <v>26</v>
      </c>
      <c r="C1632" s="62" t="s">
        <v>178</v>
      </c>
      <c r="D1632" s="62">
        <v>3.0</v>
      </c>
      <c r="E1632" s="62">
        <v>5.0</v>
      </c>
      <c r="F1632" s="62">
        <v>2.0</v>
      </c>
      <c r="G1632" s="62">
        <v>0.0</v>
      </c>
      <c r="H1632" s="62">
        <v>2.0</v>
      </c>
      <c r="I1632" s="62">
        <v>2.0</v>
      </c>
      <c r="J1632" s="62">
        <v>2.0</v>
      </c>
      <c r="K1632" s="62">
        <v>0.0</v>
      </c>
      <c r="L1632" s="62">
        <v>0.0</v>
      </c>
      <c r="M1632" s="62">
        <v>0.0</v>
      </c>
      <c r="N1632" s="62">
        <v>1.0</v>
      </c>
      <c r="O1632" s="62">
        <v>1.0</v>
      </c>
      <c r="P1632" s="62">
        <v>1.0</v>
      </c>
      <c r="Q1632" s="62">
        <v>0.0</v>
      </c>
      <c r="R1632" s="62">
        <v>6265.0</v>
      </c>
      <c r="S1632" s="62">
        <v>11020.0</v>
      </c>
      <c r="T1632" s="62">
        <v>0.831944444444444</v>
      </c>
      <c r="U1632" s="62">
        <v>0.410277777777777</v>
      </c>
      <c r="V1632" s="62">
        <v>0.0</v>
      </c>
      <c r="W1632" s="62">
        <v>0.421666666666666</v>
      </c>
      <c r="X1632" s="62">
        <v>0.421666666666666</v>
      </c>
      <c r="Y1632" s="62">
        <v>0.4275</v>
      </c>
      <c r="Z1632" s="62">
        <v>0.0</v>
      </c>
      <c r="AA1632" s="62">
        <v>0.0</v>
      </c>
      <c r="AB1632" s="62">
        <v>0.0</v>
      </c>
      <c r="AC1632" s="62">
        <v>0.220833333333333</v>
      </c>
      <c r="AD1632" s="62">
        <v>0.207777777777777</v>
      </c>
      <c r="AE1632" s="62">
        <v>0.220833333333333</v>
      </c>
      <c r="AF1632" s="62">
        <v>4.0</v>
      </c>
    </row>
    <row r="1633">
      <c r="A1633" s="68">
        <v>45942.0</v>
      </c>
      <c r="B1633" s="62" t="s">
        <v>76</v>
      </c>
      <c r="C1633" s="62" t="s">
        <v>165</v>
      </c>
      <c r="D1633" s="62">
        <v>0.0</v>
      </c>
      <c r="E1633" s="62">
        <v>0.0</v>
      </c>
      <c r="F1633" s="62">
        <v>3.0</v>
      </c>
      <c r="G1633" s="62">
        <v>0.0</v>
      </c>
      <c r="H1633" s="62">
        <v>0.0</v>
      </c>
      <c r="I1633" s="62">
        <v>0.0</v>
      </c>
      <c r="J1633" s="62">
        <v>0.0</v>
      </c>
      <c r="K1633" s="62">
        <v>0.0</v>
      </c>
      <c r="L1633" s="62">
        <v>0.0</v>
      </c>
      <c r="M1633" s="62">
        <v>0.0</v>
      </c>
      <c r="N1633" s="62">
        <v>0.0</v>
      </c>
      <c r="O1633" s="62">
        <v>1.0</v>
      </c>
      <c r="P1633" s="62">
        <v>0.0</v>
      </c>
      <c r="Q1633" s="62">
        <v>0.0</v>
      </c>
      <c r="R1633" s="62">
        <v>0.0</v>
      </c>
      <c r="S1633" s="62">
        <v>0.0</v>
      </c>
      <c r="T1633" s="62">
        <v>0.491388888888888</v>
      </c>
      <c r="U1633" s="62">
        <v>0.748055555555555</v>
      </c>
      <c r="V1633" s="62">
        <v>0.0</v>
      </c>
      <c r="W1633" s="62">
        <v>0.0</v>
      </c>
      <c r="X1633" s="62">
        <v>0.0</v>
      </c>
      <c r="Y1633" s="62">
        <v>0.0</v>
      </c>
      <c r="Z1633" s="62">
        <v>0.0</v>
      </c>
      <c r="AA1633" s="62">
        <v>0.0</v>
      </c>
      <c r="AB1633" s="62">
        <v>0.0</v>
      </c>
      <c r="AC1633" s="62">
        <v>0.0</v>
      </c>
      <c r="AD1633" s="62">
        <v>0.260833333333333</v>
      </c>
      <c r="AE1633" s="62">
        <v>0.0</v>
      </c>
      <c r="AF1633" s="62">
        <v>2.0</v>
      </c>
    </row>
    <row r="1634">
      <c r="A1634" s="68">
        <v>45942.0</v>
      </c>
      <c r="B1634" s="62" t="s">
        <v>32</v>
      </c>
      <c r="C1634" s="62" t="s">
        <v>168</v>
      </c>
      <c r="D1634" s="62">
        <v>0.0</v>
      </c>
      <c r="E1634" s="62">
        <v>5.0</v>
      </c>
      <c r="F1634" s="62">
        <v>0.0</v>
      </c>
      <c r="G1634" s="62">
        <v>0.0</v>
      </c>
      <c r="H1634" s="62">
        <v>0.0</v>
      </c>
      <c r="I1634" s="62">
        <v>0.0</v>
      </c>
      <c r="J1634" s="62">
        <v>0.0</v>
      </c>
      <c r="K1634" s="62">
        <v>0.0</v>
      </c>
      <c r="L1634" s="62">
        <v>0.0</v>
      </c>
      <c r="M1634" s="62">
        <v>0.0</v>
      </c>
      <c r="N1634" s="62">
        <v>0.0</v>
      </c>
      <c r="O1634" s="62">
        <v>1.0</v>
      </c>
      <c r="P1634" s="62">
        <v>0.0</v>
      </c>
      <c r="Q1634" s="62">
        <v>0.0</v>
      </c>
      <c r="R1634" s="62">
        <v>0.0</v>
      </c>
      <c r="S1634" s="62">
        <v>10548.0</v>
      </c>
      <c r="T1634" s="62">
        <v>0.0</v>
      </c>
      <c r="U1634" s="62">
        <v>0.0</v>
      </c>
      <c r="V1634" s="62">
        <v>0.0</v>
      </c>
      <c r="W1634" s="62">
        <v>0.0</v>
      </c>
      <c r="X1634" s="62">
        <v>0.0</v>
      </c>
      <c r="Y1634" s="62">
        <v>0.0</v>
      </c>
      <c r="Z1634" s="62">
        <v>0.0</v>
      </c>
      <c r="AA1634" s="62">
        <v>0.0</v>
      </c>
      <c r="AB1634" s="62">
        <v>0.0</v>
      </c>
      <c r="AC1634" s="62">
        <v>0.0</v>
      </c>
      <c r="AD1634" s="62">
        <v>0.219722222222222</v>
      </c>
      <c r="AE1634" s="62">
        <v>0.0</v>
      </c>
      <c r="AF1634" s="62">
        <v>0.0</v>
      </c>
    </row>
    <row r="1635">
      <c r="A1635" s="68">
        <v>45942.0</v>
      </c>
      <c r="B1635" s="62" t="s">
        <v>56</v>
      </c>
      <c r="C1635" s="62" t="s">
        <v>176</v>
      </c>
      <c r="D1635" s="62">
        <v>0.0</v>
      </c>
      <c r="E1635" s="62">
        <v>0.0</v>
      </c>
      <c r="F1635" s="62">
        <v>0.0</v>
      </c>
      <c r="G1635" s="62">
        <v>0.0</v>
      </c>
      <c r="H1635" s="62">
        <v>0.0</v>
      </c>
      <c r="I1635" s="62">
        <v>0.0</v>
      </c>
      <c r="J1635" s="62">
        <v>0.0</v>
      </c>
      <c r="K1635" s="62">
        <v>0.0</v>
      </c>
      <c r="L1635" s="62">
        <v>0.0</v>
      </c>
      <c r="M1635" s="62">
        <v>0.0</v>
      </c>
      <c r="N1635" s="62">
        <v>10.0</v>
      </c>
      <c r="O1635" s="62">
        <v>1.0</v>
      </c>
      <c r="P1635" s="62">
        <v>10.0</v>
      </c>
      <c r="Q1635" s="62">
        <v>0.0</v>
      </c>
      <c r="R1635" s="62">
        <v>0.0</v>
      </c>
      <c r="S1635" s="62">
        <v>0.0</v>
      </c>
      <c r="T1635" s="62">
        <v>0.879166666666666</v>
      </c>
      <c r="U1635" s="62">
        <v>0.0</v>
      </c>
      <c r="V1635" s="62">
        <v>0.0</v>
      </c>
      <c r="W1635" s="62">
        <v>0.0</v>
      </c>
      <c r="X1635" s="62">
        <v>0.0</v>
      </c>
      <c r="Y1635" s="62">
        <v>0.0</v>
      </c>
      <c r="Z1635" s="62">
        <v>0.0</v>
      </c>
      <c r="AA1635" s="62">
        <v>0.0</v>
      </c>
      <c r="AB1635" s="62">
        <v>0.0</v>
      </c>
      <c r="AC1635" s="62">
        <v>2.34138888888888</v>
      </c>
      <c r="AD1635" s="62">
        <v>0.223055555555555</v>
      </c>
      <c r="AE1635" s="62">
        <v>2.34138888888888</v>
      </c>
      <c r="AF1635" s="62">
        <v>4.0</v>
      </c>
    </row>
    <row r="1636">
      <c r="A1636" s="68">
        <v>45942.0</v>
      </c>
      <c r="B1636" s="62" t="s">
        <v>26</v>
      </c>
      <c r="C1636" s="62" t="s">
        <v>178</v>
      </c>
      <c r="D1636" s="62">
        <v>3.0</v>
      </c>
      <c r="E1636" s="62">
        <v>0.0</v>
      </c>
      <c r="F1636" s="62">
        <v>0.0</v>
      </c>
      <c r="G1636" s="62">
        <v>0.0</v>
      </c>
      <c r="H1636" s="62">
        <v>0.0</v>
      </c>
      <c r="I1636" s="62">
        <v>0.0</v>
      </c>
      <c r="J1636" s="62">
        <v>0.0</v>
      </c>
      <c r="K1636" s="62">
        <v>0.0</v>
      </c>
      <c r="L1636" s="62">
        <v>0.0</v>
      </c>
      <c r="M1636" s="62">
        <v>0.0</v>
      </c>
      <c r="N1636" s="62">
        <v>0.0</v>
      </c>
      <c r="O1636" s="62">
        <v>1.0</v>
      </c>
      <c r="P1636" s="62">
        <v>0.0</v>
      </c>
      <c r="Q1636" s="62">
        <v>0.0</v>
      </c>
      <c r="R1636" s="62">
        <v>6635.0</v>
      </c>
      <c r="S1636" s="62">
        <v>0.0</v>
      </c>
      <c r="T1636" s="62">
        <v>0.0</v>
      </c>
      <c r="U1636" s="62">
        <v>0.0</v>
      </c>
      <c r="V1636" s="62">
        <v>0.0</v>
      </c>
      <c r="W1636" s="62">
        <v>0.0</v>
      </c>
      <c r="X1636" s="62">
        <v>0.0</v>
      </c>
      <c r="Y1636" s="62">
        <v>0.0</v>
      </c>
      <c r="Z1636" s="62">
        <v>0.0</v>
      </c>
      <c r="AA1636" s="62">
        <v>0.0</v>
      </c>
      <c r="AB1636" s="62">
        <v>0.0</v>
      </c>
      <c r="AC1636" s="62">
        <v>0.0</v>
      </c>
      <c r="AD1636" s="62">
        <v>0.190833333333333</v>
      </c>
      <c r="AE1636" s="62">
        <v>0.0</v>
      </c>
      <c r="AF1636" s="62">
        <v>0.0</v>
      </c>
    </row>
    <row r="1637">
      <c r="A1637" s="68">
        <v>45941.0</v>
      </c>
      <c r="B1637" s="62" t="s">
        <v>76</v>
      </c>
      <c r="C1637" s="62" t="s">
        <v>165</v>
      </c>
      <c r="D1637" s="62">
        <v>0.0</v>
      </c>
      <c r="E1637" s="62">
        <v>0.0</v>
      </c>
      <c r="F1637" s="62">
        <v>0.0</v>
      </c>
      <c r="G1637" s="62">
        <v>2.0</v>
      </c>
      <c r="H1637" s="62">
        <v>2.0</v>
      </c>
      <c r="I1637" s="62">
        <v>0.0</v>
      </c>
      <c r="J1637" s="62">
        <v>2.0</v>
      </c>
      <c r="K1637" s="62">
        <v>0.0</v>
      </c>
      <c r="L1637" s="62">
        <v>0.0</v>
      </c>
      <c r="M1637" s="62">
        <v>0.0</v>
      </c>
      <c r="N1637" s="62">
        <v>0.0</v>
      </c>
      <c r="O1637" s="62">
        <v>1.0</v>
      </c>
      <c r="P1637" s="62">
        <v>0.0</v>
      </c>
      <c r="Q1637" s="62">
        <v>0.0</v>
      </c>
      <c r="R1637" s="62">
        <v>0.0</v>
      </c>
      <c r="S1637" s="62">
        <v>0.0</v>
      </c>
      <c r="T1637" s="62">
        <v>0.0</v>
      </c>
      <c r="U1637" s="62">
        <v>0.0</v>
      </c>
      <c r="V1637" s="62">
        <v>0.518333333333333</v>
      </c>
      <c r="W1637" s="62">
        <v>0.518333333333333</v>
      </c>
      <c r="X1637" s="62">
        <v>0.0</v>
      </c>
      <c r="Y1637" s="62">
        <v>0.518333333333333</v>
      </c>
      <c r="Z1637" s="62">
        <v>0.0</v>
      </c>
      <c r="AA1637" s="62">
        <v>0.0</v>
      </c>
      <c r="AB1637" s="62">
        <v>0.0</v>
      </c>
      <c r="AC1637" s="62">
        <v>0.0</v>
      </c>
      <c r="AD1637" s="62">
        <v>0.254722222222222</v>
      </c>
      <c r="AE1637" s="62">
        <v>0.0</v>
      </c>
      <c r="AF1637" s="62">
        <v>0.0</v>
      </c>
    </row>
    <row r="1638">
      <c r="A1638" s="68">
        <v>45941.0</v>
      </c>
      <c r="B1638" s="62" t="s">
        <v>32</v>
      </c>
      <c r="C1638" s="62" t="s">
        <v>168</v>
      </c>
      <c r="D1638" s="62">
        <v>0.0</v>
      </c>
      <c r="E1638" s="62">
        <v>0.0</v>
      </c>
      <c r="F1638" s="62">
        <v>0.0</v>
      </c>
      <c r="G1638" s="62">
        <v>0.0</v>
      </c>
      <c r="H1638" s="62">
        <v>0.0</v>
      </c>
      <c r="I1638" s="62">
        <v>0.0</v>
      </c>
      <c r="J1638" s="62">
        <v>2.0</v>
      </c>
      <c r="K1638" s="62">
        <v>0.0</v>
      </c>
      <c r="L1638" s="62">
        <v>1.0</v>
      </c>
      <c r="M1638" s="62">
        <v>1.0</v>
      </c>
      <c r="N1638" s="62">
        <v>12.0</v>
      </c>
      <c r="O1638" s="62">
        <v>1.0</v>
      </c>
      <c r="P1638" s="62">
        <v>12.0</v>
      </c>
      <c r="Q1638" s="62">
        <v>0.0</v>
      </c>
      <c r="R1638" s="62">
        <v>0.0</v>
      </c>
      <c r="S1638" s="62">
        <v>0.0</v>
      </c>
      <c r="T1638" s="62">
        <v>0.0</v>
      </c>
      <c r="U1638" s="62">
        <v>0.0</v>
      </c>
      <c r="V1638" s="62">
        <v>0.0</v>
      </c>
      <c r="W1638" s="62">
        <v>0.0</v>
      </c>
      <c r="X1638" s="62">
        <v>0.0</v>
      </c>
      <c r="Y1638" s="62">
        <v>0.439444444444444</v>
      </c>
      <c r="Z1638" s="62">
        <v>0.0</v>
      </c>
      <c r="AA1638" s="62">
        <v>0.215833333333333</v>
      </c>
      <c r="AB1638" s="62">
        <v>0.215833333333333</v>
      </c>
      <c r="AC1638" s="62">
        <v>2.60916666666666</v>
      </c>
      <c r="AD1638" s="62">
        <v>0.220277777777777</v>
      </c>
      <c r="AE1638" s="62">
        <v>2.60916666666666</v>
      </c>
      <c r="AF1638" s="62">
        <v>0.0</v>
      </c>
    </row>
    <row r="1639">
      <c r="A1639" s="68">
        <v>45941.0</v>
      </c>
      <c r="B1639" s="62" t="s">
        <v>56</v>
      </c>
      <c r="C1639" s="62" t="s">
        <v>176</v>
      </c>
      <c r="D1639" s="62">
        <v>0.0</v>
      </c>
      <c r="E1639" s="62">
        <v>0.0</v>
      </c>
      <c r="F1639" s="62">
        <v>0.0</v>
      </c>
      <c r="G1639" s="62">
        <v>0.0</v>
      </c>
      <c r="H1639" s="62">
        <v>0.0</v>
      </c>
      <c r="I1639" s="62">
        <v>0.0</v>
      </c>
      <c r="J1639" s="62">
        <v>0.0</v>
      </c>
      <c r="K1639" s="62">
        <v>0.0</v>
      </c>
      <c r="L1639" s="62">
        <v>6.0</v>
      </c>
      <c r="M1639" s="62">
        <v>3.0</v>
      </c>
      <c r="N1639" s="62">
        <v>0.0</v>
      </c>
      <c r="O1639" s="62">
        <v>0.0</v>
      </c>
      <c r="P1639" s="62">
        <v>0.0</v>
      </c>
      <c r="Q1639" s="62">
        <v>0.0</v>
      </c>
      <c r="R1639" s="62">
        <v>0.0</v>
      </c>
      <c r="S1639" s="62">
        <v>0.0</v>
      </c>
      <c r="T1639" s="62">
        <v>0.0</v>
      </c>
      <c r="U1639" s="62">
        <v>0.0</v>
      </c>
      <c r="V1639" s="62">
        <v>0.0</v>
      </c>
      <c r="W1639" s="62">
        <v>0.0</v>
      </c>
      <c r="X1639" s="62">
        <v>0.0</v>
      </c>
      <c r="Y1639" s="62">
        <v>0.0</v>
      </c>
      <c r="Z1639" s="62">
        <v>0.0</v>
      </c>
      <c r="AA1639" s="62">
        <v>1.41611111111111</v>
      </c>
      <c r="AB1639" s="62">
        <v>0.671944444444444</v>
      </c>
      <c r="AC1639" s="62">
        <v>0.0</v>
      </c>
      <c r="AD1639" s="62">
        <v>0.0</v>
      </c>
      <c r="AE1639" s="62">
        <v>0.0</v>
      </c>
      <c r="AF1639" s="62">
        <v>0.0</v>
      </c>
    </row>
    <row r="1640">
      <c r="A1640" s="68">
        <v>45940.0</v>
      </c>
      <c r="B1640" s="62" t="s">
        <v>76</v>
      </c>
      <c r="C1640" s="62" t="s">
        <v>165</v>
      </c>
      <c r="D1640" s="62">
        <v>23.0</v>
      </c>
      <c r="E1640" s="62">
        <v>6.0</v>
      </c>
      <c r="F1640" s="62">
        <v>2.0</v>
      </c>
      <c r="G1640" s="62">
        <v>2.0</v>
      </c>
      <c r="H1640" s="62">
        <v>4.0</v>
      </c>
      <c r="I1640" s="62">
        <v>2.0</v>
      </c>
      <c r="J1640" s="62">
        <v>4.0</v>
      </c>
      <c r="K1640" s="62">
        <v>0.0</v>
      </c>
      <c r="L1640" s="62">
        <v>0.0</v>
      </c>
      <c r="M1640" s="62">
        <v>4.0</v>
      </c>
      <c r="N1640" s="62">
        <v>5.0</v>
      </c>
      <c r="O1640" s="62">
        <v>1.0</v>
      </c>
      <c r="P1640" s="62">
        <v>5.0</v>
      </c>
      <c r="Q1640" s="62">
        <v>0.0</v>
      </c>
      <c r="R1640" s="62">
        <v>54879.0</v>
      </c>
      <c r="S1640" s="62">
        <v>14606.0</v>
      </c>
      <c r="T1640" s="62">
        <v>0.256666666666666</v>
      </c>
      <c r="U1640" s="62">
        <v>0.515833333333333</v>
      </c>
      <c r="V1640" s="62">
        <v>0.498888888888888</v>
      </c>
      <c r="W1640" s="62">
        <v>1.00527777777777</v>
      </c>
      <c r="X1640" s="62">
        <v>0.506388888888888</v>
      </c>
      <c r="Y1640" s="62">
        <v>1.00861111111111</v>
      </c>
      <c r="Z1640" s="62">
        <v>0.0</v>
      </c>
      <c r="AA1640" s="62">
        <v>0.0</v>
      </c>
      <c r="AB1640" s="62">
        <v>1.00861111111111</v>
      </c>
      <c r="AC1640" s="62">
        <v>1.26638888888888</v>
      </c>
      <c r="AD1640" s="62">
        <v>0.249166666666666</v>
      </c>
      <c r="AE1640" s="62">
        <v>1.26638888888888</v>
      </c>
      <c r="AF1640" s="62">
        <v>1.0</v>
      </c>
    </row>
    <row r="1641">
      <c r="A1641" s="68">
        <v>45940.0</v>
      </c>
      <c r="B1641" s="62" t="s">
        <v>32</v>
      </c>
      <c r="C1641" s="62" t="s">
        <v>168</v>
      </c>
      <c r="D1641" s="62">
        <v>19.0</v>
      </c>
      <c r="E1641" s="62">
        <v>0.0</v>
      </c>
      <c r="F1641" s="62">
        <v>2.0</v>
      </c>
      <c r="G1641" s="62">
        <v>3.0</v>
      </c>
      <c r="H1641" s="62">
        <v>4.0</v>
      </c>
      <c r="I1641" s="62">
        <v>1.0</v>
      </c>
      <c r="J1641" s="62">
        <v>3.0</v>
      </c>
      <c r="K1641" s="62">
        <v>1.0</v>
      </c>
      <c r="L1641" s="62">
        <v>0.0</v>
      </c>
      <c r="M1641" s="62">
        <v>2.0</v>
      </c>
      <c r="N1641" s="62">
        <v>4.0</v>
      </c>
      <c r="O1641" s="62">
        <v>1.0</v>
      </c>
      <c r="P1641" s="62">
        <v>4.0</v>
      </c>
      <c r="Q1641" s="62">
        <v>0.0</v>
      </c>
      <c r="R1641" s="62">
        <v>38023.0</v>
      </c>
      <c r="S1641" s="62">
        <v>0.0</v>
      </c>
      <c r="T1641" s="62">
        <v>0.840555555555555</v>
      </c>
      <c r="U1641" s="62">
        <v>0.434444444444444</v>
      </c>
      <c r="V1641" s="62">
        <v>0.655277777777777</v>
      </c>
      <c r="W1641" s="62">
        <v>0.881666666666666</v>
      </c>
      <c r="X1641" s="62">
        <v>0.226388888888888</v>
      </c>
      <c r="Y1641" s="62">
        <v>0.641944444444444</v>
      </c>
      <c r="Z1641" s="62">
        <v>0.215833333333333</v>
      </c>
      <c r="AA1641" s="62">
        <v>0.0</v>
      </c>
      <c r="AB1641" s="62">
        <v>0.414444444444444</v>
      </c>
      <c r="AC1641" s="62">
        <v>0.849166666666666</v>
      </c>
      <c r="AD1641" s="62">
        <v>0.211666666666666</v>
      </c>
      <c r="AE1641" s="62">
        <v>0.849166666666666</v>
      </c>
      <c r="AF1641" s="62">
        <v>4.0</v>
      </c>
    </row>
    <row r="1642">
      <c r="A1642" s="68">
        <v>45940.0</v>
      </c>
      <c r="B1642" s="62" t="s">
        <v>56</v>
      </c>
      <c r="C1642" s="62" t="s">
        <v>176</v>
      </c>
      <c r="D1642" s="62">
        <v>0.0</v>
      </c>
      <c r="E1642" s="62">
        <v>1.0</v>
      </c>
      <c r="F1642" s="62">
        <v>0.0</v>
      </c>
      <c r="G1642" s="62">
        <v>5.0</v>
      </c>
      <c r="H1642" s="62">
        <v>5.0</v>
      </c>
      <c r="I1642" s="62">
        <v>0.0</v>
      </c>
      <c r="J1642" s="62">
        <v>12.0</v>
      </c>
      <c r="K1642" s="62">
        <v>7.0</v>
      </c>
      <c r="L1642" s="62">
        <v>0.0</v>
      </c>
      <c r="M1642" s="62">
        <v>7.0</v>
      </c>
      <c r="N1642" s="62">
        <v>0.0</v>
      </c>
      <c r="O1642" s="62">
        <v>0.0</v>
      </c>
      <c r="P1642" s="62">
        <v>0.0</v>
      </c>
      <c r="Q1642" s="62">
        <v>0.0</v>
      </c>
      <c r="R1642" s="62">
        <v>0.0</v>
      </c>
      <c r="S1642" s="62">
        <v>2156.0</v>
      </c>
      <c r="T1642" s="62">
        <v>0.0</v>
      </c>
      <c r="U1642" s="62">
        <v>0.0</v>
      </c>
      <c r="V1642" s="62">
        <v>1.18194444444444</v>
      </c>
      <c r="W1642" s="62">
        <v>1.18194444444444</v>
      </c>
      <c r="X1642" s="62">
        <v>0.0</v>
      </c>
      <c r="Y1642" s="62">
        <v>2.82666666666666</v>
      </c>
      <c r="Z1642" s="62">
        <v>1.64027777777777</v>
      </c>
      <c r="AA1642" s="62">
        <v>0.0</v>
      </c>
      <c r="AB1642" s="62">
        <v>1.65749999999999</v>
      </c>
      <c r="AC1642" s="62">
        <v>0.0</v>
      </c>
      <c r="AD1642" s="62">
        <v>0.0</v>
      </c>
      <c r="AE1642" s="62">
        <v>0.0</v>
      </c>
      <c r="AF1642" s="62">
        <v>0.0</v>
      </c>
    </row>
    <row r="1643">
      <c r="A1643" s="68">
        <v>45940.0</v>
      </c>
      <c r="B1643" s="62" t="s">
        <v>26</v>
      </c>
      <c r="C1643" s="62" t="s">
        <v>178</v>
      </c>
      <c r="D1643" s="62">
        <v>3.0</v>
      </c>
      <c r="E1643" s="62">
        <v>2.0</v>
      </c>
      <c r="F1643" s="62">
        <v>0.0</v>
      </c>
      <c r="G1643" s="62">
        <v>0.0</v>
      </c>
      <c r="H1643" s="62">
        <v>0.0</v>
      </c>
      <c r="I1643" s="62">
        <v>0.0</v>
      </c>
      <c r="J1643" s="62">
        <v>2.0</v>
      </c>
      <c r="K1643" s="62">
        <v>1.0</v>
      </c>
      <c r="L1643" s="62">
        <v>0.0</v>
      </c>
      <c r="M1643" s="62">
        <v>3.0</v>
      </c>
      <c r="N1643" s="62">
        <v>5.0</v>
      </c>
      <c r="O1643" s="62">
        <v>1.0</v>
      </c>
      <c r="P1643" s="62">
        <v>5.0</v>
      </c>
      <c r="Q1643" s="62">
        <v>0.0</v>
      </c>
      <c r="R1643" s="62">
        <v>6254.0</v>
      </c>
      <c r="S1643" s="62">
        <v>4776.0</v>
      </c>
      <c r="T1643" s="62">
        <v>0.0</v>
      </c>
      <c r="U1643" s="62">
        <v>0.0</v>
      </c>
      <c r="V1643" s="62">
        <v>0.0</v>
      </c>
      <c r="W1643" s="62">
        <v>0.0</v>
      </c>
      <c r="X1643" s="62">
        <v>0.0</v>
      </c>
      <c r="Y1643" s="62">
        <v>0.384444444444444</v>
      </c>
      <c r="Z1643" s="62">
        <v>0.220833333333333</v>
      </c>
      <c r="AA1643" s="62">
        <v>0.0</v>
      </c>
      <c r="AB1643" s="62">
        <v>0.587777777777777</v>
      </c>
      <c r="AC1643" s="62">
        <v>0.944444444444444</v>
      </c>
      <c r="AD1643" s="62">
        <v>0.182777777777777</v>
      </c>
      <c r="AE1643" s="62">
        <v>0.944444444444444</v>
      </c>
      <c r="AF1643" s="62">
        <v>0.0</v>
      </c>
    </row>
    <row r="1644">
      <c r="A1644" s="68">
        <v>45939.0</v>
      </c>
      <c r="B1644" s="62" t="s">
        <v>76</v>
      </c>
      <c r="C1644" s="62" t="s">
        <v>165</v>
      </c>
      <c r="D1644" s="62">
        <v>0.0</v>
      </c>
      <c r="E1644" s="62">
        <v>6.0</v>
      </c>
      <c r="F1644" s="62">
        <v>0.0</v>
      </c>
      <c r="G1644" s="62">
        <v>1.0</v>
      </c>
      <c r="H1644" s="62">
        <v>1.0</v>
      </c>
      <c r="I1644" s="62">
        <v>0.0</v>
      </c>
      <c r="J1644" s="62">
        <v>1.0</v>
      </c>
      <c r="K1644" s="62">
        <v>0.0</v>
      </c>
      <c r="L1644" s="62">
        <v>1.0</v>
      </c>
      <c r="M1644" s="62">
        <v>2.0</v>
      </c>
      <c r="N1644" s="62">
        <v>2.0</v>
      </c>
      <c r="O1644" s="62">
        <v>1.0</v>
      </c>
      <c r="P1644" s="62">
        <v>2.0</v>
      </c>
      <c r="Q1644" s="62">
        <v>0.0</v>
      </c>
      <c r="R1644" s="62">
        <v>0.0</v>
      </c>
      <c r="S1644" s="62">
        <v>14790.0</v>
      </c>
      <c r="T1644" s="62">
        <v>1.02222222222222</v>
      </c>
      <c r="U1644" s="62">
        <v>0.0</v>
      </c>
      <c r="V1644" s="62">
        <v>0.257777777777777</v>
      </c>
      <c r="W1644" s="62">
        <v>0.257777777777777</v>
      </c>
      <c r="X1644" s="62">
        <v>0.0</v>
      </c>
      <c r="Y1644" s="62">
        <v>0.257777777777777</v>
      </c>
      <c r="Z1644" s="62">
        <v>0.0</v>
      </c>
      <c r="AA1644" s="62">
        <v>0.257777777777777</v>
      </c>
      <c r="AB1644" s="62">
        <v>0.515555555555555</v>
      </c>
      <c r="AC1644" s="62">
        <v>0.503611111111111</v>
      </c>
      <c r="AD1644" s="62">
        <v>0.260277777777777</v>
      </c>
      <c r="AE1644" s="62">
        <v>0.503611111111111</v>
      </c>
      <c r="AF1644" s="62">
        <v>4.0</v>
      </c>
    </row>
    <row r="1645">
      <c r="A1645" s="68">
        <v>45939.0</v>
      </c>
      <c r="B1645" s="62" t="s">
        <v>32</v>
      </c>
      <c r="C1645" s="62" t="s">
        <v>168</v>
      </c>
      <c r="D1645" s="62">
        <v>0.0</v>
      </c>
      <c r="E1645" s="62">
        <v>0.0</v>
      </c>
      <c r="F1645" s="62">
        <v>0.0</v>
      </c>
      <c r="G1645" s="62">
        <v>3.0</v>
      </c>
      <c r="H1645" s="62">
        <v>3.0</v>
      </c>
      <c r="I1645" s="62">
        <v>0.0</v>
      </c>
      <c r="J1645" s="62">
        <v>3.0</v>
      </c>
      <c r="K1645" s="62">
        <v>1.0</v>
      </c>
      <c r="L1645" s="62">
        <v>0.0</v>
      </c>
      <c r="M1645" s="62">
        <v>3.0</v>
      </c>
      <c r="N1645" s="62">
        <v>0.0</v>
      </c>
      <c r="O1645" s="62">
        <v>1.0</v>
      </c>
      <c r="P1645" s="62">
        <v>0.0</v>
      </c>
      <c r="Q1645" s="62">
        <v>0.0</v>
      </c>
      <c r="R1645" s="62">
        <v>0.0</v>
      </c>
      <c r="S1645" s="62">
        <v>0.0</v>
      </c>
      <c r="T1645" s="62">
        <v>0.660833333333333</v>
      </c>
      <c r="U1645" s="62">
        <v>0.0</v>
      </c>
      <c r="V1645" s="62">
        <v>0.599722222222222</v>
      </c>
      <c r="W1645" s="62">
        <v>0.599722222222222</v>
      </c>
      <c r="X1645" s="62">
        <v>0.0</v>
      </c>
      <c r="Y1645" s="62">
        <v>0.643888888888889</v>
      </c>
      <c r="Z1645" s="62">
        <v>0.225277777777777</v>
      </c>
      <c r="AA1645" s="62">
        <v>0.0</v>
      </c>
      <c r="AB1645" s="62">
        <v>0.643888888888889</v>
      </c>
      <c r="AC1645" s="62">
        <v>0.0</v>
      </c>
      <c r="AD1645" s="62">
        <v>0.232777777777777</v>
      </c>
      <c r="AE1645" s="62">
        <v>0.0</v>
      </c>
      <c r="AF1645" s="62">
        <v>3.0</v>
      </c>
    </row>
    <row r="1646">
      <c r="A1646" s="68">
        <v>45939.0</v>
      </c>
      <c r="B1646" s="62" t="s">
        <v>56</v>
      </c>
      <c r="C1646" s="62" t="s">
        <v>176</v>
      </c>
      <c r="D1646" s="62">
        <v>6.0</v>
      </c>
      <c r="E1646" s="62">
        <v>7.0</v>
      </c>
      <c r="F1646" s="62">
        <v>0.0</v>
      </c>
      <c r="G1646" s="62">
        <v>0.0</v>
      </c>
      <c r="H1646" s="62">
        <v>0.0</v>
      </c>
      <c r="I1646" s="62">
        <v>0.0</v>
      </c>
      <c r="J1646" s="62">
        <v>0.0</v>
      </c>
      <c r="K1646" s="62">
        <v>0.0</v>
      </c>
      <c r="L1646" s="62">
        <v>0.0</v>
      </c>
      <c r="M1646" s="62">
        <v>0.0</v>
      </c>
      <c r="N1646" s="62">
        <v>0.0</v>
      </c>
      <c r="O1646" s="62">
        <v>0.0</v>
      </c>
      <c r="P1646" s="62">
        <v>0.0</v>
      </c>
      <c r="Q1646" s="62">
        <v>0.0</v>
      </c>
      <c r="R1646" s="62">
        <v>12884.0</v>
      </c>
      <c r="S1646" s="62">
        <v>15227.0</v>
      </c>
      <c r="T1646" s="62">
        <v>0.0</v>
      </c>
      <c r="U1646" s="62">
        <v>0.0</v>
      </c>
      <c r="V1646" s="62">
        <v>0.0</v>
      </c>
      <c r="W1646" s="62">
        <v>0.0</v>
      </c>
      <c r="X1646" s="62">
        <v>0.0</v>
      </c>
      <c r="Y1646" s="62">
        <v>0.0</v>
      </c>
      <c r="Z1646" s="62">
        <v>0.0</v>
      </c>
      <c r="AA1646" s="62">
        <v>0.0</v>
      </c>
      <c r="AB1646" s="62">
        <v>0.0</v>
      </c>
      <c r="AC1646" s="62">
        <v>0.0</v>
      </c>
      <c r="AD1646" s="62">
        <v>0.0</v>
      </c>
      <c r="AE1646" s="62">
        <v>0.0</v>
      </c>
      <c r="AF1646" s="62">
        <v>0.0</v>
      </c>
    </row>
    <row r="1647">
      <c r="A1647" s="68">
        <v>45939.0</v>
      </c>
      <c r="B1647" s="62" t="s">
        <v>26</v>
      </c>
      <c r="C1647" s="62" t="s">
        <v>178</v>
      </c>
      <c r="D1647" s="62">
        <v>3.0</v>
      </c>
      <c r="E1647" s="62">
        <v>2.0</v>
      </c>
      <c r="F1647" s="62">
        <v>2.0</v>
      </c>
      <c r="G1647" s="62">
        <v>2.0</v>
      </c>
      <c r="H1647" s="62">
        <v>7.0</v>
      </c>
      <c r="I1647" s="62">
        <v>5.0</v>
      </c>
      <c r="J1647" s="62">
        <v>5.0</v>
      </c>
      <c r="K1647" s="62">
        <v>0.0</v>
      </c>
      <c r="L1647" s="62">
        <v>0.0</v>
      </c>
      <c r="M1647" s="62">
        <v>4.0</v>
      </c>
      <c r="N1647" s="62">
        <v>1.0</v>
      </c>
      <c r="O1647" s="62">
        <v>1.0</v>
      </c>
      <c r="P1647" s="62">
        <v>1.0</v>
      </c>
      <c r="Q1647" s="62">
        <v>0.0</v>
      </c>
      <c r="R1647" s="62">
        <v>6267.0</v>
      </c>
      <c r="S1647" s="62">
        <v>4646.0</v>
      </c>
      <c r="T1647" s="62">
        <v>0.0</v>
      </c>
      <c r="U1647" s="62">
        <v>0.380555555555555</v>
      </c>
      <c r="V1647" s="62">
        <v>0.384444444444444</v>
      </c>
      <c r="W1647" s="62">
        <v>1.34027777777777</v>
      </c>
      <c r="X1647" s="62">
        <v>0.955833333333333</v>
      </c>
      <c r="Y1647" s="62">
        <v>0.984166666666666</v>
      </c>
      <c r="Z1647" s="62">
        <v>0.0</v>
      </c>
      <c r="AA1647" s="62">
        <v>0.0</v>
      </c>
      <c r="AB1647" s="62">
        <v>0.780833333333333</v>
      </c>
      <c r="AC1647" s="62">
        <v>0.169722222222222</v>
      </c>
      <c r="AD1647" s="62">
        <v>0.216944444444444</v>
      </c>
      <c r="AE1647" s="62">
        <v>0.169722222222222</v>
      </c>
      <c r="AF1647" s="62">
        <v>0.0</v>
      </c>
    </row>
    <row r="1648">
      <c r="A1648" s="68">
        <v>45938.0</v>
      </c>
      <c r="B1648" s="62" t="s">
        <v>76</v>
      </c>
      <c r="C1648" s="62" t="s">
        <v>165</v>
      </c>
      <c r="D1648" s="62">
        <v>0.0</v>
      </c>
      <c r="E1648" s="62">
        <v>0.0</v>
      </c>
      <c r="F1648" s="62">
        <v>3.0</v>
      </c>
      <c r="G1648" s="62">
        <v>0.0</v>
      </c>
      <c r="H1648" s="62">
        <v>0.0</v>
      </c>
      <c r="I1648" s="62">
        <v>0.0</v>
      </c>
      <c r="J1648" s="62">
        <v>0.0</v>
      </c>
      <c r="K1648" s="62">
        <v>1.0</v>
      </c>
      <c r="L1648" s="62">
        <v>0.0</v>
      </c>
      <c r="M1648" s="62">
        <v>3.0</v>
      </c>
      <c r="N1648" s="62">
        <v>5.0</v>
      </c>
      <c r="O1648" s="62">
        <v>1.0</v>
      </c>
      <c r="P1648" s="62">
        <v>5.0</v>
      </c>
      <c r="Q1648" s="62">
        <v>0.0</v>
      </c>
      <c r="R1648" s="62">
        <v>0.0</v>
      </c>
      <c r="S1648" s="62">
        <v>0.0</v>
      </c>
      <c r="T1648" s="62">
        <v>0.751666666666666</v>
      </c>
      <c r="U1648" s="62">
        <v>0.751666666666666</v>
      </c>
      <c r="V1648" s="62">
        <v>0.0</v>
      </c>
      <c r="W1648" s="62">
        <v>0.0</v>
      </c>
      <c r="X1648" s="62">
        <v>0.0</v>
      </c>
      <c r="Y1648" s="62">
        <v>0.0</v>
      </c>
      <c r="Z1648" s="62">
        <v>0.257777777777777</v>
      </c>
      <c r="AA1648" s="62">
        <v>0.0</v>
      </c>
      <c r="AB1648" s="62">
        <v>0.748333333333333</v>
      </c>
      <c r="AC1648" s="62">
        <v>1.25277777777777</v>
      </c>
      <c r="AD1648" s="62">
        <v>0.265</v>
      </c>
      <c r="AE1648" s="62">
        <v>1.25277777777777</v>
      </c>
      <c r="AF1648" s="62">
        <v>3.0</v>
      </c>
    </row>
    <row r="1649">
      <c r="A1649" s="68">
        <v>45938.0</v>
      </c>
      <c r="B1649" s="62" t="s">
        <v>32</v>
      </c>
      <c r="C1649" s="62" t="s">
        <v>168</v>
      </c>
      <c r="D1649" s="62">
        <v>0.0</v>
      </c>
      <c r="E1649" s="62">
        <v>3.0</v>
      </c>
      <c r="F1649" s="62">
        <v>0.0</v>
      </c>
      <c r="G1649" s="62">
        <v>1.0</v>
      </c>
      <c r="H1649" s="62">
        <v>1.0</v>
      </c>
      <c r="I1649" s="62">
        <v>0.0</v>
      </c>
      <c r="J1649" s="62">
        <v>4.0</v>
      </c>
      <c r="K1649" s="62">
        <v>0.0</v>
      </c>
      <c r="L1649" s="62">
        <v>0.0</v>
      </c>
      <c r="M1649" s="62">
        <v>4.0</v>
      </c>
      <c r="N1649" s="62">
        <v>0.0</v>
      </c>
      <c r="O1649" s="62">
        <v>1.0</v>
      </c>
      <c r="P1649" s="62">
        <v>0.0</v>
      </c>
      <c r="Q1649" s="62">
        <v>0.0</v>
      </c>
      <c r="R1649" s="62">
        <v>0.0</v>
      </c>
      <c r="S1649" s="62">
        <v>6403.0</v>
      </c>
      <c r="T1649" s="62">
        <v>0.0</v>
      </c>
      <c r="U1649" s="62">
        <v>0.0</v>
      </c>
      <c r="V1649" s="62">
        <v>0.233333333333333</v>
      </c>
      <c r="W1649" s="62">
        <v>0.233333333333333</v>
      </c>
      <c r="X1649" s="62">
        <v>0.0</v>
      </c>
      <c r="Y1649" s="62">
        <v>0.899444444444444</v>
      </c>
      <c r="Z1649" s="62">
        <v>0.0</v>
      </c>
      <c r="AA1649" s="62">
        <v>0.0</v>
      </c>
      <c r="AB1649" s="62">
        <v>0.886944444444444</v>
      </c>
      <c r="AC1649" s="62">
        <v>0.0</v>
      </c>
      <c r="AD1649" s="62">
        <v>0.206111111111111</v>
      </c>
      <c r="AE1649" s="62">
        <v>0.0</v>
      </c>
      <c r="AF1649" s="62">
        <v>0.0</v>
      </c>
    </row>
    <row r="1650">
      <c r="A1650" s="68">
        <v>45938.0</v>
      </c>
      <c r="B1650" s="62" t="s">
        <v>26</v>
      </c>
      <c r="C1650" s="62" t="s">
        <v>178</v>
      </c>
      <c r="D1650" s="62">
        <v>2.0</v>
      </c>
      <c r="E1650" s="62">
        <v>2.0</v>
      </c>
      <c r="F1650" s="62">
        <v>0.0</v>
      </c>
      <c r="G1650" s="62">
        <v>0.0</v>
      </c>
      <c r="H1650" s="62">
        <v>0.0</v>
      </c>
      <c r="I1650" s="62">
        <v>0.0</v>
      </c>
      <c r="J1650" s="62">
        <v>1.0</v>
      </c>
      <c r="K1650" s="62">
        <v>0.0</v>
      </c>
      <c r="L1650" s="62">
        <v>0.0</v>
      </c>
      <c r="M1650" s="62">
        <v>1.0</v>
      </c>
      <c r="N1650" s="62">
        <v>5.0</v>
      </c>
      <c r="O1650" s="62">
        <v>0.0</v>
      </c>
      <c r="P1650" s="62">
        <v>5.0</v>
      </c>
      <c r="Q1650" s="62">
        <v>0.0</v>
      </c>
      <c r="R1650" s="62">
        <v>4266.0</v>
      </c>
      <c r="S1650" s="62">
        <v>4926.0</v>
      </c>
      <c r="T1650" s="62">
        <v>1.33638888888888</v>
      </c>
      <c r="U1650" s="62">
        <v>0.0</v>
      </c>
      <c r="V1650" s="62">
        <v>0.0</v>
      </c>
      <c r="W1650" s="62">
        <v>0.0</v>
      </c>
      <c r="X1650" s="62">
        <v>0.0</v>
      </c>
      <c r="Y1650" s="62">
        <v>0.169722222222222</v>
      </c>
      <c r="Z1650" s="62">
        <v>0.0</v>
      </c>
      <c r="AA1650" s="62">
        <v>0.0</v>
      </c>
      <c r="AB1650" s="62">
        <v>0.169722222222222</v>
      </c>
      <c r="AC1650" s="62">
        <v>0.989722222222222</v>
      </c>
      <c r="AD1650" s="62">
        <v>0.0</v>
      </c>
      <c r="AE1650" s="62">
        <v>0.989722222222222</v>
      </c>
      <c r="AF1650" s="62">
        <v>7.0</v>
      </c>
    </row>
    <row r="1651">
      <c r="A1651" s="68">
        <v>45937.0</v>
      </c>
      <c r="B1651" s="62" t="s">
        <v>76</v>
      </c>
      <c r="C1651" s="62" t="s">
        <v>165</v>
      </c>
      <c r="D1651" s="62">
        <v>0.0</v>
      </c>
      <c r="E1651" s="62">
        <v>2.0</v>
      </c>
      <c r="F1651" s="62">
        <v>0.0</v>
      </c>
      <c r="G1651" s="62">
        <v>4.0</v>
      </c>
      <c r="H1651" s="62">
        <v>4.0</v>
      </c>
      <c r="I1651" s="62">
        <v>0.0</v>
      </c>
      <c r="J1651" s="62">
        <v>4.0</v>
      </c>
      <c r="K1651" s="62">
        <v>0.0</v>
      </c>
      <c r="L1651" s="62">
        <v>0.0</v>
      </c>
      <c r="M1651" s="62">
        <v>3.0</v>
      </c>
      <c r="N1651" s="62">
        <v>0.0</v>
      </c>
      <c r="O1651" s="62">
        <v>1.0</v>
      </c>
      <c r="P1651" s="62">
        <v>0.0</v>
      </c>
      <c r="Q1651" s="62">
        <v>0.0</v>
      </c>
      <c r="R1651" s="62">
        <v>0.0</v>
      </c>
      <c r="S1651" s="62">
        <v>5007.0</v>
      </c>
      <c r="T1651" s="62">
        <v>0.0</v>
      </c>
      <c r="U1651" s="62">
        <v>0.0</v>
      </c>
      <c r="V1651" s="62">
        <v>1.00611111111111</v>
      </c>
      <c r="W1651" s="62">
        <v>1.00611111111111</v>
      </c>
      <c r="X1651" s="62">
        <v>0.0</v>
      </c>
      <c r="Y1651" s="62">
        <v>1.00611111111111</v>
      </c>
      <c r="Z1651" s="62">
        <v>0.0</v>
      </c>
      <c r="AA1651" s="62">
        <v>0.0</v>
      </c>
      <c r="AB1651" s="62">
        <v>0.750277777777777</v>
      </c>
      <c r="AC1651" s="62">
        <v>0.0</v>
      </c>
      <c r="AD1651" s="62">
        <v>0.255833333333333</v>
      </c>
      <c r="AE1651" s="62">
        <v>0.0</v>
      </c>
      <c r="AF1651" s="62">
        <v>0.0</v>
      </c>
    </row>
    <row r="1652">
      <c r="A1652" s="68">
        <v>45937.0</v>
      </c>
      <c r="B1652" s="62" t="s">
        <v>32</v>
      </c>
      <c r="C1652" s="62" t="s">
        <v>168</v>
      </c>
      <c r="D1652" s="62">
        <v>0.0</v>
      </c>
      <c r="E1652" s="62">
        <v>2.0</v>
      </c>
      <c r="F1652" s="62">
        <v>4.0</v>
      </c>
      <c r="G1652" s="62">
        <v>1.0</v>
      </c>
      <c r="H1652" s="62">
        <v>5.0</v>
      </c>
      <c r="I1652" s="62">
        <v>4.0</v>
      </c>
      <c r="J1652" s="62">
        <v>4.0</v>
      </c>
      <c r="K1652" s="62">
        <v>0.0</v>
      </c>
      <c r="L1652" s="62">
        <v>0.0</v>
      </c>
      <c r="M1652" s="62">
        <v>8.0</v>
      </c>
      <c r="N1652" s="62">
        <v>4.0</v>
      </c>
      <c r="O1652" s="62">
        <v>1.0</v>
      </c>
      <c r="P1652" s="62">
        <v>4.0</v>
      </c>
      <c r="Q1652" s="62">
        <v>0.0</v>
      </c>
      <c r="R1652" s="62">
        <v>0.0</v>
      </c>
      <c r="S1652" s="62">
        <v>4525.0</v>
      </c>
      <c r="T1652" s="62">
        <v>0.639166666666666</v>
      </c>
      <c r="U1652" s="62">
        <v>0.848333333333333</v>
      </c>
      <c r="V1652" s="62">
        <v>0.208055555555555</v>
      </c>
      <c r="W1652" s="62">
        <v>1.07444444444444</v>
      </c>
      <c r="X1652" s="62">
        <v>0.866388888888888</v>
      </c>
      <c r="Y1652" s="62">
        <v>0.868888888888888</v>
      </c>
      <c r="Z1652" s="62">
        <v>0.0</v>
      </c>
      <c r="AA1652" s="62">
        <v>0.0</v>
      </c>
      <c r="AB1652" s="62">
        <v>1.70805555555555</v>
      </c>
      <c r="AC1652" s="62">
        <v>0.849444444444444</v>
      </c>
      <c r="AD1652" s="62">
        <v>0.198888888888888</v>
      </c>
      <c r="AE1652" s="62">
        <v>0.849444444444444</v>
      </c>
      <c r="AF1652" s="62">
        <v>3.0</v>
      </c>
    </row>
    <row r="1653">
      <c r="A1653" s="68">
        <v>45937.0</v>
      </c>
      <c r="B1653" s="62" t="s">
        <v>56</v>
      </c>
      <c r="C1653" s="62" t="s">
        <v>176</v>
      </c>
      <c r="D1653" s="62">
        <v>0.0</v>
      </c>
      <c r="E1653" s="62">
        <v>0.0</v>
      </c>
      <c r="F1653" s="62">
        <v>4.0</v>
      </c>
      <c r="G1653" s="62">
        <v>0.0</v>
      </c>
      <c r="H1653" s="62">
        <v>4.0</v>
      </c>
      <c r="I1653" s="62">
        <v>4.0</v>
      </c>
      <c r="J1653" s="62">
        <v>0.0</v>
      </c>
      <c r="K1653" s="62">
        <v>0.0</v>
      </c>
      <c r="L1653" s="62">
        <v>0.0</v>
      </c>
      <c r="M1653" s="62">
        <v>0.0</v>
      </c>
      <c r="N1653" s="62">
        <v>0.0</v>
      </c>
      <c r="O1653" s="62">
        <v>0.0</v>
      </c>
      <c r="P1653" s="62">
        <v>0.0</v>
      </c>
      <c r="Q1653" s="62">
        <v>0.0</v>
      </c>
      <c r="R1653" s="62">
        <v>0.0</v>
      </c>
      <c r="S1653" s="62">
        <v>0.0</v>
      </c>
      <c r="T1653" s="62">
        <v>0.0</v>
      </c>
      <c r="U1653" s="62">
        <v>0.950833333333333</v>
      </c>
      <c r="V1653" s="62">
        <v>0.0</v>
      </c>
      <c r="W1653" s="62">
        <v>0.961111111111111</v>
      </c>
      <c r="X1653" s="62">
        <v>0.961111111111111</v>
      </c>
      <c r="Y1653" s="62">
        <v>0.0</v>
      </c>
      <c r="Z1653" s="62">
        <v>0.0</v>
      </c>
      <c r="AA1653" s="62">
        <v>0.0</v>
      </c>
      <c r="AB1653" s="62">
        <v>0.0</v>
      </c>
      <c r="AC1653" s="62">
        <v>0.0</v>
      </c>
      <c r="AD1653" s="62">
        <v>0.0</v>
      </c>
      <c r="AE1653" s="62">
        <v>0.0</v>
      </c>
      <c r="AF1653" s="62">
        <v>0.0</v>
      </c>
    </row>
    <row r="1654">
      <c r="A1654" s="68">
        <v>45937.0</v>
      </c>
      <c r="B1654" s="62" t="s">
        <v>26</v>
      </c>
      <c r="C1654" s="62" t="s">
        <v>178</v>
      </c>
      <c r="D1654" s="62">
        <v>3.0</v>
      </c>
      <c r="E1654" s="62">
        <v>2.0</v>
      </c>
      <c r="F1654" s="62">
        <v>0.0</v>
      </c>
      <c r="G1654" s="62">
        <v>1.0</v>
      </c>
      <c r="H1654" s="62">
        <v>1.0</v>
      </c>
      <c r="I1654" s="62">
        <v>0.0</v>
      </c>
      <c r="J1654" s="62">
        <v>1.0</v>
      </c>
      <c r="K1654" s="62">
        <v>0.0</v>
      </c>
      <c r="L1654" s="62">
        <v>0.0</v>
      </c>
      <c r="M1654" s="62">
        <v>5.0</v>
      </c>
      <c r="N1654" s="62">
        <v>3.0</v>
      </c>
      <c r="O1654" s="62">
        <v>1.0</v>
      </c>
      <c r="P1654" s="62">
        <v>3.0</v>
      </c>
      <c r="Q1654" s="62">
        <v>0.0</v>
      </c>
      <c r="R1654" s="62">
        <v>6159.0</v>
      </c>
      <c r="S1654" s="62">
        <v>4545.0</v>
      </c>
      <c r="T1654" s="62">
        <v>0.0</v>
      </c>
      <c r="U1654" s="62">
        <v>0.0</v>
      </c>
      <c r="V1654" s="62">
        <v>0.169722222222222</v>
      </c>
      <c r="W1654" s="62">
        <v>0.169722222222222</v>
      </c>
      <c r="X1654" s="62">
        <v>0.0</v>
      </c>
      <c r="Y1654" s="62">
        <v>0.168611111111111</v>
      </c>
      <c r="Z1654" s="62">
        <v>0.0</v>
      </c>
      <c r="AA1654" s="62">
        <v>0.0</v>
      </c>
      <c r="AB1654" s="62">
        <v>0.989722222222222</v>
      </c>
      <c r="AC1654" s="62">
        <v>0.585555555555555</v>
      </c>
      <c r="AD1654" s="62">
        <v>0.205277777777777</v>
      </c>
      <c r="AE1654" s="62">
        <v>0.585555555555555</v>
      </c>
      <c r="AF1654" s="62">
        <v>0.0</v>
      </c>
    </row>
    <row r="1655">
      <c r="A1655" s="68">
        <v>45936.0</v>
      </c>
      <c r="B1655" s="62" t="s">
        <v>76</v>
      </c>
      <c r="C1655" s="62" t="s">
        <v>165</v>
      </c>
      <c r="D1655" s="62">
        <v>0.0</v>
      </c>
      <c r="E1655" s="62">
        <v>6.0</v>
      </c>
      <c r="F1655" s="62">
        <v>4.0</v>
      </c>
      <c r="G1655" s="62">
        <v>3.0</v>
      </c>
      <c r="H1655" s="62">
        <v>3.0</v>
      </c>
      <c r="I1655" s="62">
        <v>0.0</v>
      </c>
      <c r="J1655" s="62">
        <v>3.0</v>
      </c>
      <c r="K1655" s="62">
        <v>0.0</v>
      </c>
      <c r="L1655" s="62">
        <v>0.0</v>
      </c>
      <c r="M1655" s="62">
        <v>0.0</v>
      </c>
      <c r="N1655" s="62">
        <v>0.0</v>
      </c>
      <c r="O1655" s="62">
        <v>1.0</v>
      </c>
      <c r="P1655" s="62">
        <v>0.0</v>
      </c>
      <c r="Q1655" s="62">
        <v>0.0</v>
      </c>
      <c r="R1655" s="62">
        <v>0.0</v>
      </c>
      <c r="S1655" s="62">
        <v>14650.0</v>
      </c>
      <c r="T1655" s="62">
        <v>0.0</v>
      </c>
      <c r="U1655" s="62">
        <v>1.00527777777777</v>
      </c>
      <c r="V1655" s="62">
        <v>0.750833333333333</v>
      </c>
      <c r="W1655" s="62">
        <v>0.750833333333333</v>
      </c>
      <c r="X1655" s="62">
        <v>0.0</v>
      </c>
      <c r="Y1655" s="62">
        <v>0.750277777777777</v>
      </c>
      <c r="Z1655" s="62">
        <v>0.0</v>
      </c>
      <c r="AA1655" s="62">
        <v>0.0</v>
      </c>
      <c r="AB1655" s="62">
        <v>0.0</v>
      </c>
      <c r="AC1655" s="62">
        <v>0.0</v>
      </c>
      <c r="AD1655" s="62">
        <v>0.24</v>
      </c>
      <c r="AE1655" s="62">
        <v>0.0</v>
      </c>
      <c r="AF1655" s="62">
        <v>0.0</v>
      </c>
    </row>
    <row r="1656">
      <c r="A1656" s="68">
        <v>45936.0</v>
      </c>
      <c r="B1656" s="62" t="s">
        <v>32</v>
      </c>
      <c r="C1656" s="62" t="s">
        <v>168</v>
      </c>
      <c r="D1656" s="62">
        <v>8.0</v>
      </c>
      <c r="E1656" s="62">
        <v>3.0</v>
      </c>
      <c r="F1656" s="62">
        <v>1.0</v>
      </c>
      <c r="G1656" s="62">
        <v>2.0</v>
      </c>
      <c r="H1656" s="62">
        <v>6.0</v>
      </c>
      <c r="I1656" s="62">
        <v>4.0</v>
      </c>
      <c r="J1656" s="62">
        <v>5.0</v>
      </c>
      <c r="K1656" s="62">
        <v>0.0</v>
      </c>
      <c r="L1656" s="62">
        <v>0.0</v>
      </c>
      <c r="M1656" s="62">
        <v>2.0</v>
      </c>
      <c r="N1656" s="62">
        <v>0.0</v>
      </c>
      <c r="O1656" s="62">
        <v>1.0</v>
      </c>
      <c r="P1656" s="62">
        <v>0.0</v>
      </c>
      <c r="Q1656" s="62">
        <v>0.0</v>
      </c>
      <c r="R1656" s="62">
        <v>18170.0</v>
      </c>
      <c r="S1656" s="62">
        <v>5910.0</v>
      </c>
      <c r="T1656" s="62">
        <v>0.0</v>
      </c>
      <c r="U1656" s="62">
        <v>0.217777777777777</v>
      </c>
      <c r="V1656" s="62">
        <v>0.410833333333333</v>
      </c>
      <c r="W1656" s="62">
        <v>1.25861111111111</v>
      </c>
      <c r="X1656" s="62">
        <v>0.847777777777777</v>
      </c>
      <c r="Y1656" s="62">
        <v>1.05194444444444</v>
      </c>
      <c r="Z1656" s="62">
        <v>0.0</v>
      </c>
      <c r="AA1656" s="62">
        <v>0.0</v>
      </c>
      <c r="AB1656" s="62">
        <v>0.438611111111111</v>
      </c>
      <c r="AC1656" s="62">
        <v>0.0</v>
      </c>
      <c r="AD1656" s="62">
        <v>0.205833333333333</v>
      </c>
      <c r="AE1656" s="62">
        <v>0.0</v>
      </c>
      <c r="AF1656" s="62">
        <v>0.0</v>
      </c>
    </row>
    <row r="1657">
      <c r="A1657" s="68">
        <v>45936.0</v>
      </c>
      <c r="B1657" s="62" t="s">
        <v>56</v>
      </c>
      <c r="C1657" s="62" t="s">
        <v>176</v>
      </c>
      <c r="D1657" s="62">
        <v>2.0</v>
      </c>
      <c r="E1657" s="62">
        <v>0.0</v>
      </c>
      <c r="F1657" s="62">
        <v>1.0</v>
      </c>
      <c r="G1657" s="62">
        <v>0.0</v>
      </c>
      <c r="H1657" s="62">
        <v>3.0</v>
      </c>
      <c r="I1657" s="62">
        <v>3.0</v>
      </c>
      <c r="J1657" s="62">
        <v>0.0</v>
      </c>
      <c r="K1657" s="62">
        <v>0.0</v>
      </c>
      <c r="L1657" s="62">
        <v>0.0</v>
      </c>
      <c r="M1657" s="62">
        <v>0.0</v>
      </c>
      <c r="N1657" s="62">
        <v>0.0</v>
      </c>
      <c r="O1657" s="62">
        <v>0.0</v>
      </c>
      <c r="P1657" s="62">
        <v>0.0</v>
      </c>
      <c r="Q1657" s="62">
        <v>0.0</v>
      </c>
      <c r="R1657" s="62">
        <v>4499.0</v>
      </c>
      <c r="S1657" s="62">
        <v>0.0</v>
      </c>
      <c r="T1657" s="62">
        <v>0.0</v>
      </c>
      <c r="U1657" s="62">
        <v>0.240555555555555</v>
      </c>
      <c r="V1657" s="62">
        <v>0.0</v>
      </c>
      <c r="W1657" s="62">
        <v>0.693055555555555</v>
      </c>
      <c r="X1657" s="62">
        <v>0.693055555555555</v>
      </c>
      <c r="Y1657" s="62">
        <v>0.0</v>
      </c>
      <c r="Z1657" s="62">
        <v>0.0</v>
      </c>
      <c r="AA1657" s="62">
        <v>0.0</v>
      </c>
      <c r="AB1657" s="62">
        <v>0.0</v>
      </c>
      <c r="AC1657" s="62">
        <v>0.0</v>
      </c>
      <c r="AD1657" s="62">
        <v>0.0</v>
      </c>
      <c r="AE1657" s="62">
        <v>0.0</v>
      </c>
      <c r="AF1657" s="62">
        <v>0.0</v>
      </c>
    </row>
    <row r="1658">
      <c r="A1658" s="68">
        <v>45936.0</v>
      </c>
      <c r="B1658" s="62" t="s">
        <v>26</v>
      </c>
      <c r="C1658" s="62" t="s">
        <v>178</v>
      </c>
      <c r="D1658" s="62">
        <v>3.0</v>
      </c>
      <c r="E1658" s="62">
        <v>4.0</v>
      </c>
      <c r="F1658" s="62">
        <v>2.0</v>
      </c>
      <c r="G1658" s="62">
        <v>1.0</v>
      </c>
      <c r="H1658" s="62">
        <v>5.0</v>
      </c>
      <c r="I1658" s="62">
        <v>4.0</v>
      </c>
      <c r="J1658" s="62">
        <v>4.0</v>
      </c>
      <c r="K1658" s="62">
        <v>0.0</v>
      </c>
      <c r="L1658" s="62">
        <v>0.0</v>
      </c>
      <c r="M1658" s="62">
        <v>4.0</v>
      </c>
      <c r="N1658" s="62">
        <v>1.0</v>
      </c>
      <c r="O1658" s="62">
        <v>1.0</v>
      </c>
      <c r="P1658" s="62">
        <v>1.0</v>
      </c>
      <c r="Q1658" s="62">
        <v>0.0</v>
      </c>
      <c r="R1658" s="62">
        <v>6264.0</v>
      </c>
      <c r="S1658" s="62">
        <v>8339.0</v>
      </c>
      <c r="T1658" s="62">
        <v>0.542222222222222</v>
      </c>
      <c r="U1658" s="62">
        <v>0.324999999999999</v>
      </c>
      <c r="V1658" s="62">
        <v>0.168611111111111</v>
      </c>
      <c r="W1658" s="62">
        <v>0.981666666666666</v>
      </c>
      <c r="X1658" s="62">
        <v>0.813055555555555</v>
      </c>
      <c r="Y1658" s="62">
        <v>0.821111111111111</v>
      </c>
      <c r="Z1658" s="62">
        <v>0.0</v>
      </c>
      <c r="AA1658" s="62">
        <v>0.0</v>
      </c>
      <c r="AB1658" s="62">
        <v>0.773333333333333</v>
      </c>
      <c r="AC1658" s="62">
        <v>0.187777777777777</v>
      </c>
      <c r="AD1658" s="62">
        <v>0.233055555555555</v>
      </c>
      <c r="AE1658" s="62">
        <v>0.187777777777777</v>
      </c>
      <c r="AF1658" s="62">
        <v>3.0</v>
      </c>
    </row>
    <row r="1659">
      <c r="A1659" s="68">
        <v>45935.0</v>
      </c>
      <c r="B1659" s="62" t="s">
        <v>32</v>
      </c>
      <c r="C1659" s="62" t="s">
        <v>168</v>
      </c>
      <c r="D1659" s="62">
        <v>0.0</v>
      </c>
      <c r="E1659" s="62">
        <v>3.0</v>
      </c>
      <c r="F1659" s="62">
        <v>0.0</v>
      </c>
      <c r="G1659" s="62">
        <v>0.0</v>
      </c>
      <c r="H1659" s="62">
        <v>0.0</v>
      </c>
      <c r="I1659" s="62">
        <v>0.0</v>
      </c>
      <c r="J1659" s="62">
        <v>0.0</v>
      </c>
      <c r="K1659" s="62">
        <v>0.0</v>
      </c>
      <c r="L1659" s="62">
        <v>0.0</v>
      </c>
      <c r="M1659" s="62">
        <v>0.0</v>
      </c>
      <c r="N1659" s="62">
        <v>0.0</v>
      </c>
      <c r="O1659" s="62">
        <v>1.0</v>
      </c>
      <c r="P1659" s="62">
        <v>0.0</v>
      </c>
      <c r="Q1659" s="62">
        <v>0.0</v>
      </c>
      <c r="R1659" s="62">
        <v>0.0</v>
      </c>
      <c r="S1659" s="62">
        <v>6621.0</v>
      </c>
      <c r="T1659" s="62">
        <v>2.14111111111111</v>
      </c>
      <c r="U1659" s="62">
        <v>0.0</v>
      </c>
      <c r="V1659" s="62">
        <v>0.0</v>
      </c>
      <c r="W1659" s="62">
        <v>0.0</v>
      </c>
      <c r="X1659" s="62">
        <v>0.0</v>
      </c>
      <c r="Y1659" s="62">
        <v>0.0</v>
      </c>
      <c r="Z1659" s="62">
        <v>0.0</v>
      </c>
      <c r="AA1659" s="62">
        <v>0.0</v>
      </c>
      <c r="AB1659" s="62">
        <v>0.0</v>
      </c>
      <c r="AC1659" s="62">
        <v>0.0</v>
      </c>
      <c r="AD1659" s="62">
        <v>0.196388888888888</v>
      </c>
      <c r="AE1659" s="62">
        <v>0.0</v>
      </c>
      <c r="AF1659" s="62">
        <v>10.0</v>
      </c>
    </row>
    <row r="1660">
      <c r="A1660" s="68">
        <v>45934.0</v>
      </c>
      <c r="B1660" s="62" t="s">
        <v>76</v>
      </c>
      <c r="C1660" s="62" t="s">
        <v>165</v>
      </c>
      <c r="D1660" s="62">
        <v>0.0</v>
      </c>
      <c r="E1660" s="62">
        <v>0.0</v>
      </c>
      <c r="F1660" s="62">
        <v>0.0</v>
      </c>
      <c r="G1660" s="62">
        <v>0.0</v>
      </c>
      <c r="H1660" s="62">
        <v>0.0</v>
      </c>
      <c r="I1660" s="62">
        <v>0.0</v>
      </c>
      <c r="J1660" s="62">
        <v>0.0</v>
      </c>
      <c r="K1660" s="62">
        <v>0.0</v>
      </c>
      <c r="L1660" s="62">
        <v>0.0</v>
      </c>
      <c r="M1660" s="62">
        <v>0.0</v>
      </c>
      <c r="N1660" s="62">
        <v>0.0</v>
      </c>
      <c r="O1660" s="62">
        <v>1.0</v>
      </c>
      <c r="P1660" s="62">
        <v>0.0</v>
      </c>
      <c r="Q1660" s="62">
        <v>0.0</v>
      </c>
      <c r="R1660" s="62">
        <v>0.0</v>
      </c>
      <c r="S1660" s="62">
        <v>0.0</v>
      </c>
      <c r="T1660" s="62">
        <v>0.505555555555555</v>
      </c>
      <c r="U1660" s="62">
        <v>0.0</v>
      </c>
      <c r="V1660" s="62">
        <v>0.0</v>
      </c>
      <c r="W1660" s="62">
        <v>0.0</v>
      </c>
      <c r="X1660" s="62">
        <v>0.0</v>
      </c>
      <c r="Y1660" s="62">
        <v>0.0</v>
      </c>
      <c r="Z1660" s="62">
        <v>0.0</v>
      </c>
      <c r="AA1660" s="62">
        <v>0.0</v>
      </c>
      <c r="AB1660" s="62">
        <v>0.0</v>
      </c>
      <c r="AC1660" s="62">
        <v>0.0</v>
      </c>
      <c r="AD1660" s="62">
        <v>0.251388888888888</v>
      </c>
      <c r="AE1660" s="62">
        <v>0.0</v>
      </c>
      <c r="AF1660" s="62">
        <v>2.0</v>
      </c>
    </row>
    <row r="1661">
      <c r="A1661" s="68">
        <v>45933.0</v>
      </c>
      <c r="B1661" s="62" t="s">
        <v>76</v>
      </c>
      <c r="C1661" s="62" t="s">
        <v>165</v>
      </c>
      <c r="D1661" s="62">
        <v>10.0</v>
      </c>
      <c r="E1661" s="62">
        <v>0.0</v>
      </c>
      <c r="F1661" s="62">
        <v>0.0</v>
      </c>
      <c r="G1661" s="62">
        <v>0.0</v>
      </c>
      <c r="H1661" s="62">
        <v>0.0</v>
      </c>
      <c r="I1661" s="62">
        <v>0.0</v>
      </c>
      <c r="J1661" s="62">
        <v>0.0</v>
      </c>
      <c r="K1661" s="62">
        <v>0.0</v>
      </c>
      <c r="L1661" s="62">
        <v>0.0</v>
      </c>
      <c r="M1661" s="62">
        <v>0.0</v>
      </c>
      <c r="N1661" s="62">
        <v>0.0</v>
      </c>
      <c r="O1661" s="62">
        <v>1.0</v>
      </c>
      <c r="P1661" s="62">
        <v>0.0</v>
      </c>
      <c r="Q1661" s="62">
        <v>0.0</v>
      </c>
      <c r="R1661" s="62">
        <v>25064.0</v>
      </c>
      <c r="S1661" s="62">
        <v>0.0</v>
      </c>
      <c r="T1661" s="62">
        <v>0.0</v>
      </c>
      <c r="U1661" s="62">
        <v>0.0</v>
      </c>
      <c r="V1661" s="62">
        <v>0.0</v>
      </c>
      <c r="W1661" s="62">
        <v>0.0</v>
      </c>
      <c r="X1661" s="62">
        <v>0.0</v>
      </c>
      <c r="Y1661" s="62">
        <v>0.0</v>
      </c>
      <c r="Z1661" s="62">
        <v>0.0</v>
      </c>
      <c r="AA1661" s="62">
        <v>0.0</v>
      </c>
      <c r="AB1661" s="62">
        <v>0.0</v>
      </c>
      <c r="AC1661" s="62">
        <v>0.0</v>
      </c>
      <c r="AD1661" s="62">
        <v>0.251944444444444</v>
      </c>
      <c r="AE1661" s="62">
        <v>0.0</v>
      </c>
      <c r="AF1661" s="62">
        <v>0.0</v>
      </c>
    </row>
    <row r="1662">
      <c r="A1662" s="68">
        <v>45931.0</v>
      </c>
      <c r="B1662" s="62" t="s">
        <v>76</v>
      </c>
      <c r="C1662" s="62" t="s">
        <v>165</v>
      </c>
      <c r="D1662" s="62">
        <v>0.0</v>
      </c>
      <c r="E1662" s="62">
        <v>0.0</v>
      </c>
      <c r="F1662" s="62">
        <v>0.0</v>
      </c>
      <c r="G1662" s="62">
        <v>0.0</v>
      </c>
      <c r="H1662" s="62">
        <v>0.0</v>
      </c>
      <c r="I1662" s="62">
        <v>0.0</v>
      </c>
      <c r="J1662" s="62">
        <v>0.0</v>
      </c>
      <c r="K1662" s="62">
        <v>0.0</v>
      </c>
      <c r="L1662" s="62">
        <v>0.0</v>
      </c>
      <c r="M1662" s="62">
        <v>0.0</v>
      </c>
      <c r="N1662" s="62">
        <v>6.0</v>
      </c>
      <c r="O1662" s="62">
        <v>1.0</v>
      </c>
      <c r="P1662" s="62">
        <v>6.0</v>
      </c>
      <c r="Q1662" s="62">
        <v>0.0</v>
      </c>
      <c r="R1662" s="62">
        <v>0.0</v>
      </c>
      <c r="S1662" s="62">
        <v>0.0</v>
      </c>
      <c r="T1662" s="62">
        <v>0.499722222222222</v>
      </c>
      <c r="U1662" s="62">
        <v>0.0</v>
      </c>
      <c r="V1662" s="62">
        <v>0.0</v>
      </c>
      <c r="W1662" s="62">
        <v>0.0</v>
      </c>
      <c r="X1662" s="62">
        <v>0.0</v>
      </c>
      <c r="Y1662" s="62">
        <v>0.0</v>
      </c>
      <c r="Z1662" s="62">
        <v>0.0</v>
      </c>
      <c r="AA1662" s="62">
        <v>0.0</v>
      </c>
      <c r="AB1662" s="62">
        <v>0.0</v>
      </c>
      <c r="AC1662" s="62">
        <v>1.57666666666666</v>
      </c>
      <c r="AD1662" s="62">
        <v>0.231944444444444</v>
      </c>
      <c r="AE1662" s="62">
        <v>1.57666666666666</v>
      </c>
      <c r="AF1662" s="62">
        <v>2.0</v>
      </c>
    </row>
    <row r="1663">
      <c r="A1663" s="68">
        <v>45931.0</v>
      </c>
      <c r="B1663" s="62" t="s">
        <v>32</v>
      </c>
      <c r="C1663" s="62" t="s">
        <v>168</v>
      </c>
      <c r="D1663" s="62">
        <v>0.0</v>
      </c>
      <c r="E1663" s="62">
        <v>4.0</v>
      </c>
      <c r="F1663" s="62">
        <v>0.0</v>
      </c>
      <c r="G1663" s="62">
        <v>0.0</v>
      </c>
      <c r="H1663" s="62">
        <v>0.0</v>
      </c>
      <c r="I1663" s="62">
        <v>0.0</v>
      </c>
      <c r="J1663" s="62">
        <v>1.0</v>
      </c>
      <c r="K1663" s="62">
        <v>0.0</v>
      </c>
      <c r="L1663" s="62">
        <v>0.0</v>
      </c>
      <c r="M1663" s="62">
        <v>0.0</v>
      </c>
      <c r="N1663" s="62">
        <v>5.0</v>
      </c>
      <c r="O1663" s="62">
        <v>1.0</v>
      </c>
      <c r="P1663" s="62">
        <v>5.0</v>
      </c>
      <c r="Q1663" s="62">
        <v>0.0</v>
      </c>
      <c r="R1663" s="62">
        <v>0.0</v>
      </c>
      <c r="S1663" s="62">
        <v>6597.0</v>
      </c>
      <c r="T1663" s="62">
        <v>0.0</v>
      </c>
      <c r="U1663" s="62">
        <v>0.0</v>
      </c>
      <c r="V1663" s="62">
        <v>0.0</v>
      </c>
      <c r="W1663" s="62">
        <v>0.0</v>
      </c>
      <c r="X1663" s="62">
        <v>0.0</v>
      </c>
      <c r="Y1663" s="62">
        <v>0.231666666666666</v>
      </c>
      <c r="Z1663" s="62">
        <v>0.0</v>
      </c>
      <c r="AA1663" s="62">
        <v>0.0</v>
      </c>
      <c r="AB1663" s="62">
        <v>0.0</v>
      </c>
      <c r="AC1663" s="62">
        <v>1.02944444444444</v>
      </c>
      <c r="AD1663" s="62">
        <v>0.197777777777777</v>
      </c>
      <c r="AE1663" s="62">
        <v>1.02944444444444</v>
      </c>
      <c r="AF1663" s="62">
        <v>0.0</v>
      </c>
    </row>
    <row r="1664">
      <c r="A1664" s="68">
        <v>45931.0</v>
      </c>
      <c r="B1664" s="62" t="s">
        <v>56</v>
      </c>
      <c r="C1664" s="62" t="s">
        <v>176</v>
      </c>
      <c r="D1664" s="62">
        <v>0.0</v>
      </c>
      <c r="E1664" s="62">
        <v>0.0</v>
      </c>
      <c r="F1664" s="62">
        <v>0.0</v>
      </c>
      <c r="G1664" s="62">
        <v>0.0</v>
      </c>
      <c r="H1664" s="62">
        <v>0.0</v>
      </c>
      <c r="I1664" s="62">
        <v>0.0</v>
      </c>
      <c r="J1664" s="62">
        <v>0.0</v>
      </c>
      <c r="K1664" s="62">
        <v>0.0</v>
      </c>
      <c r="L1664" s="62">
        <v>0.0</v>
      </c>
      <c r="M1664" s="62">
        <v>0.0</v>
      </c>
      <c r="N1664" s="62">
        <v>0.0</v>
      </c>
      <c r="O1664" s="62">
        <v>0.0</v>
      </c>
      <c r="P1664" s="62">
        <v>0.0</v>
      </c>
      <c r="Q1664" s="62">
        <v>0.0</v>
      </c>
      <c r="R1664" s="62">
        <v>0.0</v>
      </c>
      <c r="S1664" s="62">
        <v>0.0</v>
      </c>
      <c r="T1664" s="62">
        <v>0.504722222222222</v>
      </c>
      <c r="U1664" s="62">
        <v>0.0</v>
      </c>
      <c r="V1664" s="62">
        <v>0.0</v>
      </c>
      <c r="W1664" s="62">
        <v>0.0</v>
      </c>
      <c r="X1664" s="62">
        <v>0.0</v>
      </c>
      <c r="Y1664" s="62">
        <v>0.0</v>
      </c>
      <c r="Z1664" s="62">
        <v>0.0</v>
      </c>
      <c r="AA1664" s="62">
        <v>0.0</v>
      </c>
      <c r="AB1664" s="62">
        <v>0.0</v>
      </c>
      <c r="AC1664" s="62">
        <v>0.0</v>
      </c>
      <c r="AD1664" s="62">
        <v>0.0</v>
      </c>
      <c r="AE1664" s="62">
        <v>0.0</v>
      </c>
      <c r="AF1664" s="62">
        <v>2.0</v>
      </c>
    </row>
    <row r="1665">
      <c r="A1665" s="68">
        <v>45931.0</v>
      </c>
      <c r="B1665" s="62" t="s">
        <v>26</v>
      </c>
      <c r="C1665" s="62" t="s">
        <v>178</v>
      </c>
      <c r="D1665" s="62">
        <v>0.0</v>
      </c>
      <c r="E1665" s="62">
        <v>0.0</v>
      </c>
      <c r="F1665" s="62">
        <v>0.0</v>
      </c>
      <c r="G1665" s="62">
        <v>0.0</v>
      </c>
      <c r="H1665" s="62">
        <v>0.0</v>
      </c>
      <c r="I1665" s="62">
        <v>0.0</v>
      </c>
      <c r="J1665" s="62">
        <v>1.0</v>
      </c>
      <c r="K1665" s="62">
        <v>0.0</v>
      </c>
      <c r="L1665" s="62">
        <v>0.0</v>
      </c>
      <c r="M1665" s="62">
        <v>0.0</v>
      </c>
      <c r="N1665" s="62">
        <v>5.0</v>
      </c>
      <c r="O1665" s="62">
        <v>1.0</v>
      </c>
      <c r="P1665" s="62">
        <v>5.0</v>
      </c>
      <c r="Q1665" s="62">
        <v>0.0</v>
      </c>
      <c r="R1665" s="62">
        <v>0.0</v>
      </c>
      <c r="S1665" s="62">
        <v>0.0</v>
      </c>
      <c r="T1665" s="62">
        <v>0.0</v>
      </c>
      <c r="U1665" s="62">
        <v>0.0</v>
      </c>
      <c r="V1665" s="62">
        <v>0.0</v>
      </c>
      <c r="W1665" s="62">
        <v>0.0</v>
      </c>
      <c r="X1665" s="62">
        <v>0.0</v>
      </c>
      <c r="Y1665" s="62">
        <v>0.181111111111111</v>
      </c>
      <c r="Z1665" s="62">
        <v>0.0</v>
      </c>
      <c r="AA1665" s="62">
        <v>0.0</v>
      </c>
      <c r="AB1665" s="62">
        <v>0.0</v>
      </c>
      <c r="AC1665" s="62">
        <v>0.911111111111111</v>
      </c>
      <c r="AD1665" s="62">
        <v>0.215277777777777</v>
      </c>
      <c r="AE1665" s="62">
        <v>0.911111111111111</v>
      </c>
      <c r="AF1665" s="62">
        <v>0.0</v>
      </c>
    </row>
    <row r="1666">
      <c r="A1666" s="68">
        <v>45930.0</v>
      </c>
      <c r="B1666" s="62" t="s">
        <v>76</v>
      </c>
      <c r="C1666" s="62" t="s">
        <v>165</v>
      </c>
      <c r="D1666" s="62">
        <v>0.0</v>
      </c>
      <c r="E1666" s="62">
        <v>2.0</v>
      </c>
      <c r="F1666" s="62">
        <v>0.0</v>
      </c>
      <c r="G1666" s="62">
        <v>1.0</v>
      </c>
      <c r="H1666" s="62">
        <v>1.0</v>
      </c>
      <c r="I1666" s="62">
        <v>0.0</v>
      </c>
      <c r="J1666" s="62">
        <v>4.0</v>
      </c>
      <c r="K1666" s="62">
        <v>0.0</v>
      </c>
      <c r="L1666" s="62">
        <v>0.0</v>
      </c>
      <c r="M1666" s="62">
        <v>4.0</v>
      </c>
      <c r="N1666" s="62">
        <v>0.0</v>
      </c>
      <c r="O1666" s="62">
        <v>1.0</v>
      </c>
      <c r="P1666" s="62">
        <v>0.0</v>
      </c>
      <c r="Q1666" s="62">
        <v>0.0</v>
      </c>
      <c r="R1666" s="62">
        <v>0.0</v>
      </c>
      <c r="S1666" s="62">
        <v>4963.0</v>
      </c>
      <c r="T1666" s="62">
        <v>0.0</v>
      </c>
      <c r="U1666" s="62">
        <v>0.0</v>
      </c>
      <c r="V1666" s="62">
        <v>0.254722222222222</v>
      </c>
      <c r="W1666" s="62">
        <v>0.254722222222222</v>
      </c>
      <c r="X1666" s="62">
        <v>0.0</v>
      </c>
      <c r="Y1666" s="62">
        <v>1.03555555555555</v>
      </c>
      <c r="Z1666" s="62">
        <v>0.0</v>
      </c>
      <c r="AA1666" s="62">
        <v>0.0</v>
      </c>
      <c r="AB1666" s="62">
        <v>1.03555555555555</v>
      </c>
      <c r="AC1666" s="62">
        <v>0.0</v>
      </c>
      <c r="AD1666" s="62">
        <v>0.23</v>
      </c>
      <c r="AE1666" s="62">
        <v>0.0</v>
      </c>
      <c r="AF1666" s="62">
        <v>0.0</v>
      </c>
    </row>
    <row r="1667">
      <c r="A1667" s="68">
        <v>45930.0</v>
      </c>
      <c r="B1667" s="62" t="s">
        <v>32</v>
      </c>
      <c r="C1667" s="62" t="s">
        <v>168</v>
      </c>
      <c r="D1667" s="62">
        <v>0.0</v>
      </c>
      <c r="E1667" s="62">
        <v>2.0</v>
      </c>
      <c r="F1667" s="62">
        <v>1.0</v>
      </c>
      <c r="G1667" s="62">
        <v>1.0</v>
      </c>
      <c r="H1667" s="62">
        <v>3.0</v>
      </c>
      <c r="I1667" s="62">
        <v>2.0</v>
      </c>
      <c r="J1667" s="62">
        <v>5.0</v>
      </c>
      <c r="K1667" s="62">
        <v>2.0</v>
      </c>
      <c r="L1667" s="62">
        <v>0.0</v>
      </c>
      <c r="M1667" s="62">
        <v>5.0</v>
      </c>
      <c r="N1667" s="62">
        <v>0.0</v>
      </c>
      <c r="O1667" s="62">
        <v>1.0</v>
      </c>
      <c r="P1667" s="62">
        <v>0.0</v>
      </c>
      <c r="Q1667" s="62">
        <v>0.0</v>
      </c>
      <c r="R1667" s="62">
        <v>0.0</v>
      </c>
      <c r="S1667" s="62">
        <v>4390.0</v>
      </c>
      <c r="T1667" s="62">
        <v>0.593611111111111</v>
      </c>
      <c r="U1667" s="62">
        <v>0.191666666666666</v>
      </c>
      <c r="V1667" s="62">
        <v>0.206944444444444</v>
      </c>
      <c r="W1667" s="62">
        <v>0.608888888888888</v>
      </c>
      <c r="X1667" s="62">
        <v>0.401944444444444</v>
      </c>
      <c r="Y1667" s="62">
        <v>1.03944444444444</v>
      </c>
      <c r="Z1667" s="62">
        <v>0.4</v>
      </c>
      <c r="AA1667" s="62">
        <v>0.0</v>
      </c>
      <c r="AB1667" s="62">
        <v>1.02944444444444</v>
      </c>
      <c r="AC1667" s="62">
        <v>0.0</v>
      </c>
      <c r="AD1667" s="62">
        <v>0.202222222222222</v>
      </c>
      <c r="AE1667" s="62">
        <v>0.0</v>
      </c>
      <c r="AF1667" s="62">
        <v>3.0</v>
      </c>
    </row>
    <row r="1668">
      <c r="A1668" s="68">
        <v>45930.0</v>
      </c>
      <c r="B1668" s="62" t="s">
        <v>56</v>
      </c>
      <c r="C1668" s="62" t="s">
        <v>176</v>
      </c>
      <c r="D1668" s="62">
        <v>0.0</v>
      </c>
      <c r="E1668" s="62">
        <v>0.0</v>
      </c>
      <c r="F1668" s="62">
        <v>0.0</v>
      </c>
      <c r="G1668" s="62">
        <v>0.0</v>
      </c>
      <c r="H1668" s="62">
        <v>0.0</v>
      </c>
      <c r="I1668" s="62">
        <v>0.0</v>
      </c>
      <c r="J1668" s="62">
        <v>0.0</v>
      </c>
      <c r="K1668" s="62">
        <v>0.0</v>
      </c>
      <c r="L1668" s="62">
        <v>0.0</v>
      </c>
      <c r="M1668" s="62">
        <v>0.0</v>
      </c>
      <c r="N1668" s="62">
        <v>0.0</v>
      </c>
      <c r="O1668" s="62">
        <v>0.0</v>
      </c>
      <c r="P1668" s="62">
        <v>0.0</v>
      </c>
      <c r="Q1668" s="62">
        <v>0.0</v>
      </c>
      <c r="R1668" s="62">
        <v>0.0</v>
      </c>
      <c r="S1668" s="62">
        <v>0.0</v>
      </c>
      <c r="T1668" s="62">
        <v>0.921666666666666</v>
      </c>
      <c r="U1668" s="62">
        <v>0.0</v>
      </c>
      <c r="V1668" s="62">
        <v>0.0</v>
      </c>
      <c r="W1668" s="62">
        <v>0.0</v>
      </c>
      <c r="X1668" s="62">
        <v>0.0</v>
      </c>
      <c r="Y1668" s="62">
        <v>0.0</v>
      </c>
      <c r="Z1668" s="62">
        <v>0.0</v>
      </c>
      <c r="AA1668" s="62">
        <v>0.0</v>
      </c>
      <c r="AB1668" s="62">
        <v>0.0</v>
      </c>
      <c r="AC1668" s="62">
        <v>0.0</v>
      </c>
      <c r="AD1668" s="62">
        <v>0.0</v>
      </c>
      <c r="AE1668" s="62">
        <v>0.0</v>
      </c>
      <c r="AF1668" s="62">
        <v>4.0</v>
      </c>
    </row>
    <row r="1669">
      <c r="A1669" s="68">
        <v>45930.0</v>
      </c>
      <c r="B1669" s="62" t="s">
        <v>26</v>
      </c>
      <c r="C1669" s="62" t="s">
        <v>178</v>
      </c>
      <c r="D1669" s="62">
        <v>3.0</v>
      </c>
      <c r="E1669" s="62">
        <v>3.0</v>
      </c>
      <c r="F1669" s="62">
        <v>1.0</v>
      </c>
      <c r="G1669" s="62">
        <v>3.0</v>
      </c>
      <c r="H1669" s="62">
        <v>6.0</v>
      </c>
      <c r="I1669" s="62">
        <v>3.0</v>
      </c>
      <c r="J1669" s="62">
        <v>6.0</v>
      </c>
      <c r="K1669" s="62">
        <v>0.0</v>
      </c>
      <c r="L1669" s="62">
        <v>0.0</v>
      </c>
      <c r="M1669" s="62">
        <v>4.0</v>
      </c>
      <c r="N1669" s="62">
        <v>0.0</v>
      </c>
      <c r="O1669" s="62">
        <v>1.0</v>
      </c>
      <c r="P1669" s="62">
        <v>0.0</v>
      </c>
      <c r="Q1669" s="62">
        <v>0.0</v>
      </c>
      <c r="R1669" s="62">
        <v>6230.0</v>
      </c>
      <c r="S1669" s="62">
        <v>6289.0</v>
      </c>
      <c r="T1669" s="62">
        <v>0.595833333333333</v>
      </c>
      <c r="U1669" s="62">
        <v>0.186666666666666</v>
      </c>
      <c r="V1669" s="62">
        <v>0.541944444444444</v>
      </c>
      <c r="W1669" s="62">
        <v>1.12027777777777</v>
      </c>
      <c r="X1669" s="62">
        <v>0.578333333333333</v>
      </c>
      <c r="Y1669" s="62">
        <v>1.11666666666666</v>
      </c>
      <c r="Z1669" s="62">
        <v>0.0</v>
      </c>
      <c r="AA1669" s="62">
        <v>0.0</v>
      </c>
      <c r="AB1669" s="62">
        <v>0.711388888888888</v>
      </c>
      <c r="AC1669" s="62">
        <v>0.0</v>
      </c>
      <c r="AD1669" s="62">
        <v>0.223055555555555</v>
      </c>
      <c r="AE1669" s="62">
        <v>0.0</v>
      </c>
      <c r="AF1669" s="62">
        <v>3.0</v>
      </c>
    </row>
    <row r="1670">
      <c r="A1670" s="68">
        <v>45929.0</v>
      </c>
      <c r="B1670" s="62" t="s">
        <v>76</v>
      </c>
      <c r="C1670" s="62" t="s">
        <v>165</v>
      </c>
      <c r="D1670" s="62">
        <v>0.0</v>
      </c>
      <c r="E1670" s="62">
        <v>2.0</v>
      </c>
      <c r="F1670" s="62">
        <v>2.0</v>
      </c>
      <c r="G1670" s="62">
        <v>2.0</v>
      </c>
      <c r="H1670" s="62">
        <v>2.0</v>
      </c>
      <c r="I1670" s="62">
        <v>0.0</v>
      </c>
      <c r="J1670" s="62">
        <v>2.0</v>
      </c>
      <c r="K1670" s="62">
        <v>0.0</v>
      </c>
      <c r="L1670" s="62">
        <v>0.0</v>
      </c>
      <c r="M1670" s="62">
        <v>2.0</v>
      </c>
      <c r="N1670" s="62">
        <v>0.0</v>
      </c>
      <c r="O1670" s="62">
        <v>1.0</v>
      </c>
      <c r="P1670" s="62">
        <v>0.0</v>
      </c>
      <c r="Q1670" s="62">
        <v>0.0</v>
      </c>
      <c r="R1670" s="62">
        <v>0.0</v>
      </c>
      <c r="S1670" s="62">
        <v>4933.0</v>
      </c>
      <c r="T1670" s="62">
        <v>0.500833333333333</v>
      </c>
      <c r="U1670" s="62">
        <v>0.500833333333333</v>
      </c>
      <c r="V1670" s="62">
        <v>0.528888888888889</v>
      </c>
      <c r="W1670" s="62">
        <v>0.528888888888888</v>
      </c>
      <c r="X1670" s="62">
        <v>0.0</v>
      </c>
      <c r="Y1670" s="62">
        <v>0.541111111111111</v>
      </c>
      <c r="Z1670" s="62">
        <v>0.0</v>
      </c>
      <c r="AA1670" s="62">
        <v>0.0</v>
      </c>
      <c r="AB1670" s="62">
        <v>0.541111111111111</v>
      </c>
      <c r="AC1670" s="62">
        <v>0.0</v>
      </c>
      <c r="AD1670" s="62">
        <v>0.241111111111111</v>
      </c>
      <c r="AE1670" s="62">
        <v>0.0</v>
      </c>
      <c r="AF1670" s="62">
        <v>2.0</v>
      </c>
    </row>
    <row r="1671">
      <c r="A1671" s="68">
        <v>45929.0</v>
      </c>
      <c r="B1671" s="62" t="s">
        <v>32</v>
      </c>
      <c r="C1671" s="62" t="s">
        <v>168</v>
      </c>
      <c r="D1671" s="62">
        <v>0.0</v>
      </c>
      <c r="E1671" s="62">
        <v>0.0</v>
      </c>
      <c r="F1671" s="62">
        <v>2.0</v>
      </c>
      <c r="G1671" s="62">
        <v>3.0</v>
      </c>
      <c r="H1671" s="62">
        <v>4.0</v>
      </c>
      <c r="I1671" s="62">
        <v>1.0</v>
      </c>
      <c r="J1671" s="62">
        <v>2.0</v>
      </c>
      <c r="K1671" s="62">
        <v>1.0</v>
      </c>
      <c r="L1671" s="62">
        <v>0.0</v>
      </c>
      <c r="M1671" s="62">
        <v>3.0</v>
      </c>
      <c r="N1671" s="62">
        <v>3.0</v>
      </c>
      <c r="O1671" s="62">
        <v>1.0</v>
      </c>
      <c r="P1671" s="62">
        <v>3.0</v>
      </c>
      <c r="Q1671" s="62">
        <v>0.0</v>
      </c>
      <c r="R1671" s="62">
        <v>0.0</v>
      </c>
      <c r="S1671" s="62">
        <v>0.0</v>
      </c>
      <c r="T1671" s="62">
        <v>0.627777777777777</v>
      </c>
      <c r="U1671" s="62">
        <v>0.402222222222222</v>
      </c>
      <c r="V1671" s="62">
        <v>0.616666666666666</v>
      </c>
      <c r="W1671" s="62">
        <v>0.842222222222222</v>
      </c>
      <c r="X1671" s="62">
        <v>0.225555555555555</v>
      </c>
      <c r="Y1671" s="62">
        <v>0.431111111111111</v>
      </c>
      <c r="Z1671" s="62">
        <v>0.196944444444444</v>
      </c>
      <c r="AA1671" s="62">
        <v>0.0</v>
      </c>
      <c r="AB1671" s="62">
        <v>0.690277777777777</v>
      </c>
      <c r="AC1671" s="62">
        <v>0.690277777777777</v>
      </c>
      <c r="AD1671" s="62">
        <v>0.198333333333333</v>
      </c>
      <c r="AE1671" s="62">
        <v>0.690277777777777</v>
      </c>
      <c r="AF1671" s="62">
        <v>3.0</v>
      </c>
    </row>
    <row r="1672">
      <c r="A1672" s="68">
        <v>45929.0</v>
      </c>
      <c r="B1672" s="62" t="s">
        <v>56</v>
      </c>
      <c r="C1672" s="62" t="s">
        <v>176</v>
      </c>
      <c r="D1672" s="62">
        <v>0.0</v>
      </c>
      <c r="E1672" s="62">
        <v>2.0</v>
      </c>
      <c r="F1672" s="62">
        <v>0.0</v>
      </c>
      <c r="G1672" s="62">
        <v>0.0</v>
      </c>
      <c r="H1672" s="62">
        <v>0.0</v>
      </c>
      <c r="I1672" s="62">
        <v>0.0</v>
      </c>
      <c r="J1672" s="62">
        <v>0.0</v>
      </c>
      <c r="K1672" s="62">
        <v>0.0</v>
      </c>
      <c r="L1672" s="62">
        <v>0.0</v>
      </c>
      <c r="M1672" s="62">
        <v>0.0</v>
      </c>
      <c r="N1672" s="62">
        <v>0.0</v>
      </c>
      <c r="O1672" s="62">
        <v>0.0</v>
      </c>
      <c r="P1672" s="62">
        <v>0.0</v>
      </c>
      <c r="Q1672" s="62">
        <v>0.0</v>
      </c>
      <c r="R1672" s="62">
        <v>0.0</v>
      </c>
      <c r="S1672" s="62">
        <v>4490.0</v>
      </c>
      <c r="T1672" s="62">
        <v>0.706944444444444</v>
      </c>
      <c r="U1672" s="62">
        <v>0.0</v>
      </c>
      <c r="V1672" s="62">
        <v>0.0</v>
      </c>
      <c r="W1672" s="62">
        <v>0.0</v>
      </c>
      <c r="X1672" s="62">
        <v>0.0</v>
      </c>
      <c r="Y1672" s="62">
        <v>0.0</v>
      </c>
      <c r="Z1672" s="62">
        <v>0.0</v>
      </c>
      <c r="AA1672" s="62">
        <v>0.0</v>
      </c>
      <c r="AB1672" s="62">
        <v>0.0</v>
      </c>
      <c r="AC1672" s="62">
        <v>0.0</v>
      </c>
      <c r="AD1672" s="62">
        <v>0.0</v>
      </c>
      <c r="AE1672" s="62">
        <v>0.0</v>
      </c>
      <c r="AF1672" s="62">
        <v>3.0</v>
      </c>
    </row>
    <row r="1673">
      <c r="A1673" s="68">
        <v>45929.0</v>
      </c>
      <c r="B1673" s="62" t="s">
        <v>26</v>
      </c>
      <c r="C1673" s="62" t="s">
        <v>178</v>
      </c>
      <c r="D1673" s="62">
        <v>3.0</v>
      </c>
      <c r="E1673" s="62">
        <v>3.0</v>
      </c>
      <c r="F1673" s="62">
        <v>2.0</v>
      </c>
      <c r="G1673" s="62">
        <v>0.0</v>
      </c>
      <c r="H1673" s="62">
        <v>2.0</v>
      </c>
      <c r="I1673" s="62">
        <v>2.0</v>
      </c>
      <c r="J1673" s="62">
        <v>2.0</v>
      </c>
      <c r="K1673" s="62">
        <v>0.0</v>
      </c>
      <c r="L1673" s="62">
        <v>0.0</v>
      </c>
      <c r="M1673" s="62">
        <v>1.0</v>
      </c>
      <c r="N1673" s="62">
        <v>0.0</v>
      </c>
      <c r="O1673" s="62">
        <v>1.0</v>
      </c>
      <c r="P1673" s="62">
        <v>0.0</v>
      </c>
      <c r="Q1673" s="62">
        <v>0.0</v>
      </c>
      <c r="R1673" s="62">
        <v>6544.0</v>
      </c>
      <c r="S1673" s="62">
        <v>6253.0</v>
      </c>
      <c r="T1673" s="62">
        <v>1.4625</v>
      </c>
      <c r="U1673" s="62">
        <v>0.344444444444444</v>
      </c>
      <c r="V1673" s="62">
        <v>0.0</v>
      </c>
      <c r="W1673" s="62">
        <v>0.353055555555555</v>
      </c>
      <c r="X1673" s="62">
        <v>0.353055555555555</v>
      </c>
      <c r="Y1673" s="62">
        <v>0.386666666666666</v>
      </c>
      <c r="Z1673" s="62">
        <v>0.0</v>
      </c>
      <c r="AA1673" s="62">
        <v>0.0</v>
      </c>
      <c r="AB1673" s="62">
        <v>0.199722222222222</v>
      </c>
      <c r="AC1673" s="62">
        <v>0.0</v>
      </c>
      <c r="AD1673" s="62">
        <v>0.168611111111111</v>
      </c>
      <c r="AE1673" s="62">
        <v>0.0</v>
      </c>
      <c r="AF1673" s="62">
        <v>8.0</v>
      </c>
    </row>
    <row r="1674">
      <c r="A1674" s="68">
        <v>45928.0</v>
      </c>
      <c r="B1674" s="62" t="s">
        <v>76</v>
      </c>
      <c r="C1674" s="62" t="s">
        <v>165</v>
      </c>
      <c r="D1674" s="62">
        <v>0.0</v>
      </c>
      <c r="E1674" s="62">
        <v>0.0</v>
      </c>
      <c r="F1674" s="62">
        <v>0.0</v>
      </c>
      <c r="G1674" s="62">
        <v>1.0</v>
      </c>
      <c r="H1674" s="62">
        <v>1.0</v>
      </c>
      <c r="I1674" s="62">
        <v>0.0</v>
      </c>
      <c r="J1674" s="62">
        <v>0.0</v>
      </c>
      <c r="K1674" s="62">
        <v>0.0</v>
      </c>
      <c r="L1674" s="62">
        <v>0.0</v>
      </c>
      <c r="M1674" s="62">
        <v>0.0</v>
      </c>
      <c r="N1674" s="62">
        <v>0.0</v>
      </c>
      <c r="O1674" s="62">
        <v>1.0</v>
      </c>
      <c r="P1674" s="62">
        <v>0.0</v>
      </c>
      <c r="Q1674" s="62">
        <v>0.0</v>
      </c>
      <c r="R1674" s="62">
        <v>0.0</v>
      </c>
      <c r="S1674" s="62">
        <v>0.0</v>
      </c>
      <c r="T1674" s="62">
        <v>0.0</v>
      </c>
      <c r="U1674" s="62">
        <v>0.0</v>
      </c>
      <c r="V1674" s="62">
        <v>0.281111111111111</v>
      </c>
      <c r="W1674" s="62">
        <v>0.281111111111111</v>
      </c>
      <c r="X1674" s="62">
        <v>0.0</v>
      </c>
      <c r="Y1674" s="62">
        <v>0.0</v>
      </c>
      <c r="Z1674" s="62">
        <v>0.0</v>
      </c>
      <c r="AA1674" s="62">
        <v>0.0</v>
      </c>
      <c r="AB1674" s="62">
        <v>0.0</v>
      </c>
      <c r="AC1674" s="62">
        <v>0.0</v>
      </c>
      <c r="AD1674" s="62">
        <v>0.228055555555555</v>
      </c>
      <c r="AE1674" s="62">
        <v>0.0</v>
      </c>
      <c r="AF1674" s="62">
        <v>0.0</v>
      </c>
    </row>
    <row r="1675">
      <c r="A1675" s="68">
        <v>45928.0</v>
      </c>
      <c r="B1675" s="62" t="s">
        <v>56</v>
      </c>
      <c r="C1675" s="62" t="s">
        <v>176</v>
      </c>
      <c r="D1675" s="62">
        <v>0.0</v>
      </c>
      <c r="E1675" s="62">
        <v>0.0</v>
      </c>
      <c r="F1675" s="62">
        <v>0.0</v>
      </c>
      <c r="G1675" s="62">
        <v>0.0</v>
      </c>
      <c r="H1675" s="62">
        <v>0.0</v>
      </c>
      <c r="I1675" s="62">
        <v>0.0</v>
      </c>
      <c r="J1675" s="62">
        <v>0.0</v>
      </c>
      <c r="K1675" s="62">
        <v>0.0</v>
      </c>
      <c r="L1675" s="62">
        <v>0.0</v>
      </c>
      <c r="M1675" s="62">
        <v>0.0</v>
      </c>
      <c r="N1675" s="62">
        <v>0.0</v>
      </c>
      <c r="O1675" s="62">
        <v>0.0</v>
      </c>
      <c r="P1675" s="62">
        <v>0.0</v>
      </c>
      <c r="Q1675" s="62">
        <v>0.0</v>
      </c>
      <c r="R1675" s="62">
        <v>0.0</v>
      </c>
      <c r="S1675" s="62">
        <v>0.0</v>
      </c>
      <c r="T1675" s="62">
        <v>0.712222222222222</v>
      </c>
      <c r="U1675" s="62">
        <v>0.0</v>
      </c>
      <c r="V1675" s="62">
        <v>0.0</v>
      </c>
      <c r="W1675" s="62">
        <v>0.0</v>
      </c>
      <c r="X1675" s="62">
        <v>0.0</v>
      </c>
      <c r="Y1675" s="62">
        <v>0.0</v>
      </c>
      <c r="Z1675" s="62">
        <v>0.0</v>
      </c>
      <c r="AA1675" s="62">
        <v>0.0</v>
      </c>
      <c r="AB1675" s="62">
        <v>0.0</v>
      </c>
      <c r="AC1675" s="62">
        <v>0.0</v>
      </c>
      <c r="AD1675" s="62">
        <v>0.0</v>
      </c>
      <c r="AE1675" s="62">
        <v>0.0</v>
      </c>
      <c r="AF1675" s="62">
        <v>3.0</v>
      </c>
    </row>
    <row r="1676">
      <c r="A1676" s="68">
        <v>45928.0</v>
      </c>
      <c r="B1676" s="62" t="s">
        <v>26</v>
      </c>
      <c r="C1676" s="62" t="s">
        <v>178</v>
      </c>
      <c r="D1676" s="62">
        <v>0.0</v>
      </c>
      <c r="E1676" s="62">
        <v>0.0</v>
      </c>
      <c r="F1676" s="62">
        <v>0.0</v>
      </c>
      <c r="G1676" s="62">
        <v>1.0</v>
      </c>
      <c r="H1676" s="62">
        <v>1.0</v>
      </c>
      <c r="I1676" s="62">
        <v>0.0</v>
      </c>
      <c r="J1676" s="62">
        <v>0.0</v>
      </c>
      <c r="K1676" s="62">
        <v>0.0</v>
      </c>
      <c r="L1676" s="62">
        <v>0.0</v>
      </c>
      <c r="M1676" s="62">
        <v>0.0</v>
      </c>
      <c r="N1676" s="62">
        <v>0.0</v>
      </c>
      <c r="O1676" s="62">
        <v>1.0</v>
      </c>
      <c r="P1676" s="62">
        <v>0.0</v>
      </c>
      <c r="Q1676" s="62">
        <v>0.0</v>
      </c>
      <c r="R1676" s="62">
        <v>0.0</v>
      </c>
      <c r="S1676" s="62">
        <v>0.0</v>
      </c>
      <c r="T1676" s="62">
        <v>0.0</v>
      </c>
      <c r="U1676" s="62">
        <v>0.0</v>
      </c>
      <c r="V1676" s="62">
        <v>0.199722222222222</v>
      </c>
      <c r="W1676" s="62">
        <v>0.199722222222222</v>
      </c>
      <c r="X1676" s="62">
        <v>0.0</v>
      </c>
      <c r="Y1676" s="62">
        <v>0.0</v>
      </c>
      <c r="Z1676" s="62">
        <v>0.0</v>
      </c>
      <c r="AA1676" s="62">
        <v>0.0</v>
      </c>
      <c r="AB1676" s="62">
        <v>0.0</v>
      </c>
      <c r="AC1676" s="62">
        <v>0.0</v>
      </c>
      <c r="AD1676" s="62">
        <v>0.166944444444444</v>
      </c>
      <c r="AE1676" s="62">
        <v>0.0</v>
      </c>
      <c r="AF1676" s="62">
        <v>0.0</v>
      </c>
    </row>
    <row r="1677">
      <c r="A1677" s="68">
        <v>45927.0</v>
      </c>
      <c r="B1677" s="62" t="s">
        <v>76</v>
      </c>
      <c r="C1677" s="62" t="s">
        <v>165</v>
      </c>
      <c r="D1677" s="62">
        <v>0.0</v>
      </c>
      <c r="E1677" s="62">
        <v>0.0</v>
      </c>
      <c r="F1677" s="62">
        <v>0.0</v>
      </c>
      <c r="G1677" s="62">
        <v>1.0</v>
      </c>
      <c r="H1677" s="62">
        <v>1.0</v>
      </c>
      <c r="I1677" s="62">
        <v>0.0</v>
      </c>
      <c r="J1677" s="62">
        <v>0.0</v>
      </c>
      <c r="K1677" s="62">
        <v>0.0</v>
      </c>
      <c r="L1677" s="62">
        <v>0.0</v>
      </c>
      <c r="M1677" s="62">
        <v>0.0</v>
      </c>
      <c r="N1677" s="62">
        <v>0.0</v>
      </c>
      <c r="O1677" s="62">
        <v>1.0</v>
      </c>
      <c r="P1677" s="62">
        <v>0.0</v>
      </c>
      <c r="Q1677" s="62">
        <v>0.0</v>
      </c>
      <c r="R1677" s="62">
        <v>0.0</v>
      </c>
      <c r="S1677" s="62">
        <v>0.0</v>
      </c>
      <c r="T1677" s="62">
        <v>0.0</v>
      </c>
      <c r="U1677" s="62">
        <v>0.0</v>
      </c>
      <c r="V1677" s="62">
        <v>0.26</v>
      </c>
      <c r="W1677" s="62">
        <v>0.26</v>
      </c>
      <c r="X1677" s="62">
        <v>0.0</v>
      </c>
      <c r="Y1677" s="62">
        <v>0.0</v>
      </c>
      <c r="Z1677" s="62">
        <v>0.0</v>
      </c>
      <c r="AA1677" s="62">
        <v>0.0</v>
      </c>
      <c r="AB1677" s="62">
        <v>0.0</v>
      </c>
      <c r="AC1677" s="62">
        <v>0.0</v>
      </c>
      <c r="AD1677" s="62">
        <v>0.245833333333333</v>
      </c>
      <c r="AE1677" s="62">
        <v>0.0</v>
      </c>
      <c r="AF1677" s="62">
        <v>0.0</v>
      </c>
    </row>
    <row r="1678">
      <c r="A1678" s="68">
        <v>45927.0</v>
      </c>
      <c r="B1678" s="62" t="s">
        <v>32</v>
      </c>
      <c r="C1678" s="62" t="s">
        <v>168</v>
      </c>
      <c r="D1678" s="62">
        <v>0.0</v>
      </c>
      <c r="E1678" s="62">
        <v>3.0</v>
      </c>
      <c r="F1678" s="62">
        <v>0.0</v>
      </c>
      <c r="G1678" s="62">
        <v>0.0</v>
      </c>
      <c r="H1678" s="62">
        <v>0.0</v>
      </c>
      <c r="I1678" s="62">
        <v>0.0</v>
      </c>
      <c r="J1678" s="62">
        <v>0.0</v>
      </c>
      <c r="K1678" s="62">
        <v>0.0</v>
      </c>
      <c r="L1678" s="62">
        <v>0.0</v>
      </c>
      <c r="M1678" s="62">
        <v>0.0</v>
      </c>
      <c r="N1678" s="62">
        <v>0.0</v>
      </c>
      <c r="O1678" s="62">
        <v>1.0</v>
      </c>
      <c r="P1678" s="62">
        <v>0.0</v>
      </c>
      <c r="Q1678" s="62">
        <v>0.0</v>
      </c>
      <c r="R1678" s="62">
        <v>0.0</v>
      </c>
      <c r="S1678" s="62">
        <v>6044.0</v>
      </c>
      <c r="T1678" s="62">
        <v>0.0</v>
      </c>
      <c r="U1678" s="62">
        <v>0.0</v>
      </c>
      <c r="V1678" s="62">
        <v>0.0</v>
      </c>
      <c r="W1678" s="62">
        <v>0.0</v>
      </c>
      <c r="X1678" s="62">
        <v>0.0</v>
      </c>
      <c r="Y1678" s="62">
        <v>0.0</v>
      </c>
      <c r="Z1678" s="62">
        <v>0.0</v>
      </c>
      <c r="AA1678" s="62">
        <v>0.0</v>
      </c>
      <c r="AB1678" s="62">
        <v>0.0</v>
      </c>
      <c r="AC1678" s="62">
        <v>0.0</v>
      </c>
      <c r="AD1678" s="62">
        <v>0.204444444444444</v>
      </c>
      <c r="AE1678" s="62">
        <v>0.0</v>
      </c>
      <c r="AF1678" s="62">
        <v>0.0</v>
      </c>
    </row>
    <row r="1679">
      <c r="A1679" s="68">
        <v>45926.0</v>
      </c>
      <c r="B1679" s="62" t="s">
        <v>76</v>
      </c>
      <c r="C1679" s="62" t="s">
        <v>165</v>
      </c>
      <c r="D1679" s="62">
        <v>25.0</v>
      </c>
      <c r="E1679" s="62">
        <v>0.0</v>
      </c>
      <c r="F1679" s="62">
        <v>2.0</v>
      </c>
      <c r="G1679" s="62">
        <v>3.0</v>
      </c>
      <c r="H1679" s="62">
        <v>4.0</v>
      </c>
      <c r="I1679" s="62">
        <v>1.0</v>
      </c>
      <c r="J1679" s="62">
        <v>5.0</v>
      </c>
      <c r="K1679" s="62">
        <v>0.0</v>
      </c>
      <c r="L1679" s="62">
        <v>0.0</v>
      </c>
      <c r="M1679" s="62">
        <v>6.0</v>
      </c>
      <c r="N1679" s="62">
        <v>8.0</v>
      </c>
      <c r="O1679" s="62">
        <v>1.0</v>
      </c>
      <c r="P1679" s="62">
        <v>8.0</v>
      </c>
      <c r="Q1679" s="62">
        <v>0.0</v>
      </c>
      <c r="R1679" s="62">
        <v>54697.0</v>
      </c>
      <c r="S1679" s="62">
        <v>0.0</v>
      </c>
      <c r="T1679" s="62">
        <v>0.752222222222222</v>
      </c>
      <c r="U1679" s="62">
        <v>0.501666666666666</v>
      </c>
      <c r="V1679" s="62">
        <v>0.793055555555555</v>
      </c>
      <c r="W1679" s="62">
        <v>1.04361111111111</v>
      </c>
      <c r="X1679" s="62">
        <v>0.250555555555555</v>
      </c>
      <c r="Y1679" s="62">
        <v>1.30861111111111</v>
      </c>
      <c r="Z1679" s="62">
        <v>0.0</v>
      </c>
      <c r="AA1679" s="62">
        <v>0.0</v>
      </c>
      <c r="AB1679" s="62">
        <v>1.56888888888888</v>
      </c>
      <c r="AC1679" s="62">
        <v>2.065</v>
      </c>
      <c r="AD1679" s="62">
        <v>0.247777777777777</v>
      </c>
      <c r="AE1679" s="62">
        <v>2.065</v>
      </c>
      <c r="AF1679" s="62">
        <v>3.0</v>
      </c>
    </row>
    <row r="1680">
      <c r="A1680" s="68">
        <v>45926.0</v>
      </c>
      <c r="B1680" s="62" t="s">
        <v>32</v>
      </c>
      <c r="C1680" s="62" t="s">
        <v>168</v>
      </c>
      <c r="D1680" s="62">
        <v>6.0</v>
      </c>
      <c r="E1680" s="62">
        <v>13.0</v>
      </c>
      <c r="F1680" s="62">
        <v>0.0</v>
      </c>
      <c r="G1680" s="62">
        <v>3.0</v>
      </c>
      <c r="H1680" s="62">
        <v>3.0</v>
      </c>
      <c r="I1680" s="62">
        <v>0.0</v>
      </c>
      <c r="J1680" s="62">
        <v>2.0</v>
      </c>
      <c r="K1680" s="62">
        <v>0.0</v>
      </c>
      <c r="L1680" s="62">
        <v>0.0</v>
      </c>
      <c r="M1680" s="62">
        <v>2.0</v>
      </c>
      <c r="N1680" s="62">
        <v>2.0</v>
      </c>
      <c r="O1680" s="62">
        <v>1.0</v>
      </c>
      <c r="P1680" s="62">
        <v>2.0</v>
      </c>
      <c r="Q1680" s="62">
        <v>0.0</v>
      </c>
      <c r="R1680" s="62">
        <v>13790.0</v>
      </c>
      <c r="S1680" s="62">
        <v>27195.0</v>
      </c>
      <c r="T1680" s="62">
        <v>0.0</v>
      </c>
      <c r="U1680" s="62">
        <v>0.0</v>
      </c>
      <c r="V1680" s="62">
        <v>0.690277777777777</v>
      </c>
      <c r="W1680" s="62">
        <v>0.690277777777777</v>
      </c>
      <c r="X1680" s="62">
        <v>0.0</v>
      </c>
      <c r="Y1680" s="62">
        <v>0.456111111111111</v>
      </c>
      <c r="Z1680" s="62">
        <v>0.0</v>
      </c>
      <c r="AA1680" s="62">
        <v>0.0</v>
      </c>
      <c r="AB1680" s="62">
        <v>0.42</v>
      </c>
      <c r="AC1680" s="62">
        <v>0.42</v>
      </c>
      <c r="AD1680" s="62">
        <v>0.207222222222222</v>
      </c>
      <c r="AE1680" s="62">
        <v>0.42</v>
      </c>
      <c r="AF1680" s="62">
        <v>0.0</v>
      </c>
    </row>
    <row r="1681">
      <c r="A1681" s="68">
        <v>45926.0</v>
      </c>
      <c r="B1681" s="62" t="s">
        <v>56</v>
      </c>
      <c r="C1681" s="62" t="s">
        <v>176</v>
      </c>
      <c r="D1681" s="62">
        <v>2.0</v>
      </c>
      <c r="E1681" s="62">
        <v>2.0</v>
      </c>
      <c r="F1681" s="62">
        <v>0.0</v>
      </c>
      <c r="G1681" s="62">
        <v>0.0</v>
      </c>
      <c r="H1681" s="62">
        <v>0.0</v>
      </c>
      <c r="I1681" s="62">
        <v>0.0</v>
      </c>
      <c r="J1681" s="62">
        <v>0.0</v>
      </c>
      <c r="K1681" s="62">
        <v>0.0</v>
      </c>
      <c r="L1681" s="62">
        <v>0.0</v>
      </c>
      <c r="M1681" s="62">
        <v>0.0</v>
      </c>
      <c r="N1681" s="62">
        <v>0.0</v>
      </c>
      <c r="O1681" s="62">
        <v>0.0</v>
      </c>
      <c r="P1681" s="62">
        <v>0.0</v>
      </c>
      <c r="Q1681" s="62">
        <v>0.0</v>
      </c>
      <c r="R1681" s="62">
        <v>4490.0</v>
      </c>
      <c r="S1681" s="62">
        <v>4287.0</v>
      </c>
      <c r="T1681" s="62">
        <v>0.0</v>
      </c>
      <c r="U1681" s="62">
        <v>0.0</v>
      </c>
      <c r="V1681" s="62">
        <v>0.0</v>
      </c>
      <c r="W1681" s="62">
        <v>0.0</v>
      </c>
      <c r="X1681" s="62">
        <v>0.0</v>
      </c>
      <c r="Y1681" s="62">
        <v>0.0</v>
      </c>
      <c r="Z1681" s="62">
        <v>0.0</v>
      </c>
      <c r="AA1681" s="62">
        <v>0.0</v>
      </c>
      <c r="AB1681" s="62">
        <v>0.0</v>
      </c>
      <c r="AC1681" s="62">
        <v>0.0</v>
      </c>
      <c r="AD1681" s="62">
        <v>0.0</v>
      </c>
      <c r="AE1681" s="62">
        <v>0.0</v>
      </c>
      <c r="AF1681" s="62">
        <v>0.0</v>
      </c>
    </row>
    <row r="1682">
      <c r="A1682" s="68">
        <v>45926.0</v>
      </c>
      <c r="B1682" s="62" t="s">
        <v>26</v>
      </c>
      <c r="C1682" s="62" t="s">
        <v>178</v>
      </c>
      <c r="D1682" s="62">
        <v>3.0</v>
      </c>
      <c r="E1682" s="62">
        <v>0.0</v>
      </c>
      <c r="F1682" s="62">
        <v>2.0</v>
      </c>
      <c r="G1682" s="62">
        <v>1.0</v>
      </c>
      <c r="H1682" s="62">
        <v>3.0</v>
      </c>
      <c r="I1682" s="62">
        <v>2.0</v>
      </c>
      <c r="J1682" s="62">
        <v>4.0</v>
      </c>
      <c r="K1682" s="62">
        <v>1.0</v>
      </c>
      <c r="L1682" s="62">
        <v>1.0</v>
      </c>
      <c r="M1682" s="62">
        <v>5.0</v>
      </c>
      <c r="N1682" s="62">
        <v>8.0</v>
      </c>
      <c r="O1682" s="62">
        <v>1.0</v>
      </c>
      <c r="P1682" s="62">
        <v>8.0</v>
      </c>
      <c r="Q1682" s="62">
        <v>0.0</v>
      </c>
      <c r="R1682" s="62">
        <v>6874.0</v>
      </c>
      <c r="S1682" s="62">
        <v>0.0</v>
      </c>
      <c r="T1682" s="62">
        <v>0.1975</v>
      </c>
      <c r="U1682" s="62">
        <v>0.396388888888888</v>
      </c>
      <c r="V1682" s="62">
        <v>0.200555555555555</v>
      </c>
      <c r="W1682" s="62">
        <v>0.617222222222222</v>
      </c>
      <c r="X1682" s="62">
        <v>0.416666666666666</v>
      </c>
      <c r="Y1682" s="62">
        <v>0.856388888888888</v>
      </c>
      <c r="Z1682" s="62">
        <v>0.206666666666666</v>
      </c>
      <c r="AA1682" s="62">
        <v>0.206666666666666</v>
      </c>
      <c r="AB1682" s="62">
        <v>1.07</v>
      </c>
      <c r="AC1682" s="62">
        <v>1.69805555555555</v>
      </c>
      <c r="AD1682" s="62">
        <v>0.193055555555555</v>
      </c>
      <c r="AE1682" s="62">
        <v>1.69805555555555</v>
      </c>
      <c r="AF1682" s="62">
        <v>1.0</v>
      </c>
    </row>
    <row r="1683">
      <c r="A1683" s="68">
        <v>45925.0</v>
      </c>
      <c r="B1683" s="62" t="s">
        <v>76</v>
      </c>
      <c r="C1683" s="62" t="s">
        <v>165</v>
      </c>
      <c r="D1683" s="62">
        <v>0.0</v>
      </c>
      <c r="E1683" s="62">
        <v>0.0</v>
      </c>
      <c r="F1683" s="62">
        <v>3.0</v>
      </c>
      <c r="G1683" s="62">
        <v>2.0</v>
      </c>
      <c r="H1683" s="62">
        <v>2.0</v>
      </c>
      <c r="I1683" s="62">
        <v>0.0</v>
      </c>
      <c r="J1683" s="62">
        <v>4.0</v>
      </c>
      <c r="K1683" s="62">
        <v>1.0</v>
      </c>
      <c r="L1683" s="62">
        <v>1.0</v>
      </c>
      <c r="M1683" s="62">
        <v>3.0</v>
      </c>
      <c r="N1683" s="62">
        <v>1.0</v>
      </c>
      <c r="O1683" s="62">
        <v>1.0</v>
      </c>
      <c r="P1683" s="62">
        <v>1.0</v>
      </c>
      <c r="Q1683" s="62">
        <v>0.0</v>
      </c>
      <c r="R1683" s="62">
        <v>0.0</v>
      </c>
      <c r="S1683" s="62">
        <v>0.0</v>
      </c>
      <c r="T1683" s="62">
        <v>0.806388888888889</v>
      </c>
      <c r="U1683" s="62">
        <v>0.806388888888888</v>
      </c>
      <c r="V1683" s="62">
        <v>0.515555555555555</v>
      </c>
      <c r="W1683" s="62">
        <v>0.515555555555555</v>
      </c>
      <c r="X1683" s="62">
        <v>0.0</v>
      </c>
      <c r="Y1683" s="62">
        <v>1.02166666666666</v>
      </c>
      <c r="Z1683" s="62">
        <v>0.260555555555555</v>
      </c>
      <c r="AA1683" s="62">
        <v>0.260277777777777</v>
      </c>
      <c r="AB1683" s="62">
        <v>0.761111111111111</v>
      </c>
      <c r="AC1683" s="62">
        <v>0.265</v>
      </c>
      <c r="AD1683" s="62">
        <v>0.2325</v>
      </c>
      <c r="AE1683" s="62">
        <v>0.265</v>
      </c>
      <c r="AF1683" s="62">
        <v>3.0</v>
      </c>
    </row>
    <row r="1684">
      <c r="A1684" s="68">
        <v>45925.0</v>
      </c>
      <c r="B1684" s="62" t="s">
        <v>32</v>
      </c>
      <c r="C1684" s="62" t="s">
        <v>168</v>
      </c>
      <c r="D1684" s="62">
        <v>9.0</v>
      </c>
      <c r="E1684" s="62">
        <v>10.0</v>
      </c>
      <c r="F1684" s="62">
        <v>2.0</v>
      </c>
      <c r="G1684" s="62">
        <v>0.0</v>
      </c>
      <c r="H1684" s="62">
        <v>5.0</v>
      </c>
      <c r="I1684" s="62">
        <v>1.0</v>
      </c>
      <c r="J1684" s="62">
        <v>6.0</v>
      </c>
      <c r="K1684" s="62">
        <v>0.0</v>
      </c>
      <c r="L1684" s="62">
        <v>0.0</v>
      </c>
      <c r="M1684" s="62">
        <v>6.0</v>
      </c>
      <c r="N1684" s="62">
        <v>10.0</v>
      </c>
      <c r="O1684" s="62">
        <v>1.0</v>
      </c>
      <c r="P1684" s="62">
        <v>10.0</v>
      </c>
      <c r="Q1684" s="62">
        <v>0.0</v>
      </c>
      <c r="R1684" s="62">
        <v>15405.0</v>
      </c>
      <c r="S1684" s="62">
        <v>22315.0</v>
      </c>
      <c r="T1684" s="62">
        <v>0.633888888888889</v>
      </c>
      <c r="U1684" s="62">
        <v>0.415555555555555</v>
      </c>
      <c r="V1684" s="62">
        <v>0.0</v>
      </c>
      <c r="W1684" s="62">
        <v>1.09333333333333</v>
      </c>
      <c r="X1684" s="62">
        <v>0.218333333333333</v>
      </c>
      <c r="Y1684" s="62">
        <v>1.295</v>
      </c>
      <c r="Z1684" s="62">
        <v>0.0</v>
      </c>
      <c r="AA1684" s="62">
        <v>0.0</v>
      </c>
      <c r="AB1684" s="62">
        <v>1.29583333333333</v>
      </c>
      <c r="AC1684" s="62">
        <v>2.15888888888888</v>
      </c>
      <c r="AD1684" s="62">
        <v>0.211944444444444</v>
      </c>
      <c r="AE1684" s="62">
        <v>2.15888888888888</v>
      </c>
      <c r="AF1684" s="62">
        <v>3.0</v>
      </c>
    </row>
    <row r="1685">
      <c r="A1685" s="68">
        <v>45925.0</v>
      </c>
      <c r="B1685" s="62" t="s">
        <v>56</v>
      </c>
      <c r="C1685" s="62" t="s">
        <v>176</v>
      </c>
      <c r="D1685" s="62">
        <v>5.0</v>
      </c>
      <c r="E1685" s="62">
        <v>3.0</v>
      </c>
      <c r="F1685" s="62">
        <v>0.0</v>
      </c>
      <c r="G1685" s="62">
        <v>0.0</v>
      </c>
      <c r="H1685" s="62">
        <v>0.0</v>
      </c>
      <c r="I1685" s="62">
        <v>0.0</v>
      </c>
      <c r="J1685" s="62">
        <v>0.0</v>
      </c>
      <c r="K1685" s="62">
        <v>0.0</v>
      </c>
      <c r="L1685" s="62">
        <v>0.0</v>
      </c>
      <c r="M1685" s="62">
        <v>0.0</v>
      </c>
      <c r="N1685" s="62">
        <v>0.0</v>
      </c>
      <c r="O1685" s="62">
        <v>0.0</v>
      </c>
      <c r="P1685" s="62">
        <v>0.0</v>
      </c>
      <c r="Q1685" s="62">
        <v>0.0</v>
      </c>
      <c r="R1685" s="62">
        <v>10924.0</v>
      </c>
      <c r="S1685" s="62">
        <v>6637.0</v>
      </c>
      <c r="T1685" s="62">
        <v>0.0</v>
      </c>
      <c r="U1685" s="62">
        <v>0.0</v>
      </c>
      <c r="V1685" s="62">
        <v>0.0</v>
      </c>
      <c r="W1685" s="62">
        <v>0.0</v>
      </c>
      <c r="X1685" s="62">
        <v>0.0</v>
      </c>
      <c r="Y1685" s="62">
        <v>0.0</v>
      </c>
      <c r="Z1685" s="62">
        <v>0.0</v>
      </c>
      <c r="AA1685" s="62">
        <v>0.0</v>
      </c>
      <c r="AB1685" s="62">
        <v>0.0</v>
      </c>
      <c r="AC1685" s="62">
        <v>0.0</v>
      </c>
      <c r="AD1685" s="62">
        <v>0.0</v>
      </c>
      <c r="AE1685" s="62">
        <v>0.0</v>
      </c>
      <c r="AF1685" s="62">
        <v>0.0</v>
      </c>
    </row>
    <row r="1686">
      <c r="A1686" s="68">
        <v>45925.0</v>
      </c>
      <c r="B1686" s="62" t="s">
        <v>26</v>
      </c>
      <c r="C1686" s="62" t="s">
        <v>178</v>
      </c>
      <c r="D1686" s="62">
        <v>3.0</v>
      </c>
      <c r="E1686" s="62">
        <v>3.0</v>
      </c>
      <c r="F1686" s="62">
        <v>2.0</v>
      </c>
      <c r="G1686" s="62">
        <v>5.0</v>
      </c>
      <c r="H1686" s="62">
        <v>5.0</v>
      </c>
      <c r="I1686" s="62">
        <v>0.0</v>
      </c>
      <c r="J1686" s="62">
        <v>4.0</v>
      </c>
      <c r="K1686" s="62">
        <v>1.0</v>
      </c>
      <c r="L1686" s="62">
        <v>1.0</v>
      </c>
      <c r="M1686" s="62">
        <v>3.0</v>
      </c>
      <c r="N1686" s="62">
        <v>2.0</v>
      </c>
      <c r="O1686" s="62">
        <v>1.0</v>
      </c>
      <c r="P1686" s="62">
        <v>2.0</v>
      </c>
      <c r="Q1686" s="62">
        <v>0.0</v>
      </c>
      <c r="R1686" s="62">
        <v>6180.0</v>
      </c>
      <c r="S1686" s="62">
        <v>5997.0</v>
      </c>
      <c r="T1686" s="62">
        <v>0.615555555555555</v>
      </c>
      <c r="U1686" s="62">
        <v>0.428888888888888</v>
      </c>
      <c r="V1686" s="62">
        <v>1.07583333333333</v>
      </c>
      <c r="W1686" s="62">
        <v>1.07583333333333</v>
      </c>
      <c r="X1686" s="62">
        <v>0.0</v>
      </c>
      <c r="Y1686" s="62">
        <v>0.841666666666666</v>
      </c>
      <c r="Z1686" s="62">
        <v>0.213611111111111</v>
      </c>
      <c r="AA1686" s="62">
        <v>0.213611111111111</v>
      </c>
      <c r="AB1686" s="62">
        <v>0.628055555555555</v>
      </c>
      <c r="AC1686" s="62">
        <v>0.421388888888888</v>
      </c>
      <c r="AD1686" s="62">
        <v>0.189444444444444</v>
      </c>
      <c r="AE1686" s="62">
        <v>0.421388888888888</v>
      </c>
      <c r="AF1686" s="62">
        <v>3.0</v>
      </c>
    </row>
    <row r="1687">
      <c r="A1687" s="68">
        <v>45924.0</v>
      </c>
      <c r="B1687" s="62" t="s">
        <v>76</v>
      </c>
      <c r="C1687" s="62" t="s">
        <v>165</v>
      </c>
      <c r="D1687" s="62">
        <v>0.0</v>
      </c>
      <c r="E1687" s="62">
        <v>5.0</v>
      </c>
      <c r="F1687" s="62">
        <v>3.0</v>
      </c>
      <c r="G1687" s="62">
        <v>3.0</v>
      </c>
      <c r="H1687" s="62">
        <v>3.0</v>
      </c>
      <c r="I1687" s="62">
        <v>0.0</v>
      </c>
      <c r="J1687" s="62">
        <v>3.0</v>
      </c>
      <c r="K1687" s="62">
        <v>0.0</v>
      </c>
      <c r="L1687" s="62">
        <v>0.0</v>
      </c>
      <c r="M1687" s="62">
        <v>4.0</v>
      </c>
      <c r="N1687" s="62">
        <v>6.0</v>
      </c>
      <c r="O1687" s="62">
        <v>1.0</v>
      </c>
      <c r="P1687" s="62">
        <v>6.0</v>
      </c>
      <c r="Q1687" s="62">
        <v>0.0</v>
      </c>
      <c r="R1687" s="62">
        <v>0.0</v>
      </c>
      <c r="S1687" s="62">
        <v>12472.0</v>
      </c>
      <c r="T1687" s="62">
        <v>0.796666666666666</v>
      </c>
      <c r="U1687" s="62">
        <v>0.796666666666666</v>
      </c>
      <c r="V1687" s="62">
        <v>0.774722222222222</v>
      </c>
      <c r="W1687" s="62">
        <v>0.774722222222222</v>
      </c>
      <c r="X1687" s="62">
        <v>0.0</v>
      </c>
      <c r="Y1687" s="62">
        <v>0.733055555555555</v>
      </c>
      <c r="Z1687" s="62">
        <v>0.0</v>
      </c>
      <c r="AA1687" s="62">
        <v>0.0</v>
      </c>
      <c r="AB1687" s="62">
        <v>0.973055555555555</v>
      </c>
      <c r="AC1687" s="62">
        <v>1.47638888888888</v>
      </c>
      <c r="AD1687" s="62">
        <v>0.215</v>
      </c>
      <c r="AE1687" s="62">
        <v>1.47638888888888</v>
      </c>
      <c r="AF1687" s="62">
        <v>3.0</v>
      </c>
    </row>
    <row r="1688">
      <c r="A1688" s="68">
        <v>45924.0</v>
      </c>
      <c r="B1688" s="62" t="s">
        <v>32</v>
      </c>
      <c r="C1688" s="62" t="s">
        <v>168</v>
      </c>
      <c r="D1688" s="62">
        <v>0.0</v>
      </c>
      <c r="E1688" s="62">
        <v>6.0</v>
      </c>
      <c r="F1688" s="62">
        <v>2.0</v>
      </c>
      <c r="G1688" s="62">
        <v>0.0</v>
      </c>
      <c r="H1688" s="62">
        <v>1.0</v>
      </c>
      <c r="I1688" s="62">
        <v>1.0</v>
      </c>
      <c r="J1688" s="62">
        <v>1.0</v>
      </c>
      <c r="K1688" s="62">
        <v>0.0</v>
      </c>
      <c r="L1688" s="62">
        <v>0.0</v>
      </c>
      <c r="M1688" s="62">
        <v>0.0</v>
      </c>
      <c r="N1688" s="62">
        <v>0.0</v>
      </c>
      <c r="O1688" s="62">
        <v>1.0</v>
      </c>
      <c r="P1688" s="62">
        <v>0.0</v>
      </c>
      <c r="Q1688" s="62">
        <v>0.0</v>
      </c>
      <c r="R1688" s="62">
        <v>0.0</v>
      </c>
      <c r="S1688" s="62">
        <v>12679.0</v>
      </c>
      <c r="T1688" s="62">
        <v>0.595833333333333</v>
      </c>
      <c r="U1688" s="62">
        <v>0.396666666666666</v>
      </c>
      <c r="V1688" s="62">
        <v>0.0</v>
      </c>
      <c r="W1688" s="62">
        <v>0.199166666666666</v>
      </c>
      <c r="X1688" s="62">
        <v>0.199166666666666</v>
      </c>
      <c r="Y1688" s="62">
        <v>0.211944444444444</v>
      </c>
      <c r="Z1688" s="62">
        <v>0.0</v>
      </c>
      <c r="AA1688" s="62">
        <v>0.0</v>
      </c>
      <c r="AB1688" s="62">
        <v>0.0</v>
      </c>
      <c r="AC1688" s="62">
        <v>0.0</v>
      </c>
      <c r="AD1688" s="62">
        <v>0.216666666666666</v>
      </c>
      <c r="AE1688" s="62">
        <v>0.0</v>
      </c>
      <c r="AF1688" s="62">
        <v>3.0</v>
      </c>
    </row>
    <row r="1689">
      <c r="A1689" s="68">
        <v>45924.0</v>
      </c>
      <c r="B1689" s="62" t="s">
        <v>26</v>
      </c>
      <c r="C1689" s="62" t="s">
        <v>178</v>
      </c>
      <c r="D1689" s="62">
        <v>3.0</v>
      </c>
      <c r="E1689" s="62">
        <v>2.0</v>
      </c>
      <c r="F1689" s="62">
        <v>3.0</v>
      </c>
      <c r="G1689" s="62">
        <v>0.0</v>
      </c>
      <c r="H1689" s="62">
        <v>2.0</v>
      </c>
      <c r="I1689" s="62">
        <v>2.0</v>
      </c>
      <c r="J1689" s="62">
        <v>2.0</v>
      </c>
      <c r="K1689" s="62">
        <v>0.0</v>
      </c>
      <c r="L1689" s="62">
        <v>0.0</v>
      </c>
      <c r="M1689" s="62">
        <v>2.0</v>
      </c>
      <c r="N1689" s="62">
        <v>0.0</v>
      </c>
      <c r="O1689" s="62">
        <v>1.0</v>
      </c>
      <c r="P1689" s="62">
        <v>0.0</v>
      </c>
      <c r="Q1689" s="62">
        <v>0.0</v>
      </c>
      <c r="R1689" s="62">
        <v>6724.0</v>
      </c>
      <c r="S1689" s="62">
        <v>3890.0</v>
      </c>
      <c r="T1689" s="62">
        <v>0.428888888888888</v>
      </c>
      <c r="U1689" s="62">
        <v>0.633611111111111</v>
      </c>
      <c r="V1689" s="62">
        <v>0.0</v>
      </c>
      <c r="W1689" s="62">
        <v>0.416388888888888</v>
      </c>
      <c r="X1689" s="62">
        <v>0.416388888888888</v>
      </c>
      <c r="Y1689" s="62">
        <v>0.421388888888888</v>
      </c>
      <c r="Z1689" s="62">
        <v>0.0</v>
      </c>
      <c r="AA1689" s="62">
        <v>0.0</v>
      </c>
      <c r="AB1689" s="62">
        <v>0.421388888888888</v>
      </c>
      <c r="AC1689" s="62">
        <v>0.0</v>
      </c>
      <c r="AD1689" s="62">
        <v>0.188888888888888</v>
      </c>
      <c r="AE1689" s="62">
        <v>0.0</v>
      </c>
      <c r="AF1689" s="62">
        <v>2.0</v>
      </c>
    </row>
    <row r="1690">
      <c r="A1690" s="68">
        <v>45923.0</v>
      </c>
      <c r="B1690" s="62" t="s">
        <v>76</v>
      </c>
      <c r="C1690" s="62" t="s">
        <v>165</v>
      </c>
      <c r="D1690" s="62">
        <v>0.0</v>
      </c>
      <c r="E1690" s="62">
        <v>4.0</v>
      </c>
      <c r="F1690" s="62">
        <v>2.0</v>
      </c>
      <c r="G1690" s="62">
        <v>3.0</v>
      </c>
      <c r="H1690" s="62">
        <v>4.0</v>
      </c>
      <c r="I1690" s="62">
        <v>1.0</v>
      </c>
      <c r="J1690" s="62">
        <v>3.0</v>
      </c>
      <c r="K1690" s="62">
        <v>0.0</v>
      </c>
      <c r="L1690" s="62">
        <v>0.0</v>
      </c>
      <c r="M1690" s="62">
        <v>2.0</v>
      </c>
      <c r="N1690" s="62">
        <v>0.0</v>
      </c>
      <c r="O1690" s="62">
        <v>1.0</v>
      </c>
      <c r="P1690" s="62">
        <v>0.0</v>
      </c>
      <c r="Q1690" s="62">
        <v>0.0</v>
      </c>
      <c r="R1690" s="62">
        <v>0.0</v>
      </c>
      <c r="S1690" s="62">
        <v>9873.0</v>
      </c>
      <c r="T1690" s="62">
        <v>0.747222222222222</v>
      </c>
      <c r="U1690" s="62">
        <v>0.503055555555555</v>
      </c>
      <c r="V1690" s="62">
        <v>0.733055555555555</v>
      </c>
      <c r="W1690" s="62">
        <v>0.977222222222222</v>
      </c>
      <c r="X1690" s="62">
        <v>0.244166666666666</v>
      </c>
      <c r="Y1690" s="62">
        <v>0.743333333333333</v>
      </c>
      <c r="Z1690" s="62">
        <v>0.0</v>
      </c>
      <c r="AA1690" s="62">
        <v>0.0</v>
      </c>
      <c r="AB1690" s="62">
        <v>0.503333333333333</v>
      </c>
      <c r="AC1690" s="62">
        <v>0.0</v>
      </c>
      <c r="AD1690" s="62">
        <v>0.233611111111111</v>
      </c>
      <c r="AE1690" s="62">
        <v>0.0</v>
      </c>
      <c r="AF1690" s="62">
        <v>3.0</v>
      </c>
    </row>
    <row r="1691">
      <c r="A1691" s="68">
        <v>45923.0</v>
      </c>
      <c r="B1691" s="62" t="s">
        <v>32</v>
      </c>
      <c r="C1691" s="62" t="s">
        <v>168</v>
      </c>
      <c r="D1691" s="62">
        <v>0.0</v>
      </c>
      <c r="E1691" s="62">
        <v>3.0</v>
      </c>
      <c r="F1691" s="62">
        <v>3.0</v>
      </c>
      <c r="G1691" s="62">
        <v>0.0</v>
      </c>
      <c r="H1691" s="62">
        <v>1.0</v>
      </c>
      <c r="I1691" s="62">
        <v>0.0</v>
      </c>
      <c r="J1691" s="62">
        <v>4.0</v>
      </c>
      <c r="K1691" s="62">
        <v>3.0</v>
      </c>
      <c r="L1691" s="62">
        <v>0.0</v>
      </c>
      <c r="M1691" s="62">
        <v>4.0</v>
      </c>
      <c r="N1691" s="62">
        <v>0.0</v>
      </c>
      <c r="O1691" s="62">
        <v>1.0</v>
      </c>
      <c r="P1691" s="62">
        <v>0.0</v>
      </c>
      <c r="Q1691" s="62">
        <v>0.0</v>
      </c>
      <c r="R1691" s="62">
        <v>0.0</v>
      </c>
      <c r="S1691" s="62">
        <v>6305.0</v>
      </c>
      <c r="T1691" s="62">
        <v>0.661111111111111</v>
      </c>
      <c r="U1691" s="62">
        <v>0.661111111111111</v>
      </c>
      <c r="V1691" s="62">
        <v>0.0</v>
      </c>
      <c r="W1691" s="62">
        <v>0.208055555555555</v>
      </c>
      <c r="X1691" s="62">
        <v>0.0</v>
      </c>
      <c r="Y1691" s="62">
        <v>0.863055555555555</v>
      </c>
      <c r="Z1691" s="62">
        <v>0.655</v>
      </c>
      <c r="AA1691" s="62">
        <v>0.0</v>
      </c>
      <c r="AB1691" s="62">
        <v>0.863055555555555</v>
      </c>
      <c r="AC1691" s="62">
        <v>0.0</v>
      </c>
      <c r="AD1691" s="62">
        <v>0.231944444444444</v>
      </c>
      <c r="AE1691" s="62">
        <v>0.0</v>
      </c>
      <c r="AF1691" s="62">
        <v>3.0</v>
      </c>
    </row>
    <row r="1692">
      <c r="A1692" s="68">
        <v>45923.0</v>
      </c>
      <c r="B1692" s="62" t="s">
        <v>26</v>
      </c>
      <c r="C1692" s="62" t="s">
        <v>178</v>
      </c>
      <c r="D1692" s="62">
        <v>3.0</v>
      </c>
      <c r="E1692" s="62">
        <v>5.0</v>
      </c>
      <c r="F1692" s="62">
        <v>0.0</v>
      </c>
      <c r="G1692" s="62">
        <v>0.0</v>
      </c>
      <c r="H1692" s="62">
        <v>0.0</v>
      </c>
      <c r="I1692" s="62">
        <v>0.0</v>
      </c>
      <c r="J1692" s="62">
        <v>4.0</v>
      </c>
      <c r="K1692" s="62">
        <v>2.0</v>
      </c>
      <c r="L1692" s="62">
        <v>2.0</v>
      </c>
      <c r="M1692" s="62">
        <v>4.0</v>
      </c>
      <c r="N1692" s="62">
        <v>5.0</v>
      </c>
      <c r="O1692" s="62">
        <v>1.0</v>
      </c>
      <c r="P1692" s="62">
        <v>5.0</v>
      </c>
      <c r="Q1692" s="62">
        <v>0.0</v>
      </c>
      <c r="R1692" s="62">
        <v>6576.0</v>
      </c>
      <c r="S1692" s="62">
        <v>10420.0</v>
      </c>
      <c r="T1692" s="62">
        <v>1.04777777777777</v>
      </c>
      <c r="U1692" s="62">
        <v>0.0</v>
      </c>
      <c r="V1692" s="62">
        <v>0.0</v>
      </c>
      <c r="W1692" s="62">
        <v>0.0</v>
      </c>
      <c r="X1692" s="62">
        <v>0.0</v>
      </c>
      <c r="Y1692" s="62">
        <v>0.784722222222222</v>
      </c>
      <c r="Z1692" s="62">
        <v>0.366111111111111</v>
      </c>
      <c r="AA1692" s="62">
        <v>0.366111111111111</v>
      </c>
      <c r="AB1692" s="62">
        <v>0.784722222222222</v>
      </c>
      <c r="AC1692" s="62">
        <v>0.969444444444444</v>
      </c>
      <c r="AD1692" s="62">
        <v>0.183611111111111</v>
      </c>
      <c r="AE1692" s="62">
        <v>0.969444444444444</v>
      </c>
      <c r="AF1692" s="62">
        <v>5.0</v>
      </c>
    </row>
    <row r="1693">
      <c r="A1693" s="68">
        <v>45922.0</v>
      </c>
      <c r="B1693" s="62" t="s">
        <v>76</v>
      </c>
      <c r="C1693" s="62" t="s">
        <v>165</v>
      </c>
      <c r="D1693" s="62">
        <v>0.0</v>
      </c>
      <c r="E1693" s="62">
        <v>0.0</v>
      </c>
      <c r="F1693" s="62">
        <v>3.0</v>
      </c>
      <c r="G1693" s="62">
        <v>2.0</v>
      </c>
      <c r="H1693" s="62">
        <v>2.0</v>
      </c>
      <c r="I1693" s="62">
        <v>0.0</v>
      </c>
      <c r="J1693" s="62">
        <v>0.0</v>
      </c>
      <c r="K1693" s="62">
        <v>0.0</v>
      </c>
      <c r="L1693" s="62">
        <v>0.0</v>
      </c>
      <c r="M1693" s="62">
        <v>0.0</v>
      </c>
      <c r="N1693" s="62">
        <v>0.0</v>
      </c>
      <c r="O1693" s="62">
        <v>1.0</v>
      </c>
      <c r="P1693" s="62">
        <v>0.0</v>
      </c>
      <c r="Q1693" s="62">
        <v>0.0</v>
      </c>
      <c r="R1693" s="62">
        <v>0.0</v>
      </c>
      <c r="S1693" s="62">
        <v>0.0</v>
      </c>
      <c r="T1693" s="62">
        <v>0.758888888888889</v>
      </c>
      <c r="U1693" s="62">
        <v>0.758888888888889</v>
      </c>
      <c r="V1693" s="62">
        <v>0.503333333333333</v>
      </c>
      <c r="W1693" s="62">
        <v>0.503333333333333</v>
      </c>
      <c r="X1693" s="62">
        <v>0.0</v>
      </c>
      <c r="Y1693" s="62">
        <v>0.0</v>
      </c>
      <c r="Z1693" s="62">
        <v>0.0</v>
      </c>
      <c r="AA1693" s="62">
        <v>0.0</v>
      </c>
      <c r="AB1693" s="62">
        <v>0.0</v>
      </c>
      <c r="AC1693" s="62">
        <v>0.0</v>
      </c>
      <c r="AD1693" s="62">
        <v>0.249722222222222</v>
      </c>
      <c r="AE1693" s="62">
        <v>0.0</v>
      </c>
      <c r="AF1693" s="62">
        <v>3.0</v>
      </c>
    </row>
    <row r="1694">
      <c r="A1694" s="68">
        <v>45922.0</v>
      </c>
      <c r="B1694" s="62" t="s">
        <v>32</v>
      </c>
      <c r="C1694" s="62" t="s">
        <v>168</v>
      </c>
      <c r="D1694" s="62">
        <v>0.0</v>
      </c>
      <c r="E1694" s="62">
        <v>1.0</v>
      </c>
      <c r="F1694" s="62">
        <v>2.0</v>
      </c>
      <c r="G1694" s="62">
        <v>0.0</v>
      </c>
      <c r="H1694" s="62">
        <v>2.0</v>
      </c>
      <c r="I1694" s="62">
        <v>2.0</v>
      </c>
      <c r="J1694" s="62">
        <v>0.0</v>
      </c>
      <c r="K1694" s="62">
        <v>1.0</v>
      </c>
      <c r="L1694" s="62">
        <v>0.0</v>
      </c>
      <c r="M1694" s="62">
        <v>0.0</v>
      </c>
      <c r="N1694" s="62">
        <v>0.0</v>
      </c>
      <c r="O1694" s="62">
        <v>1.0</v>
      </c>
      <c r="P1694" s="62">
        <v>0.0</v>
      </c>
      <c r="Q1694" s="62">
        <v>0.0</v>
      </c>
      <c r="R1694" s="62">
        <v>0.0</v>
      </c>
      <c r="S1694" s="62">
        <v>2266.0</v>
      </c>
      <c r="T1694" s="62">
        <v>0.868888888888888</v>
      </c>
      <c r="U1694" s="62">
        <v>0.441944444444444</v>
      </c>
      <c r="V1694" s="62">
        <v>0.0</v>
      </c>
      <c r="W1694" s="62">
        <v>0.426944444444444</v>
      </c>
      <c r="X1694" s="62">
        <v>0.426944444444444</v>
      </c>
      <c r="Y1694" s="62">
        <v>0.0</v>
      </c>
      <c r="Z1694" s="62">
        <v>0.208888888888888</v>
      </c>
      <c r="AA1694" s="62">
        <v>0.0</v>
      </c>
      <c r="AB1694" s="62">
        <v>0.0</v>
      </c>
      <c r="AC1694" s="62">
        <v>0.0</v>
      </c>
      <c r="AD1694" s="62">
        <v>0.208611111111111</v>
      </c>
      <c r="AE1694" s="62">
        <v>0.0</v>
      </c>
      <c r="AF1694" s="62">
        <v>4.0</v>
      </c>
    </row>
    <row r="1695">
      <c r="A1695" s="68">
        <v>45922.0</v>
      </c>
      <c r="B1695" s="62" t="s">
        <v>26</v>
      </c>
      <c r="C1695" s="62" t="s">
        <v>178</v>
      </c>
      <c r="D1695" s="62">
        <v>3.0</v>
      </c>
      <c r="E1695" s="62">
        <v>0.0</v>
      </c>
      <c r="F1695" s="62">
        <v>4.0</v>
      </c>
      <c r="G1695" s="62">
        <v>4.0</v>
      </c>
      <c r="H1695" s="62">
        <v>4.0</v>
      </c>
      <c r="I1695" s="62">
        <v>0.0</v>
      </c>
      <c r="J1695" s="62">
        <v>1.0</v>
      </c>
      <c r="K1695" s="62">
        <v>0.0</v>
      </c>
      <c r="L1695" s="62">
        <v>0.0</v>
      </c>
      <c r="M1695" s="62">
        <v>2.0</v>
      </c>
      <c r="N1695" s="62">
        <v>1.0</v>
      </c>
      <c r="O1695" s="62">
        <v>1.0</v>
      </c>
      <c r="P1695" s="62">
        <v>1.0</v>
      </c>
      <c r="Q1695" s="62">
        <v>0.0</v>
      </c>
      <c r="R1695" s="62">
        <v>6528.0</v>
      </c>
      <c r="S1695" s="62">
        <v>0.0</v>
      </c>
      <c r="T1695" s="62">
        <v>0.760833333333333</v>
      </c>
      <c r="U1695" s="62">
        <v>0.760833333333333</v>
      </c>
      <c r="V1695" s="62">
        <v>0.784722222222222</v>
      </c>
      <c r="W1695" s="62">
        <v>0.784722222222222</v>
      </c>
      <c r="X1695" s="62">
        <v>0.0</v>
      </c>
      <c r="Y1695" s="62">
        <v>0.184722222222222</v>
      </c>
      <c r="Z1695" s="62">
        <v>0.0</v>
      </c>
      <c r="AA1695" s="62">
        <v>0.0</v>
      </c>
      <c r="AB1695" s="62">
        <v>0.377222222222222</v>
      </c>
      <c r="AC1695" s="62">
        <v>0.1925</v>
      </c>
      <c r="AD1695" s="62">
        <v>0.198333333333333</v>
      </c>
      <c r="AE1695" s="62">
        <v>0.1925</v>
      </c>
      <c r="AF1695" s="62">
        <v>4.0</v>
      </c>
    </row>
    <row r="1696">
      <c r="A1696" s="68">
        <v>45920.0</v>
      </c>
      <c r="B1696" s="62" t="s">
        <v>76</v>
      </c>
      <c r="C1696" s="62" t="s">
        <v>165</v>
      </c>
      <c r="D1696" s="62">
        <v>0.0</v>
      </c>
      <c r="E1696" s="62">
        <v>0.0</v>
      </c>
      <c r="F1696" s="62">
        <v>0.0</v>
      </c>
      <c r="G1696" s="62">
        <v>0.0</v>
      </c>
      <c r="H1696" s="62">
        <v>0.0</v>
      </c>
      <c r="I1696" s="62">
        <v>0.0</v>
      </c>
      <c r="J1696" s="62">
        <v>0.0</v>
      </c>
      <c r="K1696" s="62">
        <v>0.0</v>
      </c>
      <c r="L1696" s="62">
        <v>0.0</v>
      </c>
      <c r="M1696" s="62">
        <v>0.0</v>
      </c>
      <c r="N1696" s="62">
        <v>6.0</v>
      </c>
      <c r="O1696" s="62">
        <v>1.0</v>
      </c>
      <c r="P1696" s="62">
        <v>6.0</v>
      </c>
      <c r="Q1696" s="62">
        <v>0.0</v>
      </c>
      <c r="R1696" s="62">
        <v>0.0</v>
      </c>
      <c r="S1696" s="62">
        <v>0.0</v>
      </c>
      <c r="T1696" s="62">
        <v>0.0</v>
      </c>
      <c r="U1696" s="62">
        <v>0.0</v>
      </c>
      <c r="V1696" s="62">
        <v>0.0</v>
      </c>
      <c r="W1696" s="62">
        <v>0.0</v>
      </c>
      <c r="X1696" s="62">
        <v>0.0</v>
      </c>
      <c r="Y1696" s="62">
        <v>0.0</v>
      </c>
      <c r="Z1696" s="62">
        <v>0.0</v>
      </c>
      <c r="AA1696" s="62">
        <v>0.0</v>
      </c>
      <c r="AB1696" s="62">
        <v>0.0</v>
      </c>
      <c r="AC1696" s="62">
        <v>1.42472222222222</v>
      </c>
      <c r="AD1696" s="62">
        <v>0.2225</v>
      </c>
      <c r="AE1696" s="62">
        <v>1.42472222222222</v>
      </c>
      <c r="AF1696" s="62">
        <v>0.0</v>
      </c>
    </row>
    <row r="1697">
      <c r="A1697" s="68">
        <v>45919.0</v>
      </c>
      <c r="B1697" s="62" t="s">
        <v>76</v>
      </c>
      <c r="C1697" s="62" t="s">
        <v>165</v>
      </c>
      <c r="D1697" s="62">
        <v>19.0</v>
      </c>
      <c r="E1697" s="62">
        <v>6.0</v>
      </c>
      <c r="F1697" s="62">
        <v>6.0</v>
      </c>
      <c r="G1697" s="62">
        <v>5.0</v>
      </c>
      <c r="H1697" s="62">
        <v>6.0</v>
      </c>
      <c r="I1697" s="62">
        <v>1.0</v>
      </c>
      <c r="J1697" s="62">
        <v>6.0</v>
      </c>
      <c r="K1697" s="62">
        <v>0.0</v>
      </c>
      <c r="L1697" s="62">
        <v>0.0</v>
      </c>
      <c r="M1697" s="62">
        <v>7.0</v>
      </c>
      <c r="N1697" s="62">
        <v>3.0</v>
      </c>
      <c r="O1697" s="62">
        <v>1.0</v>
      </c>
      <c r="P1697" s="62">
        <v>3.0</v>
      </c>
      <c r="Q1697" s="62">
        <v>0.0</v>
      </c>
      <c r="R1697" s="62">
        <v>45000.0</v>
      </c>
      <c r="S1697" s="62">
        <v>14712.0</v>
      </c>
      <c r="T1697" s="62">
        <v>1.72666666666666</v>
      </c>
      <c r="U1697" s="62">
        <v>1.48888888888888</v>
      </c>
      <c r="V1697" s="62">
        <v>1.18361111111111</v>
      </c>
      <c r="W1697" s="62">
        <v>1.42138888888888</v>
      </c>
      <c r="X1697" s="62">
        <v>0.237777777777777</v>
      </c>
      <c r="Y1697" s="62">
        <v>1.42472222222222</v>
      </c>
      <c r="Z1697" s="62">
        <v>0.0</v>
      </c>
      <c r="AA1697" s="62">
        <v>0.0</v>
      </c>
      <c r="AB1697" s="62">
        <v>1.65722222222222</v>
      </c>
      <c r="AC1697" s="62">
        <v>0.681111111111111</v>
      </c>
      <c r="AD1697" s="62">
        <v>0.259166666666666</v>
      </c>
      <c r="AE1697" s="62">
        <v>0.681111111111111</v>
      </c>
      <c r="AF1697" s="62">
        <v>7.0</v>
      </c>
    </row>
    <row r="1698">
      <c r="A1698" s="68">
        <v>45919.0</v>
      </c>
      <c r="B1698" s="62" t="s">
        <v>32</v>
      </c>
      <c r="C1698" s="62" t="s">
        <v>168</v>
      </c>
      <c r="D1698" s="62">
        <v>10.0</v>
      </c>
      <c r="E1698" s="62">
        <v>3.0</v>
      </c>
      <c r="F1698" s="62">
        <v>2.0</v>
      </c>
      <c r="G1698" s="62">
        <v>0.0</v>
      </c>
      <c r="H1698" s="62">
        <v>7.0</v>
      </c>
      <c r="I1698" s="62">
        <v>2.0</v>
      </c>
      <c r="J1698" s="62">
        <v>6.0</v>
      </c>
      <c r="K1698" s="62">
        <v>3.0</v>
      </c>
      <c r="L1698" s="62">
        <v>0.0</v>
      </c>
      <c r="M1698" s="62">
        <v>7.0</v>
      </c>
      <c r="N1698" s="62">
        <v>12.0</v>
      </c>
      <c r="O1698" s="62">
        <v>1.0</v>
      </c>
      <c r="P1698" s="62">
        <v>12.0</v>
      </c>
      <c r="Q1698" s="62">
        <v>0.0</v>
      </c>
      <c r="R1698" s="62">
        <v>21735.0</v>
      </c>
      <c r="S1698" s="62">
        <v>6576.0</v>
      </c>
      <c r="T1698" s="62">
        <v>0.871388888888888</v>
      </c>
      <c r="U1698" s="62">
        <v>0.425555555555555</v>
      </c>
      <c r="V1698" s="62">
        <v>0.0</v>
      </c>
      <c r="W1698" s="62">
        <v>1.50361111111111</v>
      </c>
      <c r="X1698" s="62">
        <v>0.445833333333333</v>
      </c>
      <c r="Y1698" s="62">
        <v>1.26555555555555</v>
      </c>
      <c r="Z1698" s="62">
        <v>0.634166666666666</v>
      </c>
      <c r="AA1698" s="62">
        <v>0.0</v>
      </c>
      <c r="AB1698" s="62">
        <v>1.45777777777777</v>
      </c>
      <c r="AC1698" s="62">
        <v>2.52527777777777</v>
      </c>
      <c r="AD1698" s="62">
        <v>0.201111111111111</v>
      </c>
      <c r="AE1698" s="62">
        <v>2.52527777777777</v>
      </c>
      <c r="AF1698" s="62">
        <v>4.0</v>
      </c>
    </row>
    <row r="1699">
      <c r="A1699" s="68">
        <v>45919.0</v>
      </c>
      <c r="B1699" s="62" t="s">
        <v>56</v>
      </c>
      <c r="C1699" s="62" t="s">
        <v>176</v>
      </c>
      <c r="D1699" s="62">
        <v>0.0</v>
      </c>
      <c r="E1699" s="62">
        <v>4.0</v>
      </c>
      <c r="F1699" s="62">
        <v>0.0</v>
      </c>
      <c r="G1699" s="62">
        <v>0.0</v>
      </c>
      <c r="H1699" s="62">
        <v>0.0</v>
      </c>
      <c r="I1699" s="62">
        <v>0.0</v>
      </c>
      <c r="J1699" s="62">
        <v>0.0</v>
      </c>
      <c r="K1699" s="62">
        <v>0.0</v>
      </c>
      <c r="L1699" s="62">
        <v>0.0</v>
      </c>
      <c r="M1699" s="62">
        <v>0.0</v>
      </c>
      <c r="N1699" s="62">
        <v>0.0</v>
      </c>
      <c r="O1699" s="62">
        <v>0.0</v>
      </c>
      <c r="P1699" s="62">
        <v>0.0</v>
      </c>
      <c r="Q1699" s="62">
        <v>0.0</v>
      </c>
      <c r="R1699" s="62">
        <v>0.0</v>
      </c>
      <c r="S1699" s="62">
        <v>8796.0</v>
      </c>
      <c r="T1699" s="62">
        <v>0.0</v>
      </c>
      <c r="U1699" s="62">
        <v>0.0</v>
      </c>
      <c r="V1699" s="62">
        <v>0.0</v>
      </c>
      <c r="W1699" s="62">
        <v>0.0</v>
      </c>
      <c r="X1699" s="62">
        <v>0.0</v>
      </c>
      <c r="Y1699" s="62">
        <v>0.0</v>
      </c>
      <c r="Z1699" s="62">
        <v>0.0</v>
      </c>
      <c r="AA1699" s="62">
        <v>0.0</v>
      </c>
      <c r="AB1699" s="62">
        <v>0.0</v>
      </c>
      <c r="AC1699" s="62">
        <v>0.0</v>
      </c>
      <c r="AD1699" s="62">
        <v>0.0</v>
      </c>
      <c r="AE1699" s="62">
        <v>0.0</v>
      </c>
      <c r="AF1699" s="62">
        <v>0.0</v>
      </c>
    </row>
    <row r="1700">
      <c r="A1700" s="68">
        <v>45919.0</v>
      </c>
      <c r="B1700" s="62" t="s">
        <v>26</v>
      </c>
      <c r="C1700" s="62" t="s">
        <v>178</v>
      </c>
      <c r="D1700" s="62">
        <v>6.0</v>
      </c>
      <c r="E1700" s="62">
        <v>5.0</v>
      </c>
      <c r="F1700" s="62">
        <v>2.0</v>
      </c>
      <c r="G1700" s="62">
        <v>2.0</v>
      </c>
      <c r="H1700" s="62">
        <v>2.0</v>
      </c>
      <c r="I1700" s="62">
        <v>0.0</v>
      </c>
      <c r="J1700" s="62">
        <v>4.0</v>
      </c>
      <c r="K1700" s="62">
        <v>1.0</v>
      </c>
      <c r="L1700" s="62">
        <v>1.0</v>
      </c>
      <c r="M1700" s="62">
        <v>5.0</v>
      </c>
      <c r="N1700" s="62">
        <v>5.0</v>
      </c>
      <c r="O1700" s="62">
        <v>1.0</v>
      </c>
      <c r="P1700" s="62">
        <v>5.0</v>
      </c>
      <c r="Q1700" s="62">
        <v>0.0</v>
      </c>
      <c r="R1700" s="62">
        <v>13135.0</v>
      </c>
      <c r="S1700" s="62">
        <v>11193.0</v>
      </c>
      <c r="T1700" s="62">
        <v>0.366111111111111</v>
      </c>
      <c r="U1700" s="62">
        <v>0.366111111111111</v>
      </c>
      <c r="V1700" s="62">
        <v>0.377222222222222</v>
      </c>
      <c r="W1700" s="62">
        <v>0.377222222222222</v>
      </c>
      <c r="X1700" s="62">
        <v>0.0</v>
      </c>
      <c r="Y1700" s="62">
        <v>0.755277777777777</v>
      </c>
      <c r="Z1700" s="62">
        <v>0.181666666666666</v>
      </c>
      <c r="AA1700" s="62">
        <v>0.181666666666666</v>
      </c>
      <c r="AB1700" s="62">
        <v>0.938055555555555</v>
      </c>
      <c r="AC1700" s="62">
        <v>0.938055555555555</v>
      </c>
      <c r="AD1700" s="62">
        <v>0.201111111111111</v>
      </c>
      <c r="AE1700" s="62">
        <v>0.938055555555555</v>
      </c>
      <c r="AF1700" s="62">
        <v>2.0</v>
      </c>
    </row>
    <row r="1701">
      <c r="A1701" s="68">
        <v>45918.0</v>
      </c>
      <c r="B1701" s="62" t="s">
        <v>76</v>
      </c>
      <c r="C1701" s="62" t="s">
        <v>165</v>
      </c>
      <c r="D1701" s="62">
        <v>0.0</v>
      </c>
      <c r="E1701" s="62">
        <v>2.0</v>
      </c>
      <c r="F1701" s="62">
        <v>2.0</v>
      </c>
      <c r="G1701" s="62">
        <v>0.0</v>
      </c>
      <c r="H1701" s="62">
        <v>6.0</v>
      </c>
      <c r="I1701" s="62">
        <v>1.0</v>
      </c>
      <c r="J1701" s="62">
        <v>7.0</v>
      </c>
      <c r="K1701" s="62">
        <v>0.0</v>
      </c>
      <c r="L1701" s="62">
        <v>0.0</v>
      </c>
      <c r="M1701" s="62">
        <v>6.0</v>
      </c>
      <c r="N1701" s="62">
        <v>6.0</v>
      </c>
      <c r="O1701" s="62">
        <v>2.0</v>
      </c>
      <c r="P1701" s="62">
        <v>6.0</v>
      </c>
      <c r="Q1701" s="62">
        <v>0.0</v>
      </c>
      <c r="R1701" s="62">
        <v>0.0</v>
      </c>
      <c r="S1701" s="62">
        <v>4884.0</v>
      </c>
      <c r="T1701" s="62">
        <v>0.699166666666666</v>
      </c>
      <c r="U1701" s="62">
        <v>0.460277777777777</v>
      </c>
      <c r="V1701" s="62">
        <v>0.0</v>
      </c>
      <c r="W1701" s="62">
        <v>1.3875</v>
      </c>
      <c r="X1701" s="62">
        <v>0.238888888888888</v>
      </c>
      <c r="Y1701" s="62">
        <v>1.63083333333333</v>
      </c>
      <c r="Z1701" s="62">
        <v>0.0</v>
      </c>
      <c r="AA1701" s="62">
        <v>0.0</v>
      </c>
      <c r="AB1701" s="62">
        <v>1.39833333333333</v>
      </c>
      <c r="AC1701" s="62">
        <v>1.46916666666666</v>
      </c>
      <c r="AD1701" s="62">
        <v>0.497222222222222</v>
      </c>
      <c r="AE1701" s="62">
        <v>1.46916666666666</v>
      </c>
      <c r="AF1701" s="62">
        <v>3.0</v>
      </c>
    </row>
    <row r="1702">
      <c r="A1702" s="68">
        <v>45918.0</v>
      </c>
      <c r="B1702" s="62" t="s">
        <v>32</v>
      </c>
      <c r="C1702" s="62" t="s">
        <v>168</v>
      </c>
      <c r="D1702" s="62">
        <v>2.0</v>
      </c>
      <c r="E1702" s="62">
        <v>3.0</v>
      </c>
      <c r="F1702" s="62">
        <v>1.0</v>
      </c>
      <c r="G1702" s="62">
        <v>0.0</v>
      </c>
      <c r="H1702" s="62">
        <v>4.0</v>
      </c>
      <c r="I1702" s="62">
        <v>2.0</v>
      </c>
      <c r="J1702" s="62">
        <v>2.0</v>
      </c>
      <c r="K1702" s="62">
        <v>0.0</v>
      </c>
      <c r="L1702" s="62">
        <v>0.0</v>
      </c>
      <c r="M1702" s="62">
        <v>2.0</v>
      </c>
      <c r="N1702" s="62">
        <v>4.0</v>
      </c>
      <c r="O1702" s="62">
        <v>1.0</v>
      </c>
      <c r="P1702" s="62">
        <v>4.0</v>
      </c>
      <c r="Q1702" s="62">
        <v>0.0</v>
      </c>
      <c r="R1702" s="62">
        <v>4400.0</v>
      </c>
      <c r="S1702" s="62">
        <v>6340.0</v>
      </c>
      <c r="T1702" s="62">
        <v>0.63</v>
      </c>
      <c r="U1702" s="62">
        <v>0.2075</v>
      </c>
      <c r="V1702" s="62">
        <v>0.0</v>
      </c>
      <c r="W1702" s="62">
        <v>0.823611111111111</v>
      </c>
      <c r="X1702" s="62">
        <v>0.4225</v>
      </c>
      <c r="Y1702" s="62">
        <v>0.401111111111111</v>
      </c>
      <c r="Z1702" s="62">
        <v>0.0</v>
      </c>
      <c r="AA1702" s="62">
        <v>0.0</v>
      </c>
      <c r="AB1702" s="62">
        <v>0.440555555555555</v>
      </c>
      <c r="AC1702" s="62">
        <v>0.878055555555555</v>
      </c>
      <c r="AD1702" s="62">
        <v>0.196388888888888</v>
      </c>
      <c r="AE1702" s="62">
        <v>0.878055555555555</v>
      </c>
      <c r="AF1702" s="62">
        <v>3.0</v>
      </c>
    </row>
    <row r="1703">
      <c r="A1703" s="68">
        <v>45918.0</v>
      </c>
      <c r="B1703" s="62" t="s">
        <v>56</v>
      </c>
      <c r="C1703" s="62" t="s">
        <v>176</v>
      </c>
      <c r="D1703" s="62">
        <v>4.0</v>
      </c>
      <c r="E1703" s="62">
        <v>0.0</v>
      </c>
      <c r="F1703" s="62">
        <v>0.0</v>
      </c>
      <c r="G1703" s="62">
        <v>0.0</v>
      </c>
      <c r="H1703" s="62">
        <v>0.0</v>
      </c>
      <c r="I1703" s="62">
        <v>0.0</v>
      </c>
      <c r="J1703" s="62">
        <v>0.0</v>
      </c>
      <c r="K1703" s="62">
        <v>0.0</v>
      </c>
      <c r="L1703" s="62">
        <v>0.0</v>
      </c>
      <c r="M1703" s="62">
        <v>0.0</v>
      </c>
      <c r="N1703" s="62">
        <v>0.0</v>
      </c>
      <c r="O1703" s="62">
        <v>0.0</v>
      </c>
      <c r="P1703" s="62">
        <v>0.0</v>
      </c>
      <c r="Q1703" s="62">
        <v>0.0</v>
      </c>
      <c r="R1703" s="62">
        <v>8796.0</v>
      </c>
      <c r="S1703" s="62">
        <v>0.0</v>
      </c>
      <c r="T1703" s="62">
        <v>0.0</v>
      </c>
      <c r="U1703" s="62">
        <v>0.0</v>
      </c>
      <c r="V1703" s="62">
        <v>0.0</v>
      </c>
      <c r="W1703" s="62">
        <v>0.0</v>
      </c>
      <c r="X1703" s="62">
        <v>0.0</v>
      </c>
      <c r="Y1703" s="62">
        <v>0.0</v>
      </c>
      <c r="Z1703" s="62">
        <v>0.0</v>
      </c>
      <c r="AA1703" s="62">
        <v>0.0</v>
      </c>
      <c r="AB1703" s="62">
        <v>0.0</v>
      </c>
      <c r="AC1703" s="62">
        <v>0.0</v>
      </c>
      <c r="AD1703" s="62">
        <v>0.0</v>
      </c>
      <c r="AE1703" s="62">
        <v>0.0</v>
      </c>
      <c r="AF1703" s="62">
        <v>0.0</v>
      </c>
    </row>
    <row r="1704">
      <c r="A1704" s="68">
        <v>45918.0</v>
      </c>
      <c r="B1704" s="62" t="s">
        <v>26</v>
      </c>
      <c r="C1704" s="62" t="s">
        <v>178</v>
      </c>
      <c r="D1704" s="62">
        <v>0.0</v>
      </c>
      <c r="E1704" s="62">
        <v>2.0</v>
      </c>
      <c r="F1704" s="62">
        <v>5.0</v>
      </c>
      <c r="G1704" s="62">
        <v>5.0</v>
      </c>
      <c r="H1704" s="62">
        <v>5.0</v>
      </c>
      <c r="I1704" s="62">
        <v>0.0</v>
      </c>
      <c r="J1704" s="62">
        <v>2.0</v>
      </c>
      <c r="K1704" s="62">
        <v>7.0</v>
      </c>
      <c r="L1704" s="62">
        <v>2.0</v>
      </c>
      <c r="M1704" s="62">
        <v>5.0</v>
      </c>
      <c r="N1704" s="62">
        <v>6.0</v>
      </c>
      <c r="O1704" s="62">
        <v>1.0</v>
      </c>
      <c r="P1704" s="62">
        <v>6.0</v>
      </c>
      <c r="Q1704" s="62">
        <v>0.0</v>
      </c>
      <c r="R1704" s="62">
        <v>0.0</v>
      </c>
      <c r="S1704" s="62">
        <v>4501.0</v>
      </c>
      <c r="T1704" s="62">
        <v>0.745555555555555</v>
      </c>
      <c r="U1704" s="62">
        <v>0.908333333333333</v>
      </c>
      <c r="V1704" s="62">
        <v>0.938055555555555</v>
      </c>
      <c r="W1704" s="62">
        <v>0.938055555555555</v>
      </c>
      <c r="X1704" s="62">
        <v>0.0</v>
      </c>
      <c r="Y1704" s="62">
        <v>0.375277777777777</v>
      </c>
      <c r="Z1704" s="62">
        <v>1.38472222222222</v>
      </c>
      <c r="AA1704" s="62">
        <v>0.375277777777777</v>
      </c>
      <c r="AB1704" s="62">
        <v>1.00944444444444</v>
      </c>
      <c r="AC1704" s="62">
        <v>1.18944444444444</v>
      </c>
      <c r="AD1704" s="62">
        <v>0.189444444444444</v>
      </c>
      <c r="AE1704" s="62">
        <v>1.18944444444444</v>
      </c>
      <c r="AF1704" s="62">
        <v>4.0</v>
      </c>
    </row>
    <row r="1705">
      <c r="A1705" s="68">
        <v>45917.0</v>
      </c>
      <c r="B1705" s="62" t="s">
        <v>76</v>
      </c>
      <c r="C1705" s="62" t="s">
        <v>165</v>
      </c>
      <c r="D1705" s="62">
        <v>1.0</v>
      </c>
      <c r="E1705" s="62">
        <v>0.0</v>
      </c>
      <c r="F1705" s="62">
        <v>3.0</v>
      </c>
      <c r="G1705" s="62">
        <v>0.0</v>
      </c>
      <c r="H1705" s="62">
        <v>0.0</v>
      </c>
      <c r="I1705" s="62">
        <v>0.0</v>
      </c>
      <c r="J1705" s="62">
        <v>0.0</v>
      </c>
      <c r="K1705" s="62">
        <v>0.0</v>
      </c>
      <c r="L1705" s="62">
        <v>0.0</v>
      </c>
      <c r="M1705" s="62">
        <v>0.0</v>
      </c>
      <c r="N1705" s="62">
        <v>0.0</v>
      </c>
      <c r="O1705" s="62">
        <v>0.0</v>
      </c>
      <c r="P1705" s="62">
        <v>0.0</v>
      </c>
      <c r="Q1705" s="62">
        <v>0.0</v>
      </c>
      <c r="R1705" s="62">
        <v>2240.0</v>
      </c>
      <c r="S1705" s="62">
        <v>0.0</v>
      </c>
      <c r="T1705" s="62">
        <v>0.711666666666666</v>
      </c>
      <c r="U1705" s="62">
        <v>0.711666666666666</v>
      </c>
      <c r="V1705" s="62">
        <v>0.0</v>
      </c>
      <c r="W1705" s="62">
        <v>0.0</v>
      </c>
      <c r="X1705" s="62">
        <v>0.0</v>
      </c>
      <c r="Y1705" s="62">
        <v>0.0</v>
      </c>
      <c r="Z1705" s="62">
        <v>0.0</v>
      </c>
      <c r="AA1705" s="62">
        <v>0.0</v>
      </c>
      <c r="AB1705" s="62">
        <v>0.0</v>
      </c>
      <c r="AC1705" s="62">
        <v>0.0</v>
      </c>
      <c r="AD1705" s="62">
        <v>0.0</v>
      </c>
      <c r="AE1705" s="62">
        <v>0.0</v>
      </c>
      <c r="AF1705" s="62">
        <v>3.0</v>
      </c>
    </row>
    <row r="1706">
      <c r="A1706" s="68">
        <v>45917.0</v>
      </c>
      <c r="B1706" s="62" t="s">
        <v>32</v>
      </c>
      <c r="C1706" s="62" t="s">
        <v>168</v>
      </c>
      <c r="D1706" s="62">
        <v>3.0</v>
      </c>
      <c r="E1706" s="62">
        <v>2.0</v>
      </c>
      <c r="F1706" s="62">
        <v>4.0</v>
      </c>
      <c r="G1706" s="62">
        <v>0.0</v>
      </c>
      <c r="H1706" s="62">
        <v>2.0</v>
      </c>
      <c r="I1706" s="62">
        <v>1.0</v>
      </c>
      <c r="J1706" s="62">
        <v>4.0</v>
      </c>
      <c r="K1706" s="62">
        <v>0.0</v>
      </c>
      <c r="L1706" s="62">
        <v>0.0</v>
      </c>
      <c r="M1706" s="62">
        <v>5.0</v>
      </c>
      <c r="N1706" s="62">
        <v>0.0</v>
      </c>
      <c r="O1706" s="62">
        <v>1.0</v>
      </c>
      <c r="P1706" s="62">
        <v>0.0</v>
      </c>
      <c r="Q1706" s="62">
        <v>0.0</v>
      </c>
      <c r="R1706" s="62">
        <v>6737.0</v>
      </c>
      <c r="S1706" s="62">
        <v>4304.0</v>
      </c>
      <c r="T1706" s="62">
        <v>0.834444444444444</v>
      </c>
      <c r="U1706" s="62">
        <v>0.824166666666666</v>
      </c>
      <c r="V1706" s="62">
        <v>0.0</v>
      </c>
      <c r="W1706" s="62">
        <v>0.419444444444444</v>
      </c>
      <c r="X1706" s="62">
        <v>0.208611111111111</v>
      </c>
      <c r="Y1706" s="62">
        <v>0.865833333333333</v>
      </c>
      <c r="Z1706" s="62">
        <v>0.0</v>
      </c>
      <c r="AA1706" s="62">
        <v>0.0</v>
      </c>
      <c r="AB1706" s="62">
        <v>1.0675</v>
      </c>
      <c r="AC1706" s="62">
        <v>0.0</v>
      </c>
      <c r="AD1706" s="62">
        <v>0.194444444444444</v>
      </c>
      <c r="AE1706" s="62">
        <v>0.0</v>
      </c>
      <c r="AF1706" s="62">
        <v>4.0</v>
      </c>
    </row>
    <row r="1707">
      <c r="A1707" s="68">
        <v>45917.0</v>
      </c>
      <c r="B1707" s="62" t="s">
        <v>56</v>
      </c>
      <c r="C1707" s="62" t="s">
        <v>176</v>
      </c>
      <c r="D1707" s="62">
        <v>0.0</v>
      </c>
      <c r="E1707" s="62">
        <v>1.0</v>
      </c>
      <c r="F1707" s="62">
        <v>0.0</v>
      </c>
      <c r="G1707" s="62">
        <v>0.0</v>
      </c>
      <c r="H1707" s="62">
        <v>0.0</v>
      </c>
      <c r="I1707" s="62">
        <v>0.0</v>
      </c>
      <c r="J1707" s="62">
        <v>0.0</v>
      </c>
      <c r="K1707" s="62">
        <v>0.0</v>
      </c>
      <c r="L1707" s="62">
        <v>0.0</v>
      </c>
      <c r="M1707" s="62">
        <v>0.0</v>
      </c>
      <c r="N1707" s="62">
        <v>0.0</v>
      </c>
      <c r="O1707" s="62">
        <v>0.0</v>
      </c>
      <c r="P1707" s="62">
        <v>0.0</v>
      </c>
      <c r="Q1707" s="62">
        <v>0.0</v>
      </c>
      <c r="R1707" s="62">
        <v>0.0</v>
      </c>
      <c r="S1707" s="62">
        <v>2138.0</v>
      </c>
      <c r="T1707" s="62">
        <v>0.0</v>
      </c>
      <c r="U1707" s="62">
        <v>0.0</v>
      </c>
      <c r="V1707" s="62">
        <v>0.0</v>
      </c>
      <c r="W1707" s="62">
        <v>0.0</v>
      </c>
      <c r="X1707" s="62">
        <v>0.0</v>
      </c>
      <c r="Y1707" s="62">
        <v>0.0</v>
      </c>
      <c r="Z1707" s="62">
        <v>0.0</v>
      </c>
      <c r="AA1707" s="62">
        <v>0.0</v>
      </c>
      <c r="AB1707" s="62">
        <v>0.0</v>
      </c>
      <c r="AC1707" s="62">
        <v>0.0</v>
      </c>
      <c r="AD1707" s="62">
        <v>0.0</v>
      </c>
      <c r="AE1707" s="62">
        <v>0.0</v>
      </c>
      <c r="AF1707" s="62">
        <v>0.0</v>
      </c>
    </row>
    <row r="1708">
      <c r="A1708" s="68">
        <v>45917.0</v>
      </c>
      <c r="B1708" s="62" t="s">
        <v>26</v>
      </c>
      <c r="C1708" s="62" t="s">
        <v>178</v>
      </c>
      <c r="D1708" s="62">
        <v>3.0</v>
      </c>
      <c r="E1708" s="62">
        <v>2.0</v>
      </c>
      <c r="F1708" s="62">
        <v>2.0</v>
      </c>
      <c r="G1708" s="62">
        <v>3.0</v>
      </c>
      <c r="H1708" s="62">
        <v>5.0</v>
      </c>
      <c r="I1708" s="62">
        <v>2.0</v>
      </c>
      <c r="J1708" s="62">
        <v>6.0</v>
      </c>
      <c r="K1708" s="62">
        <v>1.0</v>
      </c>
      <c r="L1708" s="62">
        <v>0.0</v>
      </c>
      <c r="M1708" s="62">
        <v>3.0</v>
      </c>
      <c r="N1708" s="62">
        <v>4.0</v>
      </c>
      <c r="O1708" s="62">
        <v>1.0</v>
      </c>
      <c r="P1708" s="62">
        <v>4.0</v>
      </c>
      <c r="Q1708" s="62">
        <v>0.0</v>
      </c>
      <c r="R1708" s="62">
        <v>6669.0</v>
      </c>
      <c r="S1708" s="62">
        <v>4565.0</v>
      </c>
      <c r="T1708" s="62">
        <v>0.162777777777777</v>
      </c>
      <c r="U1708" s="62">
        <v>0.383888888888888</v>
      </c>
      <c r="V1708" s="62">
        <v>0.614166666666666</v>
      </c>
      <c r="W1708" s="62">
        <v>1.00555555555555</v>
      </c>
      <c r="X1708" s="62">
        <v>0.391388888888888</v>
      </c>
      <c r="Y1708" s="62">
        <v>1.23527777777777</v>
      </c>
      <c r="Z1708" s="62">
        <v>0.18</v>
      </c>
      <c r="AA1708" s="62">
        <v>0.0</v>
      </c>
      <c r="AB1708" s="62">
        <v>0.617499999999999</v>
      </c>
      <c r="AC1708" s="62">
        <v>0.836666666666666</v>
      </c>
      <c r="AD1708" s="62">
        <v>0.209166666666666</v>
      </c>
      <c r="AE1708" s="62">
        <v>0.836666666666666</v>
      </c>
      <c r="AF1708" s="62">
        <v>1.0</v>
      </c>
    </row>
    <row r="1709">
      <c r="A1709" s="68">
        <v>45916.0</v>
      </c>
      <c r="B1709" s="62" t="s">
        <v>76</v>
      </c>
      <c r="C1709" s="62" t="s">
        <v>165</v>
      </c>
      <c r="D1709" s="62">
        <v>3.0</v>
      </c>
      <c r="E1709" s="62">
        <v>6.0</v>
      </c>
      <c r="F1709" s="62">
        <v>0.0</v>
      </c>
      <c r="G1709" s="62">
        <v>0.0</v>
      </c>
      <c r="H1709" s="62">
        <v>0.0</v>
      </c>
      <c r="I1709" s="62">
        <v>0.0</v>
      </c>
      <c r="J1709" s="62">
        <v>2.0</v>
      </c>
      <c r="K1709" s="62">
        <v>0.0</v>
      </c>
      <c r="L1709" s="62">
        <v>0.0</v>
      </c>
      <c r="M1709" s="62">
        <v>2.0</v>
      </c>
      <c r="N1709" s="62">
        <v>0.0</v>
      </c>
      <c r="O1709" s="62">
        <v>0.0</v>
      </c>
      <c r="P1709" s="62">
        <v>0.0</v>
      </c>
      <c r="Q1709" s="62">
        <v>0.0</v>
      </c>
      <c r="R1709" s="62">
        <v>7147.0</v>
      </c>
      <c r="S1709" s="62">
        <v>14245.0</v>
      </c>
      <c r="T1709" s="62">
        <v>0.0</v>
      </c>
      <c r="U1709" s="62">
        <v>0.0</v>
      </c>
      <c r="V1709" s="62">
        <v>0.0</v>
      </c>
      <c r="W1709" s="62">
        <v>0.0</v>
      </c>
      <c r="X1709" s="62">
        <v>0.0</v>
      </c>
      <c r="Y1709" s="62">
        <v>0.519444444444444</v>
      </c>
      <c r="Z1709" s="62">
        <v>0.0</v>
      </c>
      <c r="AA1709" s="62">
        <v>0.0</v>
      </c>
      <c r="AB1709" s="62">
        <v>0.519444444444444</v>
      </c>
      <c r="AC1709" s="62">
        <v>0.0</v>
      </c>
      <c r="AD1709" s="62">
        <v>0.0</v>
      </c>
      <c r="AE1709" s="62">
        <v>0.0</v>
      </c>
      <c r="AF1709" s="62">
        <v>0.0</v>
      </c>
    </row>
    <row r="1710">
      <c r="A1710" s="68">
        <v>45916.0</v>
      </c>
      <c r="B1710" s="62" t="s">
        <v>32</v>
      </c>
      <c r="C1710" s="62" t="s">
        <v>168</v>
      </c>
      <c r="D1710" s="62">
        <v>0.0</v>
      </c>
      <c r="E1710" s="62">
        <v>3.0</v>
      </c>
      <c r="F1710" s="62">
        <v>1.0</v>
      </c>
      <c r="G1710" s="62">
        <v>0.0</v>
      </c>
      <c r="H1710" s="62">
        <v>1.0</v>
      </c>
      <c r="I1710" s="62">
        <v>0.0</v>
      </c>
      <c r="J1710" s="62">
        <v>5.0</v>
      </c>
      <c r="K1710" s="62">
        <v>2.0</v>
      </c>
      <c r="L1710" s="62">
        <v>0.0</v>
      </c>
      <c r="M1710" s="62">
        <v>2.0</v>
      </c>
      <c r="N1710" s="62">
        <v>0.0</v>
      </c>
      <c r="O1710" s="62">
        <v>1.0</v>
      </c>
      <c r="P1710" s="62">
        <v>0.0</v>
      </c>
      <c r="Q1710" s="62">
        <v>0.0</v>
      </c>
      <c r="R1710" s="62">
        <v>0.0</v>
      </c>
      <c r="S1710" s="62">
        <v>6652.0</v>
      </c>
      <c r="T1710" s="62">
        <v>0.401388888888888</v>
      </c>
      <c r="U1710" s="62">
        <v>0.203055555555555</v>
      </c>
      <c r="V1710" s="62">
        <v>0.0</v>
      </c>
      <c r="W1710" s="62">
        <v>0.201666666666666</v>
      </c>
      <c r="X1710" s="62">
        <v>0.0</v>
      </c>
      <c r="Y1710" s="62">
        <v>1.07972222222222</v>
      </c>
      <c r="Z1710" s="62">
        <v>0.440555555555555</v>
      </c>
      <c r="AA1710" s="62">
        <v>0.0</v>
      </c>
      <c r="AB1710" s="62">
        <v>0.4375</v>
      </c>
      <c r="AC1710" s="62">
        <v>0.0</v>
      </c>
      <c r="AD1710" s="62">
        <v>0.188055555555555</v>
      </c>
      <c r="AE1710" s="62">
        <v>0.0</v>
      </c>
      <c r="AF1710" s="62">
        <v>2.0</v>
      </c>
    </row>
    <row r="1711">
      <c r="A1711" s="68">
        <v>45916.0</v>
      </c>
      <c r="B1711" s="62" t="s">
        <v>56</v>
      </c>
      <c r="C1711" s="62" t="s">
        <v>176</v>
      </c>
      <c r="D1711" s="62">
        <v>1.0</v>
      </c>
      <c r="E1711" s="62">
        <v>0.0</v>
      </c>
      <c r="F1711" s="62">
        <v>0.0</v>
      </c>
      <c r="G1711" s="62">
        <v>0.0</v>
      </c>
      <c r="H1711" s="62">
        <v>0.0</v>
      </c>
      <c r="I1711" s="62">
        <v>0.0</v>
      </c>
      <c r="J1711" s="62">
        <v>0.0</v>
      </c>
      <c r="K1711" s="62">
        <v>0.0</v>
      </c>
      <c r="L1711" s="62">
        <v>0.0</v>
      </c>
      <c r="M1711" s="62">
        <v>0.0</v>
      </c>
      <c r="N1711" s="62">
        <v>0.0</v>
      </c>
      <c r="O1711" s="62">
        <v>0.0</v>
      </c>
      <c r="P1711" s="62">
        <v>0.0</v>
      </c>
      <c r="Q1711" s="62">
        <v>0.0</v>
      </c>
      <c r="R1711" s="62">
        <v>2138.0</v>
      </c>
      <c r="S1711" s="62">
        <v>0.0</v>
      </c>
      <c r="T1711" s="62">
        <v>0.0</v>
      </c>
      <c r="U1711" s="62">
        <v>0.0</v>
      </c>
      <c r="V1711" s="62">
        <v>0.0</v>
      </c>
      <c r="W1711" s="62">
        <v>0.0</v>
      </c>
      <c r="X1711" s="62">
        <v>0.0</v>
      </c>
      <c r="Y1711" s="62">
        <v>0.0</v>
      </c>
      <c r="Z1711" s="62">
        <v>0.0</v>
      </c>
      <c r="AA1711" s="62">
        <v>0.0</v>
      </c>
      <c r="AB1711" s="62">
        <v>0.0</v>
      </c>
      <c r="AC1711" s="62">
        <v>0.0</v>
      </c>
      <c r="AD1711" s="62">
        <v>0.0</v>
      </c>
      <c r="AE1711" s="62">
        <v>0.0</v>
      </c>
      <c r="AF1711" s="62">
        <v>0.0</v>
      </c>
    </row>
    <row r="1712">
      <c r="A1712" s="68">
        <v>45916.0</v>
      </c>
      <c r="B1712" s="62" t="s">
        <v>26</v>
      </c>
      <c r="C1712" s="62" t="s">
        <v>178</v>
      </c>
      <c r="D1712" s="62">
        <v>3.0</v>
      </c>
      <c r="E1712" s="62">
        <v>3.0</v>
      </c>
      <c r="F1712" s="62">
        <v>1.0</v>
      </c>
      <c r="G1712" s="62">
        <v>2.0</v>
      </c>
      <c r="H1712" s="62">
        <v>3.0</v>
      </c>
      <c r="I1712" s="62">
        <v>1.0</v>
      </c>
      <c r="J1712" s="62">
        <v>4.0</v>
      </c>
      <c r="K1712" s="62">
        <v>0.0</v>
      </c>
      <c r="L1712" s="62">
        <v>0.0</v>
      </c>
      <c r="M1712" s="62">
        <v>2.0</v>
      </c>
      <c r="N1712" s="62">
        <v>0.0</v>
      </c>
      <c r="O1712" s="62">
        <v>1.0</v>
      </c>
      <c r="P1712" s="62">
        <v>0.0</v>
      </c>
      <c r="Q1712" s="62">
        <v>0.0</v>
      </c>
      <c r="R1712" s="62">
        <v>6518.0</v>
      </c>
      <c r="S1712" s="62">
        <v>6682.0</v>
      </c>
      <c r="T1712" s="62">
        <v>1.18277777777777</v>
      </c>
      <c r="U1712" s="62">
        <v>0.227777777777777</v>
      </c>
      <c r="V1712" s="62">
        <v>0.4375</v>
      </c>
      <c r="W1712" s="62">
        <v>0.617222222222222</v>
      </c>
      <c r="X1712" s="62">
        <v>0.179722222222222</v>
      </c>
      <c r="Y1712" s="62">
        <v>0.790833333333333</v>
      </c>
      <c r="Z1712" s="62">
        <v>0.0</v>
      </c>
      <c r="AA1712" s="62">
        <v>0.0</v>
      </c>
      <c r="AB1712" s="62">
        <v>0.399166666666666</v>
      </c>
      <c r="AC1712" s="62">
        <v>0.0</v>
      </c>
      <c r="AD1712" s="62">
        <v>0.209722222222222</v>
      </c>
      <c r="AE1712" s="62">
        <v>0.0</v>
      </c>
      <c r="AF1712" s="62">
        <v>6.0</v>
      </c>
    </row>
    <row r="1713">
      <c r="A1713" s="68">
        <v>45915.0</v>
      </c>
      <c r="B1713" s="62" t="s">
        <v>76</v>
      </c>
      <c r="C1713" s="62" t="s">
        <v>165</v>
      </c>
      <c r="D1713" s="62">
        <v>2.0</v>
      </c>
      <c r="E1713" s="62">
        <v>1.0</v>
      </c>
      <c r="F1713" s="62">
        <v>5.0</v>
      </c>
      <c r="G1713" s="62">
        <v>0.0</v>
      </c>
      <c r="H1713" s="62">
        <v>4.0</v>
      </c>
      <c r="I1713" s="62">
        <v>4.0</v>
      </c>
      <c r="J1713" s="62">
        <v>0.0</v>
      </c>
      <c r="K1713" s="62">
        <v>0.0</v>
      </c>
      <c r="L1713" s="62">
        <v>0.0</v>
      </c>
      <c r="M1713" s="62">
        <v>0.0</v>
      </c>
      <c r="N1713" s="62">
        <v>0.0</v>
      </c>
      <c r="O1713" s="62">
        <v>0.0</v>
      </c>
      <c r="P1713" s="62">
        <v>0.0</v>
      </c>
      <c r="Q1713" s="62">
        <v>0.0</v>
      </c>
      <c r="R1713" s="62">
        <v>5044.0</v>
      </c>
      <c r="S1713" s="62">
        <v>2387.0</v>
      </c>
      <c r="T1713" s="62">
        <v>0.0</v>
      </c>
      <c r="U1713" s="62">
        <v>1.13611111111111</v>
      </c>
      <c r="V1713" s="62">
        <v>0.0</v>
      </c>
      <c r="W1713" s="62">
        <v>0.994166666666666</v>
      </c>
      <c r="X1713" s="62">
        <v>0.994166666666666</v>
      </c>
      <c r="Y1713" s="62">
        <v>0.0</v>
      </c>
      <c r="Z1713" s="62">
        <v>0.0</v>
      </c>
      <c r="AA1713" s="62">
        <v>0.0</v>
      </c>
      <c r="AB1713" s="62">
        <v>0.0</v>
      </c>
      <c r="AC1713" s="62">
        <v>0.0</v>
      </c>
      <c r="AD1713" s="62">
        <v>0.0</v>
      </c>
      <c r="AE1713" s="62">
        <v>0.0</v>
      </c>
      <c r="AF1713" s="62">
        <v>0.0</v>
      </c>
    </row>
    <row r="1714">
      <c r="A1714" s="68">
        <v>45915.0</v>
      </c>
      <c r="B1714" s="62" t="s">
        <v>32</v>
      </c>
      <c r="C1714" s="62" t="s">
        <v>168</v>
      </c>
      <c r="D1714" s="62">
        <v>0.0</v>
      </c>
      <c r="E1714" s="62">
        <v>2.0</v>
      </c>
      <c r="F1714" s="62">
        <v>3.0</v>
      </c>
      <c r="G1714" s="62">
        <v>0.0</v>
      </c>
      <c r="H1714" s="62">
        <v>2.0</v>
      </c>
      <c r="I1714" s="62">
        <v>2.0</v>
      </c>
      <c r="J1714" s="62">
        <v>0.0</v>
      </c>
      <c r="K1714" s="62">
        <v>0.0</v>
      </c>
      <c r="L1714" s="62">
        <v>0.0</v>
      </c>
      <c r="M1714" s="62">
        <v>1.0</v>
      </c>
      <c r="N1714" s="62">
        <v>1.0</v>
      </c>
      <c r="O1714" s="62">
        <v>1.0</v>
      </c>
      <c r="P1714" s="62">
        <v>1.0</v>
      </c>
      <c r="Q1714" s="62">
        <v>0.0</v>
      </c>
      <c r="R1714" s="62">
        <v>0.0</v>
      </c>
      <c r="S1714" s="62">
        <v>4143.0</v>
      </c>
      <c r="T1714" s="62">
        <v>1.07194444444444</v>
      </c>
      <c r="U1714" s="62">
        <v>0.64</v>
      </c>
      <c r="V1714" s="62">
        <v>0.0</v>
      </c>
      <c r="W1714" s="62">
        <v>0.431944444444444</v>
      </c>
      <c r="X1714" s="62">
        <v>0.431944444444444</v>
      </c>
      <c r="Y1714" s="62">
        <v>0.0</v>
      </c>
      <c r="Z1714" s="62">
        <v>0.0</v>
      </c>
      <c r="AA1714" s="62">
        <v>0.0</v>
      </c>
      <c r="AB1714" s="62">
        <v>0.221666666666666</v>
      </c>
      <c r="AC1714" s="62">
        <v>0.221666666666666</v>
      </c>
      <c r="AD1714" s="62">
        <v>0.196388888888888</v>
      </c>
      <c r="AE1714" s="62">
        <v>0.221666666666666</v>
      </c>
      <c r="AF1714" s="62">
        <v>5.0</v>
      </c>
    </row>
    <row r="1715">
      <c r="A1715" s="68">
        <v>45915.0</v>
      </c>
      <c r="B1715" s="62" t="s">
        <v>26</v>
      </c>
      <c r="C1715" s="62" t="s">
        <v>178</v>
      </c>
      <c r="D1715" s="62">
        <v>3.0</v>
      </c>
      <c r="E1715" s="62">
        <v>3.0</v>
      </c>
      <c r="F1715" s="62">
        <v>2.0</v>
      </c>
      <c r="G1715" s="62">
        <v>0.0</v>
      </c>
      <c r="H1715" s="62">
        <v>2.0</v>
      </c>
      <c r="I1715" s="62">
        <v>2.0</v>
      </c>
      <c r="J1715" s="62">
        <v>0.0</v>
      </c>
      <c r="K1715" s="62">
        <v>0.0</v>
      </c>
      <c r="L1715" s="62">
        <v>0.0</v>
      </c>
      <c r="M1715" s="62">
        <v>4.0</v>
      </c>
      <c r="N1715" s="62">
        <v>8.0</v>
      </c>
      <c r="O1715" s="62">
        <v>1.0</v>
      </c>
      <c r="P1715" s="62">
        <v>8.0</v>
      </c>
      <c r="Q1715" s="62">
        <v>0.0</v>
      </c>
      <c r="R1715" s="62">
        <v>6555.0</v>
      </c>
      <c r="S1715" s="62">
        <v>6313.0</v>
      </c>
      <c r="T1715" s="62">
        <v>0.620555555555555</v>
      </c>
      <c r="U1715" s="62">
        <v>0.433611111111111</v>
      </c>
      <c r="V1715" s="62">
        <v>0.0</v>
      </c>
      <c r="W1715" s="62">
        <v>0.396944444444444</v>
      </c>
      <c r="X1715" s="62">
        <v>0.396944444444444</v>
      </c>
      <c r="Y1715" s="62">
        <v>0.0</v>
      </c>
      <c r="Z1715" s="62">
        <v>0.0</v>
      </c>
      <c r="AA1715" s="62">
        <v>0.0</v>
      </c>
      <c r="AB1715" s="62">
        <v>0.757777777777777</v>
      </c>
      <c r="AC1715" s="62">
        <v>1.54888888888888</v>
      </c>
      <c r="AD1715" s="62">
        <v>0.191666666666666</v>
      </c>
      <c r="AE1715" s="62">
        <v>1.54888888888888</v>
      </c>
      <c r="AF1715" s="62">
        <v>3.0</v>
      </c>
    </row>
    <row r="1716">
      <c r="A1716" s="68">
        <v>45914.0</v>
      </c>
      <c r="B1716" s="62" t="s">
        <v>32</v>
      </c>
      <c r="C1716" s="62" t="s">
        <v>168</v>
      </c>
      <c r="D1716" s="62">
        <v>0.0</v>
      </c>
      <c r="E1716" s="62">
        <v>4.0</v>
      </c>
      <c r="F1716" s="62">
        <v>0.0</v>
      </c>
      <c r="G1716" s="62">
        <v>0.0</v>
      </c>
      <c r="H1716" s="62">
        <v>0.0</v>
      </c>
      <c r="I1716" s="62">
        <v>0.0</v>
      </c>
      <c r="J1716" s="62">
        <v>0.0</v>
      </c>
      <c r="K1716" s="62">
        <v>0.0</v>
      </c>
      <c r="L1716" s="62">
        <v>0.0</v>
      </c>
      <c r="M1716" s="62">
        <v>0.0</v>
      </c>
      <c r="N1716" s="62">
        <v>0.0</v>
      </c>
      <c r="O1716" s="62">
        <v>1.0</v>
      </c>
      <c r="P1716" s="62">
        <v>0.0</v>
      </c>
      <c r="Q1716" s="62">
        <v>0.0</v>
      </c>
      <c r="R1716" s="62">
        <v>0.0</v>
      </c>
      <c r="S1716" s="62">
        <v>8591.0</v>
      </c>
      <c r="T1716" s="62">
        <v>0.0</v>
      </c>
      <c r="U1716" s="62">
        <v>0.0</v>
      </c>
      <c r="V1716" s="62">
        <v>0.0</v>
      </c>
      <c r="W1716" s="62">
        <v>0.0</v>
      </c>
      <c r="X1716" s="62">
        <v>0.0</v>
      </c>
      <c r="Y1716" s="62">
        <v>0.0</v>
      </c>
      <c r="Z1716" s="62">
        <v>0.0</v>
      </c>
      <c r="AA1716" s="62">
        <v>0.0</v>
      </c>
      <c r="AB1716" s="62">
        <v>0.0</v>
      </c>
      <c r="AC1716" s="62">
        <v>0.0</v>
      </c>
      <c r="AD1716" s="62">
        <v>0.192222222222222</v>
      </c>
      <c r="AE1716" s="62">
        <v>0.0</v>
      </c>
      <c r="AF1716" s="62">
        <v>0.0</v>
      </c>
    </row>
    <row r="1717">
      <c r="A1717" s="68">
        <v>45913.0</v>
      </c>
      <c r="B1717" s="62" t="s">
        <v>32</v>
      </c>
      <c r="C1717" s="62" t="s">
        <v>168</v>
      </c>
      <c r="D1717" s="62">
        <v>0.0</v>
      </c>
      <c r="E1717" s="62">
        <v>2.0</v>
      </c>
      <c r="F1717" s="62">
        <v>0.0</v>
      </c>
      <c r="G1717" s="62">
        <v>0.0</v>
      </c>
      <c r="H1717" s="62">
        <v>0.0</v>
      </c>
      <c r="I1717" s="62">
        <v>0.0</v>
      </c>
      <c r="J1717" s="62">
        <v>0.0</v>
      </c>
      <c r="K1717" s="62">
        <v>0.0</v>
      </c>
      <c r="L1717" s="62">
        <v>0.0</v>
      </c>
      <c r="M1717" s="62">
        <v>0.0</v>
      </c>
      <c r="N1717" s="62">
        <v>0.0</v>
      </c>
      <c r="O1717" s="62">
        <v>1.0</v>
      </c>
      <c r="P1717" s="62">
        <v>0.0</v>
      </c>
      <c r="Q1717" s="62">
        <v>0.0</v>
      </c>
      <c r="R1717" s="62">
        <v>0.0</v>
      </c>
      <c r="S1717" s="62">
        <v>4245.0</v>
      </c>
      <c r="T1717" s="62">
        <v>0.0</v>
      </c>
      <c r="U1717" s="62">
        <v>0.0</v>
      </c>
      <c r="V1717" s="62">
        <v>0.0</v>
      </c>
      <c r="W1717" s="62">
        <v>0.0</v>
      </c>
      <c r="X1717" s="62">
        <v>0.0</v>
      </c>
      <c r="Y1717" s="62">
        <v>0.0</v>
      </c>
      <c r="Z1717" s="62">
        <v>0.0</v>
      </c>
      <c r="AA1717" s="62">
        <v>0.0</v>
      </c>
      <c r="AB1717" s="62">
        <v>0.0</v>
      </c>
      <c r="AC1717" s="62">
        <v>0.0</v>
      </c>
      <c r="AD1717" s="62">
        <v>0.2075</v>
      </c>
      <c r="AE1717" s="62">
        <v>0.0</v>
      </c>
      <c r="AF1717" s="62">
        <v>0.0</v>
      </c>
    </row>
    <row r="1718">
      <c r="A1718" s="68">
        <v>45913.0</v>
      </c>
      <c r="B1718" s="62" t="s">
        <v>26</v>
      </c>
      <c r="C1718" s="62" t="s">
        <v>178</v>
      </c>
      <c r="D1718" s="62">
        <v>0.0</v>
      </c>
      <c r="E1718" s="62">
        <v>0.0</v>
      </c>
      <c r="F1718" s="62">
        <v>0.0</v>
      </c>
      <c r="G1718" s="62">
        <v>1.0</v>
      </c>
      <c r="H1718" s="62">
        <v>1.0</v>
      </c>
      <c r="I1718" s="62">
        <v>0.0</v>
      </c>
      <c r="J1718" s="62">
        <v>2.0</v>
      </c>
      <c r="K1718" s="62">
        <v>0.0</v>
      </c>
      <c r="L1718" s="62">
        <v>0.0</v>
      </c>
      <c r="M1718" s="62">
        <v>0.0</v>
      </c>
      <c r="N1718" s="62">
        <v>0.0</v>
      </c>
      <c r="O1718" s="62">
        <v>1.0</v>
      </c>
      <c r="P1718" s="62">
        <v>0.0</v>
      </c>
      <c r="Q1718" s="62">
        <v>0.0</v>
      </c>
      <c r="R1718" s="62">
        <v>0.0</v>
      </c>
      <c r="S1718" s="62">
        <v>0.0</v>
      </c>
      <c r="T1718" s="62">
        <v>0.0</v>
      </c>
      <c r="U1718" s="62">
        <v>0.0</v>
      </c>
      <c r="V1718" s="62">
        <v>0.194722222222222</v>
      </c>
      <c r="W1718" s="62">
        <v>0.194722222222222</v>
      </c>
      <c r="X1718" s="62">
        <v>0.0</v>
      </c>
      <c r="Y1718" s="62">
        <v>0.378333333333333</v>
      </c>
      <c r="Z1718" s="62">
        <v>0.0</v>
      </c>
      <c r="AA1718" s="62">
        <v>0.0</v>
      </c>
      <c r="AB1718" s="62">
        <v>0.0</v>
      </c>
      <c r="AC1718" s="62">
        <v>0.0</v>
      </c>
      <c r="AD1718" s="62">
        <v>0.223611111111111</v>
      </c>
      <c r="AE1718" s="62">
        <v>0.0</v>
      </c>
      <c r="AF1718" s="62">
        <v>0.0</v>
      </c>
    </row>
    <row r="1719">
      <c r="A1719" s="68">
        <v>45912.0</v>
      </c>
      <c r="B1719" s="62" t="s">
        <v>76</v>
      </c>
      <c r="C1719" s="62" t="s">
        <v>165</v>
      </c>
      <c r="D1719" s="62">
        <v>28.0</v>
      </c>
      <c r="E1719" s="62">
        <v>28.0</v>
      </c>
      <c r="F1719" s="62">
        <v>0.0</v>
      </c>
      <c r="G1719" s="62">
        <v>0.0</v>
      </c>
      <c r="H1719" s="62">
        <v>0.0</v>
      </c>
      <c r="I1719" s="62">
        <v>0.0</v>
      </c>
      <c r="J1719" s="62">
        <v>0.0</v>
      </c>
      <c r="K1719" s="62">
        <v>0.0</v>
      </c>
      <c r="L1719" s="62">
        <v>0.0</v>
      </c>
      <c r="M1719" s="62">
        <v>0.0</v>
      </c>
      <c r="N1719" s="62">
        <v>13.0</v>
      </c>
      <c r="O1719" s="62">
        <v>0.0</v>
      </c>
      <c r="P1719" s="62">
        <v>13.0</v>
      </c>
      <c r="Q1719" s="62">
        <v>0.0</v>
      </c>
      <c r="R1719" s="62">
        <v>59750.0</v>
      </c>
      <c r="S1719" s="62">
        <v>66967.0</v>
      </c>
      <c r="T1719" s="62">
        <v>3.14138888888888</v>
      </c>
      <c r="U1719" s="62">
        <v>0.0</v>
      </c>
      <c r="V1719" s="62">
        <v>0.0</v>
      </c>
      <c r="W1719" s="62">
        <v>0.0</v>
      </c>
      <c r="X1719" s="62">
        <v>0.0</v>
      </c>
      <c r="Y1719" s="62">
        <v>0.0</v>
      </c>
      <c r="Z1719" s="62">
        <v>0.0</v>
      </c>
      <c r="AA1719" s="62">
        <v>0.0</v>
      </c>
      <c r="AB1719" s="62">
        <v>0.0</v>
      </c>
      <c r="AC1719" s="62">
        <v>3.15333333333333</v>
      </c>
      <c r="AD1719" s="62">
        <v>0.0</v>
      </c>
      <c r="AE1719" s="62">
        <v>3.15333333333333</v>
      </c>
      <c r="AF1719" s="62">
        <v>13.0</v>
      </c>
    </row>
    <row r="1720">
      <c r="A1720" s="68">
        <v>45912.0</v>
      </c>
      <c r="B1720" s="62" t="s">
        <v>32</v>
      </c>
      <c r="C1720" s="62" t="s">
        <v>168</v>
      </c>
      <c r="D1720" s="62">
        <v>10.0</v>
      </c>
      <c r="E1720" s="62">
        <v>5.0</v>
      </c>
      <c r="F1720" s="62">
        <v>1.0</v>
      </c>
      <c r="G1720" s="62">
        <v>0.0</v>
      </c>
      <c r="H1720" s="62">
        <v>5.0</v>
      </c>
      <c r="I1720" s="62">
        <v>2.0</v>
      </c>
      <c r="J1720" s="62">
        <v>4.0</v>
      </c>
      <c r="K1720" s="62">
        <v>4.0</v>
      </c>
      <c r="L1720" s="62">
        <v>0.0</v>
      </c>
      <c r="M1720" s="62">
        <v>3.0</v>
      </c>
      <c r="N1720" s="62">
        <v>6.0</v>
      </c>
      <c r="O1720" s="62">
        <v>1.0</v>
      </c>
      <c r="P1720" s="62">
        <v>6.0</v>
      </c>
      <c r="Q1720" s="62">
        <v>0.0</v>
      </c>
      <c r="R1720" s="62">
        <v>22305.0</v>
      </c>
      <c r="S1720" s="62">
        <v>10894.0</v>
      </c>
      <c r="T1720" s="62">
        <v>0.631944444444444</v>
      </c>
      <c r="U1720" s="62">
        <v>0.201388888888888</v>
      </c>
      <c r="V1720" s="62">
        <v>0.0</v>
      </c>
      <c r="W1720" s="62">
        <v>1.08222222222222</v>
      </c>
      <c r="X1720" s="62">
        <v>0.430555555555555</v>
      </c>
      <c r="Y1720" s="62">
        <v>0.876388888888888</v>
      </c>
      <c r="Z1720" s="62">
        <v>0.876388888888888</v>
      </c>
      <c r="AA1720" s="62">
        <v>0.0</v>
      </c>
      <c r="AB1720" s="62">
        <v>0.654722222222222</v>
      </c>
      <c r="AC1720" s="62">
        <v>1.33972222222222</v>
      </c>
      <c r="AD1720" s="62">
        <v>0.213333333333333</v>
      </c>
      <c r="AE1720" s="62">
        <v>1.33972222222222</v>
      </c>
      <c r="AF1720" s="62">
        <v>3.0</v>
      </c>
    </row>
    <row r="1721">
      <c r="A1721" s="68">
        <v>45912.0</v>
      </c>
      <c r="B1721" s="62" t="s">
        <v>26</v>
      </c>
      <c r="C1721" s="62" t="s">
        <v>178</v>
      </c>
      <c r="D1721" s="62">
        <v>3.0</v>
      </c>
      <c r="E1721" s="62">
        <v>4.0</v>
      </c>
      <c r="F1721" s="62">
        <v>0.0</v>
      </c>
      <c r="G1721" s="62">
        <v>5.0</v>
      </c>
      <c r="H1721" s="62">
        <v>6.0</v>
      </c>
      <c r="I1721" s="62">
        <v>3.0</v>
      </c>
      <c r="J1721" s="62">
        <v>5.0</v>
      </c>
      <c r="K1721" s="62">
        <v>0.0</v>
      </c>
      <c r="L1721" s="62">
        <v>0.0</v>
      </c>
      <c r="M1721" s="62">
        <v>4.0</v>
      </c>
      <c r="N1721" s="62">
        <v>0.0</v>
      </c>
      <c r="O1721" s="62">
        <v>1.0</v>
      </c>
      <c r="P1721" s="62">
        <v>0.0</v>
      </c>
      <c r="Q1721" s="62">
        <v>0.0</v>
      </c>
      <c r="R1721" s="62">
        <v>6745.0</v>
      </c>
      <c r="S1721" s="62">
        <v>8725.0</v>
      </c>
      <c r="T1721" s="62">
        <v>0.21</v>
      </c>
      <c r="U1721" s="62">
        <v>0.0</v>
      </c>
      <c r="V1721" s="62">
        <v>0.945</v>
      </c>
      <c r="W1721" s="62">
        <v>1.12861111111111</v>
      </c>
      <c r="X1721" s="62">
        <v>0.557777777777777</v>
      </c>
      <c r="Y1721" s="62">
        <v>0.956111111111111</v>
      </c>
      <c r="Z1721" s="62">
        <v>0.0</v>
      </c>
      <c r="AA1721" s="62">
        <v>0.0</v>
      </c>
      <c r="AB1721" s="62">
        <v>0.791111111111111</v>
      </c>
      <c r="AC1721" s="62">
        <v>0.0</v>
      </c>
      <c r="AD1721" s="62">
        <v>0.198333333333333</v>
      </c>
      <c r="AE1721" s="62">
        <v>0.0</v>
      </c>
      <c r="AF1721" s="62">
        <v>1.0</v>
      </c>
    </row>
    <row r="1722">
      <c r="A1722" s="68">
        <v>45911.0</v>
      </c>
      <c r="B1722" s="62" t="s">
        <v>76</v>
      </c>
      <c r="C1722" s="62" t="s">
        <v>165</v>
      </c>
      <c r="D1722" s="62">
        <v>239.0</v>
      </c>
      <c r="E1722" s="62">
        <v>0.0</v>
      </c>
      <c r="F1722" s="62">
        <v>0.0</v>
      </c>
      <c r="G1722" s="62">
        <v>0.0</v>
      </c>
      <c r="H1722" s="62">
        <v>0.0</v>
      </c>
      <c r="I1722" s="62">
        <v>0.0</v>
      </c>
      <c r="J1722" s="62">
        <v>0.0</v>
      </c>
      <c r="K1722" s="62">
        <v>0.0</v>
      </c>
      <c r="L1722" s="62">
        <v>0.0</v>
      </c>
      <c r="M1722" s="62">
        <v>0.0</v>
      </c>
      <c r="N1722" s="62">
        <v>0.0</v>
      </c>
      <c r="O1722" s="62">
        <v>13.0</v>
      </c>
      <c r="P1722" s="62">
        <v>0.0</v>
      </c>
      <c r="Q1722" s="62">
        <v>0.0</v>
      </c>
      <c r="R1722" s="62">
        <v>382596.0</v>
      </c>
      <c r="S1722" s="62">
        <v>0.0</v>
      </c>
      <c r="T1722" s="62">
        <v>0.0</v>
      </c>
      <c r="U1722" s="62">
        <v>0.0</v>
      </c>
      <c r="V1722" s="62">
        <v>0.0</v>
      </c>
      <c r="W1722" s="62">
        <v>0.0</v>
      </c>
      <c r="X1722" s="62">
        <v>0.0</v>
      </c>
      <c r="Y1722" s="62">
        <v>0.0</v>
      </c>
      <c r="Z1722" s="62">
        <v>0.0</v>
      </c>
      <c r="AA1722" s="62">
        <v>0.0</v>
      </c>
      <c r="AB1722" s="62">
        <v>0.0</v>
      </c>
      <c r="AC1722" s="62">
        <v>0.0</v>
      </c>
      <c r="AD1722" s="62">
        <v>3.15333333333333</v>
      </c>
      <c r="AE1722" s="62">
        <v>0.0</v>
      </c>
      <c r="AF1722" s="62">
        <v>0.0</v>
      </c>
    </row>
    <row r="1723">
      <c r="A1723" s="68">
        <v>45911.0</v>
      </c>
      <c r="B1723" s="62" t="s">
        <v>32</v>
      </c>
      <c r="C1723" s="62" t="s">
        <v>168</v>
      </c>
      <c r="D1723" s="62">
        <v>4.0</v>
      </c>
      <c r="E1723" s="62">
        <v>0.0</v>
      </c>
      <c r="F1723" s="62">
        <v>0.0</v>
      </c>
      <c r="G1723" s="62">
        <v>0.0</v>
      </c>
      <c r="H1723" s="62">
        <v>0.0</v>
      </c>
      <c r="I1723" s="62">
        <v>0.0</v>
      </c>
      <c r="J1723" s="62">
        <v>0.0</v>
      </c>
      <c r="K1723" s="62">
        <v>0.0</v>
      </c>
      <c r="L1723" s="62">
        <v>0.0</v>
      </c>
      <c r="M1723" s="62">
        <v>3.0</v>
      </c>
      <c r="N1723" s="62">
        <v>0.0</v>
      </c>
      <c r="O1723" s="62">
        <v>1.0</v>
      </c>
      <c r="P1723" s="62">
        <v>0.0</v>
      </c>
      <c r="Q1723" s="62">
        <v>0.0</v>
      </c>
      <c r="R1723" s="62">
        <v>8621.0</v>
      </c>
      <c r="S1723" s="62">
        <v>0.0</v>
      </c>
      <c r="T1723" s="62">
        <v>0.0</v>
      </c>
      <c r="U1723" s="62">
        <v>0.0</v>
      </c>
      <c r="V1723" s="62">
        <v>0.0</v>
      </c>
      <c r="W1723" s="62">
        <v>0.0</v>
      </c>
      <c r="X1723" s="62">
        <v>0.0</v>
      </c>
      <c r="Y1723" s="62">
        <v>0.0</v>
      </c>
      <c r="Z1723" s="62">
        <v>0.0</v>
      </c>
      <c r="AA1723" s="62">
        <v>0.0</v>
      </c>
      <c r="AB1723" s="62">
        <v>0.685</v>
      </c>
      <c r="AC1723" s="62">
        <v>0.0</v>
      </c>
      <c r="AD1723" s="62">
        <v>0.211944444444444</v>
      </c>
      <c r="AE1723" s="62">
        <v>0.0</v>
      </c>
      <c r="AF1723" s="62">
        <v>0.0</v>
      </c>
    </row>
    <row r="1724">
      <c r="A1724" s="68">
        <v>45911.0</v>
      </c>
      <c r="B1724" s="62" t="s">
        <v>26</v>
      </c>
      <c r="C1724" s="62" t="s">
        <v>178</v>
      </c>
      <c r="D1724" s="62">
        <v>8.0</v>
      </c>
      <c r="E1724" s="62">
        <v>5.0</v>
      </c>
      <c r="F1724" s="62">
        <v>8.0</v>
      </c>
      <c r="G1724" s="62">
        <v>1.0</v>
      </c>
      <c r="H1724" s="62">
        <v>1.0</v>
      </c>
      <c r="I1724" s="62">
        <v>0.0</v>
      </c>
      <c r="J1724" s="62">
        <v>1.0</v>
      </c>
      <c r="K1724" s="62">
        <v>0.0</v>
      </c>
      <c r="L1724" s="62">
        <v>0.0</v>
      </c>
      <c r="M1724" s="62">
        <v>0.0</v>
      </c>
      <c r="N1724" s="62">
        <v>0.0</v>
      </c>
      <c r="O1724" s="62">
        <v>1.0</v>
      </c>
      <c r="P1724" s="62">
        <v>0.0</v>
      </c>
      <c r="Q1724" s="62">
        <v>0.0</v>
      </c>
      <c r="R1724" s="62">
        <v>17763.0</v>
      </c>
      <c r="S1724" s="62">
        <v>10768.0</v>
      </c>
      <c r="T1724" s="62">
        <v>1.32694444444444</v>
      </c>
      <c r="U1724" s="62">
        <v>1.54194444444444</v>
      </c>
      <c r="V1724" s="62">
        <v>0.214444444444444</v>
      </c>
      <c r="W1724" s="62">
        <v>0.214444444444444</v>
      </c>
      <c r="X1724" s="62">
        <v>0.0</v>
      </c>
      <c r="Y1724" s="62">
        <v>0.214444444444444</v>
      </c>
      <c r="Z1724" s="62">
        <v>0.0</v>
      </c>
      <c r="AA1724" s="62">
        <v>0.0</v>
      </c>
      <c r="AB1724" s="62">
        <v>0.0</v>
      </c>
      <c r="AC1724" s="62">
        <v>0.0</v>
      </c>
      <c r="AD1724" s="62">
        <v>0.223611111111111</v>
      </c>
      <c r="AE1724" s="62">
        <v>0.0</v>
      </c>
      <c r="AF1724" s="62">
        <v>7.0</v>
      </c>
    </row>
    <row r="1725">
      <c r="A1725" s="68">
        <v>45910.0</v>
      </c>
      <c r="B1725" s="62" t="s">
        <v>76</v>
      </c>
      <c r="C1725" s="62" t="s">
        <v>165</v>
      </c>
      <c r="D1725" s="62">
        <v>1.0</v>
      </c>
      <c r="E1725" s="62">
        <v>144.0</v>
      </c>
      <c r="F1725" s="62">
        <v>0.0</v>
      </c>
      <c r="G1725" s="62">
        <v>0.0</v>
      </c>
      <c r="H1725" s="62">
        <v>0.0</v>
      </c>
      <c r="I1725" s="62">
        <v>0.0</v>
      </c>
      <c r="J1725" s="62">
        <v>0.0</v>
      </c>
      <c r="K1725" s="62">
        <v>0.0</v>
      </c>
      <c r="L1725" s="62">
        <v>0.0</v>
      </c>
      <c r="M1725" s="62">
        <v>0.0</v>
      </c>
      <c r="N1725" s="62">
        <v>0.0</v>
      </c>
      <c r="O1725" s="62">
        <v>0.0</v>
      </c>
      <c r="P1725" s="62">
        <v>144.0</v>
      </c>
      <c r="Q1725" s="62">
        <v>0.0</v>
      </c>
      <c r="R1725" s="62">
        <v>0.0</v>
      </c>
      <c r="S1725" s="62">
        <v>300235.0</v>
      </c>
      <c r="T1725" s="62">
        <v>0.0</v>
      </c>
      <c r="U1725" s="62">
        <v>0.0</v>
      </c>
      <c r="V1725" s="62">
        <v>0.0</v>
      </c>
      <c r="W1725" s="62">
        <v>0.0</v>
      </c>
      <c r="X1725" s="62">
        <v>0.0</v>
      </c>
      <c r="Y1725" s="62">
        <v>0.0</v>
      </c>
      <c r="Z1725" s="62">
        <v>0.0</v>
      </c>
      <c r="AA1725" s="62">
        <v>0.0</v>
      </c>
      <c r="AB1725" s="62">
        <v>0.0</v>
      </c>
      <c r="AC1725" s="62">
        <v>0.0</v>
      </c>
      <c r="AD1725" s="62">
        <v>0.0</v>
      </c>
      <c r="AE1725" s="62">
        <v>34.2833333333333</v>
      </c>
      <c r="AF1725" s="62">
        <v>0.0</v>
      </c>
    </row>
    <row r="1726">
      <c r="A1726" s="68">
        <v>45910.0</v>
      </c>
      <c r="B1726" s="62" t="s">
        <v>32</v>
      </c>
      <c r="C1726" s="62" t="s">
        <v>168</v>
      </c>
      <c r="D1726" s="62">
        <v>0.0</v>
      </c>
      <c r="E1726" s="62">
        <v>3.0</v>
      </c>
      <c r="F1726" s="62">
        <v>1.0</v>
      </c>
      <c r="G1726" s="62">
        <v>0.0</v>
      </c>
      <c r="H1726" s="62">
        <v>4.0</v>
      </c>
      <c r="I1726" s="62">
        <v>3.0</v>
      </c>
      <c r="J1726" s="62">
        <v>3.0</v>
      </c>
      <c r="K1726" s="62">
        <v>3.0</v>
      </c>
      <c r="L1726" s="62">
        <v>0.0</v>
      </c>
      <c r="M1726" s="62">
        <v>0.0</v>
      </c>
      <c r="N1726" s="62">
        <v>0.0</v>
      </c>
      <c r="O1726" s="62">
        <v>1.0</v>
      </c>
      <c r="P1726" s="62">
        <v>0.0</v>
      </c>
      <c r="Q1726" s="62">
        <v>0.0</v>
      </c>
      <c r="R1726" s="62">
        <v>0.0</v>
      </c>
      <c r="S1726" s="62">
        <v>6282.0</v>
      </c>
      <c r="T1726" s="62">
        <v>0.663333333333333</v>
      </c>
      <c r="U1726" s="62">
        <v>0.227777777777777</v>
      </c>
      <c r="V1726" s="62">
        <v>0.0</v>
      </c>
      <c r="W1726" s="62">
        <v>0.893611111111111</v>
      </c>
      <c r="X1726" s="62">
        <v>0.663333333333333</v>
      </c>
      <c r="Y1726" s="62">
        <v>0.685</v>
      </c>
      <c r="Z1726" s="62">
        <v>0.685</v>
      </c>
      <c r="AA1726" s="62">
        <v>0.0</v>
      </c>
      <c r="AB1726" s="62">
        <v>0.0</v>
      </c>
      <c r="AC1726" s="62">
        <v>0.0</v>
      </c>
      <c r="AD1726" s="62">
        <v>0.217777777777777</v>
      </c>
      <c r="AE1726" s="62">
        <v>0.0</v>
      </c>
      <c r="AF1726" s="62">
        <v>3.0</v>
      </c>
    </row>
    <row r="1727">
      <c r="A1727" s="68">
        <v>45910.0</v>
      </c>
      <c r="B1727" s="62" t="s">
        <v>26</v>
      </c>
      <c r="C1727" s="62" t="s">
        <v>178</v>
      </c>
      <c r="D1727" s="62">
        <v>0.0</v>
      </c>
      <c r="E1727" s="62">
        <v>3.0</v>
      </c>
      <c r="F1727" s="62">
        <v>0.0</v>
      </c>
      <c r="G1727" s="62">
        <v>0.0</v>
      </c>
      <c r="H1727" s="62">
        <v>0.0</v>
      </c>
      <c r="I1727" s="62">
        <v>0.0</v>
      </c>
      <c r="J1727" s="62">
        <v>2.0</v>
      </c>
      <c r="K1727" s="62">
        <v>3.0</v>
      </c>
      <c r="L1727" s="62">
        <v>1.0</v>
      </c>
      <c r="M1727" s="62">
        <v>5.0</v>
      </c>
      <c r="N1727" s="62">
        <v>5.0</v>
      </c>
      <c r="O1727" s="62">
        <v>1.0</v>
      </c>
      <c r="P1727" s="62">
        <v>5.0</v>
      </c>
      <c r="Q1727" s="62">
        <v>0.0</v>
      </c>
      <c r="R1727" s="62">
        <v>0.0</v>
      </c>
      <c r="S1727" s="62">
        <v>6348.0</v>
      </c>
      <c r="T1727" s="62">
        <v>0.611944444444444</v>
      </c>
      <c r="U1727" s="62">
        <v>0.0</v>
      </c>
      <c r="V1727" s="62">
        <v>0.0</v>
      </c>
      <c r="W1727" s="62">
        <v>0.0</v>
      </c>
      <c r="X1727" s="62">
        <v>0.0</v>
      </c>
      <c r="Y1727" s="62">
        <v>0.387222222222222</v>
      </c>
      <c r="Z1727" s="62">
        <v>0.574444444444444</v>
      </c>
      <c r="AA1727" s="62">
        <v>0.186111111111111</v>
      </c>
      <c r="AB1727" s="62">
        <v>1.00222222222222</v>
      </c>
      <c r="AC1727" s="62">
        <v>1.00222222222222</v>
      </c>
      <c r="AD1727" s="62">
        <v>0.207777777777777</v>
      </c>
      <c r="AE1727" s="62">
        <v>1.00222222222222</v>
      </c>
      <c r="AF1727" s="62">
        <v>3.0</v>
      </c>
    </row>
    <row r="1728">
      <c r="A1728" s="68">
        <v>45909.0</v>
      </c>
      <c r="B1728" s="62" t="s">
        <v>32</v>
      </c>
      <c r="C1728" s="62" t="s">
        <v>168</v>
      </c>
      <c r="D1728" s="62">
        <v>0.0</v>
      </c>
      <c r="E1728" s="62">
        <v>0.0</v>
      </c>
      <c r="F1728" s="62">
        <v>2.0</v>
      </c>
      <c r="G1728" s="62">
        <v>0.0</v>
      </c>
      <c r="H1728" s="62">
        <v>3.0</v>
      </c>
      <c r="I1728" s="62">
        <v>1.0</v>
      </c>
      <c r="J1728" s="62">
        <v>3.0</v>
      </c>
      <c r="K1728" s="62">
        <v>5.0</v>
      </c>
      <c r="L1728" s="62">
        <v>0.0</v>
      </c>
      <c r="M1728" s="62">
        <v>5.0</v>
      </c>
      <c r="N1728" s="62">
        <v>8.0</v>
      </c>
      <c r="O1728" s="62">
        <v>1.0</v>
      </c>
      <c r="P1728" s="62">
        <v>8.0</v>
      </c>
      <c r="Q1728" s="62">
        <v>0.0</v>
      </c>
      <c r="R1728" s="62">
        <v>0.0</v>
      </c>
      <c r="S1728" s="62">
        <v>0.0</v>
      </c>
      <c r="T1728" s="62">
        <v>0.0</v>
      </c>
      <c r="U1728" s="62">
        <v>0.4325</v>
      </c>
      <c r="V1728" s="62">
        <v>0.0</v>
      </c>
      <c r="W1728" s="62">
        <v>0.690833333333333</v>
      </c>
      <c r="X1728" s="62">
        <v>0.225277777777777</v>
      </c>
      <c r="Y1728" s="62">
        <v>0.703888888888888</v>
      </c>
      <c r="Z1728" s="62">
        <v>1.18583333333333</v>
      </c>
      <c r="AA1728" s="62">
        <v>0.0</v>
      </c>
      <c r="AB1728" s="62">
        <v>1.18583333333333</v>
      </c>
      <c r="AC1728" s="62">
        <v>1.90583333333333</v>
      </c>
      <c r="AD1728" s="62">
        <v>0.211944444444444</v>
      </c>
      <c r="AE1728" s="62">
        <v>1.90583333333333</v>
      </c>
      <c r="AF1728" s="62">
        <v>0.0</v>
      </c>
    </row>
    <row r="1729">
      <c r="A1729" s="68">
        <v>45909.0</v>
      </c>
      <c r="B1729" s="62" t="s">
        <v>26</v>
      </c>
      <c r="C1729" s="62" t="s">
        <v>178</v>
      </c>
      <c r="D1729" s="62">
        <v>3.0</v>
      </c>
      <c r="E1729" s="62">
        <v>4.0</v>
      </c>
      <c r="F1729" s="62">
        <v>5.0</v>
      </c>
      <c r="G1729" s="62">
        <v>5.0</v>
      </c>
      <c r="H1729" s="62">
        <v>5.0</v>
      </c>
      <c r="I1729" s="62">
        <v>0.0</v>
      </c>
      <c r="J1729" s="62">
        <v>3.0</v>
      </c>
      <c r="K1729" s="62">
        <v>0.0</v>
      </c>
      <c r="L1729" s="62">
        <v>0.0</v>
      </c>
      <c r="M1729" s="62">
        <v>0.0</v>
      </c>
      <c r="N1729" s="62">
        <v>2.0</v>
      </c>
      <c r="O1729" s="62">
        <v>1.0</v>
      </c>
      <c r="P1729" s="62">
        <v>2.0</v>
      </c>
      <c r="Q1729" s="62">
        <v>0.0</v>
      </c>
      <c r="R1729" s="62">
        <v>6912.0</v>
      </c>
      <c r="S1729" s="62">
        <v>8956.0</v>
      </c>
      <c r="T1729" s="62">
        <v>0.0</v>
      </c>
      <c r="U1729" s="62">
        <v>0.996944444444444</v>
      </c>
      <c r="V1729" s="62">
        <v>1.00222222222222</v>
      </c>
      <c r="W1729" s="62">
        <v>1.00222222222222</v>
      </c>
      <c r="X1729" s="62">
        <v>0.0</v>
      </c>
      <c r="Y1729" s="62">
        <v>0.615</v>
      </c>
      <c r="Z1729" s="62">
        <v>0.0</v>
      </c>
      <c r="AA1729" s="62">
        <v>0.0</v>
      </c>
      <c r="AB1729" s="62">
        <v>0.0</v>
      </c>
      <c r="AC1729" s="62">
        <v>0.3875</v>
      </c>
      <c r="AD1729" s="62">
        <v>0.231666666666666</v>
      </c>
      <c r="AE1729" s="62">
        <v>0.3875</v>
      </c>
      <c r="AF1729" s="62">
        <v>0.0</v>
      </c>
    </row>
    <row r="1730">
      <c r="A1730" s="68">
        <v>45908.0</v>
      </c>
      <c r="B1730" s="62" t="s">
        <v>32</v>
      </c>
      <c r="C1730" s="62" t="s">
        <v>168</v>
      </c>
      <c r="D1730" s="62">
        <v>1.0</v>
      </c>
      <c r="E1730" s="62">
        <v>1.0</v>
      </c>
      <c r="F1730" s="62">
        <v>2.0</v>
      </c>
      <c r="G1730" s="62">
        <v>0.0</v>
      </c>
      <c r="H1730" s="62">
        <v>5.0</v>
      </c>
      <c r="I1730" s="62">
        <v>1.0</v>
      </c>
      <c r="J1730" s="62">
        <v>4.0</v>
      </c>
      <c r="K1730" s="62">
        <v>1.0</v>
      </c>
      <c r="L1730" s="62">
        <v>0.0</v>
      </c>
      <c r="M1730" s="62">
        <v>3.0</v>
      </c>
      <c r="N1730" s="62">
        <v>2.0</v>
      </c>
      <c r="O1730" s="62">
        <v>1.0</v>
      </c>
      <c r="P1730" s="62">
        <v>2.0</v>
      </c>
      <c r="Q1730" s="62">
        <v>0.0</v>
      </c>
      <c r="R1730" s="62">
        <v>2244.0</v>
      </c>
      <c r="S1730" s="62">
        <v>2244.0</v>
      </c>
      <c r="T1730" s="62">
        <v>1.34694444444444</v>
      </c>
      <c r="U1730" s="62">
        <v>0.4525</v>
      </c>
      <c r="V1730" s="62">
        <v>0.0</v>
      </c>
      <c r="W1730" s="62">
        <v>1.19694444444444</v>
      </c>
      <c r="X1730" s="62">
        <v>0.236666666666666</v>
      </c>
      <c r="Y1730" s="62">
        <v>0.960277777777777</v>
      </c>
      <c r="Z1730" s="62">
        <v>0.233055555555555</v>
      </c>
      <c r="AA1730" s="62">
        <v>0.0</v>
      </c>
      <c r="AB1730" s="62">
        <v>0.711388888888888</v>
      </c>
      <c r="AC1730" s="62">
        <v>0.470277777777777</v>
      </c>
      <c r="AD1730" s="62">
        <v>0.208055555555555</v>
      </c>
      <c r="AE1730" s="62">
        <v>0.470277777777777</v>
      </c>
      <c r="AF1730" s="62">
        <v>6.0</v>
      </c>
    </row>
    <row r="1731">
      <c r="A1731" s="68">
        <v>45908.0</v>
      </c>
      <c r="B1731" s="62" t="s">
        <v>26</v>
      </c>
      <c r="C1731" s="62" t="s">
        <v>178</v>
      </c>
      <c r="D1731" s="62">
        <v>3.0</v>
      </c>
      <c r="E1731" s="62">
        <v>1.0</v>
      </c>
      <c r="F1731" s="62">
        <v>0.0</v>
      </c>
      <c r="G1731" s="62">
        <v>0.0</v>
      </c>
      <c r="H1731" s="62">
        <v>0.0</v>
      </c>
      <c r="I1731" s="62">
        <v>0.0</v>
      </c>
      <c r="J1731" s="62">
        <v>1.0</v>
      </c>
      <c r="K1731" s="62">
        <v>0.0</v>
      </c>
      <c r="L1731" s="62">
        <v>0.0</v>
      </c>
      <c r="M1731" s="62">
        <v>2.0</v>
      </c>
      <c r="N1731" s="62">
        <v>5.0</v>
      </c>
      <c r="O1731" s="62">
        <v>1.0</v>
      </c>
      <c r="P1731" s="62">
        <v>5.0</v>
      </c>
      <c r="Q1731" s="62">
        <v>0.0</v>
      </c>
      <c r="R1731" s="62">
        <v>6838.0</v>
      </c>
      <c r="S1731" s="62">
        <v>2305.0</v>
      </c>
      <c r="T1731" s="62">
        <v>0.996944444444444</v>
      </c>
      <c r="U1731" s="62">
        <v>0.0</v>
      </c>
      <c r="V1731" s="62">
        <v>0.0</v>
      </c>
      <c r="W1731" s="62">
        <v>0.0</v>
      </c>
      <c r="X1731" s="62">
        <v>0.0</v>
      </c>
      <c r="Y1731" s="62">
        <v>0.1925</v>
      </c>
      <c r="Z1731" s="62">
        <v>0.0</v>
      </c>
      <c r="AA1731" s="62">
        <v>0.0</v>
      </c>
      <c r="AB1731" s="62">
        <v>0.3875</v>
      </c>
      <c r="AC1731" s="62">
        <v>1.00277777777777</v>
      </c>
      <c r="AD1731" s="62">
        <v>0.205833333333333</v>
      </c>
      <c r="AE1731" s="62">
        <v>1.00277777777777</v>
      </c>
      <c r="AF1731" s="62">
        <v>5.0</v>
      </c>
    </row>
    <row r="1732">
      <c r="A1732" s="68">
        <v>45907.0</v>
      </c>
      <c r="B1732" s="62" t="s">
        <v>26</v>
      </c>
      <c r="C1732" s="62" t="s">
        <v>178</v>
      </c>
      <c r="D1732" s="62">
        <v>3.0</v>
      </c>
      <c r="E1732" s="62">
        <v>0.0</v>
      </c>
      <c r="F1732" s="62">
        <v>0.0</v>
      </c>
      <c r="G1732" s="62">
        <v>0.0</v>
      </c>
      <c r="H1732" s="62">
        <v>0.0</v>
      </c>
      <c r="I1732" s="62">
        <v>0.0</v>
      </c>
      <c r="J1732" s="62">
        <v>0.0</v>
      </c>
      <c r="K1732" s="62">
        <v>0.0</v>
      </c>
      <c r="L1732" s="62">
        <v>0.0</v>
      </c>
      <c r="M1732" s="62">
        <v>0.0</v>
      </c>
      <c r="N1732" s="62">
        <v>0.0</v>
      </c>
      <c r="O1732" s="62">
        <v>1.0</v>
      </c>
      <c r="P1732" s="62">
        <v>0.0</v>
      </c>
      <c r="Q1732" s="62">
        <v>0.0</v>
      </c>
      <c r="R1732" s="62">
        <v>6587.0</v>
      </c>
      <c r="S1732" s="62">
        <v>0.0</v>
      </c>
      <c r="T1732" s="62">
        <v>0.0</v>
      </c>
      <c r="U1732" s="62">
        <v>0.0</v>
      </c>
      <c r="V1732" s="62">
        <v>0.0</v>
      </c>
      <c r="W1732" s="62">
        <v>0.0</v>
      </c>
      <c r="X1732" s="62">
        <v>0.0</v>
      </c>
      <c r="Y1732" s="62">
        <v>0.0</v>
      </c>
      <c r="Z1732" s="62">
        <v>0.0</v>
      </c>
      <c r="AA1732" s="62">
        <v>0.0</v>
      </c>
      <c r="AB1732" s="62">
        <v>0.0</v>
      </c>
      <c r="AC1732" s="62">
        <v>0.0</v>
      </c>
      <c r="AD1732" s="62">
        <v>0.212222222222222</v>
      </c>
      <c r="AE1732" s="62">
        <v>0.0</v>
      </c>
      <c r="AF1732" s="62">
        <v>0.0</v>
      </c>
    </row>
    <row r="1733">
      <c r="A1733" s="68">
        <v>45906.0</v>
      </c>
      <c r="B1733" s="62" t="s">
        <v>26</v>
      </c>
      <c r="C1733" s="62" t="s">
        <v>178</v>
      </c>
      <c r="D1733" s="62">
        <v>0.0</v>
      </c>
      <c r="E1733" s="62">
        <v>5.0</v>
      </c>
      <c r="F1733" s="62">
        <v>0.0</v>
      </c>
      <c r="G1733" s="62">
        <v>0.0</v>
      </c>
      <c r="H1733" s="62">
        <v>0.0</v>
      </c>
      <c r="I1733" s="62">
        <v>0.0</v>
      </c>
      <c r="J1733" s="62">
        <v>0.0</v>
      </c>
      <c r="K1733" s="62">
        <v>0.0</v>
      </c>
      <c r="L1733" s="62">
        <v>0.0</v>
      </c>
      <c r="M1733" s="62">
        <v>0.0</v>
      </c>
      <c r="N1733" s="62">
        <v>0.0</v>
      </c>
      <c r="O1733" s="62">
        <v>1.0</v>
      </c>
      <c r="P1733" s="62">
        <v>0.0</v>
      </c>
      <c r="Q1733" s="62">
        <v>0.0</v>
      </c>
      <c r="R1733" s="62">
        <v>0.0</v>
      </c>
      <c r="S1733" s="62">
        <v>10728.0</v>
      </c>
      <c r="T1733" s="62">
        <v>0.0</v>
      </c>
      <c r="U1733" s="62">
        <v>0.0</v>
      </c>
      <c r="V1733" s="62">
        <v>0.0</v>
      </c>
      <c r="W1733" s="62">
        <v>0.0</v>
      </c>
      <c r="X1733" s="62">
        <v>0.0</v>
      </c>
      <c r="Y1733" s="62">
        <v>0.0</v>
      </c>
      <c r="Z1733" s="62">
        <v>0.0</v>
      </c>
      <c r="AA1733" s="62">
        <v>0.0</v>
      </c>
      <c r="AB1733" s="62">
        <v>0.0</v>
      </c>
      <c r="AC1733" s="62">
        <v>0.0</v>
      </c>
      <c r="AD1733" s="62">
        <v>0.225833333333333</v>
      </c>
      <c r="AE1733" s="62">
        <v>0.0</v>
      </c>
      <c r="AF1733" s="62">
        <v>0.0</v>
      </c>
    </row>
    <row r="1734">
      <c r="A1734" s="68">
        <v>45905.0</v>
      </c>
      <c r="B1734" s="62" t="s">
        <v>32</v>
      </c>
      <c r="C1734" s="62" t="s">
        <v>168</v>
      </c>
      <c r="D1734" s="62">
        <v>12.0</v>
      </c>
      <c r="E1734" s="62">
        <v>1.0</v>
      </c>
      <c r="F1734" s="62">
        <v>1.0</v>
      </c>
      <c r="G1734" s="62">
        <v>0.0</v>
      </c>
      <c r="H1734" s="62">
        <v>4.0</v>
      </c>
      <c r="I1734" s="62">
        <v>2.0</v>
      </c>
      <c r="J1734" s="62">
        <v>2.0</v>
      </c>
      <c r="K1734" s="62">
        <v>4.0</v>
      </c>
      <c r="L1734" s="62">
        <v>0.0</v>
      </c>
      <c r="M1734" s="62">
        <v>5.0</v>
      </c>
      <c r="N1734" s="62">
        <v>5.0</v>
      </c>
      <c r="O1734" s="62">
        <v>1.0</v>
      </c>
      <c r="P1734" s="62">
        <v>5.0</v>
      </c>
      <c r="Q1734" s="62">
        <v>0.0</v>
      </c>
      <c r="R1734" s="62">
        <v>24196.0</v>
      </c>
      <c r="S1734" s="62">
        <v>2318.0</v>
      </c>
      <c r="T1734" s="62">
        <v>0.687222222222222</v>
      </c>
      <c r="U1734" s="62">
        <v>0.229166666666666</v>
      </c>
      <c r="V1734" s="62">
        <v>0.0</v>
      </c>
      <c r="W1734" s="62">
        <v>0.915277777777777</v>
      </c>
      <c r="X1734" s="62">
        <v>0.458055555555555</v>
      </c>
      <c r="Y1734" s="62">
        <v>0.457222222222222</v>
      </c>
      <c r="Z1734" s="62">
        <v>0.930833333333333</v>
      </c>
      <c r="AA1734" s="62">
        <v>0.0</v>
      </c>
      <c r="AB1734" s="62">
        <v>1.15333333333333</v>
      </c>
      <c r="AC1734" s="62">
        <v>1.14583333333333</v>
      </c>
      <c r="AD1734" s="62">
        <v>0.218611111111111</v>
      </c>
      <c r="AE1734" s="62">
        <v>1.14583333333333</v>
      </c>
      <c r="AF1734" s="62">
        <v>3.0</v>
      </c>
    </row>
    <row r="1735">
      <c r="A1735" s="68">
        <v>45905.0</v>
      </c>
      <c r="B1735" s="62" t="s">
        <v>26</v>
      </c>
      <c r="C1735" s="62" t="s">
        <v>178</v>
      </c>
      <c r="D1735" s="62">
        <v>3.0</v>
      </c>
      <c r="E1735" s="62">
        <v>6.0</v>
      </c>
      <c r="F1735" s="62">
        <v>4.0</v>
      </c>
      <c r="G1735" s="62">
        <v>7.0</v>
      </c>
      <c r="H1735" s="62">
        <v>8.0</v>
      </c>
      <c r="I1735" s="62">
        <v>1.0</v>
      </c>
      <c r="J1735" s="62">
        <v>7.0</v>
      </c>
      <c r="K1735" s="62">
        <v>3.0</v>
      </c>
      <c r="L1735" s="62">
        <v>3.0</v>
      </c>
      <c r="M1735" s="62">
        <v>6.0</v>
      </c>
      <c r="N1735" s="62">
        <v>1.0</v>
      </c>
      <c r="O1735" s="62">
        <v>1.0</v>
      </c>
      <c r="P1735" s="62">
        <v>1.0</v>
      </c>
      <c r="Q1735" s="62">
        <v>0.0</v>
      </c>
      <c r="R1735" s="62">
        <v>7078.0</v>
      </c>
      <c r="S1735" s="62">
        <v>12571.0</v>
      </c>
      <c r="T1735" s="62">
        <v>0.0</v>
      </c>
      <c r="U1735" s="62">
        <v>0.806944444444444</v>
      </c>
      <c r="V1735" s="62">
        <v>1.41472222222222</v>
      </c>
      <c r="W1735" s="62">
        <v>1.60638888888888</v>
      </c>
      <c r="X1735" s="62">
        <v>0.191666666666666</v>
      </c>
      <c r="Y1735" s="62">
        <v>1.41472222222222</v>
      </c>
      <c r="Z1735" s="62">
        <v>0.604166666666666</v>
      </c>
      <c r="AA1735" s="62">
        <v>0.613611111111111</v>
      </c>
      <c r="AB1735" s="62">
        <v>1.22916666666666</v>
      </c>
      <c r="AC1735" s="62">
        <v>0.216944444444444</v>
      </c>
      <c r="AD1735" s="62">
        <v>0.219722222222222</v>
      </c>
      <c r="AE1735" s="62">
        <v>0.216944444444444</v>
      </c>
      <c r="AF1735" s="62">
        <v>0.0</v>
      </c>
    </row>
    <row r="1736">
      <c r="A1736" s="68">
        <v>45904.0</v>
      </c>
      <c r="B1736" s="62" t="s">
        <v>32</v>
      </c>
      <c r="C1736" s="62" t="s">
        <v>168</v>
      </c>
      <c r="D1736" s="62">
        <v>2.0</v>
      </c>
      <c r="E1736" s="62">
        <v>0.0</v>
      </c>
      <c r="F1736" s="62">
        <v>3.0</v>
      </c>
      <c r="G1736" s="62">
        <v>0.0</v>
      </c>
      <c r="H1736" s="62">
        <v>2.0</v>
      </c>
      <c r="I1736" s="62">
        <v>0.0</v>
      </c>
      <c r="J1736" s="62">
        <v>3.0</v>
      </c>
      <c r="K1736" s="62">
        <v>1.0</v>
      </c>
      <c r="L1736" s="62">
        <v>0.0</v>
      </c>
      <c r="M1736" s="62">
        <v>0.0</v>
      </c>
      <c r="N1736" s="62">
        <v>5.0</v>
      </c>
      <c r="O1736" s="62">
        <v>1.0</v>
      </c>
      <c r="P1736" s="62">
        <v>5.0</v>
      </c>
      <c r="Q1736" s="62">
        <v>0.0</v>
      </c>
      <c r="R1736" s="62">
        <v>4373.0</v>
      </c>
      <c r="S1736" s="62">
        <v>0.0</v>
      </c>
      <c r="T1736" s="62">
        <v>0.7125</v>
      </c>
      <c r="U1736" s="62">
        <v>0.7125</v>
      </c>
      <c r="V1736" s="62">
        <v>0.0</v>
      </c>
      <c r="W1736" s="62">
        <v>0.465</v>
      </c>
      <c r="X1736" s="62">
        <v>0.0</v>
      </c>
      <c r="Y1736" s="62">
        <v>0.706666666666666</v>
      </c>
      <c r="Z1736" s="62">
        <v>0.2225</v>
      </c>
      <c r="AA1736" s="62">
        <v>0.0</v>
      </c>
      <c r="AB1736" s="62">
        <v>0.0</v>
      </c>
      <c r="AC1736" s="62">
        <v>1.09194444444444</v>
      </c>
      <c r="AD1736" s="62">
        <v>0.225277777777777</v>
      </c>
      <c r="AE1736" s="62">
        <v>1.09194444444444</v>
      </c>
      <c r="AF1736" s="62">
        <v>3.0</v>
      </c>
    </row>
    <row r="1737">
      <c r="A1737" s="68">
        <v>45904.0</v>
      </c>
      <c r="B1737" s="62" t="s">
        <v>26</v>
      </c>
      <c r="C1737" s="62" t="s">
        <v>178</v>
      </c>
      <c r="D1737" s="62">
        <v>3.0</v>
      </c>
      <c r="E1737" s="62">
        <v>0.0</v>
      </c>
      <c r="F1737" s="62">
        <v>3.0</v>
      </c>
      <c r="G1737" s="62">
        <v>0.0</v>
      </c>
      <c r="H1737" s="62">
        <v>0.0</v>
      </c>
      <c r="I1737" s="62">
        <v>0.0</v>
      </c>
      <c r="J1737" s="62">
        <v>0.0</v>
      </c>
      <c r="K1737" s="62">
        <v>3.0</v>
      </c>
      <c r="L1737" s="62">
        <v>1.0</v>
      </c>
      <c r="M1737" s="62">
        <v>4.0</v>
      </c>
      <c r="N1737" s="62">
        <v>5.0</v>
      </c>
      <c r="O1737" s="62">
        <v>1.0</v>
      </c>
      <c r="P1737" s="62">
        <v>5.0</v>
      </c>
      <c r="Q1737" s="62">
        <v>0.0</v>
      </c>
      <c r="R1737" s="62">
        <v>7286.0</v>
      </c>
      <c r="S1737" s="62">
        <v>0.0</v>
      </c>
      <c r="T1737" s="62">
        <v>1.60416666666666</v>
      </c>
      <c r="U1737" s="62">
        <v>0.605555555555555</v>
      </c>
      <c r="V1737" s="62">
        <v>0.0</v>
      </c>
      <c r="W1737" s="62">
        <v>0.0</v>
      </c>
      <c r="X1737" s="62">
        <v>0.0</v>
      </c>
      <c r="Y1737" s="62">
        <v>0.0</v>
      </c>
      <c r="Z1737" s="62">
        <v>0.66</v>
      </c>
      <c r="AA1737" s="62">
        <v>0.209444444444444</v>
      </c>
      <c r="AB1737" s="62">
        <v>0.869444444444444</v>
      </c>
      <c r="AC1737" s="62">
        <v>1.07722222222222</v>
      </c>
      <c r="AD1737" s="62">
        <v>0.233611111111111</v>
      </c>
      <c r="AE1737" s="62">
        <v>1.07722222222222</v>
      </c>
      <c r="AF1737" s="62">
        <v>8.0</v>
      </c>
    </row>
    <row r="1738">
      <c r="A1738" s="68">
        <v>45903.0</v>
      </c>
      <c r="B1738" s="62" t="s">
        <v>32</v>
      </c>
      <c r="C1738" s="62" t="s">
        <v>168</v>
      </c>
      <c r="D1738" s="62">
        <v>3.0</v>
      </c>
      <c r="E1738" s="62">
        <v>5.0</v>
      </c>
      <c r="F1738" s="62">
        <v>3.0</v>
      </c>
      <c r="G1738" s="62">
        <v>0.0</v>
      </c>
      <c r="H1738" s="62">
        <v>3.0</v>
      </c>
      <c r="I1738" s="62">
        <v>1.0</v>
      </c>
      <c r="J1738" s="62">
        <v>3.0</v>
      </c>
      <c r="K1738" s="62">
        <v>1.0</v>
      </c>
      <c r="L1738" s="62">
        <v>0.0</v>
      </c>
      <c r="M1738" s="62">
        <v>3.0</v>
      </c>
      <c r="N1738" s="62">
        <v>0.0</v>
      </c>
      <c r="O1738" s="62">
        <v>1.0</v>
      </c>
      <c r="P1738" s="62">
        <v>0.0</v>
      </c>
      <c r="Q1738" s="62">
        <v>0.0</v>
      </c>
      <c r="R1738" s="62">
        <v>6798.0</v>
      </c>
      <c r="S1738" s="62">
        <v>11445.0</v>
      </c>
      <c r="T1738" s="62">
        <v>0.965</v>
      </c>
      <c r="U1738" s="62">
        <v>0.722777777777777</v>
      </c>
      <c r="V1738" s="62">
        <v>0.0</v>
      </c>
      <c r="W1738" s="62">
        <v>0.6975</v>
      </c>
      <c r="X1738" s="62">
        <v>0.242222222222222</v>
      </c>
      <c r="Y1738" s="62">
        <v>0.693888888888888</v>
      </c>
      <c r="Z1738" s="62">
        <v>0.219722222222222</v>
      </c>
      <c r="AA1738" s="62">
        <v>0.0</v>
      </c>
      <c r="AB1738" s="62">
        <v>0.691111111111111</v>
      </c>
      <c r="AC1738" s="62">
        <v>0.0</v>
      </c>
      <c r="AD1738" s="62">
        <v>0.206388888888888</v>
      </c>
      <c r="AE1738" s="62">
        <v>0.0</v>
      </c>
      <c r="AF1738" s="62">
        <v>4.0</v>
      </c>
    </row>
    <row r="1739">
      <c r="A1739" s="68">
        <v>45903.0</v>
      </c>
      <c r="B1739" s="62" t="s">
        <v>26</v>
      </c>
      <c r="C1739" s="62" t="s">
        <v>178</v>
      </c>
      <c r="D1739" s="62">
        <v>0.0</v>
      </c>
      <c r="E1739" s="62">
        <v>2.0</v>
      </c>
      <c r="F1739" s="62">
        <v>3.0</v>
      </c>
      <c r="G1739" s="62">
        <v>3.0</v>
      </c>
      <c r="H1739" s="62">
        <v>3.0</v>
      </c>
      <c r="I1739" s="62">
        <v>0.0</v>
      </c>
      <c r="J1739" s="62">
        <v>4.0</v>
      </c>
      <c r="K1739" s="62">
        <v>1.0</v>
      </c>
      <c r="L1739" s="62">
        <v>0.0</v>
      </c>
      <c r="M1739" s="62">
        <v>1.0</v>
      </c>
      <c r="N1739" s="62">
        <v>0.0</v>
      </c>
      <c r="O1739" s="62">
        <v>1.0</v>
      </c>
      <c r="P1739" s="62">
        <v>0.0</v>
      </c>
      <c r="Q1739" s="62">
        <v>0.0</v>
      </c>
      <c r="R1739" s="62">
        <v>0.0</v>
      </c>
      <c r="S1739" s="62">
        <v>3926.0</v>
      </c>
      <c r="T1739" s="62">
        <v>0.0</v>
      </c>
      <c r="U1739" s="62">
        <v>0.6575</v>
      </c>
      <c r="V1739" s="62">
        <v>0.66</v>
      </c>
      <c r="W1739" s="62">
        <v>0.66</v>
      </c>
      <c r="X1739" s="62">
        <v>0.0</v>
      </c>
      <c r="Y1739" s="62">
        <v>0.87</v>
      </c>
      <c r="Z1739" s="62">
        <v>0.21</v>
      </c>
      <c r="AA1739" s="62">
        <v>0.0</v>
      </c>
      <c r="AB1739" s="62">
        <v>0.207777777777777</v>
      </c>
      <c r="AC1739" s="62">
        <v>0.0</v>
      </c>
      <c r="AD1739" s="62">
        <v>0.208611111111111</v>
      </c>
      <c r="AE1739" s="62">
        <v>0.0</v>
      </c>
      <c r="AF1739" s="62">
        <v>0.0</v>
      </c>
    </row>
    <row r="1740">
      <c r="A1740" s="68">
        <v>45902.0</v>
      </c>
      <c r="B1740" s="62" t="s">
        <v>32</v>
      </c>
      <c r="C1740" s="62" t="s">
        <v>168</v>
      </c>
      <c r="D1740" s="62">
        <v>0.0</v>
      </c>
      <c r="E1740" s="62">
        <v>1.0</v>
      </c>
      <c r="F1740" s="62">
        <v>3.0</v>
      </c>
      <c r="G1740" s="62">
        <v>1.0</v>
      </c>
      <c r="H1740" s="62">
        <v>3.0</v>
      </c>
      <c r="I1740" s="62">
        <v>0.0</v>
      </c>
      <c r="J1740" s="62">
        <v>4.0</v>
      </c>
      <c r="K1740" s="62">
        <v>3.0</v>
      </c>
      <c r="L1740" s="62">
        <v>0.0</v>
      </c>
      <c r="M1740" s="62">
        <v>5.0</v>
      </c>
      <c r="N1740" s="62">
        <v>2.0</v>
      </c>
      <c r="O1740" s="62">
        <v>1.0</v>
      </c>
      <c r="P1740" s="62">
        <v>2.0</v>
      </c>
      <c r="Q1740" s="62">
        <v>0.0</v>
      </c>
      <c r="R1740" s="62">
        <v>0.0</v>
      </c>
      <c r="S1740" s="62">
        <v>2349.0</v>
      </c>
      <c r="T1740" s="62">
        <v>0.684722222222222</v>
      </c>
      <c r="U1740" s="62">
        <v>0.684722222222222</v>
      </c>
      <c r="V1740" s="62">
        <v>0.220277777777777</v>
      </c>
      <c r="W1740" s="62">
        <v>0.669722222222222</v>
      </c>
      <c r="X1740" s="62">
        <v>0.0</v>
      </c>
      <c r="Y1740" s="62">
        <v>0.878333333333333</v>
      </c>
      <c r="Z1740" s="62">
        <v>0.658611111111111</v>
      </c>
      <c r="AA1740" s="62">
        <v>0.0</v>
      </c>
      <c r="AB1740" s="62">
        <v>1.09249999999999</v>
      </c>
      <c r="AC1740" s="62">
        <v>0.431944444444444</v>
      </c>
      <c r="AD1740" s="62">
        <v>0.236666666666666</v>
      </c>
      <c r="AE1740" s="62">
        <v>0.431944444444444</v>
      </c>
      <c r="AF1740" s="62">
        <v>3.0</v>
      </c>
    </row>
    <row r="1741">
      <c r="A1741" s="68">
        <v>45902.0</v>
      </c>
      <c r="B1741" s="62" t="s">
        <v>26</v>
      </c>
      <c r="C1741" s="62" t="s">
        <v>178</v>
      </c>
      <c r="D1741" s="62">
        <v>3.0</v>
      </c>
      <c r="E1741" s="62">
        <v>5.0</v>
      </c>
      <c r="F1741" s="62">
        <v>1.0</v>
      </c>
      <c r="G1741" s="62">
        <v>1.0</v>
      </c>
      <c r="H1741" s="62">
        <v>2.0</v>
      </c>
      <c r="I1741" s="62">
        <v>1.0</v>
      </c>
      <c r="J1741" s="62">
        <v>1.0</v>
      </c>
      <c r="K1741" s="62">
        <v>0.0</v>
      </c>
      <c r="L1741" s="62">
        <v>0.0</v>
      </c>
      <c r="M1741" s="62">
        <v>4.0</v>
      </c>
      <c r="N1741" s="62">
        <v>4.0</v>
      </c>
      <c r="O1741" s="62">
        <v>1.0</v>
      </c>
      <c r="P1741" s="62">
        <v>4.0</v>
      </c>
      <c r="Q1741" s="62">
        <v>0.0</v>
      </c>
      <c r="R1741" s="62">
        <v>6443.0</v>
      </c>
      <c r="S1741" s="62">
        <v>10919.0</v>
      </c>
      <c r="T1741" s="62">
        <v>0.6575</v>
      </c>
      <c r="U1741" s="62">
        <v>0.208333333333333</v>
      </c>
      <c r="V1741" s="62">
        <v>0.21</v>
      </c>
      <c r="W1741" s="62">
        <v>0.416388888888888</v>
      </c>
      <c r="X1741" s="62">
        <v>0.206388888888888</v>
      </c>
      <c r="Y1741" s="62">
        <v>0.207777777777777</v>
      </c>
      <c r="Z1741" s="62">
        <v>0.0</v>
      </c>
      <c r="AA1741" s="62">
        <v>0.0</v>
      </c>
      <c r="AB1741" s="62">
        <v>0.826388888888889</v>
      </c>
      <c r="AC1741" s="62">
        <v>0.826388888888888</v>
      </c>
      <c r="AD1741" s="62">
        <v>0.217777777777777</v>
      </c>
      <c r="AE1741" s="62">
        <v>0.826388888888888</v>
      </c>
      <c r="AF1741" s="62">
        <v>3.0</v>
      </c>
    </row>
    <row r="1742">
      <c r="A1742" s="68">
        <v>45901.0</v>
      </c>
      <c r="B1742" s="62" t="s">
        <v>32</v>
      </c>
      <c r="C1742" s="62" t="s">
        <v>168</v>
      </c>
      <c r="D1742" s="62">
        <v>0.0</v>
      </c>
      <c r="E1742" s="62">
        <v>4.0</v>
      </c>
      <c r="F1742" s="62">
        <v>3.0</v>
      </c>
      <c r="G1742" s="62">
        <v>0.0</v>
      </c>
      <c r="H1742" s="62">
        <v>2.0</v>
      </c>
      <c r="I1742" s="62">
        <v>1.0</v>
      </c>
      <c r="J1742" s="62">
        <v>2.0</v>
      </c>
      <c r="K1742" s="62">
        <v>1.0</v>
      </c>
      <c r="L1742" s="62">
        <v>0.0</v>
      </c>
      <c r="M1742" s="62">
        <v>0.0</v>
      </c>
      <c r="N1742" s="62">
        <v>1.0</v>
      </c>
      <c r="O1742" s="62">
        <v>1.0</v>
      </c>
      <c r="P1742" s="62">
        <v>1.0</v>
      </c>
      <c r="Q1742" s="62">
        <v>0.0</v>
      </c>
      <c r="R1742" s="62">
        <v>0.0</v>
      </c>
      <c r="S1742" s="62">
        <v>9220.0</v>
      </c>
      <c r="T1742" s="62">
        <v>0.919444444444444</v>
      </c>
      <c r="U1742" s="62">
        <v>0.679444444444444</v>
      </c>
      <c r="V1742" s="62">
        <v>0.0</v>
      </c>
      <c r="W1742" s="62">
        <v>0.461388888888888</v>
      </c>
      <c r="X1742" s="62">
        <v>0.24</v>
      </c>
      <c r="Y1742" s="62">
        <v>0.433888888888888</v>
      </c>
      <c r="Z1742" s="62">
        <v>0.221388888888888</v>
      </c>
      <c r="AA1742" s="62">
        <v>0.0</v>
      </c>
      <c r="AB1742" s="62">
        <v>0.0</v>
      </c>
      <c r="AC1742" s="62">
        <v>0.232777777777777</v>
      </c>
      <c r="AD1742" s="62">
        <v>0.218888888888888</v>
      </c>
      <c r="AE1742" s="62">
        <v>0.232777777777777</v>
      </c>
      <c r="AF1742" s="62">
        <v>4.0</v>
      </c>
    </row>
    <row r="1743">
      <c r="A1743" s="68">
        <v>45901.0</v>
      </c>
      <c r="B1743" s="62" t="s">
        <v>26</v>
      </c>
      <c r="C1743" s="62" t="s">
        <v>178</v>
      </c>
      <c r="D1743" s="62">
        <v>2.0</v>
      </c>
      <c r="E1743" s="62">
        <v>0.0</v>
      </c>
      <c r="F1743" s="62">
        <v>3.0</v>
      </c>
      <c r="G1743" s="62">
        <v>3.0</v>
      </c>
      <c r="H1743" s="62">
        <v>4.0</v>
      </c>
      <c r="I1743" s="62">
        <v>1.0</v>
      </c>
      <c r="J1743" s="62">
        <v>4.0</v>
      </c>
      <c r="K1743" s="62">
        <v>0.0</v>
      </c>
      <c r="L1743" s="62">
        <v>0.0</v>
      </c>
      <c r="M1743" s="62">
        <v>0.0</v>
      </c>
      <c r="N1743" s="62">
        <v>0.0</v>
      </c>
      <c r="O1743" s="62">
        <v>1.0</v>
      </c>
      <c r="P1743" s="62">
        <v>0.0</v>
      </c>
      <c r="Q1743" s="62">
        <v>0.0</v>
      </c>
      <c r="R1743" s="62">
        <v>4341.0</v>
      </c>
      <c r="S1743" s="62">
        <v>0.0</v>
      </c>
      <c r="T1743" s="62">
        <v>0.414722222222222</v>
      </c>
      <c r="U1743" s="62">
        <v>0.656388888888888</v>
      </c>
      <c r="V1743" s="62">
        <v>0.657777777777777</v>
      </c>
      <c r="W1743" s="62">
        <v>0.825277777777777</v>
      </c>
      <c r="X1743" s="62">
        <v>0.1675</v>
      </c>
      <c r="Y1743" s="62">
        <v>0.826388888888888</v>
      </c>
      <c r="Z1743" s="62">
        <v>0.0</v>
      </c>
      <c r="AA1743" s="62">
        <v>0.0</v>
      </c>
      <c r="AB1743" s="62">
        <v>0.0</v>
      </c>
      <c r="AC1743" s="62">
        <v>0.0</v>
      </c>
      <c r="AD1743" s="62">
        <v>0.233055555555555</v>
      </c>
      <c r="AE1743" s="62">
        <v>0.0</v>
      </c>
      <c r="AF1743" s="62">
        <v>2.0</v>
      </c>
    </row>
    <row r="1744">
      <c r="A1744" s="68">
        <v>45900.0</v>
      </c>
      <c r="B1744" s="62" t="s">
        <v>32</v>
      </c>
      <c r="C1744" s="62" t="s">
        <v>168</v>
      </c>
      <c r="D1744" s="62">
        <v>0.0</v>
      </c>
      <c r="E1744" s="62">
        <v>0.0</v>
      </c>
      <c r="F1744" s="62">
        <v>0.0</v>
      </c>
      <c r="G1744" s="62">
        <v>0.0</v>
      </c>
      <c r="H1744" s="62">
        <v>2.0</v>
      </c>
      <c r="I1744" s="62">
        <v>2.0</v>
      </c>
      <c r="J1744" s="62">
        <v>0.0</v>
      </c>
      <c r="K1744" s="62">
        <v>0.0</v>
      </c>
      <c r="L1744" s="62">
        <v>0.0</v>
      </c>
      <c r="M1744" s="62">
        <v>0.0</v>
      </c>
      <c r="N1744" s="62">
        <v>0.0</v>
      </c>
      <c r="O1744" s="62">
        <v>1.0</v>
      </c>
      <c r="P1744" s="62">
        <v>0.0</v>
      </c>
      <c r="Q1744" s="62">
        <v>0.0</v>
      </c>
      <c r="R1744" s="62">
        <v>0.0</v>
      </c>
      <c r="S1744" s="62">
        <v>0.0</v>
      </c>
      <c r="T1744" s="62">
        <v>0.0</v>
      </c>
      <c r="U1744" s="62">
        <v>0.0</v>
      </c>
      <c r="V1744" s="62">
        <v>0.0</v>
      </c>
      <c r="W1744" s="62">
        <v>0.418888888888888</v>
      </c>
      <c r="X1744" s="62">
        <v>0.418888888888888</v>
      </c>
      <c r="Y1744" s="62">
        <v>0.0</v>
      </c>
      <c r="Z1744" s="62">
        <v>0.0</v>
      </c>
      <c r="AA1744" s="62">
        <v>0.0</v>
      </c>
      <c r="AB1744" s="62">
        <v>0.0</v>
      </c>
      <c r="AC1744" s="62">
        <v>0.0</v>
      </c>
      <c r="AD1744" s="62">
        <v>0.206111111111111</v>
      </c>
      <c r="AE1744" s="62">
        <v>0.0</v>
      </c>
      <c r="AF1744" s="62">
        <v>0.0</v>
      </c>
    </row>
    <row r="1745">
      <c r="A1745" s="68">
        <v>45900.0</v>
      </c>
      <c r="B1745" s="62" t="s">
        <v>26</v>
      </c>
      <c r="C1745" s="62" t="s">
        <v>178</v>
      </c>
      <c r="D1745" s="62">
        <v>2.0</v>
      </c>
      <c r="E1745" s="62">
        <v>0.0</v>
      </c>
      <c r="F1745" s="62">
        <v>0.0</v>
      </c>
      <c r="G1745" s="62">
        <v>0.0</v>
      </c>
      <c r="H1745" s="62">
        <v>0.0</v>
      </c>
      <c r="I1745" s="62">
        <v>0.0</v>
      </c>
      <c r="J1745" s="62">
        <v>0.0</v>
      </c>
      <c r="K1745" s="62">
        <v>0.0</v>
      </c>
      <c r="L1745" s="62">
        <v>0.0</v>
      </c>
      <c r="M1745" s="62">
        <v>0.0</v>
      </c>
      <c r="N1745" s="62">
        <v>3.0</v>
      </c>
      <c r="O1745" s="62">
        <v>1.0</v>
      </c>
      <c r="P1745" s="62">
        <v>3.0</v>
      </c>
      <c r="Q1745" s="62">
        <v>0.0</v>
      </c>
      <c r="R1745" s="62">
        <v>4645.0</v>
      </c>
      <c r="S1745" s="62">
        <v>0.0</v>
      </c>
      <c r="T1745" s="62">
        <v>0.0</v>
      </c>
      <c r="U1745" s="62">
        <v>0.0</v>
      </c>
      <c r="V1745" s="62">
        <v>0.0</v>
      </c>
      <c r="W1745" s="62">
        <v>0.0</v>
      </c>
      <c r="X1745" s="62">
        <v>0.0</v>
      </c>
      <c r="Y1745" s="62">
        <v>0.0</v>
      </c>
      <c r="Z1745" s="62">
        <v>0.0</v>
      </c>
      <c r="AA1745" s="62">
        <v>0.0</v>
      </c>
      <c r="AB1745" s="62">
        <v>0.0</v>
      </c>
      <c r="AC1745" s="62">
        <v>0.551666666666666</v>
      </c>
      <c r="AD1745" s="62">
        <v>0.215833333333333</v>
      </c>
      <c r="AE1745" s="62">
        <v>0.551666666666666</v>
      </c>
      <c r="AF1745" s="62">
        <v>0.0</v>
      </c>
    </row>
    <row r="1746">
      <c r="A1746" s="68">
        <v>45899.0</v>
      </c>
      <c r="B1746" s="62" t="s">
        <v>32</v>
      </c>
      <c r="C1746" s="62" t="s">
        <v>168</v>
      </c>
      <c r="D1746" s="62">
        <v>0.0</v>
      </c>
      <c r="E1746" s="62">
        <v>0.0</v>
      </c>
      <c r="F1746" s="62">
        <v>0.0</v>
      </c>
      <c r="G1746" s="62">
        <v>0.0</v>
      </c>
      <c r="H1746" s="62">
        <v>0.0</v>
      </c>
      <c r="I1746" s="62">
        <v>0.0</v>
      </c>
      <c r="J1746" s="62">
        <v>0.0</v>
      </c>
      <c r="K1746" s="62">
        <v>0.0</v>
      </c>
      <c r="L1746" s="62">
        <v>0.0</v>
      </c>
      <c r="M1746" s="62">
        <v>2.0</v>
      </c>
      <c r="N1746" s="62">
        <v>4.0</v>
      </c>
      <c r="O1746" s="62">
        <v>1.0</v>
      </c>
      <c r="P1746" s="62">
        <v>4.0</v>
      </c>
      <c r="Q1746" s="62">
        <v>0.0</v>
      </c>
      <c r="R1746" s="62">
        <v>0.0</v>
      </c>
      <c r="S1746" s="62">
        <v>0.0</v>
      </c>
      <c r="T1746" s="62">
        <v>0.0</v>
      </c>
      <c r="U1746" s="62">
        <v>0.0</v>
      </c>
      <c r="V1746" s="62">
        <v>0.0</v>
      </c>
      <c r="W1746" s="62">
        <v>0.0</v>
      </c>
      <c r="X1746" s="62">
        <v>0.0</v>
      </c>
      <c r="Y1746" s="62">
        <v>0.0</v>
      </c>
      <c r="Z1746" s="62">
        <v>0.0</v>
      </c>
      <c r="AA1746" s="62">
        <v>0.0</v>
      </c>
      <c r="AB1746" s="62">
        <v>0.402499999999999</v>
      </c>
      <c r="AC1746" s="62">
        <v>0.807222222222222</v>
      </c>
      <c r="AD1746" s="62">
        <v>0.204722222222222</v>
      </c>
      <c r="AE1746" s="62">
        <v>0.807222222222222</v>
      </c>
      <c r="AF1746" s="62">
        <v>0.0</v>
      </c>
    </row>
    <row r="1747">
      <c r="A1747" s="68">
        <v>45898.0</v>
      </c>
      <c r="B1747" s="62" t="s">
        <v>32</v>
      </c>
      <c r="C1747" s="62" t="s">
        <v>168</v>
      </c>
      <c r="D1747" s="62">
        <v>7.0</v>
      </c>
      <c r="E1747" s="62">
        <v>10.0</v>
      </c>
      <c r="F1747" s="62">
        <v>2.0</v>
      </c>
      <c r="G1747" s="62">
        <v>0.0</v>
      </c>
      <c r="H1747" s="62">
        <v>2.0</v>
      </c>
      <c r="I1747" s="62">
        <v>0.0</v>
      </c>
      <c r="J1747" s="62">
        <v>5.0</v>
      </c>
      <c r="K1747" s="62">
        <v>4.0</v>
      </c>
      <c r="L1747" s="62">
        <v>0.0</v>
      </c>
      <c r="M1747" s="62">
        <v>4.0</v>
      </c>
      <c r="N1747" s="62">
        <v>0.0</v>
      </c>
      <c r="O1747" s="62">
        <v>1.0</v>
      </c>
      <c r="P1747" s="62">
        <v>0.0</v>
      </c>
      <c r="Q1747" s="62">
        <v>0.0</v>
      </c>
      <c r="R1747" s="62">
        <v>15471.0</v>
      </c>
      <c r="S1747" s="62">
        <v>21311.0</v>
      </c>
      <c r="T1747" s="62">
        <v>0.87</v>
      </c>
      <c r="U1747" s="62">
        <v>0.451111111111111</v>
      </c>
      <c r="V1747" s="62">
        <v>0.0</v>
      </c>
      <c r="W1747" s="62">
        <v>0.438888888888888</v>
      </c>
      <c r="X1747" s="62">
        <v>0.0</v>
      </c>
      <c r="Y1747" s="62">
        <v>1.04583333333333</v>
      </c>
      <c r="Z1747" s="62">
        <v>0.849166666666666</v>
      </c>
      <c r="AA1747" s="62">
        <v>0.0</v>
      </c>
      <c r="AB1747" s="62">
        <v>0.849166666666666</v>
      </c>
      <c r="AC1747" s="62">
        <v>0.0</v>
      </c>
      <c r="AD1747" s="62">
        <v>0.211944444444444</v>
      </c>
      <c r="AE1747" s="62">
        <v>0.0</v>
      </c>
      <c r="AF1747" s="62">
        <v>4.0</v>
      </c>
    </row>
    <row r="1748">
      <c r="A1748" s="68">
        <v>45898.0</v>
      </c>
      <c r="B1748" s="62" t="s">
        <v>26</v>
      </c>
      <c r="C1748" s="62" t="s">
        <v>178</v>
      </c>
      <c r="D1748" s="62">
        <v>0.0</v>
      </c>
      <c r="E1748" s="62">
        <v>0.0</v>
      </c>
      <c r="F1748" s="62">
        <v>0.0</v>
      </c>
      <c r="G1748" s="62">
        <v>2.0</v>
      </c>
      <c r="H1748" s="62">
        <v>2.0</v>
      </c>
      <c r="I1748" s="62">
        <v>0.0</v>
      </c>
      <c r="J1748" s="62">
        <v>3.0</v>
      </c>
      <c r="K1748" s="62">
        <v>1.0</v>
      </c>
      <c r="L1748" s="62">
        <v>1.0</v>
      </c>
      <c r="M1748" s="62">
        <v>3.0</v>
      </c>
      <c r="N1748" s="62">
        <v>0.0</v>
      </c>
      <c r="O1748" s="62">
        <v>1.0</v>
      </c>
      <c r="P1748" s="62">
        <v>0.0</v>
      </c>
      <c r="Q1748" s="62">
        <v>0.0</v>
      </c>
      <c r="R1748" s="62">
        <v>0.0</v>
      </c>
      <c r="S1748" s="62">
        <v>0.0</v>
      </c>
      <c r="T1748" s="62">
        <v>0.823888888888888</v>
      </c>
      <c r="U1748" s="62">
        <v>0.0</v>
      </c>
      <c r="V1748" s="62">
        <v>0.384722222222222</v>
      </c>
      <c r="W1748" s="62">
        <v>0.384722222222222</v>
      </c>
      <c r="X1748" s="62">
        <v>0.0</v>
      </c>
      <c r="Y1748" s="62">
        <v>0.551666666666666</v>
      </c>
      <c r="Z1748" s="62">
        <v>0.193055555555555</v>
      </c>
      <c r="AA1748" s="62">
        <v>0.193055555555555</v>
      </c>
      <c r="AB1748" s="62">
        <v>0.551666666666666</v>
      </c>
      <c r="AC1748" s="62">
        <v>0.0</v>
      </c>
      <c r="AD1748" s="62">
        <v>0.239722222222222</v>
      </c>
      <c r="AE1748" s="62">
        <v>0.0</v>
      </c>
      <c r="AF1748" s="62">
        <v>4.0</v>
      </c>
    </row>
    <row r="1749">
      <c r="A1749" s="68">
        <v>45897.0</v>
      </c>
      <c r="B1749" s="62" t="s">
        <v>32</v>
      </c>
      <c r="C1749" s="62" t="s">
        <v>168</v>
      </c>
      <c r="D1749" s="62">
        <v>5.0</v>
      </c>
      <c r="E1749" s="62">
        <v>0.0</v>
      </c>
      <c r="F1749" s="62">
        <v>3.0</v>
      </c>
      <c r="G1749" s="62">
        <v>0.0</v>
      </c>
      <c r="H1749" s="62">
        <v>4.0</v>
      </c>
      <c r="I1749" s="62">
        <v>3.0</v>
      </c>
      <c r="J1749" s="62">
        <v>2.0</v>
      </c>
      <c r="K1749" s="62">
        <v>0.0</v>
      </c>
      <c r="L1749" s="62">
        <v>0.0</v>
      </c>
      <c r="M1749" s="62">
        <v>1.0</v>
      </c>
      <c r="N1749" s="62">
        <v>5.0</v>
      </c>
      <c r="O1749" s="62">
        <v>1.0</v>
      </c>
      <c r="P1749" s="62">
        <v>5.0</v>
      </c>
      <c r="Q1749" s="62">
        <v>0.0</v>
      </c>
      <c r="R1749" s="62">
        <v>11859.0</v>
      </c>
      <c r="S1749" s="62">
        <v>0.0</v>
      </c>
      <c r="T1749" s="62">
        <v>0.664444444444444</v>
      </c>
      <c r="U1749" s="62">
        <v>0.658611111111111</v>
      </c>
      <c r="V1749" s="62">
        <v>0.0</v>
      </c>
      <c r="W1749" s="62">
        <v>0.820277777777777</v>
      </c>
      <c r="X1749" s="62">
        <v>0.618055555555555</v>
      </c>
      <c r="Y1749" s="62">
        <v>0.408055555555555</v>
      </c>
      <c r="Z1749" s="62">
        <v>0.0</v>
      </c>
      <c r="AA1749" s="62">
        <v>0.0</v>
      </c>
      <c r="AB1749" s="62">
        <v>0.202222222222222</v>
      </c>
      <c r="AC1749" s="62">
        <v>1.02777777777777</v>
      </c>
      <c r="AD1749" s="62">
        <v>0.211388888888888</v>
      </c>
      <c r="AE1749" s="62">
        <v>1.02777777777777</v>
      </c>
      <c r="AF1749" s="62">
        <v>3.0</v>
      </c>
    </row>
    <row r="1750">
      <c r="A1750" s="68">
        <v>45897.0</v>
      </c>
      <c r="B1750" s="62" t="s">
        <v>26</v>
      </c>
      <c r="C1750" s="62" t="s">
        <v>178</v>
      </c>
      <c r="D1750" s="62">
        <v>6.0</v>
      </c>
      <c r="E1750" s="62">
        <v>1.0</v>
      </c>
      <c r="F1750" s="62">
        <v>2.0</v>
      </c>
      <c r="G1750" s="62">
        <v>0.0</v>
      </c>
      <c r="H1750" s="62">
        <v>1.0</v>
      </c>
      <c r="I1750" s="62">
        <v>1.0</v>
      </c>
      <c r="J1750" s="62">
        <v>0.0</v>
      </c>
      <c r="K1750" s="62">
        <v>0.0</v>
      </c>
      <c r="L1750" s="62">
        <v>2.0</v>
      </c>
      <c r="M1750" s="62">
        <v>2.0</v>
      </c>
      <c r="N1750" s="62">
        <v>5.0</v>
      </c>
      <c r="O1750" s="62">
        <v>1.0</v>
      </c>
      <c r="P1750" s="62">
        <v>5.0</v>
      </c>
      <c r="Q1750" s="62">
        <v>0.0</v>
      </c>
      <c r="R1750" s="62">
        <v>13125.0</v>
      </c>
      <c r="S1750" s="62">
        <v>2018.0</v>
      </c>
      <c r="T1750" s="62">
        <v>0.554999999999999</v>
      </c>
      <c r="U1750" s="62">
        <v>0.387777777777777</v>
      </c>
      <c r="V1750" s="62">
        <v>0.0</v>
      </c>
      <c r="W1750" s="62">
        <v>0.167222222222222</v>
      </c>
      <c r="X1750" s="62">
        <v>0.167222222222222</v>
      </c>
      <c r="Y1750" s="62">
        <v>0.0</v>
      </c>
      <c r="Z1750" s="62">
        <v>0.0</v>
      </c>
      <c r="AA1750" s="62">
        <v>0.378333333333333</v>
      </c>
      <c r="AB1750" s="62">
        <v>0.378333333333333</v>
      </c>
      <c r="AC1750" s="62">
        <v>0.945277777777777</v>
      </c>
      <c r="AD1750" s="62">
        <v>0.2325</v>
      </c>
      <c r="AE1750" s="62">
        <v>0.945277777777777</v>
      </c>
      <c r="AF1750" s="62">
        <v>3.0</v>
      </c>
    </row>
    <row r="1751">
      <c r="A1751" s="68">
        <v>45896.0</v>
      </c>
      <c r="B1751" s="62" t="s">
        <v>32</v>
      </c>
      <c r="C1751" s="62" t="s">
        <v>168</v>
      </c>
      <c r="D1751" s="62">
        <v>0.0</v>
      </c>
      <c r="E1751" s="62">
        <v>0.0</v>
      </c>
      <c r="F1751" s="62">
        <v>0.0</v>
      </c>
      <c r="G1751" s="62">
        <v>0.0</v>
      </c>
      <c r="H1751" s="62">
        <v>0.0</v>
      </c>
      <c r="I1751" s="62">
        <v>0.0</v>
      </c>
      <c r="J1751" s="62">
        <v>0.0</v>
      </c>
      <c r="K1751" s="62">
        <v>0.0</v>
      </c>
      <c r="L1751" s="62">
        <v>0.0</v>
      </c>
      <c r="M1751" s="62">
        <v>0.0</v>
      </c>
      <c r="N1751" s="62">
        <v>0.0</v>
      </c>
      <c r="O1751" s="62">
        <v>1.0</v>
      </c>
      <c r="P1751" s="62">
        <v>0.0</v>
      </c>
      <c r="Q1751" s="62">
        <v>0.0</v>
      </c>
      <c r="R1751" s="62">
        <v>0.0</v>
      </c>
      <c r="S1751" s="62">
        <v>0.0</v>
      </c>
      <c r="T1751" s="62">
        <v>0.612222222222222</v>
      </c>
      <c r="U1751" s="62">
        <v>0.0</v>
      </c>
      <c r="V1751" s="62">
        <v>0.0</v>
      </c>
      <c r="W1751" s="62">
        <v>0.0</v>
      </c>
      <c r="X1751" s="62">
        <v>0.0</v>
      </c>
      <c r="Y1751" s="62">
        <v>0.0</v>
      </c>
      <c r="Z1751" s="62">
        <v>0.0</v>
      </c>
      <c r="AA1751" s="62">
        <v>0.0</v>
      </c>
      <c r="AB1751" s="62">
        <v>0.0</v>
      </c>
      <c r="AC1751" s="62">
        <v>0.0</v>
      </c>
      <c r="AD1751" s="62">
        <v>0.211111111111111</v>
      </c>
      <c r="AE1751" s="62">
        <v>0.0</v>
      </c>
      <c r="AF1751" s="62">
        <v>3.0</v>
      </c>
    </row>
    <row r="1752">
      <c r="A1752" s="68">
        <v>45896.0</v>
      </c>
      <c r="B1752" s="62" t="s">
        <v>26</v>
      </c>
      <c r="C1752" s="62" t="s">
        <v>178</v>
      </c>
      <c r="D1752" s="62">
        <v>0.0</v>
      </c>
      <c r="E1752" s="62">
        <v>0.0</v>
      </c>
      <c r="F1752" s="62">
        <v>0.0</v>
      </c>
      <c r="G1752" s="62">
        <v>0.0</v>
      </c>
      <c r="H1752" s="62">
        <v>0.0</v>
      </c>
      <c r="I1752" s="62">
        <v>0.0</v>
      </c>
      <c r="J1752" s="62">
        <v>0.0</v>
      </c>
      <c r="K1752" s="62">
        <v>0.0</v>
      </c>
      <c r="L1752" s="62">
        <v>0.0</v>
      </c>
      <c r="M1752" s="62">
        <v>0.0</v>
      </c>
      <c r="N1752" s="62">
        <v>4.0</v>
      </c>
      <c r="O1752" s="62">
        <v>1.0</v>
      </c>
      <c r="P1752" s="62">
        <v>4.0</v>
      </c>
      <c r="Q1752" s="62">
        <v>0.0</v>
      </c>
      <c r="R1752" s="62">
        <v>0.0</v>
      </c>
      <c r="S1752" s="62">
        <v>0.0</v>
      </c>
      <c r="T1752" s="62">
        <v>0.0</v>
      </c>
      <c r="U1752" s="62">
        <v>0.0</v>
      </c>
      <c r="V1752" s="62">
        <v>0.0</v>
      </c>
      <c r="W1752" s="62">
        <v>0.0</v>
      </c>
      <c r="X1752" s="62">
        <v>0.0</v>
      </c>
      <c r="Y1752" s="62">
        <v>0.0</v>
      </c>
      <c r="Z1752" s="62">
        <v>0.0</v>
      </c>
      <c r="AA1752" s="62">
        <v>0.0</v>
      </c>
      <c r="AB1752" s="62">
        <v>0.0</v>
      </c>
      <c r="AC1752" s="62">
        <v>0.788611111111111</v>
      </c>
      <c r="AD1752" s="62">
        <v>0.215555555555555</v>
      </c>
      <c r="AE1752" s="62">
        <v>0.788611111111111</v>
      </c>
      <c r="AF1752" s="62">
        <v>0.0</v>
      </c>
    </row>
    <row r="1753">
      <c r="A1753" s="68">
        <v>45895.0</v>
      </c>
      <c r="B1753" s="62" t="s">
        <v>32</v>
      </c>
      <c r="C1753" s="62" t="s">
        <v>168</v>
      </c>
      <c r="D1753" s="62">
        <v>5.0</v>
      </c>
      <c r="E1753" s="62">
        <v>5.0</v>
      </c>
      <c r="F1753" s="62">
        <v>0.0</v>
      </c>
      <c r="G1753" s="62">
        <v>0.0</v>
      </c>
      <c r="H1753" s="62">
        <v>0.0</v>
      </c>
      <c r="I1753" s="62">
        <v>0.0</v>
      </c>
      <c r="J1753" s="62">
        <v>3.0</v>
      </c>
      <c r="K1753" s="62">
        <v>2.0</v>
      </c>
      <c r="L1753" s="62">
        <v>0.0</v>
      </c>
      <c r="M1753" s="62">
        <v>8.0</v>
      </c>
      <c r="N1753" s="62">
        <v>4.0</v>
      </c>
      <c r="O1753" s="62">
        <v>1.0</v>
      </c>
      <c r="P1753" s="62">
        <v>4.0</v>
      </c>
      <c r="Q1753" s="62">
        <v>0.0</v>
      </c>
      <c r="R1753" s="62">
        <v>11740.0</v>
      </c>
      <c r="S1753" s="62">
        <v>11681.0</v>
      </c>
      <c r="T1753" s="62">
        <v>0.0</v>
      </c>
      <c r="U1753" s="62">
        <v>0.0</v>
      </c>
      <c r="V1753" s="62">
        <v>0.0</v>
      </c>
      <c r="W1753" s="62">
        <v>0.0</v>
      </c>
      <c r="X1753" s="62">
        <v>0.0</v>
      </c>
      <c r="Y1753" s="62">
        <v>0.627777777777777</v>
      </c>
      <c r="Z1753" s="62">
        <v>0.405</v>
      </c>
      <c r="AA1753" s="62">
        <v>0.0</v>
      </c>
      <c r="AB1753" s="62">
        <v>1.64277777777777</v>
      </c>
      <c r="AC1753" s="62">
        <v>0.817222222222222</v>
      </c>
      <c r="AD1753" s="62">
        <v>0.211944444444444</v>
      </c>
      <c r="AE1753" s="62">
        <v>0.817222222222222</v>
      </c>
      <c r="AF1753" s="62">
        <v>0.0</v>
      </c>
    </row>
    <row r="1754">
      <c r="A1754" s="68">
        <v>45895.0</v>
      </c>
      <c r="B1754" s="62" t="s">
        <v>26</v>
      </c>
      <c r="C1754" s="62" t="s">
        <v>178</v>
      </c>
      <c r="D1754" s="62">
        <v>0.0</v>
      </c>
      <c r="E1754" s="62">
        <v>0.0</v>
      </c>
      <c r="F1754" s="62">
        <v>0.0</v>
      </c>
      <c r="G1754" s="62">
        <v>3.0</v>
      </c>
      <c r="H1754" s="62">
        <v>3.0</v>
      </c>
      <c r="I1754" s="62">
        <v>0.0</v>
      </c>
      <c r="J1754" s="62">
        <v>3.0</v>
      </c>
      <c r="K1754" s="62">
        <v>2.0</v>
      </c>
      <c r="L1754" s="62">
        <v>2.0</v>
      </c>
      <c r="M1754" s="62">
        <v>7.0</v>
      </c>
      <c r="N1754" s="62">
        <v>0.0</v>
      </c>
      <c r="O1754" s="62">
        <v>1.0</v>
      </c>
      <c r="P1754" s="62">
        <v>0.0</v>
      </c>
      <c r="Q1754" s="62">
        <v>0.0</v>
      </c>
      <c r="R1754" s="62">
        <v>0.0</v>
      </c>
      <c r="S1754" s="62">
        <v>0.0</v>
      </c>
      <c r="T1754" s="62">
        <v>0.0</v>
      </c>
      <c r="U1754" s="62">
        <v>0.0</v>
      </c>
      <c r="V1754" s="62">
        <v>0.561388888888888</v>
      </c>
      <c r="W1754" s="62">
        <v>0.561388888888888</v>
      </c>
      <c r="X1754" s="62">
        <v>0.0</v>
      </c>
      <c r="Y1754" s="62">
        <v>0.561388888888888</v>
      </c>
      <c r="Z1754" s="62">
        <v>0.378611111111111</v>
      </c>
      <c r="AA1754" s="62">
        <v>0.398611111111111</v>
      </c>
      <c r="AB1754" s="62">
        <v>1.35583333333333</v>
      </c>
      <c r="AC1754" s="62">
        <v>0.0</v>
      </c>
      <c r="AD1754" s="62">
        <v>0.247777777777777</v>
      </c>
      <c r="AE1754" s="62">
        <v>0.0</v>
      </c>
      <c r="AF1754" s="62">
        <v>0.0</v>
      </c>
    </row>
    <row r="1755">
      <c r="A1755" s="68">
        <v>45894.0</v>
      </c>
      <c r="B1755" s="62" t="s">
        <v>32</v>
      </c>
      <c r="C1755" s="62" t="s">
        <v>168</v>
      </c>
      <c r="D1755" s="62">
        <v>10.0</v>
      </c>
      <c r="E1755" s="62">
        <v>9.0</v>
      </c>
      <c r="F1755" s="62">
        <v>1.0</v>
      </c>
      <c r="G1755" s="62">
        <v>0.0</v>
      </c>
      <c r="H1755" s="62">
        <v>5.0</v>
      </c>
      <c r="I1755" s="62">
        <v>5.0</v>
      </c>
      <c r="J1755" s="62">
        <v>4.0</v>
      </c>
      <c r="K1755" s="62">
        <v>0.0</v>
      </c>
      <c r="L1755" s="62">
        <v>0.0</v>
      </c>
      <c r="M1755" s="62">
        <v>0.0</v>
      </c>
      <c r="N1755" s="62">
        <v>0.0</v>
      </c>
      <c r="O1755" s="62">
        <v>1.0</v>
      </c>
      <c r="P1755" s="62">
        <v>0.0</v>
      </c>
      <c r="Q1755" s="62">
        <v>0.0</v>
      </c>
      <c r="R1755" s="62">
        <v>22386.0</v>
      </c>
      <c r="S1755" s="62">
        <v>20147.0</v>
      </c>
      <c r="T1755" s="62">
        <v>0.0</v>
      </c>
      <c r="U1755" s="62">
        <v>0.196666666666666</v>
      </c>
      <c r="V1755" s="62">
        <v>0.0</v>
      </c>
      <c r="W1755" s="62">
        <v>1.02611111111111</v>
      </c>
      <c r="X1755" s="62">
        <v>1.02611111111111</v>
      </c>
      <c r="Y1755" s="62">
        <v>0.807777777777777</v>
      </c>
      <c r="Z1755" s="62">
        <v>0.0</v>
      </c>
      <c r="AA1755" s="62">
        <v>0.0</v>
      </c>
      <c r="AB1755" s="62">
        <v>0.0</v>
      </c>
      <c r="AC1755" s="62">
        <v>0.0</v>
      </c>
      <c r="AD1755" s="62">
        <v>0.226111111111111</v>
      </c>
      <c r="AE1755" s="62">
        <v>0.0</v>
      </c>
      <c r="AF1755" s="62">
        <v>0.0</v>
      </c>
    </row>
    <row r="1756">
      <c r="A1756" s="68">
        <v>45894.0</v>
      </c>
      <c r="B1756" s="62" t="s">
        <v>26</v>
      </c>
      <c r="C1756" s="62" t="s">
        <v>178</v>
      </c>
      <c r="D1756" s="62">
        <v>2.0</v>
      </c>
      <c r="E1756" s="62">
        <v>6.0</v>
      </c>
      <c r="F1756" s="62">
        <v>3.0</v>
      </c>
      <c r="G1756" s="62">
        <v>7.0</v>
      </c>
      <c r="H1756" s="62">
        <v>7.0</v>
      </c>
      <c r="I1756" s="62">
        <v>0.0</v>
      </c>
      <c r="J1756" s="62">
        <v>7.0</v>
      </c>
      <c r="K1756" s="62">
        <v>2.0</v>
      </c>
      <c r="L1756" s="62">
        <v>3.0</v>
      </c>
      <c r="M1756" s="62">
        <v>4.0</v>
      </c>
      <c r="N1756" s="62">
        <v>6.0</v>
      </c>
      <c r="O1756" s="62">
        <v>1.0</v>
      </c>
      <c r="P1756" s="62">
        <v>6.0</v>
      </c>
      <c r="Q1756" s="62">
        <v>0.0</v>
      </c>
      <c r="R1756" s="62">
        <v>4409.0</v>
      </c>
      <c r="S1756" s="62">
        <v>15246.0</v>
      </c>
      <c r="T1756" s="62">
        <v>0.0</v>
      </c>
      <c r="U1756" s="62">
        <v>0.565833333333333</v>
      </c>
      <c r="V1756" s="62">
        <v>1.36388888888888</v>
      </c>
      <c r="W1756" s="62">
        <v>1.36388888888888</v>
      </c>
      <c r="X1756" s="62">
        <v>0.0</v>
      </c>
      <c r="Y1756" s="62">
        <v>1.36388888888888</v>
      </c>
      <c r="Z1756" s="62">
        <v>0.398611111111111</v>
      </c>
      <c r="AA1756" s="62">
        <v>0.625</v>
      </c>
      <c r="AB1756" s="62">
        <v>0.816666666666666</v>
      </c>
      <c r="AC1756" s="62">
        <v>1.25</v>
      </c>
      <c r="AD1756" s="62">
        <v>0.253055555555555</v>
      </c>
      <c r="AE1756" s="62">
        <v>1.25</v>
      </c>
      <c r="AF1756" s="62">
        <v>0.0</v>
      </c>
    </row>
    <row r="1757">
      <c r="A1757" s="68">
        <v>45893.0</v>
      </c>
      <c r="B1757" s="62" t="s">
        <v>32</v>
      </c>
      <c r="C1757" s="62" t="s">
        <v>168</v>
      </c>
      <c r="D1757" s="62">
        <v>0.0</v>
      </c>
      <c r="E1757" s="62">
        <v>0.0</v>
      </c>
      <c r="F1757" s="62">
        <v>0.0</v>
      </c>
      <c r="G1757" s="62">
        <v>0.0</v>
      </c>
      <c r="H1757" s="62">
        <v>0.0</v>
      </c>
      <c r="I1757" s="62">
        <v>0.0</v>
      </c>
      <c r="J1757" s="62">
        <v>0.0</v>
      </c>
      <c r="K1757" s="62">
        <v>0.0</v>
      </c>
      <c r="L1757" s="62">
        <v>0.0</v>
      </c>
      <c r="M1757" s="62">
        <v>0.0</v>
      </c>
      <c r="N1757" s="62">
        <v>0.0</v>
      </c>
      <c r="O1757" s="62">
        <v>1.0</v>
      </c>
      <c r="P1757" s="62">
        <v>0.0</v>
      </c>
      <c r="Q1757" s="62">
        <v>0.0</v>
      </c>
      <c r="R1757" s="62">
        <v>0.0</v>
      </c>
      <c r="S1757" s="62">
        <v>0.0</v>
      </c>
      <c r="T1757" s="62">
        <v>1.02611111111111</v>
      </c>
      <c r="U1757" s="62">
        <v>0.0</v>
      </c>
      <c r="V1757" s="62">
        <v>0.0</v>
      </c>
      <c r="W1757" s="62">
        <v>0.0</v>
      </c>
      <c r="X1757" s="62">
        <v>0.0</v>
      </c>
      <c r="Y1757" s="62">
        <v>0.0</v>
      </c>
      <c r="Z1757" s="62">
        <v>0.0</v>
      </c>
      <c r="AA1757" s="62">
        <v>0.0</v>
      </c>
      <c r="AB1757" s="62">
        <v>0.0</v>
      </c>
      <c r="AC1757" s="62">
        <v>0.0</v>
      </c>
      <c r="AD1757" s="62">
        <v>0.202777777777777</v>
      </c>
      <c r="AE1757" s="62">
        <v>0.0</v>
      </c>
      <c r="AF1757" s="62">
        <v>5.0</v>
      </c>
    </row>
    <row r="1758">
      <c r="A1758" s="68">
        <v>45893.0</v>
      </c>
      <c r="B1758" s="62" t="s">
        <v>26</v>
      </c>
      <c r="C1758" s="62" t="s">
        <v>178</v>
      </c>
      <c r="D1758" s="62">
        <v>0.0</v>
      </c>
      <c r="E1758" s="62">
        <v>0.0</v>
      </c>
      <c r="F1758" s="62">
        <v>0.0</v>
      </c>
      <c r="G1758" s="62">
        <v>0.0</v>
      </c>
      <c r="H1758" s="62">
        <v>0.0</v>
      </c>
      <c r="I1758" s="62">
        <v>0.0</v>
      </c>
      <c r="J1758" s="62">
        <v>0.0</v>
      </c>
      <c r="K1758" s="62">
        <v>0.0</v>
      </c>
      <c r="L1758" s="62">
        <v>0.0</v>
      </c>
      <c r="M1758" s="62">
        <v>0.0</v>
      </c>
      <c r="N1758" s="62">
        <v>5.0</v>
      </c>
      <c r="O1758" s="62">
        <v>1.0</v>
      </c>
      <c r="P1758" s="62">
        <v>5.0</v>
      </c>
      <c r="Q1758" s="62">
        <v>0.0</v>
      </c>
      <c r="R1758" s="62">
        <v>0.0</v>
      </c>
      <c r="S1758" s="62">
        <v>0.0</v>
      </c>
      <c r="T1758" s="62">
        <v>0.0</v>
      </c>
      <c r="U1758" s="62">
        <v>0.0</v>
      </c>
      <c r="V1758" s="62">
        <v>0.0</v>
      </c>
      <c r="W1758" s="62">
        <v>0.0</v>
      </c>
      <c r="X1758" s="62">
        <v>0.0</v>
      </c>
      <c r="Y1758" s="62">
        <v>0.0</v>
      </c>
      <c r="Z1758" s="62">
        <v>0.0</v>
      </c>
      <c r="AA1758" s="62">
        <v>0.0</v>
      </c>
      <c r="AB1758" s="62">
        <v>0.0</v>
      </c>
      <c r="AC1758" s="62">
        <v>1.08333333333333</v>
      </c>
      <c r="AD1758" s="62">
        <v>0.215277777777777</v>
      </c>
      <c r="AE1758" s="62">
        <v>1.08333333333333</v>
      </c>
      <c r="AF1758" s="62">
        <v>0.0</v>
      </c>
    </row>
    <row r="1759">
      <c r="A1759" s="68">
        <v>45892.0</v>
      </c>
      <c r="B1759" s="62" t="s">
        <v>26</v>
      </c>
      <c r="C1759" s="62" t="s">
        <v>178</v>
      </c>
      <c r="D1759" s="62">
        <v>0.0</v>
      </c>
      <c r="E1759" s="62">
        <v>0.0</v>
      </c>
      <c r="F1759" s="62">
        <v>0.0</v>
      </c>
      <c r="G1759" s="62">
        <v>0.0</v>
      </c>
      <c r="H1759" s="62">
        <v>0.0</v>
      </c>
      <c r="I1759" s="62">
        <v>0.0</v>
      </c>
      <c r="J1759" s="62">
        <v>0.0</v>
      </c>
      <c r="K1759" s="62">
        <v>0.0</v>
      </c>
      <c r="L1759" s="62">
        <v>0.0</v>
      </c>
      <c r="M1759" s="62">
        <v>0.0</v>
      </c>
      <c r="N1759" s="62">
        <v>0.0</v>
      </c>
      <c r="O1759" s="62">
        <v>1.0</v>
      </c>
      <c r="P1759" s="62">
        <v>0.0</v>
      </c>
      <c r="Q1759" s="62">
        <v>0.0</v>
      </c>
      <c r="R1759" s="62">
        <v>0.0</v>
      </c>
      <c r="S1759" s="62">
        <v>0.0</v>
      </c>
      <c r="T1759" s="62">
        <v>0.565833333333333</v>
      </c>
      <c r="U1759" s="62">
        <v>0.0</v>
      </c>
      <c r="V1759" s="62">
        <v>0.0</v>
      </c>
      <c r="W1759" s="62">
        <v>0.0</v>
      </c>
      <c r="X1759" s="62">
        <v>0.0</v>
      </c>
      <c r="Y1759" s="62">
        <v>0.0</v>
      </c>
      <c r="Z1759" s="62">
        <v>0.0</v>
      </c>
      <c r="AA1759" s="62">
        <v>0.0</v>
      </c>
      <c r="AB1759" s="62">
        <v>0.0</v>
      </c>
      <c r="AC1759" s="62">
        <v>0.0</v>
      </c>
      <c r="AD1759" s="62">
        <v>0.231666666666666</v>
      </c>
      <c r="AE1759" s="62">
        <v>0.0</v>
      </c>
      <c r="AF1759" s="62">
        <v>3.0</v>
      </c>
    </row>
    <row r="1760">
      <c r="A1760" s="68">
        <v>45891.0</v>
      </c>
      <c r="B1760" s="62" t="s">
        <v>32</v>
      </c>
      <c r="C1760" s="62" t="s">
        <v>168</v>
      </c>
      <c r="D1760" s="62">
        <v>7.0</v>
      </c>
      <c r="E1760" s="62">
        <v>1.0</v>
      </c>
      <c r="F1760" s="62">
        <v>2.0</v>
      </c>
      <c r="G1760" s="62">
        <v>1.0</v>
      </c>
      <c r="H1760" s="62">
        <v>7.0</v>
      </c>
      <c r="I1760" s="62">
        <v>4.0</v>
      </c>
      <c r="J1760" s="62">
        <v>5.0</v>
      </c>
      <c r="K1760" s="62">
        <v>2.0</v>
      </c>
      <c r="L1760" s="62">
        <v>0.0</v>
      </c>
      <c r="M1760" s="62">
        <v>6.0</v>
      </c>
      <c r="N1760" s="62">
        <v>6.0</v>
      </c>
      <c r="O1760" s="62">
        <v>1.0</v>
      </c>
      <c r="P1760" s="62">
        <v>6.0</v>
      </c>
      <c r="Q1760" s="62">
        <v>0.0</v>
      </c>
      <c r="R1760" s="62">
        <v>15572.0</v>
      </c>
      <c r="S1760" s="62">
        <v>2040.0</v>
      </c>
      <c r="T1760" s="62">
        <v>0.0</v>
      </c>
      <c r="U1760" s="62">
        <v>0.417777777777777</v>
      </c>
      <c r="V1760" s="62">
        <v>0.2075</v>
      </c>
      <c r="W1760" s="62">
        <v>1.47194444444444</v>
      </c>
      <c r="X1760" s="62">
        <v>0.819444444444444</v>
      </c>
      <c r="Y1760" s="62">
        <v>1.07638888888888</v>
      </c>
      <c r="Z1760" s="62">
        <v>0.440555555555555</v>
      </c>
      <c r="AA1760" s="62">
        <v>0.0</v>
      </c>
      <c r="AB1760" s="62">
        <v>1.29111111111111</v>
      </c>
      <c r="AC1760" s="62">
        <v>1.29111111111111</v>
      </c>
      <c r="AD1760" s="62">
        <v>0.1975</v>
      </c>
      <c r="AE1760" s="62">
        <v>1.29111111111111</v>
      </c>
      <c r="AF1760" s="62">
        <v>0.0</v>
      </c>
    </row>
    <row r="1761">
      <c r="A1761" s="68">
        <v>45891.0</v>
      </c>
      <c r="B1761" s="62" t="s">
        <v>26</v>
      </c>
      <c r="C1761" s="62" t="s">
        <v>178</v>
      </c>
      <c r="D1761" s="62">
        <v>6.0</v>
      </c>
      <c r="E1761" s="62">
        <v>0.0</v>
      </c>
      <c r="F1761" s="62">
        <v>0.0</v>
      </c>
      <c r="G1761" s="62">
        <v>0.0</v>
      </c>
      <c r="H1761" s="62">
        <v>0.0</v>
      </c>
      <c r="I1761" s="62">
        <v>0.0</v>
      </c>
      <c r="J1761" s="62">
        <v>0.0</v>
      </c>
      <c r="K1761" s="62">
        <v>0.0</v>
      </c>
      <c r="L1761" s="62">
        <v>9.0</v>
      </c>
      <c r="M1761" s="62">
        <v>9.0</v>
      </c>
      <c r="N1761" s="62">
        <v>4.0</v>
      </c>
      <c r="O1761" s="62">
        <v>1.0</v>
      </c>
      <c r="P1761" s="62">
        <v>4.0</v>
      </c>
      <c r="Q1761" s="62">
        <v>0.0</v>
      </c>
      <c r="R1761" s="62">
        <v>13432.0</v>
      </c>
      <c r="S1761" s="62">
        <v>0.0</v>
      </c>
      <c r="T1761" s="62">
        <v>0.0</v>
      </c>
      <c r="U1761" s="62">
        <v>0.0</v>
      </c>
      <c r="V1761" s="62">
        <v>0.0</v>
      </c>
      <c r="W1761" s="62">
        <v>0.0</v>
      </c>
      <c r="X1761" s="62">
        <v>0.0</v>
      </c>
      <c r="Y1761" s="62">
        <v>0.0</v>
      </c>
      <c r="Z1761" s="62">
        <v>0.0</v>
      </c>
      <c r="AA1761" s="62">
        <v>1.96305555555555</v>
      </c>
      <c r="AB1761" s="62">
        <v>1.96305555555555</v>
      </c>
      <c r="AC1761" s="62">
        <v>0.879722222222222</v>
      </c>
      <c r="AD1761" s="62">
        <v>0.236111111111111</v>
      </c>
      <c r="AE1761" s="62">
        <v>0.879722222222222</v>
      </c>
      <c r="AF1761" s="62">
        <v>0.0</v>
      </c>
    </row>
    <row r="1762">
      <c r="A1762" s="68">
        <v>45890.0</v>
      </c>
      <c r="B1762" s="62" t="s">
        <v>32</v>
      </c>
      <c r="C1762" s="62" t="s">
        <v>168</v>
      </c>
      <c r="D1762" s="62">
        <v>2.0</v>
      </c>
      <c r="E1762" s="62">
        <v>0.0</v>
      </c>
      <c r="F1762" s="62">
        <v>0.0</v>
      </c>
      <c r="G1762" s="62">
        <v>0.0</v>
      </c>
      <c r="H1762" s="62">
        <v>2.0</v>
      </c>
      <c r="I1762" s="62">
        <v>0.0</v>
      </c>
      <c r="J1762" s="62">
        <v>2.0</v>
      </c>
      <c r="K1762" s="62">
        <v>3.0</v>
      </c>
      <c r="L1762" s="62">
        <v>0.0</v>
      </c>
      <c r="M1762" s="62">
        <v>1.0</v>
      </c>
      <c r="N1762" s="62">
        <v>1.0</v>
      </c>
      <c r="O1762" s="62">
        <v>1.0</v>
      </c>
      <c r="P1762" s="62">
        <v>1.0</v>
      </c>
      <c r="Q1762" s="62">
        <v>0.0</v>
      </c>
      <c r="R1762" s="62">
        <v>4247.0</v>
      </c>
      <c r="S1762" s="62">
        <v>0.0</v>
      </c>
      <c r="T1762" s="62">
        <v>1.23722222222222</v>
      </c>
      <c r="U1762" s="62">
        <v>0.0</v>
      </c>
      <c r="V1762" s="62">
        <v>0.0</v>
      </c>
      <c r="W1762" s="62">
        <v>0.421944444444444</v>
      </c>
      <c r="X1762" s="62">
        <v>0.0</v>
      </c>
      <c r="Y1762" s="62">
        <v>0.421944444444444</v>
      </c>
      <c r="Z1762" s="62">
        <v>0.623055555555555</v>
      </c>
      <c r="AA1762" s="62">
        <v>0.0</v>
      </c>
      <c r="AB1762" s="62">
        <v>0.201111111111111</v>
      </c>
      <c r="AC1762" s="62">
        <v>0.201111111111111</v>
      </c>
      <c r="AD1762" s="62">
        <v>0.203055555555555</v>
      </c>
      <c r="AE1762" s="62">
        <v>0.201111111111111</v>
      </c>
      <c r="AF1762" s="62">
        <v>6.0</v>
      </c>
    </row>
    <row r="1763">
      <c r="A1763" s="68">
        <v>45890.0</v>
      </c>
      <c r="B1763" s="62" t="s">
        <v>26</v>
      </c>
      <c r="C1763" s="62" t="s">
        <v>178</v>
      </c>
      <c r="D1763" s="62">
        <v>3.0</v>
      </c>
      <c r="E1763" s="62">
        <v>2.0</v>
      </c>
      <c r="F1763" s="62">
        <v>5.0</v>
      </c>
      <c r="G1763" s="62">
        <v>0.0</v>
      </c>
      <c r="H1763" s="62">
        <v>0.0</v>
      </c>
      <c r="I1763" s="62">
        <v>0.0</v>
      </c>
      <c r="J1763" s="62">
        <v>0.0</v>
      </c>
      <c r="K1763" s="62">
        <v>0.0</v>
      </c>
      <c r="L1763" s="62">
        <v>0.0</v>
      </c>
      <c r="M1763" s="62">
        <v>8.0</v>
      </c>
      <c r="N1763" s="62">
        <v>7.0</v>
      </c>
      <c r="O1763" s="62">
        <v>1.0</v>
      </c>
      <c r="P1763" s="62">
        <v>7.0</v>
      </c>
      <c r="Q1763" s="62">
        <v>0.0</v>
      </c>
      <c r="R1763" s="62">
        <v>6682.0</v>
      </c>
      <c r="S1763" s="62">
        <v>5112.0</v>
      </c>
      <c r="T1763" s="62">
        <v>0.0</v>
      </c>
      <c r="U1763" s="62">
        <v>0.955555555555555</v>
      </c>
      <c r="V1763" s="62">
        <v>0.0</v>
      </c>
      <c r="W1763" s="62">
        <v>0.0</v>
      </c>
      <c r="X1763" s="62">
        <v>0.0</v>
      </c>
      <c r="Y1763" s="62">
        <v>0.0</v>
      </c>
      <c r="Z1763" s="62">
        <v>0.0</v>
      </c>
      <c r="AA1763" s="62">
        <v>0.0</v>
      </c>
      <c r="AB1763" s="62">
        <v>1.74916666666666</v>
      </c>
      <c r="AC1763" s="62">
        <v>1.56361111111111</v>
      </c>
      <c r="AD1763" s="62">
        <v>0.239166666666666</v>
      </c>
      <c r="AE1763" s="62">
        <v>1.56361111111111</v>
      </c>
      <c r="AF1763" s="62">
        <v>0.0</v>
      </c>
    </row>
    <row r="1764">
      <c r="A1764" s="68">
        <v>45889.0</v>
      </c>
      <c r="B1764" s="62" t="s">
        <v>32</v>
      </c>
      <c r="C1764" s="62" t="s">
        <v>168</v>
      </c>
      <c r="D1764" s="62">
        <v>5.0</v>
      </c>
      <c r="E1764" s="62">
        <v>1.0</v>
      </c>
      <c r="F1764" s="62">
        <v>2.0</v>
      </c>
      <c r="G1764" s="62">
        <v>0.0</v>
      </c>
      <c r="H1764" s="62">
        <v>4.0</v>
      </c>
      <c r="I1764" s="62">
        <v>1.0</v>
      </c>
      <c r="J1764" s="62">
        <v>3.0</v>
      </c>
      <c r="K1764" s="62">
        <v>2.0</v>
      </c>
      <c r="L1764" s="62">
        <v>0.0</v>
      </c>
      <c r="M1764" s="62">
        <v>6.0</v>
      </c>
      <c r="N1764" s="62">
        <v>6.0</v>
      </c>
      <c r="O1764" s="62">
        <v>1.0</v>
      </c>
      <c r="P1764" s="62">
        <v>6.0</v>
      </c>
      <c r="Q1764" s="62">
        <v>0.0</v>
      </c>
      <c r="R1764" s="62">
        <v>10728.0</v>
      </c>
      <c r="S1764" s="62">
        <v>2083.0</v>
      </c>
      <c r="T1764" s="62">
        <v>0.450555555555555</v>
      </c>
      <c r="U1764" s="62">
        <v>0.450555555555555</v>
      </c>
      <c r="V1764" s="62">
        <v>0.0</v>
      </c>
      <c r="W1764" s="62">
        <v>0.809166666666666</v>
      </c>
      <c r="X1764" s="62">
        <v>0.217222222222222</v>
      </c>
      <c r="Y1764" s="62">
        <v>0.591944444444444</v>
      </c>
      <c r="Z1764" s="62">
        <v>0.390833333333333</v>
      </c>
      <c r="AA1764" s="62">
        <v>0.0</v>
      </c>
      <c r="AB1764" s="62">
        <v>1.175</v>
      </c>
      <c r="AC1764" s="62">
        <v>1.175</v>
      </c>
      <c r="AD1764" s="62">
        <v>0.213888888888888</v>
      </c>
      <c r="AE1764" s="62">
        <v>1.175</v>
      </c>
      <c r="AF1764" s="62">
        <v>2.0</v>
      </c>
    </row>
    <row r="1765">
      <c r="A1765" s="68">
        <v>45889.0</v>
      </c>
      <c r="B1765" s="62" t="s">
        <v>26</v>
      </c>
      <c r="C1765" s="62" t="s">
        <v>178</v>
      </c>
      <c r="D1765" s="62">
        <v>0.0</v>
      </c>
      <c r="E1765" s="62">
        <v>4.0</v>
      </c>
      <c r="F1765" s="62">
        <v>2.0</v>
      </c>
      <c r="G1765" s="62">
        <v>6.0</v>
      </c>
      <c r="H1765" s="62">
        <v>7.0</v>
      </c>
      <c r="I1765" s="62">
        <v>1.0</v>
      </c>
      <c r="J1765" s="62">
        <v>7.0</v>
      </c>
      <c r="K1765" s="62">
        <v>5.0</v>
      </c>
      <c r="L1765" s="62">
        <v>0.0</v>
      </c>
      <c r="M1765" s="62">
        <v>0.0</v>
      </c>
      <c r="N1765" s="62">
        <v>0.0</v>
      </c>
      <c r="O1765" s="62">
        <v>1.0</v>
      </c>
      <c r="P1765" s="62">
        <v>0.0</v>
      </c>
      <c r="Q1765" s="62">
        <v>0.0</v>
      </c>
      <c r="R1765" s="62">
        <v>0.0</v>
      </c>
      <c r="S1765" s="62">
        <v>8048.0</v>
      </c>
      <c r="T1765" s="62">
        <v>0.955555555555555</v>
      </c>
      <c r="U1765" s="62">
        <v>0.400555555555555</v>
      </c>
      <c r="V1765" s="62">
        <v>1.33</v>
      </c>
      <c r="W1765" s="62">
        <v>1.53722222222222</v>
      </c>
      <c r="X1765" s="62">
        <v>0.207222222222222</v>
      </c>
      <c r="Y1765" s="62">
        <v>1.53972222222222</v>
      </c>
      <c r="Z1765" s="62">
        <v>1.10638888888888</v>
      </c>
      <c r="AA1765" s="62">
        <v>0.0</v>
      </c>
      <c r="AB1765" s="62">
        <v>0.0</v>
      </c>
      <c r="AC1765" s="62">
        <v>0.0</v>
      </c>
      <c r="AD1765" s="62">
        <v>0.258333333333333</v>
      </c>
      <c r="AE1765" s="62">
        <v>0.0</v>
      </c>
      <c r="AF1765" s="62">
        <v>5.0</v>
      </c>
    </row>
    <row r="1766">
      <c r="A1766" s="68">
        <v>45888.0</v>
      </c>
      <c r="B1766" s="62" t="s">
        <v>32</v>
      </c>
      <c r="C1766" s="62" t="s">
        <v>168</v>
      </c>
      <c r="D1766" s="62">
        <v>0.0</v>
      </c>
      <c r="E1766" s="62">
        <v>0.0</v>
      </c>
      <c r="F1766" s="62">
        <v>0.0</v>
      </c>
      <c r="G1766" s="62">
        <v>0.0</v>
      </c>
      <c r="H1766" s="62">
        <v>2.0</v>
      </c>
      <c r="I1766" s="62">
        <v>0.0</v>
      </c>
      <c r="J1766" s="62">
        <v>3.0</v>
      </c>
      <c r="K1766" s="62">
        <v>4.0</v>
      </c>
      <c r="L1766" s="62">
        <v>0.0</v>
      </c>
      <c r="M1766" s="62">
        <v>1.0</v>
      </c>
      <c r="N1766" s="62">
        <v>2.0</v>
      </c>
      <c r="O1766" s="62">
        <v>1.0</v>
      </c>
      <c r="P1766" s="62">
        <v>2.0</v>
      </c>
      <c r="Q1766" s="62">
        <v>0.0</v>
      </c>
      <c r="R1766" s="62">
        <v>0.0</v>
      </c>
      <c r="S1766" s="62">
        <v>0.0</v>
      </c>
      <c r="T1766" s="62">
        <v>0.0</v>
      </c>
      <c r="U1766" s="62">
        <v>0.0</v>
      </c>
      <c r="V1766" s="62">
        <v>0.0</v>
      </c>
      <c r="W1766" s="62">
        <v>0.380277777777777</v>
      </c>
      <c r="X1766" s="62">
        <v>0.0</v>
      </c>
      <c r="Y1766" s="62">
        <v>0.576666666666666</v>
      </c>
      <c r="Z1766" s="62">
        <v>0.784166666666666</v>
      </c>
      <c r="AA1766" s="62">
        <v>0.0</v>
      </c>
      <c r="AB1766" s="62">
        <v>0.213333333333333</v>
      </c>
      <c r="AC1766" s="62">
        <v>0.425277777777777</v>
      </c>
      <c r="AD1766" s="62">
        <v>0.206388888888888</v>
      </c>
      <c r="AE1766" s="62">
        <v>0.425277777777777</v>
      </c>
      <c r="AF1766" s="62">
        <v>0.0</v>
      </c>
    </row>
    <row r="1767">
      <c r="A1767" s="68">
        <v>45888.0</v>
      </c>
      <c r="B1767" s="62" t="s">
        <v>26</v>
      </c>
      <c r="C1767" s="62" t="s">
        <v>178</v>
      </c>
      <c r="D1767" s="62">
        <v>3.0</v>
      </c>
      <c r="E1767" s="62">
        <v>2.0</v>
      </c>
      <c r="F1767" s="62">
        <v>0.0</v>
      </c>
      <c r="G1767" s="62">
        <v>0.0</v>
      </c>
      <c r="H1767" s="62">
        <v>0.0</v>
      </c>
      <c r="I1767" s="62">
        <v>0.0</v>
      </c>
      <c r="J1767" s="62">
        <v>1.0</v>
      </c>
      <c r="K1767" s="62">
        <v>2.0</v>
      </c>
      <c r="L1767" s="62">
        <v>0.0</v>
      </c>
      <c r="M1767" s="62">
        <v>0.0</v>
      </c>
      <c r="N1767" s="62">
        <v>0.0</v>
      </c>
      <c r="O1767" s="62">
        <v>1.0</v>
      </c>
      <c r="P1767" s="62">
        <v>0.0</v>
      </c>
      <c r="Q1767" s="62">
        <v>0.0</v>
      </c>
      <c r="R1767" s="62">
        <v>6586.0</v>
      </c>
      <c r="S1767" s="62">
        <v>3975.0</v>
      </c>
      <c r="T1767" s="62">
        <v>0.607777777777777</v>
      </c>
      <c r="U1767" s="62">
        <v>0.0</v>
      </c>
      <c r="V1767" s="62">
        <v>0.0</v>
      </c>
      <c r="W1767" s="62">
        <v>0.0</v>
      </c>
      <c r="X1767" s="62">
        <v>0.0</v>
      </c>
      <c r="Y1767" s="62">
        <v>0.203055555555555</v>
      </c>
      <c r="Z1767" s="62">
        <v>0.429166666666666</v>
      </c>
      <c r="AA1767" s="62">
        <v>0.0</v>
      </c>
      <c r="AB1767" s="62">
        <v>0.0</v>
      </c>
      <c r="AC1767" s="62">
        <v>0.0</v>
      </c>
      <c r="AD1767" s="62">
        <v>0.2325</v>
      </c>
      <c r="AE1767" s="62">
        <v>0.0</v>
      </c>
      <c r="AF1767" s="62">
        <v>3.0</v>
      </c>
    </row>
    <row r="1768">
      <c r="A1768" s="68">
        <v>45887.0</v>
      </c>
      <c r="B1768" s="62" t="s">
        <v>32</v>
      </c>
      <c r="C1768" s="62" t="s">
        <v>168</v>
      </c>
      <c r="D1768" s="62">
        <v>0.0</v>
      </c>
      <c r="E1768" s="62">
        <v>0.0</v>
      </c>
      <c r="F1768" s="62">
        <v>4.0</v>
      </c>
      <c r="G1768" s="62">
        <v>0.0</v>
      </c>
      <c r="H1768" s="62">
        <v>1.0</v>
      </c>
      <c r="I1768" s="62">
        <v>0.0</v>
      </c>
      <c r="J1768" s="62">
        <v>3.0</v>
      </c>
      <c r="K1768" s="62">
        <v>1.0</v>
      </c>
      <c r="L1768" s="62">
        <v>0.0</v>
      </c>
      <c r="M1768" s="62">
        <v>2.0</v>
      </c>
      <c r="N1768" s="62">
        <v>4.0</v>
      </c>
      <c r="O1768" s="62">
        <v>1.0</v>
      </c>
      <c r="P1768" s="62">
        <v>4.0</v>
      </c>
      <c r="Q1768" s="62">
        <v>0.0</v>
      </c>
      <c r="R1768" s="62">
        <v>0.0</v>
      </c>
      <c r="S1768" s="62">
        <v>0.0</v>
      </c>
      <c r="T1768" s="62">
        <v>0.833888888888888</v>
      </c>
      <c r="U1768" s="62">
        <v>0.833888888888888</v>
      </c>
      <c r="V1768" s="62">
        <v>0.0</v>
      </c>
      <c r="W1768" s="62">
        <v>0.213333333333333</v>
      </c>
      <c r="X1768" s="62">
        <v>0.0</v>
      </c>
      <c r="Y1768" s="62">
        <v>0.632777777777777</v>
      </c>
      <c r="Z1768" s="62">
        <v>0.211944444444444</v>
      </c>
      <c r="AA1768" s="62">
        <v>0.0</v>
      </c>
      <c r="AB1768" s="62">
        <v>0.429722222222222</v>
      </c>
      <c r="AC1768" s="62">
        <v>0.850277777777777</v>
      </c>
      <c r="AD1768" s="62">
        <v>0.198888888888888</v>
      </c>
      <c r="AE1768" s="62">
        <v>0.850277777777777</v>
      </c>
      <c r="AF1768" s="62">
        <v>4.0</v>
      </c>
    </row>
    <row r="1769">
      <c r="A1769" s="68">
        <v>45887.0</v>
      </c>
      <c r="B1769" s="62" t="s">
        <v>26</v>
      </c>
      <c r="C1769" s="62" t="s">
        <v>178</v>
      </c>
      <c r="D1769" s="62">
        <v>3.0</v>
      </c>
      <c r="E1769" s="62">
        <v>1.0</v>
      </c>
      <c r="F1769" s="62">
        <v>3.0</v>
      </c>
      <c r="G1769" s="62">
        <v>1.0</v>
      </c>
      <c r="H1769" s="62">
        <v>2.0</v>
      </c>
      <c r="I1769" s="62">
        <v>1.0</v>
      </c>
      <c r="J1769" s="62">
        <v>6.0</v>
      </c>
      <c r="K1769" s="62">
        <v>5.0</v>
      </c>
      <c r="L1769" s="62">
        <v>0.0</v>
      </c>
      <c r="M1769" s="62">
        <v>0.0</v>
      </c>
      <c r="N1769" s="62">
        <v>0.0</v>
      </c>
      <c r="O1769" s="62">
        <v>1.0</v>
      </c>
      <c r="P1769" s="62">
        <v>0.0</v>
      </c>
      <c r="Q1769" s="62">
        <v>0.0</v>
      </c>
      <c r="R1769" s="62">
        <v>6203.0</v>
      </c>
      <c r="S1769" s="62">
        <v>2006.0</v>
      </c>
      <c r="T1769" s="62">
        <v>0.0</v>
      </c>
      <c r="U1769" s="62">
        <v>0.632222222222222</v>
      </c>
      <c r="V1769" s="62">
        <v>0.226111111111111</v>
      </c>
      <c r="W1769" s="62">
        <v>0.426388888888888</v>
      </c>
      <c r="X1769" s="62">
        <v>0.200277777777777</v>
      </c>
      <c r="Y1769" s="62">
        <v>1.27833333333333</v>
      </c>
      <c r="Z1769" s="62">
        <v>1.05222222222222</v>
      </c>
      <c r="AA1769" s="62">
        <v>0.0</v>
      </c>
      <c r="AB1769" s="62">
        <v>0.0</v>
      </c>
      <c r="AC1769" s="62">
        <v>0.0</v>
      </c>
      <c r="AD1769" s="62">
        <v>0.244722222222222</v>
      </c>
      <c r="AE1769" s="62">
        <v>0.0</v>
      </c>
      <c r="AF1769" s="62">
        <v>0.0</v>
      </c>
    </row>
    <row r="1770">
      <c r="A1770" s="68">
        <v>45886.0</v>
      </c>
      <c r="B1770" s="62" t="s">
        <v>26</v>
      </c>
      <c r="C1770" s="62" t="s">
        <v>178</v>
      </c>
      <c r="D1770" s="62">
        <v>0.0</v>
      </c>
      <c r="E1770" s="62">
        <v>0.0</v>
      </c>
      <c r="F1770" s="62">
        <v>0.0</v>
      </c>
      <c r="G1770" s="62">
        <v>2.0</v>
      </c>
      <c r="H1770" s="62">
        <v>2.0</v>
      </c>
      <c r="I1770" s="62">
        <v>0.0</v>
      </c>
      <c r="J1770" s="62">
        <v>0.0</v>
      </c>
      <c r="K1770" s="62">
        <v>0.0</v>
      </c>
      <c r="L1770" s="62">
        <v>1.0</v>
      </c>
      <c r="M1770" s="62">
        <v>0.0</v>
      </c>
      <c r="N1770" s="62">
        <v>0.0</v>
      </c>
      <c r="O1770" s="62">
        <v>1.0</v>
      </c>
      <c r="P1770" s="62">
        <v>0.0</v>
      </c>
      <c r="Q1770" s="62">
        <v>0.0</v>
      </c>
      <c r="R1770" s="62">
        <v>0.0</v>
      </c>
      <c r="S1770" s="62">
        <v>0.0</v>
      </c>
      <c r="T1770" s="62">
        <v>0.0</v>
      </c>
      <c r="U1770" s="62">
        <v>0.0</v>
      </c>
      <c r="V1770" s="62">
        <v>0.426388888888888</v>
      </c>
      <c r="W1770" s="62">
        <v>0.426388888888888</v>
      </c>
      <c r="X1770" s="62">
        <v>0.0</v>
      </c>
      <c r="Y1770" s="62">
        <v>0.0</v>
      </c>
      <c r="Z1770" s="62">
        <v>0.0</v>
      </c>
      <c r="AA1770" s="62">
        <v>0.233055555555555</v>
      </c>
      <c r="AB1770" s="62">
        <v>0.0</v>
      </c>
      <c r="AC1770" s="62">
        <v>0.0</v>
      </c>
      <c r="AD1770" s="62">
        <v>0.244444444444444</v>
      </c>
      <c r="AE1770" s="62">
        <v>0.0</v>
      </c>
      <c r="AF1770" s="62">
        <v>0.0</v>
      </c>
    </row>
    <row r="1771">
      <c r="A1771" s="68">
        <v>45884.0</v>
      </c>
      <c r="B1771" s="62" t="s">
        <v>32</v>
      </c>
      <c r="C1771" s="62" t="s">
        <v>168</v>
      </c>
      <c r="D1771" s="62">
        <v>2.0</v>
      </c>
      <c r="E1771" s="62">
        <v>0.0</v>
      </c>
      <c r="F1771" s="62">
        <v>0.0</v>
      </c>
      <c r="G1771" s="62">
        <v>0.0</v>
      </c>
      <c r="H1771" s="62">
        <v>0.0</v>
      </c>
      <c r="I1771" s="62">
        <v>0.0</v>
      </c>
      <c r="J1771" s="62">
        <v>0.0</v>
      </c>
      <c r="K1771" s="62">
        <v>0.0</v>
      </c>
      <c r="L1771" s="62">
        <v>0.0</v>
      </c>
      <c r="M1771" s="62">
        <v>0.0</v>
      </c>
      <c r="N1771" s="62">
        <v>0.0</v>
      </c>
      <c r="O1771" s="62">
        <v>1.0</v>
      </c>
      <c r="P1771" s="62">
        <v>0.0</v>
      </c>
      <c r="Q1771" s="62">
        <v>0.0</v>
      </c>
      <c r="R1771" s="62">
        <v>4244.0</v>
      </c>
      <c r="S1771" s="62">
        <v>0.0</v>
      </c>
      <c r="T1771" s="62">
        <v>0.0</v>
      </c>
      <c r="U1771" s="62">
        <v>0.0</v>
      </c>
      <c r="V1771" s="62">
        <v>0.0</v>
      </c>
      <c r="W1771" s="62">
        <v>0.0</v>
      </c>
      <c r="X1771" s="62">
        <v>0.0</v>
      </c>
      <c r="Y1771" s="62">
        <v>0.0</v>
      </c>
      <c r="Z1771" s="62">
        <v>0.0</v>
      </c>
      <c r="AA1771" s="62">
        <v>0.0</v>
      </c>
      <c r="AB1771" s="62">
        <v>0.0</v>
      </c>
      <c r="AC1771" s="62">
        <v>0.0</v>
      </c>
      <c r="AD1771" s="62">
        <v>0.206388888888888</v>
      </c>
      <c r="AE1771" s="62">
        <v>0.0</v>
      </c>
      <c r="AF1771" s="62">
        <v>0.0</v>
      </c>
    </row>
    <row r="1772">
      <c r="A1772" s="68">
        <v>45883.0</v>
      </c>
      <c r="B1772" s="62" t="s">
        <v>32</v>
      </c>
      <c r="C1772" s="62" t="s">
        <v>168</v>
      </c>
      <c r="D1772" s="62">
        <v>4.0</v>
      </c>
      <c r="E1772" s="62">
        <v>0.0</v>
      </c>
      <c r="F1772" s="62">
        <v>4.0</v>
      </c>
      <c r="G1772" s="62">
        <v>0.0</v>
      </c>
      <c r="H1772" s="62">
        <v>3.0</v>
      </c>
      <c r="I1772" s="62">
        <v>2.0</v>
      </c>
      <c r="J1772" s="62">
        <v>4.0</v>
      </c>
      <c r="K1772" s="62">
        <v>4.0</v>
      </c>
      <c r="L1772" s="62">
        <v>0.0</v>
      </c>
      <c r="M1772" s="62">
        <v>3.0</v>
      </c>
      <c r="N1772" s="62">
        <v>0.0</v>
      </c>
      <c r="O1772" s="62">
        <v>1.0</v>
      </c>
      <c r="P1772" s="62">
        <v>0.0</v>
      </c>
      <c r="Q1772" s="62">
        <v>0.0</v>
      </c>
      <c r="R1772" s="62">
        <v>8499.0</v>
      </c>
      <c r="S1772" s="62">
        <v>0.0</v>
      </c>
      <c r="T1772" s="62">
        <v>0.58</v>
      </c>
      <c r="U1772" s="62">
        <v>0.772777777777777</v>
      </c>
      <c r="V1772" s="62">
        <v>0.0</v>
      </c>
      <c r="W1772" s="62">
        <v>0.616944444444444</v>
      </c>
      <c r="X1772" s="62">
        <v>0.404444444444444</v>
      </c>
      <c r="Y1772" s="62">
        <v>0.850277777777777</v>
      </c>
      <c r="Z1772" s="62">
        <v>0.850277777777777</v>
      </c>
      <c r="AA1772" s="62">
        <v>0.0</v>
      </c>
      <c r="AB1772" s="62">
        <v>0.6325</v>
      </c>
      <c r="AC1772" s="62">
        <v>0.0</v>
      </c>
      <c r="AD1772" s="62">
        <v>0.224722222222222</v>
      </c>
      <c r="AE1772" s="62">
        <v>0.0</v>
      </c>
      <c r="AF1772" s="62">
        <v>3.0</v>
      </c>
    </row>
    <row r="1773">
      <c r="A1773" s="68">
        <v>45883.0</v>
      </c>
      <c r="B1773" s="62" t="s">
        <v>26</v>
      </c>
      <c r="C1773" s="62" t="s">
        <v>178</v>
      </c>
      <c r="D1773" s="62">
        <v>0.0</v>
      </c>
      <c r="E1773" s="62">
        <v>3.0</v>
      </c>
      <c r="F1773" s="62">
        <v>0.0</v>
      </c>
      <c r="G1773" s="62">
        <v>0.0</v>
      </c>
      <c r="H1773" s="62">
        <v>0.0</v>
      </c>
      <c r="I1773" s="62">
        <v>0.0</v>
      </c>
      <c r="J1773" s="62">
        <v>0.0</v>
      </c>
      <c r="K1773" s="62">
        <v>0.0</v>
      </c>
      <c r="L1773" s="62">
        <v>0.0</v>
      </c>
      <c r="M1773" s="62">
        <v>2.0</v>
      </c>
      <c r="N1773" s="62">
        <v>1.0</v>
      </c>
      <c r="O1773" s="62">
        <v>1.0</v>
      </c>
      <c r="P1773" s="62">
        <v>1.0</v>
      </c>
      <c r="Q1773" s="62">
        <v>0.0</v>
      </c>
      <c r="R1773" s="62">
        <v>0.0</v>
      </c>
      <c r="S1773" s="62">
        <v>6027.0</v>
      </c>
      <c r="T1773" s="62">
        <v>0.8325</v>
      </c>
      <c r="U1773" s="62">
        <v>0.0</v>
      </c>
      <c r="V1773" s="62">
        <v>0.0</v>
      </c>
      <c r="W1773" s="62">
        <v>0.0</v>
      </c>
      <c r="X1773" s="62">
        <v>0.0</v>
      </c>
      <c r="Y1773" s="62">
        <v>0.0</v>
      </c>
      <c r="Z1773" s="62">
        <v>0.0</v>
      </c>
      <c r="AA1773" s="62">
        <v>0.0</v>
      </c>
      <c r="AB1773" s="62">
        <v>0.501111111111111</v>
      </c>
      <c r="AC1773" s="62">
        <v>0.253055555555555</v>
      </c>
      <c r="AD1773" s="62">
        <v>0.266388888888888</v>
      </c>
      <c r="AE1773" s="62">
        <v>0.253055555555555</v>
      </c>
      <c r="AF1773" s="62">
        <v>4.0</v>
      </c>
    </row>
    <row r="1774">
      <c r="A1774" s="68">
        <v>45882.0</v>
      </c>
      <c r="B1774" s="62" t="s">
        <v>32</v>
      </c>
      <c r="C1774" s="62" t="s">
        <v>168</v>
      </c>
      <c r="D1774" s="62">
        <v>0.0</v>
      </c>
      <c r="E1774" s="62">
        <v>2.0</v>
      </c>
      <c r="F1774" s="62">
        <v>1.0</v>
      </c>
      <c r="G1774" s="62">
        <v>0.0</v>
      </c>
      <c r="H1774" s="62">
        <v>3.0</v>
      </c>
      <c r="I1774" s="62">
        <v>3.0</v>
      </c>
      <c r="J1774" s="62">
        <v>0.0</v>
      </c>
      <c r="K1774" s="62">
        <v>0.0</v>
      </c>
      <c r="L1774" s="62">
        <v>0.0</v>
      </c>
      <c r="M1774" s="62">
        <v>3.0</v>
      </c>
      <c r="N1774" s="62">
        <v>6.0</v>
      </c>
      <c r="O1774" s="62">
        <v>1.0</v>
      </c>
      <c r="P1774" s="62">
        <v>6.0</v>
      </c>
      <c r="Q1774" s="62">
        <v>0.0</v>
      </c>
      <c r="R1774" s="62">
        <v>0.0</v>
      </c>
      <c r="S1774" s="62">
        <v>4220.0</v>
      </c>
      <c r="T1774" s="62">
        <v>1.24277777777777</v>
      </c>
      <c r="U1774" s="62">
        <v>0.215277777777777</v>
      </c>
      <c r="V1774" s="62">
        <v>0.0</v>
      </c>
      <c r="W1774" s="62">
        <v>0.642777777777777</v>
      </c>
      <c r="X1774" s="62">
        <v>0.642777777777777</v>
      </c>
      <c r="Y1774" s="62">
        <v>0.0</v>
      </c>
      <c r="Z1774" s="62">
        <v>0.0</v>
      </c>
      <c r="AA1774" s="62">
        <v>0.0</v>
      </c>
      <c r="AB1774" s="62">
        <v>0.680833333333333</v>
      </c>
      <c r="AC1774" s="62">
        <v>1.31138888888888</v>
      </c>
      <c r="AD1774" s="62">
        <v>0.220277777777777</v>
      </c>
      <c r="AE1774" s="62">
        <v>1.31138888888888</v>
      </c>
      <c r="AF1774" s="62">
        <v>6.0</v>
      </c>
    </row>
    <row r="1775">
      <c r="A1775" s="68">
        <v>45882.0</v>
      </c>
      <c r="B1775" s="62" t="s">
        <v>26</v>
      </c>
      <c r="C1775" s="62" t="s">
        <v>178</v>
      </c>
      <c r="D1775" s="62">
        <v>4.0</v>
      </c>
      <c r="E1775" s="62">
        <v>1.0</v>
      </c>
      <c r="F1775" s="62">
        <v>1.0</v>
      </c>
      <c r="G1775" s="62">
        <v>0.0</v>
      </c>
      <c r="H1775" s="62">
        <v>2.0</v>
      </c>
      <c r="I1775" s="62">
        <v>2.0</v>
      </c>
      <c r="J1775" s="62">
        <v>1.0</v>
      </c>
      <c r="K1775" s="62">
        <v>1.0</v>
      </c>
      <c r="L1775" s="62">
        <v>7.0</v>
      </c>
      <c r="M1775" s="62">
        <v>0.0</v>
      </c>
      <c r="N1775" s="62">
        <v>0.0</v>
      </c>
      <c r="O1775" s="62">
        <v>1.0</v>
      </c>
      <c r="P1775" s="62">
        <v>0.0</v>
      </c>
      <c r="Q1775" s="62">
        <v>0.0</v>
      </c>
      <c r="R1775" s="62">
        <v>8126.0</v>
      </c>
      <c r="S1775" s="62">
        <v>2027.0</v>
      </c>
      <c r="T1775" s="62">
        <v>0.0</v>
      </c>
      <c r="U1775" s="62">
        <v>0.228333333333333</v>
      </c>
      <c r="V1775" s="62">
        <v>0.0</v>
      </c>
      <c r="W1775" s="62">
        <v>0.401111111111111</v>
      </c>
      <c r="X1775" s="62">
        <v>0.401111111111111</v>
      </c>
      <c r="Y1775" s="62">
        <v>0.233055555555555</v>
      </c>
      <c r="Z1775" s="62">
        <v>0.233055555555555</v>
      </c>
      <c r="AA1775" s="62">
        <v>1.58666666666666</v>
      </c>
      <c r="AB1775" s="62">
        <v>0.0</v>
      </c>
      <c r="AC1775" s="62">
        <v>0.0</v>
      </c>
      <c r="AD1775" s="62">
        <v>0.244722222222222</v>
      </c>
      <c r="AE1775" s="62">
        <v>0.0</v>
      </c>
      <c r="AF1775" s="62">
        <v>0.0</v>
      </c>
    </row>
    <row r="1776">
      <c r="A1776" s="68">
        <v>45881.0</v>
      </c>
      <c r="B1776" s="62" t="s">
        <v>32</v>
      </c>
      <c r="C1776" s="62" t="s">
        <v>168</v>
      </c>
      <c r="D1776" s="62">
        <v>0.0</v>
      </c>
      <c r="E1776" s="62">
        <v>3.0</v>
      </c>
      <c r="F1776" s="62">
        <v>1.0</v>
      </c>
      <c r="G1776" s="62">
        <v>0.0</v>
      </c>
      <c r="H1776" s="62">
        <v>4.0</v>
      </c>
      <c r="I1776" s="62">
        <v>1.0</v>
      </c>
      <c r="J1776" s="62">
        <v>5.0</v>
      </c>
      <c r="K1776" s="62">
        <v>2.0</v>
      </c>
      <c r="L1776" s="62">
        <v>0.0</v>
      </c>
      <c r="M1776" s="62">
        <v>3.0</v>
      </c>
      <c r="N1776" s="62">
        <v>2.0</v>
      </c>
      <c r="O1776" s="62">
        <v>1.0</v>
      </c>
      <c r="P1776" s="62">
        <v>2.0</v>
      </c>
      <c r="Q1776" s="62">
        <v>0.0</v>
      </c>
      <c r="R1776" s="62">
        <v>0.0</v>
      </c>
      <c r="S1776" s="62">
        <v>6191.0</v>
      </c>
      <c r="T1776" s="62">
        <v>0.631944444444444</v>
      </c>
      <c r="U1776" s="62">
        <v>0.211111111111111</v>
      </c>
      <c r="V1776" s="62">
        <v>0.0</v>
      </c>
      <c r="W1776" s="62">
        <v>0.889166666666666</v>
      </c>
      <c r="X1776" s="62">
        <v>0.208333333333333</v>
      </c>
      <c r="Y1776" s="62">
        <v>1.105</v>
      </c>
      <c r="Z1776" s="62">
        <v>0.424166666666666</v>
      </c>
      <c r="AA1776" s="62">
        <v>0.0</v>
      </c>
      <c r="AB1776" s="62">
        <v>0.630555555555555</v>
      </c>
      <c r="AC1776" s="62">
        <v>0.410833333333333</v>
      </c>
      <c r="AD1776" s="62">
        <v>0.218888888888888</v>
      </c>
      <c r="AE1776" s="62">
        <v>0.410833333333333</v>
      </c>
      <c r="AF1776" s="62">
        <v>3.0</v>
      </c>
    </row>
    <row r="1777">
      <c r="A1777" s="68">
        <v>45881.0</v>
      </c>
      <c r="B1777" s="62" t="s">
        <v>26</v>
      </c>
      <c r="C1777" s="62" t="s">
        <v>178</v>
      </c>
      <c r="D1777" s="62">
        <v>3.0</v>
      </c>
      <c r="E1777" s="62">
        <v>4.0</v>
      </c>
      <c r="F1777" s="62">
        <v>0.0</v>
      </c>
      <c r="G1777" s="62">
        <v>3.0</v>
      </c>
      <c r="H1777" s="62">
        <v>3.0</v>
      </c>
      <c r="I1777" s="62">
        <v>0.0</v>
      </c>
      <c r="J1777" s="62">
        <v>3.0</v>
      </c>
      <c r="K1777" s="62">
        <v>3.0</v>
      </c>
      <c r="L1777" s="62">
        <v>3.0</v>
      </c>
      <c r="M1777" s="62">
        <v>3.0</v>
      </c>
      <c r="N1777" s="62">
        <v>5.0</v>
      </c>
      <c r="O1777" s="62">
        <v>1.0</v>
      </c>
      <c r="P1777" s="62">
        <v>5.0</v>
      </c>
      <c r="Q1777" s="62">
        <v>0.0</v>
      </c>
      <c r="R1777" s="62">
        <v>6132.0</v>
      </c>
      <c r="S1777" s="62">
        <v>8174.0</v>
      </c>
      <c r="T1777" s="62">
        <v>0.629444444444444</v>
      </c>
      <c r="U1777" s="62">
        <v>0.0</v>
      </c>
      <c r="V1777" s="62">
        <v>0.634166666666666</v>
      </c>
      <c r="W1777" s="62">
        <v>0.634166666666666</v>
      </c>
      <c r="X1777" s="62">
        <v>0.0</v>
      </c>
      <c r="Y1777" s="62">
        <v>0.634166666666666</v>
      </c>
      <c r="Z1777" s="62">
        <v>0.634166666666666</v>
      </c>
      <c r="AA1777" s="62">
        <v>0.733611111111111</v>
      </c>
      <c r="AB1777" s="62">
        <v>0.733611111111111</v>
      </c>
      <c r="AC1777" s="62">
        <v>1.18055555555555</v>
      </c>
      <c r="AD1777" s="62">
        <v>0.258055555555555</v>
      </c>
      <c r="AE1777" s="62">
        <v>1.18055555555555</v>
      </c>
      <c r="AF1777" s="62">
        <v>3.0</v>
      </c>
    </row>
    <row r="1778">
      <c r="A1778" s="68">
        <v>45880.0</v>
      </c>
      <c r="B1778" s="62" t="s">
        <v>32</v>
      </c>
      <c r="C1778" s="62" t="s">
        <v>168</v>
      </c>
      <c r="D1778" s="62">
        <v>0.0</v>
      </c>
      <c r="E1778" s="62">
        <v>4.0</v>
      </c>
      <c r="F1778" s="62">
        <v>1.0</v>
      </c>
      <c r="G1778" s="62">
        <v>0.0</v>
      </c>
      <c r="H1778" s="62">
        <v>2.0</v>
      </c>
      <c r="I1778" s="62">
        <v>2.0</v>
      </c>
      <c r="J1778" s="62">
        <v>1.0</v>
      </c>
      <c r="K1778" s="62">
        <v>0.0</v>
      </c>
      <c r="L1778" s="62">
        <v>0.0</v>
      </c>
      <c r="M1778" s="62">
        <v>0.0</v>
      </c>
      <c r="N1778" s="62">
        <v>0.0</v>
      </c>
      <c r="O1778" s="62">
        <v>1.0</v>
      </c>
      <c r="P1778" s="62">
        <v>0.0</v>
      </c>
      <c r="Q1778" s="62">
        <v>0.0</v>
      </c>
      <c r="R1778" s="62">
        <v>0.0</v>
      </c>
      <c r="S1778" s="62">
        <v>8189.0</v>
      </c>
      <c r="T1778" s="62">
        <v>0.648333333333333</v>
      </c>
      <c r="U1778" s="62">
        <v>0.225555555555555</v>
      </c>
      <c r="V1778" s="62">
        <v>0.0</v>
      </c>
      <c r="W1778" s="62">
        <v>0.422777777777777</v>
      </c>
      <c r="X1778" s="62">
        <v>0.422777777777777</v>
      </c>
      <c r="Y1778" s="62">
        <v>0.206388888888888</v>
      </c>
      <c r="Z1778" s="62">
        <v>0.0</v>
      </c>
      <c r="AA1778" s="62">
        <v>0.0</v>
      </c>
      <c r="AB1778" s="62">
        <v>0.0</v>
      </c>
      <c r="AC1778" s="62">
        <v>0.0</v>
      </c>
      <c r="AD1778" s="62">
        <v>0.210833333333333</v>
      </c>
      <c r="AE1778" s="62">
        <v>0.0</v>
      </c>
      <c r="AF1778" s="62">
        <v>3.0</v>
      </c>
    </row>
    <row r="1779">
      <c r="A1779" s="68">
        <v>45880.0</v>
      </c>
      <c r="B1779" s="62" t="s">
        <v>26</v>
      </c>
      <c r="C1779" s="62" t="s">
        <v>178</v>
      </c>
      <c r="D1779" s="62">
        <v>3.0</v>
      </c>
      <c r="E1779" s="62">
        <v>0.0</v>
      </c>
      <c r="F1779" s="62">
        <v>4.0</v>
      </c>
      <c r="G1779" s="62">
        <v>0.0</v>
      </c>
      <c r="H1779" s="62">
        <v>1.0</v>
      </c>
      <c r="I1779" s="62">
        <v>1.0</v>
      </c>
      <c r="J1779" s="62">
        <v>3.0</v>
      </c>
      <c r="K1779" s="62">
        <v>3.0</v>
      </c>
      <c r="L1779" s="62">
        <v>0.0</v>
      </c>
      <c r="M1779" s="62">
        <v>0.0</v>
      </c>
      <c r="N1779" s="62">
        <v>2.0</v>
      </c>
      <c r="O1779" s="62">
        <v>1.0</v>
      </c>
      <c r="P1779" s="62">
        <v>2.0</v>
      </c>
      <c r="Q1779" s="62">
        <v>0.0</v>
      </c>
      <c r="R1779" s="62">
        <v>6030.0</v>
      </c>
      <c r="S1779" s="62">
        <v>0.0</v>
      </c>
      <c r="T1779" s="62">
        <v>1.11361111111111</v>
      </c>
      <c r="U1779" s="62">
        <v>0.893888888888889</v>
      </c>
      <c r="V1779" s="62">
        <v>0.0</v>
      </c>
      <c r="W1779" s="62">
        <v>0.219722222222222</v>
      </c>
      <c r="X1779" s="62">
        <v>0.219722222222222</v>
      </c>
      <c r="Y1779" s="62">
        <v>0.696666666666666</v>
      </c>
      <c r="Z1779" s="62">
        <v>0.696666666666666</v>
      </c>
      <c r="AA1779" s="62">
        <v>0.0</v>
      </c>
      <c r="AB1779" s="62">
        <v>0.0</v>
      </c>
      <c r="AC1779" s="62">
        <v>0.477222222222222</v>
      </c>
      <c r="AD1779" s="62">
        <v>0.233333333333333</v>
      </c>
      <c r="AE1779" s="62">
        <v>0.477222222222222</v>
      </c>
      <c r="AF1779" s="62">
        <v>5.0</v>
      </c>
    </row>
    <row r="1780">
      <c r="A1780" s="68">
        <v>45879.0</v>
      </c>
      <c r="B1780" s="62" t="s">
        <v>32</v>
      </c>
      <c r="C1780" s="62" t="s">
        <v>168</v>
      </c>
      <c r="D1780" s="62">
        <v>0.0</v>
      </c>
      <c r="E1780" s="62">
        <v>1.0</v>
      </c>
      <c r="F1780" s="62">
        <v>0.0</v>
      </c>
      <c r="G1780" s="62">
        <v>0.0</v>
      </c>
      <c r="H1780" s="62">
        <v>0.0</v>
      </c>
      <c r="I1780" s="62">
        <v>0.0</v>
      </c>
      <c r="J1780" s="62">
        <v>0.0</v>
      </c>
      <c r="K1780" s="62">
        <v>0.0</v>
      </c>
      <c r="L1780" s="62">
        <v>0.0</v>
      </c>
      <c r="M1780" s="62">
        <v>0.0</v>
      </c>
      <c r="N1780" s="62">
        <v>0.0</v>
      </c>
      <c r="O1780" s="62">
        <v>1.0</v>
      </c>
      <c r="P1780" s="62">
        <v>0.0</v>
      </c>
      <c r="Q1780" s="62">
        <v>0.0</v>
      </c>
      <c r="R1780" s="62">
        <v>0.0</v>
      </c>
      <c r="S1780" s="62">
        <v>2031.0</v>
      </c>
      <c r="T1780" s="62">
        <v>0.0</v>
      </c>
      <c r="U1780" s="62">
        <v>0.0</v>
      </c>
      <c r="V1780" s="62">
        <v>0.0</v>
      </c>
      <c r="W1780" s="62">
        <v>0.0</v>
      </c>
      <c r="X1780" s="62">
        <v>0.0</v>
      </c>
      <c r="Y1780" s="62">
        <v>0.0</v>
      </c>
      <c r="Z1780" s="62">
        <v>0.0</v>
      </c>
      <c r="AA1780" s="62">
        <v>0.0</v>
      </c>
      <c r="AB1780" s="62">
        <v>0.0</v>
      </c>
      <c r="AC1780" s="62">
        <v>0.0</v>
      </c>
      <c r="AD1780" s="62">
        <v>0.200555555555555</v>
      </c>
      <c r="AE1780" s="62">
        <v>0.0</v>
      </c>
      <c r="AF1780" s="62">
        <v>0.0</v>
      </c>
    </row>
    <row r="1781">
      <c r="A1781" s="68">
        <v>45877.0</v>
      </c>
      <c r="B1781" s="62" t="s">
        <v>32</v>
      </c>
      <c r="C1781" s="62" t="s">
        <v>168</v>
      </c>
      <c r="D1781" s="62">
        <v>9.0</v>
      </c>
      <c r="E1781" s="62">
        <v>0.0</v>
      </c>
      <c r="F1781" s="62">
        <v>0.0</v>
      </c>
      <c r="G1781" s="62">
        <v>0.0</v>
      </c>
      <c r="H1781" s="62">
        <v>0.0</v>
      </c>
      <c r="I1781" s="62">
        <v>0.0</v>
      </c>
      <c r="J1781" s="62">
        <v>0.0</v>
      </c>
      <c r="K1781" s="62">
        <v>0.0</v>
      </c>
      <c r="L1781" s="62">
        <v>0.0</v>
      </c>
      <c r="M1781" s="62">
        <v>0.0</v>
      </c>
      <c r="N1781" s="62">
        <v>0.0</v>
      </c>
      <c r="O1781" s="62">
        <v>1.0</v>
      </c>
      <c r="P1781" s="62">
        <v>0.0</v>
      </c>
      <c r="Q1781" s="62">
        <v>0.0</v>
      </c>
      <c r="R1781" s="62">
        <v>20390.0</v>
      </c>
      <c r="S1781" s="62">
        <v>0.0</v>
      </c>
      <c r="T1781" s="62">
        <v>0.0</v>
      </c>
      <c r="U1781" s="62">
        <v>0.0</v>
      </c>
      <c r="V1781" s="62">
        <v>0.0</v>
      </c>
      <c r="W1781" s="62">
        <v>0.0</v>
      </c>
      <c r="X1781" s="62">
        <v>0.0</v>
      </c>
      <c r="Y1781" s="62">
        <v>0.0</v>
      </c>
      <c r="Z1781" s="62">
        <v>0.0</v>
      </c>
      <c r="AA1781" s="62">
        <v>0.0</v>
      </c>
      <c r="AB1781" s="62">
        <v>0.0</v>
      </c>
      <c r="AC1781" s="62">
        <v>0.0</v>
      </c>
      <c r="AD1781" s="62">
        <v>0.2125</v>
      </c>
      <c r="AE1781" s="62">
        <v>0.0</v>
      </c>
      <c r="AF1781" s="62">
        <v>0.0</v>
      </c>
    </row>
    <row r="1782">
      <c r="A1782" s="68">
        <v>45877.0</v>
      </c>
      <c r="B1782" s="62" t="s">
        <v>26</v>
      </c>
      <c r="C1782" s="62" t="s">
        <v>178</v>
      </c>
      <c r="D1782" s="62">
        <v>3.0</v>
      </c>
      <c r="E1782" s="62">
        <v>0.0</v>
      </c>
      <c r="F1782" s="62">
        <v>0.0</v>
      </c>
      <c r="G1782" s="62">
        <v>3.0</v>
      </c>
      <c r="H1782" s="62">
        <v>3.0</v>
      </c>
      <c r="I1782" s="62">
        <v>0.0</v>
      </c>
      <c r="J1782" s="62">
        <v>3.0</v>
      </c>
      <c r="K1782" s="62">
        <v>4.0</v>
      </c>
      <c r="L1782" s="62">
        <v>0.0</v>
      </c>
      <c r="M1782" s="62">
        <v>2.0</v>
      </c>
      <c r="N1782" s="62">
        <v>4.0</v>
      </c>
      <c r="O1782" s="62">
        <v>1.0</v>
      </c>
      <c r="P1782" s="62">
        <v>4.0</v>
      </c>
      <c r="Q1782" s="62">
        <v>0.0</v>
      </c>
      <c r="R1782" s="62">
        <v>6384.0</v>
      </c>
      <c r="S1782" s="62">
        <v>0.0</v>
      </c>
      <c r="T1782" s="62">
        <v>0.0</v>
      </c>
      <c r="U1782" s="62">
        <v>0.0</v>
      </c>
      <c r="V1782" s="62">
        <v>0.696666666666666</v>
      </c>
      <c r="W1782" s="62">
        <v>0.696666666666666</v>
      </c>
      <c r="X1782" s="62">
        <v>0.0</v>
      </c>
      <c r="Y1782" s="62">
        <v>0.702222222222222</v>
      </c>
      <c r="Z1782" s="62">
        <v>0.988888888888888</v>
      </c>
      <c r="AA1782" s="62">
        <v>0.0</v>
      </c>
      <c r="AB1782" s="62">
        <v>0.446944444444444</v>
      </c>
      <c r="AC1782" s="62">
        <v>1.03944444444444</v>
      </c>
      <c r="AD1782" s="62">
        <v>0.279722222222222</v>
      </c>
      <c r="AE1782" s="62">
        <v>1.03944444444444</v>
      </c>
      <c r="AF1782" s="62">
        <v>0.0</v>
      </c>
    </row>
    <row r="1783">
      <c r="A1783" s="68">
        <v>45876.0</v>
      </c>
      <c r="B1783" s="62" t="s">
        <v>32</v>
      </c>
      <c r="C1783" s="62" t="s">
        <v>168</v>
      </c>
      <c r="D1783" s="62">
        <v>2.0</v>
      </c>
      <c r="E1783" s="62">
        <v>4.0</v>
      </c>
      <c r="F1783" s="62">
        <v>0.0</v>
      </c>
      <c r="G1783" s="62">
        <v>0.0</v>
      </c>
      <c r="H1783" s="62">
        <v>0.0</v>
      </c>
      <c r="I1783" s="62">
        <v>0.0</v>
      </c>
      <c r="J1783" s="62">
        <v>0.0</v>
      </c>
      <c r="K1783" s="62">
        <v>0.0</v>
      </c>
      <c r="L1783" s="62">
        <v>0.0</v>
      </c>
      <c r="M1783" s="62">
        <v>0.0</v>
      </c>
      <c r="N1783" s="62">
        <v>0.0</v>
      </c>
      <c r="O1783" s="62">
        <v>1.0</v>
      </c>
      <c r="P1783" s="62">
        <v>0.0</v>
      </c>
      <c r="Q1783" s="62">
        <v>0.0</v>
      </c>
      <c r="R1783" s="62">
        <v>4465.0</v>
      </c>
      <c r="S1783" s="62">
        <v>8217.0</v>
      </c>
      <c r="T1783" s="62">
        <v>0.0</v>
      </c>
      <c r="U1783" s="62">
        <v>0.0</v>
      </c>
      <c r="V1783" s="62">
        <v>0.0</v>
      </c>
      <c r="W1783" s="62">
        <v>0.0</v>
      </c>
      <c r="X1783" s="62">
        <v>0.0</v>
      </c>
      <c r="Y1783" s="62">
        <v>0.0</v>
      </c>
      <c r="Z1783" s="62">
        <v>0.0</v>
      </c>
      <c r="AA1783" s="62">
        <v>0.0</v>
      </c>
      <c r="AB1783" s="62">
        <v>0.0</v>
      </c>
      <c r="AC1783" s="62">
        <v>0.0</v>
      </c>
      <c r="AD1783" s="62">
        <v>0.216111111111111</v>
      </c>
      <c r="AE1783" s="62">
        <v>0.0</v>
      </c>
      <c r="AF1783" s="62">
        <v>0.0</v>
      </c>
    </row>
    <row r="1784">
      <c r="A1784" s="68">
        <v>45876.0</v>
      </c>
      <c r="B1784" s="62" t="s">
        <v>26</v>
      </c>
      <c r="C1784" s="62" t="s">
        <v>178</v>
      </c>
      <c r="D1784" s="62">
        <v>0.0</v>
      </c>
      <c r="E1784" s="62">
        <v>0.0</v>
      </c>
      <c r="F1784" s="62">
        <v>1.0</v>
      </c>
      <c r="G1784" s="62">
        <v>6.0</v>
      </c>
      <c r="H1784" s="62">
        <v>7.0</v>
      </c>
      <c r="I1784" s="62">
        <v>1.0</v>
      </c>
      <c r="J1784" s="62">
        <v>3.0</v>
      </c>
      <c r="K1784" s="62">
        <v>0.0</v>
      </c>
      <c r="L1784" s="62">
        <v>0.0</v>
      </c>
      <c r="M1784" s="62">
        <v>3.0</v>
      </c>
      <c r="N1784" s="62">
        <v>2.0</v>
      </c>
      <c r="O1784" s="62">
        <v>1.0</v>
      </c>
      <c r="P1784" s="62">
        <v>2.0</v>
      </c>
      <c r="Q1784" s="62">
        <v>0.0</v>
      </c>
      <c r="R1784" s="62">
        <v>0.0</v>
      </c>
      <c r="S1784" s="62">
        <v>0.0</v>
      </c>
      <c r="T1784" s="62">
        <v>0.440555555555555</v>
      </c>
      <c r="U1784" s="62">
        <v>0.213888888888888</v>
      </c>
      <c r="V1784" s="62">
        <v>1.43583333333333</v>
      </c>
      <c r="W1784" s="62">
        <v>1.6625</v>
      </c>
      <c r="X1784" s="62">
        <v>0.226666666666666</v>
      </c>
      <c r="Y1784" s="62">
        <v>0.733611111111111</v>
      </c>
      <c r="Z1784" s="62">
        <v>0.0</v>
      </c>
      <c r="AA1784" s="62">
        <v>0.0</v>
      </c>
      <c r="AB1784" s="62">
        <v>0.721666666666666</v>
      </c>
      <c r="AC1784" s="62">
        <v>0.502777777777777</v>
      </c>
      <c r="AD1784" s="62">
        <v>0.259166666666666</v>
      </c>
      <c r="AE1784" s="62">
        <v>0.502777777777777</v>
      </c>
      <c r="AF1784" s="62">
        <v>2.0</v>
      </c>
    </row>
    <row r="1785">
      <c r="A1785" s="68">
        <v>45875.0</v>
      </c>
      <c r="B1785" s="62" t="s">
        <v>32</v>
      </c>
      <c r="C1785" s="62" t="s">
        <v>168</v>
      </c>
      <c r="D1785" s="62">
        <v>1.0</v>
      </c>
      <c r="E1785" s="62">
        <v>2.0</v>
      </c>
      <c r="F1785" s="62">
        <v>0.0</v>
      </c>
      <c r="G1785" s="62">
        <v>0.0</v>
      </c>
      <c r="H1785" s="62">
        <v>2.0</v>
      </c>
      <c r="I1785" s="62">
        <v>0.0</v>
      </c>
      <c r="J1785" s="62">
        <v>2.0</v>
      </c>
      <c r="K1785" s="62">
        <v>0.0</v>
      </c>
      <c r="L1785" s="62">
        <v>0.0</v>
      </c>
      <c r="M1785" s="62">
        <v>2.0</v>
      </c>
      <c r="N1785" s="62">
        <v>6.0</v>
      </c>
      <c r="O1785" s="62">
        <v>1.0</v>
      </c>
      <c r="P1785" s="62">
        <v>6.0</v>
      </c>
      <c r="Q1785" s="62">
        <v>0.0</v>
      </c>
      <c r="R1785" s="62">
        <v>2148.0</v>
      </c>
      <c r="S1785" s="62">
        <v>4158.0</v>
      </c>
      <c r="T1785" s="62">
        <v>0.0</v>
      </c>
      <c r="U1785" s="62">
        <v>0.0</v>
      </c>
      <c r="V1785" s="62">
        <v>0.0</v>
      </c>
      <c r="W1785" s="62">
        <v>0.423333333333333</v>
      </c>
      <c r="X1785" s="62">
        <v>0.0</v>
      </c>
      <c r="Y1785" s="62">
        <v>0.423333333333333</v>
      </c>
      <c r="Z1785" s="62">
        <v>0.0</v>
      </c>
      <c r="AA1785" s="62">
        <v>0.0</v>
      </c>
      <c r="AB1785" s="62">
        <v>0.423333333333333</v>
      </c>
      <c r="AC1785" s="62">
        <v>1.27527777777777</v>
      </c>
      <c r="AD1785" s="62">
        <v>0.262777777777777</v>
      </c>
      <c r="AE1785" s="62">
        <v>1.27527777777777</v>
      </c>
      <c r="AF1785" s="62">
        <v>0.0</v>
      </c>
    </row>
    <row r="1786">
      <c r="A1786" s="68">
        <v>45875.0</v>
      </c>
      <c r="B1786" s="62" t="s">
        <v>26</v>
      </c>
      <c r="C1786" s="62" t="s">
        <v>178</v>
      </c>
      <c r="D1786" s="62">
        <v>0.0</v>
      </c>
      <c r="E1786" s="62">
        <v>0.0</v>
      </c>
      <c r="F1786" s="62">
        <v>4.0</v>
      </c>
      <c r="G1786" s="62">
        <v>1.0</v>
      </c>
      <c r="H1786" s="62">
        <v>1.0</v>
      </c>
      <c r="I1786" s="62">
        <v>0.0</v>
      </c>
      <c r="J1786" s="62">
        <v>3.0</v>
      </c>
      <c r="K1786" s="62">
        <v>3.0</v>
      </c>
      <c r="L1786" s="62">
        <v>1.0</v>
      </c>
      <c r="M1786" s="62">
        <v>3.0</v>
      </c>
      <c r="N1786" s="62">
        <v>0.0</v>
      </c>
      <c r="O1786" s="62">
        <v>1.0</v>
      </c>
      <c r="P1786" s="62">
        <v>0.0</v>
      </c>
      <c r="Q1786" s="62">
        <v>0.0</v>
      </c>
      <c r="R1786" s="62">
        <v>0.0</v>
      </c>
      <c r="S1786" s="62">
        <v>0.0</v>
      </c>
      <c r="T1786" s="62">
        <v>0.0</v>
      </c>
      <c r="U1786" s="62">
        <v>0.855277777777777</v>
      </c>
      <c r="V1786" s="62">
        <v>0.2325</v>
      </c>
      <c r="W1786" s="62">
        <v>0.2325</v>
      </c>
      <c r="X1786" s="62">
        <v>0.0</v>
      </c>
      <c r="Y1786" s="62">
        <v>0.721666666666666</v>
      </c>
      <c r="Z1786" s="62">
        <v>0.721666666666666</v>
      </c>
      <c r="AA1786" s="62">
        <v>0.274444444444444</v>
      </c>
      <c r="AB1786" s="62">
        <v>0.785555555555555</v>
      </c>
      <c r="AC1786" s="62">
        <v>0.0</v>
      </c>
      <c r="AD1786" s="62">
        <v>0.26</v>
      </c>
      <c r="AE1786" s="62">
        <v>0.0</v>
      </c>
      <c r="AF1786" s="62">
        <v>0.0</v>
      </c>
    </row>
    <row r="1787">
      <c r="A1787" s="68">
        <v>45874.0</v>
      </c>
      <c r="B1787" s="62" t="s">
        <v>32</v>
      </c>
      <c r="C1787" s="62" t="s">
        <v>168</v>
      </c>
      <c r="D1787" s="62">
        <v>19.0</v>
      </c>
      <c r="E1787" s="62">
        <v>16.0</v>
      </c>
      <c r="F1787" s="62">
        <v>2.0</v>
      </c>
      <c r="G1787" s="62">
        <v>0.0</v>
      </c>
      <c r="H1787" s="62">
        <v>1.0</v>
      </c>
      <c r="I1787" s="62">
        <v>1.0</v>
      </c>
      <c r="J1787" s="62">
        <v>1.0</v>
      </c>
      <c r="K1787" s="62">
        <v>2.0</v>
      </c>
      <c r="L1787" s="62">
        <v>0.0</v>
      </c>
      <c r="M1787" s="62">
        <v>3.0</v>
      </c>
      <c r="N1787" s="62">
        <v>0.0</v>
      </c>
      <c r="O1787" s="62">
        <v>1.0</v>
      </c>
      <c r="P1787" s="62">
        <v>0.0</v>
      </c>
      <c r="Q1787" s="62">
        <v>0.0</v>
      </c>
      <c r="R1787" s="62">
        <v>37759.0</v>
      </c>
      <c r="S1787" s="62">
        <v>30955.0</v>
      </c>
      <c r="T1787" s="62">
        <v>0.664166666666666</v>
      </c>
      <c r="U1787" s="62">
        <v>0.457222222222222</v>
      </c>
      <c r="V1787" s="62">
        <v>0.0</v>
      </c>
      <c r="W1787" s="62">
        <v>0.206944444444444</v>
      </c>
      <c r="X1787" s="62">
        <v>0.206944444444444</v>
      </c>
      <c r="Y1787" s="62">
        <v>0.206111111111111</v>
      </c>
      <c r="Z1787" s="62">
        <v>0.417222222222222</v>
      </c>
      <c r="AA1787" s="62">
        <v>0.0</v>
      </c>
      <c r="AB1787" s="62">
        <v>0.621944444444444</v>
      </c>
      <c r="AC1787" s="62">
        <v>0.0</v>
      </c>
      <c r="AD1787" s="62">
        <v>0.250555555555555</v>
      </c>
      <c r="AE1787" s="62">
        <v>0.0</v>
      </c>
      <c r="AF1787" s="62">
        <v>3.0</v>
      </c>
    </row>
    <row r="1788">
      <c r="A1788" s="68">
        <v>45874.0</v>
      </c>
      <c r="B1788" s="62" t="s">
        <v>26</v>
      </c>
      <c r="C1788" s="62" t="s">
        <v>178</v>
      </c>
      <c r="D1788" s="62">
        <v>0.0</v>
      </c>
      <c r="E1788" s="62">
        <v>1.0</v>
      </c>
      <c r="F1788" s="62">
        <v>6.0</v>
      </c>
      <c r="G1788" s="62">
        <v>2.0</v>
      </c>
      <c r="H1788" s="62">
        <v>2.0</v>
      </c>
      <c r="I1788" s="62">
        <v>0.0</v>
      </c>
      <c r="J1788" s="62">
        <v>0.0</v>
      </c>
      <c r="K1788" s="62">
        <v>0.0</v>
      </c>
      <c r="L1788" s="62">
        <v>2.0</v>
      </c>
      <c r="M1788" s="62">
        <v>0.0</v>
      </c>
      <c r="N1788" s="62">
        <v>3.0</v>
      </c>
      <c r="O1788" s="62">
        <v>1.0</v>
      </c>
      <c r="P1788" s="62">
        <v>3.0</v>
      </c>
      <c r="Q1788" s="62">
        <v>0.0</v>
      </c>
      <c r="R1788" s="62">
        <v>0.0</v>
      </c>
      <c r="S1788" s="62">
        <v>2199.0</v>
      </c>
      <c r="T1788" s="62">
        <v>0.855277777777777</v>
      </c>
      <c r="U1788" s="62">
        <v>1.34999999999999</v>
      </c>
      <c r="V1788" s="62">
        <v>0.489166666666666</v>
      </c>
      <c r="W1788" s="62">
        <v>0.489166666666666</v>
      </c>
      <c r="X1788" s="62">
        <v>0.0</v>
      </c>
      <c r="Y1788" s="62">
        <v>0.0</v>
      </c>
      <c r="Z1788" s="62">
        <v>0.0</v>
      </c>
      <c r="AA1788" s="62">
        <v>0.511111111111111</v>
      </c>
      <c r="AB1788" s="62">
        <v>0.0</v>
      </c>
      <c r="AC1788" s="62">
        <v>0.764166666666666</v>
      </c>
      <c r="AD1788" s="62">
        <v>0.281666666666666</v>
      </c>
      <c r="AE1788" s="62">
        <v>0.764166666666666</v>
      </c>
      <c r="AF1788" s="62">
        <v>4.0</v>
      </c>
    </row>
    <row r="1789">
      <c r="A1789" s="68">
        <v>45873.0</v>
      </c>
      <c r="B1789" s="62" t="s">
        <v>32</v>
      </c>
      <c r="C1789" s="62" t="s">
        <v>168</v>
      </c>
      <c r="D1789" s="62">
        <v>0.0</v>
      </c>
      <c r="E1789" s="62">
        <v>0.0</v>
      </c>
      <c r="F1789" s="62">
        <v>0.0</v>
      </c>
      <c r="G1789" s="62">
        <v>0.0</v>
      </c>
      <c r="H1789" s="62">
        <v>2.0</v>
      </c>
      <c r="I1789" s="62">
        <v>1.0</v>
      </c>
      <c r="J1789" s="62">
        <v>2.0</v>
      </c>
      <c r="K1789" s="62">
        <v>2.0</v>
      </c>
      <c r="L1789" s="62">
        <v>0.0</v>
      </c>
      <c r="M1789" s="62">
        <v>3.0</v>
      </c>
      <c r="N1789" s="62">
        <v>0.0</v>
      </c>
      <c r="O1789" s="62">
        <v>1.0</v>
      </c>
      <c r="P1789" s="62">
        <v>0.0</v>
      </c>
      <c r="Q1789" s="62">
        <v>0.0</v>
      </c>
      <c r="R1789" s="62">
        <v>0.0</v>
      </c>
      <c r="S1789" s="62">
        <v>0.0</v>
      </c>
      <c r="T1789" s="62">
        <v>0.206111111111111</v>
      </c>
      <c r="U1789" s="62">
        <v>0.0</v>
      </c>
      <c r="V1789" s="62">
        <v>0.0</v>
      </c>
      <c r="W1789" s="62">
        <v>0.417222222222222</v>
      </c>
      <c r="X1789" s="62">
        <v>0.206111111111111</v>
      </c>
      <c r="Y1789" s="62">
        <v>0.415833333333333</v>
      </c>
      <c r="Z1789" s="62">
        <v>0.438055555555555</v>
      </c>
      <c r="AA1789" s="62">
        <v>0.0</v>
      </c>
      <c r="AB1789" s="62">
        <v>0.640833333333333</v>
      </c>
      <c r="AC1789" s="62">
        <v>0.0</v>
      </c>
      <c r="AD1789" s="62">
        <v>0.204444444444444</v>
      </c>
      <c r="AE1789" s="62">
        <v>0.0</v>
      </c>
      <c r="AF1789" s="62">
        <v>1.0</v>
      </c>
    </row>
    <row r="1790">
      <c r="A1790" s="68">
        <v>45873.0</v>
      </c>
      <c r="B1790" s="62" t="s">
        <v>26</v>
      </c>
      <c r="C1790" s="62" t="s">
        <v>178</v>
      </c>
      <c r="D1790" s="62">
        <v>3.0</v>
      </c>
      <c r="E1790" s="62">
        <v>0.0</v>
      </c>
      <c r="F1790" s="62">
        <v>0.0</v>
      </c>
      <c r="G1790" s="62">
        <v>3.0</v>
      </c>
      <c r="H1790" s="62">
        <v>3.0</v>
      </c>
      <c r="I1790" s="62">
        <v>0.0</v>
      </c>
      <c r="J1790" s="62">
        <v>3.0</v>
      </c>
      <c r="K1790" s="62">
        <v>3.0</v>
      </c>
      <c r="L1790" s="62">
        <v>0.0</v>
      </c>
      <c r="M1790" s="62">
        <v>0.0</v>
      </c>
      <c r="N1790" s="62">
        <v>6.0</v>
      </c>
      <c r="O1790" s="62">
        <v>1.0</v>
      </c>
      <c r="P1790" s="62">
        <v>6.0</v>
      </c>
      <c r="Q1790" s="62">
        <v>0.0</v>
      </c>
      <c r="R1790" s="62">
        <v>6785.0</v>
      </c>
      <c r="S1790" s="62">
        <v>0.0</v>
      </c>
      <c r="T1790" s="62">
        <v>0.0</v>
      </c>
      <c r="U1790" s="62">
        <v>0.0</v>
      </c>
      <c r="V1790" s="62">
        <v>0.785555555555555</v>
      </c>
      <c r="W1790" s="62">
        <v>0.785555555555555</v>
      </c>
      <c r="X1790" s="62">
        <v>0.0</v>
      </c>
      <c r="Y1790" s="62">
        <v>0.785555555555555</v>
      </c>
      <c r="Z1790" s="62">
        <v>0.785555555555555</v>
      </c>
      <c r="AA1790" s="62">
        <v>0.0</v>
      </c>
      <c r="AB1790" s="62">
        <v>0.0</v>
      </c>
      <c r="AC1790" s="62">
        <v>1.55805555555555</v>
      </c>
      <c r="AD1790" s="62">
        <v>0.224444444444444</v>
      </c>
      <c r="AE1790" s="62">
        <v>1.55805555555555</v>
      </c>
      <c r="AF1790" s="62">
        <v>0.0</v>
      </c>
    </row>
    <row r="1791">
      <c r="A1791" s="68">
        <v>45871.0</v>
      </c>
      <c r="B1791" s="62" t="s">
        <v>32</v>
      </c>
      <c r="C1791" s="62" t="s">
        <v>168</v>
      </c>
      <c r="D1791" s="62">
        <v>0.0</v>
      </c>
      <c r="E1791" s="62">
        <v>0.0</v>
      </c>
      <c r="F1791" s="62">
        <v>0.0</v>
      </c>
      <c r="G1791" s="62">
        <v>0.0</v>
      </c>
      <c r="H1791" s="62">
        <v>0.0</v>
      </c>
      <c r="I1791" s="62">
        <v>0.0</v>
      </c>
      <c r="J1791" s="62">
        <v>1.0</v>
      </c>
      <c r="K1791" s="62">
        <v>0.0</v>
      </c>
      <c r="L1791" s="62">
        <v>0.0</v>
      </c>
      <c r="M1791" s="62">
        <v>0.0</v>
      </c>
      <c r="N1791" s="62">
        <v>0.0</v>
      </c>
      <c r="O1791" s="62">
        <v>1.0</v>
      </c>
      <c r="P1791" s="62">
        <v>0.0</v>
      </c>
      <c r="Q1791" s="62">
        <v>0.0</v>
      </c>
      <c r="R1791" s="62">
        <v>0.0</v>
      </c>
      <c r="S1791" s="62">
        <v>0.0</v>
      </c>
      <c r="T1791" s="62">
        <v>0.0</v>
      </c>
      <c r="U1791" s="62">
        <v>0.0</v>
      </c>
      <c r="V1791" s="62">
        <v>0.0</v>
      </c>
      <c r="W1791" s="62">
        <v>0.0</v>
      </c>
      <c r="X1791" s="62">
        <v>0.0</v>
      </c>
      <c r="Y1791" s="62">
        <v>0.211944444444444</v>
      </c>
      <c r="Z1791" s="62">
        <v>0.0</v>
      </c>
      <c r="AA1791" s="62">
        <v>0.0</v>
      </c>
      <c r="AB1791" s="62">
        <v>0.0</v>
      </c>
      <c r="AC1791" s="62">
        <v>0.0</v>
      </c>
      <c r="AD1791" s="62">
        <v>0.259444444444444</v>
      </c>
      <c r="AE1791" s="62">
        <v>0.0</v>
      </c>
      <c r="AF1791" s="62">
        <v>0.0</v>
      </c>
    </row>
    <row r="1792">
      <c r="A1792" s="68">
        <v>45871.0</v>
      </c>
      <c r="B1792" s="62" t="s">
        <v>26</v>
      </c>
      <c r="C1792" s="62" t="s">
        <v>178</v>
      </c>
      <c r="D1792" s="62">
        <v>0.0</v>
      </c>
      <c r="E1792" s="62">
        <v>0.0</v>
      </c>
      <c r="F1792" s="62">
        <v>0.0</v>
      </c>
      <c r="G1792" s="62">
        <v>0.0</v>
      </c>
      <c r="H1792" s="62">
        <v>0.0</v>
      </c>
      <c r="I1792" s="62">
        <v>0.0</v>
      </c>
      <c r="J1792" s="62">
        <v>0.0</v>
      </c>
      <c r="K1792" s="62">
        <v>0.0</v>
      </c>
      <c r="L1792" s="62">
        <v>0.0</v>
      </c>
      <c r="M1792" s="62">
        <v>0.0</v>
      </c>
      <c r="N1792" s="62">
        <v>0.0</v>
      </c>
      <c r="O1792" s="62">
        <v>0.0</v>
      </c>
      <c r="P1792" s="62">
        <v>0.0</v>
      </c>
      <c r="Q1792" s="62">
        <v>0.0</v>
      </c>
      <c r="R1792" s="62">
        <v>0.0</v>
      </c>
      <c r="S1792" s="62">
        <v>0.0</v>
      </c>
      <c r="T1792" s="62">
        <v>1.34999999999999</v>
      </c>
      <c r="U1792" s="62">
        <v>0.0</v>
      </c>
      <c r="V1792" s="62">
        <v>0.0</v>
      </c>
      <c r="W1792" s="62">
        <v>0.0</v>
      </c>
      <c r="X1792" s="62">
        <v>0.0</v>
      </c>
      <c r="Y1792" s="62">
        <v>0.0</v>
      </c>
      <c r="Z1792" s="62">
        <v>0.0</v>
      </c>
      <c r="AA1792" s="62">
        <v>0.0</v>
      </c>
      <c r="AB1792" s="62">
        <v>0.0</v>
      </c>
      <c r="AC1792" s="62">
        <v>0.0</v>
      </c>
      <c r="AD1792" s="62">
        <v>0.0</v>
      </c>
      <c r="AE1792" s="62">
        <v>0.0</v>
      </c>
      <c r="AF1792" s="62">
        <v>6.0</v>
      </c>
    </row>
    <row r="1793">
      <c r="A1793" s="68">
        <v>45870.0</v>
      </c>
      <c r="B1793" s="62" t="s">
        <v>32</v>
      </c>
      <c r="C1793" s="62" t="s">
        <v>168</v>
      </c>
      <c r="D1793" s="62">
        <v>2.0</v>
      </c>
      <c r="E1793" s="62">
        <v>1.0</v>
      </c>
      <c r="F1793" s="62">
        <v>3.0</v>
      </c>
      <c r="G1793" s="62">
        <v>0.0</v>
      </c>
      <c r="H1793" s="62">
        <v>2.0</v>
      </c>
      <c r="I1793" s="62">
        <v>1.0</v>
      </c>
      <c r="J1793" s="62">
        <v>1.0</v>
      </c>
      <c r="K1793" s="62">
        <v>1.0</v>
      </c>
      <c r="L1793" s="62">
        <v>0.0</v>
      </c>
      <c r="M1793" s="62">
        <v>0.0</v>
      </c>
      <c r="N1793" s="62">
        <v>9.0</v>
      </c>
      <c r="O1793" s="62">
        <v>1.0</v>
      </c>
      <c r="P1793" s="62">
        <v>9.0</v>
      </c>
      <c r="Q1793" s="62">
        <v>0.0</v>
      </c>
      <c r="R1793" s="62">
        <v>4245.0</v>
      </c>
      <c r="S1793" s="62">
        <v>2051.0</v>
      </c>
      <c r="T1793" s="62">
        <v>0.0</v>
      </c>
      <c r="U1793" s="62">
        <v>0.6425</v>
      </c>
      <c r="V1793" s="62">
        <v>0.0</v>
      </c>
      <c r="W1793" s="62">
        <v>0.4325</v>
      </c>
      <c r="X1793" s="62">
        <v>0.206388888888888</v>
      </c>
      <c r="Y1793" s="62">
        <v>0.226111111111111</v>
      </c>
      <c r="Z1793" s="62">
        <v>0.202777777777777</v>
      </c>
      <c r="AA1793" s="62">
        <v>0.0</v>
      </c>
      <c r="AB1793" s="62">
        <v>0.0</v>
      </c>
      <c r="AC1793" s="62">
        <v>1.84972222222222</v>
      </c>
      <c r="AD1793" s="62">
        <v>0.253611111111111</v>
      </c>
      <c r="AE1793" s="62">
        <v>1.84972222222222</v>
      </c>
      <c r="AF1793" s="62">
        <v>0.0</v>
      </c>
    </row>
    <row r="1794">
      <c r="A1794" s="68">
        <v>45870.0</v>
      </c>
      <c r="B1794" s="62" t="s">
        <v>26</v>
      </c>
      <c r="C1794" s="62" t="s">
        <v>178</v>
      </c>
      <c r="D1794" s="62">
        <v>3.0</v>
      </c>
      <c r="E1794" s="62">
        <v>0.0</v>
      </c>
      <c r="F1794" s="62">
        <v>5.0</v>
      </c>
      <c r="G1794" s="62">
        <v>0.0</v>
      </c>
      <c r="H1794" s="62">
        <v>0.0</v>
      </c>
      <c r="I1794" s="62">
        <v>0.0</v>
      </c>
      <c r="J1794" s="62">
        <v>0.0</v>
      </c>
      <c r="K1794" s="62">
        <v>0.0</v>
      </c>
      <c r="L1794" s="62">
        <v>0.0</v>
      </c>
      <c r="M1794" s="62">
        <v>0.0</v>
      </c>
      <c r="N1794" s="62">
        <v>0.0</v>
      </c>
      <c r="O1794" s="62">
        <v>0.0</v>
      </c>
      <c r="P1794" s="62">
        <v>0.0</v>
      </c>
      <c r="Q1794" s="62">
        <v>0.0</v>
      </c>
      <c r="R1794" s="62">
        <v>6401.0</v>
      </c>
      <c r="S1794" s="62">
        <v>0.0</v>
      </c>
      <c r="T1794" s="62">
        <v>0.0</v>
      </c>
      <c r="U1794" s="62">
        <v>1.19388888888888</v>
      </c>
      <c r="V1794" s="62">
        <v>0.0</v>
      </c>
      <c r="W1794" s="62">
        <v>0.0</v>
      </c>
      <c r="X1794" s="62">
        <v>0.0</v>
      </c>
      <c r="Y1794" s="62">
        <v>0.0</v>
      </c>
      <c r="Z1794" s="62">
        <v>0.0</v>
      </c>
      <c r="AA1794" s="62">
        <v>0.0</v>
      </c>
      <c r="AB1794" s="62">
        <v>0.0</v>
      </c>
      <c r="AC1794" s="62">
        <v>0.0</v>
      </c>
      <c r="AD1794" s="62">
        <v>0.0</v>
      </c>
      <c r="AE1794" s="62">
        <v>0.0</v>
      </c>
      <c r="AF1794" s="62">
        <v>0.0</v>
      </c>
    </row>
    <row r="1795">
      <c r="A1795" s="68">
        <v>45869.0</v>
      </c>
      <c r="B1795" s="62" t="s">
        <v>32</v>
      </c>
      <c r="C1795" s="62" t="s">
        <v>168</v>
      </c>
      <c r="D1795" s="62">
        <v>9.0</v>
      </c>
      <c r="E1795" s="62">
        <v>6.0</v>
      </c>
      <c r="F1795" s="62">
        <v>0.0</v>
      </c>
      <c r="G1795" s="62">
        <v>0.0</v>
      </c>
      <c r="H1795" s="62">
        <v>2.0</v>
      </c>
      <c r="I1795" s="62">
        <v>0.0</v>
      </c>
      <c r="J1795" s="62">
        <v>4.0</v>
      </c>
      <c r="K1795" s="62">
        <v>3.0</v>
      </c>
      <c r="L1795" s="62">
        <v>0.0</v>
      </c>
      <c r="M1795" s="62">
        <v>7.0</v>
      </c>
      <c r="N1795" s="62">
        <v>0.0</v>
      </c>
      <c r="O1795" s="62">
        <v>1.0</v>
      </c>
      <c r="P1795" s="62">
        <v>0.0</v>
      </c>
      <c r="Q1795" s="62">
        <v>0.0</v>
      </c>
      <c r="R1795" s="62">
        <v>18730.0</v>
      </c>
      <c r="S1795" s="62">
        <v>12410.0</v>
      </c>
      <c r="T1795" s="62">
        <v>0.848888888888888</v>
      </c>
      <c r="U1795" s="62">
        <v>0.0</v>
      </c>
      <c r="V1795" s="62">
        <v>0.0</v>
      </c>
      <c r="W1795" s="62">
        <v>0.411388888888888</v>
      </c>
      <c r="X1795" s="62">
        <v>0.0</v>
      </c>
      <c r="Y1795" s="62">
        <v>0.811666666666666</v>
      </c>
      <c r="Z1795" s="62">
        <v>0.608888888888888</v>
      </c>
      <c r="AA1795" s="62">
        <v>0.0</v>
      </c>
      <c r="AB1795" s="62">
        <v>1.43444444444444</v>
      </c>
      <c r="AC1795" s="62">
        <v>0.0</v>
      </c>
      <c r="AD1795" s="62">
        <v>0.253333333333333</v>
      </c>
      <c r="AE1795" s="62">
        <v>0.0</v>
      </c>
      <c r="AF1795" s="62">
        <v>4.0</v>
      </c>
    </row>
    <row r="1796">
      <c r="A1796" s="68">
        <v>45869.0</v>
      </c>
      <c r="B1796" s="62" t="s">
        <v>26</v>
      </c>
      <c r="C1796" s="62" t="s">
        <v>178</v>
      </c>
      <c r="D1796" s="62">
        <v>3.0</v>
      </c>
      <c r="E1796" s="62">
        <v>2.0</v>
      </c>
      <c r="F1796" s="62">
        <v>0.0</v>
      </c>
      <c r="G1796" s="62">
        <v>0.0</v>
      </c>
      <c r="H1796" s="62">
        <v>0.0</v>
      </c>
      <c r="I1796" s="62">
        <v>0.0</v>
      </c>
      <c r="J1796" s="62">
        <v>1.0</v>
      </c>
      <c r="K1796" s="62">
        <v>1.0</v>
      </c>
      <c r="L1796" s="62">
        <v>2.0</v>
      </c>
      <c r="M1796" s="62">
        <v>7.0</v>
      </c>
      <c r="N1796" s="62">
        <v>0.0</v>
      </c>
      <c r="O1796" s="62">
        <v>0.0</v>
      </c>
      <c r="P1796" s="62">
        <v>0.0</v>
      </c>
      <c r="Q1796" s="62">
        <v>0.0</v>
      </c>
      <c r="R1796" s="62">
        <v>6195.0</v>
      </c>
      <c r="S1796" s="62">
        <v>4442.0</v>
      </c>
      <c r="T1796" s="62">
        <v>1.19388888888888</v>
      </c>
      <c r="U1796" s="62">
        <v>0.0</v>
      </c>
      <c r="V1796" s="62">
        <v>0.0</v>
      </c>
      <c r="W1796" s="62">
        <v>0.0</v>
      </c>
      <c r="X1796" s="62">
        <v>0.0</v>
      </c>
      <c r="Y1796" s="62">
        <v>0.254166666666666</v>
      </c>
      <c r="Z1796" s="62">
        <v>0.254166666666666</v>
      </c>
      <c r="AA1796" s="62">
        <v>0.528333333333333</v>
      </c>
      <c r="AB1796" s="62">
        <v>1.81555555555555</v>
      </c>
      <c r="AC1796" s="62">
        <v>0.0</v>
      </c>
      <c r="AD1796" s="62">
        <v>0.0</v>
      </c>
      <c r="AE1796" s="62">
        <v>0.0</v>
      </c>
      <c r="AF1796" s="62">
        <v>5.0</v>
      </c>
    </row>
    <row r="1797">
      <c r="A1797" s="68">
        <v>45868.0</v>
      </c>
      <c r="B1797" s="62" t="s">
        <v>32</v>
      </c>
      <c r="C1797" s="62" t="s">
        <v>168</v>
      </c>
      <c r="D1797" s="62">
        <v>5.0</v>
      </c>
      <c r="E1797" s="62">
        <v>0.0</v>
      </c>
      <c r="F1797" s="62">
        <v>2.0</v>
      </c>
      <c r="G1797" s="62">
        <v>0.0</v>
      </c>
      <c r="H1797" s="62">
        <v>4.0</v>
      </c>
      <c r="I1797" s="62">
        <v>2.0</v>
      </c>
      <c r="J1797" s="62">
        <v>2.0</v>
      </c>
      <c r="K1797" s="62">
        <v>4.0</v>
      </c>
      <c r="L1797" s="62">
        <v>0.0</v>
      </c>
      <c r="M1797" s="62">
        <v>0.0</v>
      </c>
      <c r="N1797" s="62">
        <v>0.0</v>
      </c>
      <c r="O1797" s="62">
        <v>1.0</v>
      </c>
      <c r="P1797" s="62">
        <v>0.0</v>
      </c>
      <c r="Q1797" s="62">
        <v>0.0</v>
      </c>
      <c r="R1797" s="62">
        <v>10754.0</v>
      </c>
      <c r="S1797" s="62">
        <v>0.0</v>
      </c>
      <c r="T1797" s="62">
        <v>0.852222222222222</v>
      </c>
      <c r="U1797" s="62">
        <v>0.435833333333333</v>
      </c>
      <c r="V1797" s="62">
        <v>0.0</v>
      </c>
      <c r="W1797" s="62">
        <v>0.836666666666666</v>
      </c>
      <c r="X1797" s="62">
        <v>0.416388888888888</v>
      </c>
      <c r="Y1797" s="62">
        <v>0.420277777777777</v>
      </c>
      <c r="Z1797" s="62">
        <v>0.825555555555555</v>
      </c>
      <c r="AA1797" s="62">
        <v>0.0</v>
      </c>
      <c r="AB1797" s="62">
        <v>0.0</v>
      </c>
      <c r="AC1797" s="62">
        <v>0.0</v>
      </c>
      <c r="AD1797" s="62">
        <v>0.241666666666666</v>
      </c>
      <c r="AE1797" s="62">
        <v>0.0</v>
      </c>
      <c r="AF1797" s="62">
        <v>4.0</v>
      </c>
    </row>
    <row r="1798">
      <c r="A1798" s="68">
        <v>45868.0</v>
      </c>
      <c r="B1798" s="62" t="s">
        <v>26</v>
      </c>
      <c r="C1798" s="62" t="s">
        <v>178</v>
      </c>
      <c r="D1798" s="62">
        <v>5.0</v>
      </c>
      <c r="E1798" s="62">
        <v>0.0</v>
      </c>
      <c r="F1798" s="62">
        <v>3.0</v>
      </c>
      <c r="G1798" s="62">
        <v>0.0</v>
      </c>
      <c r="H1798" s="62">
        <v>1.0</v>
      </c>
      <c r="I1798" s="62">
        <v>1.0</v>
      </c>
      <c r="J1798" s="62">
        <v>6.0</v>
      </c>
      <c r="K1798" s="62">
        <v>6.0</v>
      </c>
      <c r="L1798" s="62">
        <v>0.0</v>
      </c>
      <c r="M1798" s="62">
        <v>0.0</v>
      </c>
      <c r="N1798" s="62">
        <v>0.0</v>
      </c>
      <c r="O1798" s="62">
        <v>0.0</v>
      </c>
      <c r="P1798" s="62">
        <v>0.0</v>
      </c>
      <c r="Q1798" s="62">
        <v>0.0</v>
      </c>
      <c r="R1798" s="62">
        <v>11304.0</v>
      </c>
      <c r="S1798" s="62">
        <v>0.0</v>
      </c>
      <c r="T1798" s="62">
        <v>0.0</v>
      </c>
      <c r="U1798" s="62">
        <v>0.795277777777777</v>
      </c>
      <c r="V1798" s="62">
        <v>0.0</v>
      </c>
      <c r="W1798" s="62">
        <v>0.250833333333333</v>
      </c>
      <c r="X1798" s="62">
        <v>0.250833333333333</v>
      </c>
      <c r="Y1798" s="62">
        <v>1.56138888888888</v>
      </c>
      <c r="Z1798" s="62">
        <v>1.56138888888888</v>
      </c>
      <c r="AA1798" s="62">
        <v>0.0</v>
      </c>
      <c r="AB1798" s="62">
        <v>0.0</v>
      </c>
      <c r="AC1798" s="62">
        <v>0.0</v>
      </c>
      <c r="AD1798" s="62">
        <v>0.0</v>
      </c>
      <c r="AE1798" s="62">
        <v>0.0</v>
      </c>
      <c r="AF1798" s="62">
        <v>0.0</v>
      </c>
    </row>
    <row r="1799">
      <c r="A1799" s="68">
        <v>45867.0</v>
      </c>
      <c r="B1799" s="62" t="s">
        <v>32</v>
      </c>
      <c r="C1799" s="62" t="s">
        <v>168</v>
      </c>
      <c r="D1799" s="62">
        <v>2.0</v>
      </c>
      <c r="E1799" s="62">
        <v>0.0</v>
      </c>
      <c r="F1799" s="62">
        <v>0.0</v>
      </c>
      <c r="G1799" s="62">
        <v>0.0</v>
      </c>
      <c r="H1799" s="62">
        <v>2.0</v>
      </c>
      <c r="I1799" s="62">
        <v>0.0</v>
      </c>
      <c r="J1799" s="62">
        <v>4.0</v>
      </c>
      <c r="K1799" s="62">
        <v>2.0</v>
      </c>
      <c r="L1799" s="62">
        <v>0.0</v>
      </c>
      <c r="M1799" s="62">
        <v>2.0</v>
      </c>
      <c r="N1799" s="62">
        <v>0.0</v>
      </c>
      <c r="O1799" s="62">
        <v>1.0</v>
      </c>
      <c r="P1799" s="62">
        <v>0.0</v>
      </c>
      <c r="Q1799" s="62">
        <v>0.0</v>
      </c>
      <c r="R1799" s="62">
        <v>4190.0</v>
      </c>
      <c r="S1799" s="62">
        <v>0.0</v>
      </c>
      <c r="T1799" s="62">
        <v>0.0</v>
      </c>
      <c r="U1799" s="62">
        <v>0.0</v>
      </c>
      <c r="V1799" s="62">
        <v>0.0</v>
      </c>
      <c r="W1799" s="62">
        <v>0.405277777777777</v>
      </c>
      <c r="X1799" s="62">
        <v>0.0</v>
      </c>
      <c r="Y1799" s="62">
        <v>0.820555555555555</v>
      </c>
      <c r="Z1799" s="62">
        <v>0.415277777777777</v>
      </c>
      <c r="AA1799" s="62">
        <v>0.0</v>
      </c>
      <c r="AB1799" s="62">
        <v>0.415277777777777</v>
      </c>
      <c r="AC1799" s="62">
        <v>0.0</v>
      </c>
      <c r="AD1799" s="62">
        <v>0.228055555555555</v>
      </c>
      <c r="AE1799" s="62">
        <v>0.0</v>
      </c>
      <c r="AF1799" s="62">
        <v>0.0</v>
      </c>
    </row>
    <row r="1800">
      <c r="A1800" s="68">
        <v>45867.0</v>
      </c>
      <c r="B1800" s="62" t="s">
        <v>26</v>
      </c>
      <c r="C1800" s="62" t="s">
        <v>178</v>
      </c>
      <c r="D1800" s="62">
        <v>1.0</v>
      </c>
      <c r="E1800" s="62">
        <v>6.0</v>
      </c>
      <c r="F1800" s="62">
        <v>0.0</v>
      </c>
      <c r="G1800" s="62">
        <v>6.0</v>
      </c>
      <c r="H1800" s="62">
        <v>5.0</v>
      </c>
      <c r="I1800" s="62">
        <v>0.0</v>
      </c>
      <c r="J1800" s="62">
        <v>0.0</v>
      </c>
      <c r="K1800" s="62">
        <v>0.0</v>
      </c>
      <c r="L1800" s="62">
        <v>2.0</v>
      </c>
      <c r="M1800" s="62">
        <v>2.0</v>
      </c>
      <c r="N1800" s="62">
        <v>1.0</v>
      </c>
      <c r="O1800" s="62">
        <v>1.0</v>
      </c>
      <c r="P1800" s="62">
        <v>1.0</v>
      </c>
      <c r="Q1800" s="62">
        <v>0.0</v>
      </c>
      <c r="R1800" s="62">
        <v>2373.0</v>
      </c>
      <c r="S1800" s="62">
        <v>13635.0</v>
      </c>
      <c r="T1800" s="62">
        <v>1.04611111111111</v>
      </c>
      <c r="U1800" s="62">
        <v>0.0</v>
      </c>
      <c r="V1800" s="62">
        <v>1.56138888888888</v>
      </c>
      <c r="W1800" s="62">
        <v>1.29944444444444</v>
      </c>
      <c r="X1800" s="62">
        <v>0.0</v>
      </c>
      <c r="Y1800" s="62">
        <v>0.0</v>
      </c>
      <c r="Z1800" s="62">
        <v>0.0</v>
      </c>
      <c r="AA1800" s="62">
        <v>0.478888888888888</v>
      </c>
      <c r="AB1800" s="62">
        <v>0.479444444444444</v>
      </c>
      <c r="AC1800" s="62">
        <v>0.203333333333333</v>
      </c>
      <c r="AD1800" s="62">
        <v>0.203333333333333</v>
      </c>
      <c r="AE1800" s="62">
        <v>0.203333333333333</v>
      </c>
      <c r="AF1800" s="62">
        <v>4.0</v>
      </c>
    </row>
    <row r="1801">
      <c r="A1801" s="68">
        <v>45866.0</v>
      </c>
      <c r="B1801" s="62" t="s">
        <v>32</v>
      </c>
      <c r="C1801" s="62" t="s">
        <v>168</v>
      </c>
      <c r="D1801" s="62">
        <v>0.0</v>
      </c>
      <c r="E1801" s="62">
        <v>0.0</v>
      </c>
      <c r="F1801" s="62">
        <v>4.0</v>
      </c>
      <c r="G1801" s="62">
        <v>0.0</v>
      </c>
      <c r="H1801" s="62">
        <v>4.0</v>
      </c>
      <c r="I1801" s="62">
        <v>3.0</v>
      </c>
      <c r="J1801" s="62">
        <v>1.0</v>
      </c>
      <c r="K1801" s="62">
        <v>2.0</v>
      </c>
      <c r="L1801" s="62">
        <v>0.0</v>
      </c>
      <c r="M1801" s="62">
        <v>2.0</v>
      </c>
      <c r="N1801" s="62">
        <v>8.0</v>
      </c>
      <c r="O1801" s="62">
        <v>1.0</v>
      </c>
      <c r="P1801" s="62">
        <v>8.0</v>
      </c>
      <c r="Q1801" s="62">
        <v>0.0</v>
      </c>
      <c r="R1801" s="62">
        <v>0.0</v>
      </c>
      <c r="S1801" s="62">
        <v>0.0</v>
      </c>
      <c r="T1801" s="62">
        <v>1.43944444444444</v>
      </c>
      <c r="U1801" s="62">
        <v>0.825555555555555</v>
      </c>
      <c r="V1801" s="62">
        <v>0.0</v>
      </c>
      <c r="W1801" s="62">
        <v>0.838611111111111</v>
      </c>
      <c r="X1801" s="62">
        <v>0.613888888888888</v>
      </c>
      <c r="Y1801" s="62">
        <v>0.224722222222222</v>
      </c>
      <c r="Z1801" s="62">
        <v>0.444999999999999</v>
      </c>
      <c r="AA1801" s="62">
        <v>0.0</v>
      </c>
      <c r="AB1801" s="62">
        <v>0.444999999999999</v>
      </c>
      <c r="AC1801" s="62">
        <v>1.73138888888888</v>
      </c>
      <c r="AD1801" s="62">
        <v>0.255</v>
      </c>
      <c r="AE1801" s="62">
        <v>1.73138888888888</v>
      </c>
      <c r="AF1801" s="62">
        <v>7.0</v>
      </c>
    </row>
    <row r="1802">
      <c r="A1802" s="68">
        <v>45866.0</v>
      </c>
      <c r="B1802" s="62" t="s">
        <v>26</v>
      </c>
      <c r="C1802" s="62" t="s">
        <v>178</v>
      </c>
      <c r="D1802" s="62">
        <v>3.0</v>
      </c>
      <c r="E1802" s="62">
        <v>0.0</v>
      </c>
      <c r="F1802" s="62">
        <v>0.0</v>
      </c>
      <c r="G1802" s="62">
        <v>0.0</v>
      </c>
      <c r="H1802" s="62">
        <v>5.0</v>
      </c>
      <c r="I1802" s="62">
        <v>0.0</v>
      </c>
      <c r="J1802" s="62">
        <v>5.0</v>
      </c>
      <c r="K1802" s="62">
        <v>5.0</v>
      </c>
      <c r="L1802" s="62">
        <v>0.0</v>
      </c>
      <c r="M1802" s="62">
        <v>3.0</v>
      </c>
      <c r="N1802" s="62">
        <v>0.0</v>
      </c>
      <c r="O1802" s="62">
        <v>0.0</v>
      </c>
      <c r="P1802" s="62">
        <v>0.0</v>
      </c>
      <c r="Q1802" s="62">
        <v>0.0</v>
      </c>
      <c r="R1802" s="62">
        <v>6624.0</v>
      </c>
      <c r="S1802" s="62">
        <v>0.0</v>
      </c>
      <c r="T1802" s="62">
        <v>0.0</v>
      </c>
      <c r="U1802" s="62">
        <v>0.0</v>
      </c>
      <c r="V1802" s="62">
        <v>0.0</v>
      </c>
      <c r="W1802" s="62">
        <v>1.22388888888888</v>
      </c>
      <c r="X1802" s="62">
        <v>0.0</v>
      </c>
      <c r="Y1802" s="62">
        <v>1.22388888888888</v>
      </c>
      <c r="Z1802" s="62">
        <v>1.22388888888888</v>
      </c>
      <c r="AA1802" s="62">
        <v>0.0</v>
      </c>
      <c r="AB1802" s="62">
        <v>0.745</v>
      </c>
      <c r="AC1802" s="62">
        <v>0.0</v>
      </c>
      <c r="AD1802" s="62">
        <v>0.0</v>
      </c>
      <c r="AE1802" s="62">
        <v>0.0</v>
      </c>
      <c r="AF1802" s="62">
        <v>0.0</v>
      </c>
    </row>
    <row r="1803">
      <c r="A1803" s="68">
        <v>45864.0</v>
      </c>
      <c r="B1803" s="62" t="s">
        <v>32</v>
      </c>
      <c r="C1803" s="62" t="s">
        <v>168</v>
      </c>
      <c r="D1803" s="62">
        <v>0.0</v>
      </c>
      <c r="E1803" s="62">
        <v>0.0</v>
      </c>
      <c r="F1803" s="62">
        <v>0.0</v>
      </c>
      <c r="G1803" s="62">
        <v>0.0</v>
      </c>
      <c r="H1803" s="62">
        <v>0.0</v>
      </c>
      <c r="I1803" s="62">
        <v>0.0</v>
      </c>
      <c r="J1803" s="62">
        <v>0.0</v>
      </c>
      <c r="K1803" s="62">
        <v>0.0</v>
      </c>
      <c r="L1803" s="62">
        <v>0.0</v>
      </c>
      <c r="M1803" s="62">
        <v>0.0</v>
      </c>
      <c r="N1803" s="62">
        <v>4.0</v>
      </c>
      <c r="O1803" s="62">
        <v>1.0</v>
      </c>
      <c r="P1803" s="62">
        <v>4.0</v>
      </c>
      <c r="Q1803" s="62">
        <v>0.0</v>
      </c>
      <c r="R1803" s="62">
        <v>0.0</v>
      </c>
      <c r="S1803" s="62">
        <v>0.0</v>
      </c>
      <c r="T1803" s="62">
        <v>0.0</v>
      </c>
      <c r="U1803" s="62">
        <v>0.0</v>
      </c>
      <c r="V1803" s="62">
        <v>0.0</v>
      </c>
      <c r="W1803" s="62">
        <v>0.0</v>
      </c>
      <c r="X1803" s="62">
        <v>0.0</v>
      </c>
      <c r="Y1803" s="62">
        <v>0.0</v>
      </c>
      <c r="Z1803" s="62">
        <v>0.0</v>
      </c>
      <c r="AA1803" s="62">
        <v>0.0</v>
      </c>
      <c r="AB1803" s="62">
        <v>0.0</v>
      </c>
      <c r="AC1803" s="62">
        <v>0.952777777777777</v>
      </c>
      <c r="AD1803" s="62">
        <v>0.231388888888888</v>
      </c>
      <c r="AE1803" s="62">
        <v>0.952777777777777</v>
      </c>
      <c r="AF1803" s="62">
        <v>0.0</v>
      </c>
    </row>
    <row r="1804">
      <c r="A1804" s="68">
        <v>45863.0</v>
      </c>
      <c r="B1804" s="62" t="s">
        <v>32</v>
      </c>
      <c r="C1804" s="62" t="s">
        <v>168</v>
      </c>
      <c r="D1804" s="62">
        <v>6.0</v>
      </c>
      <c r="E1804" s="62">
        <v>2.0</v>
      </c>
      <c r="F1804" s="62">
        <v>0.0</v>
      </c>
      <c r="G1804" s="62">
        <v>0.0</v>
      </c>
      <c r="H1804" s="62">
        <v>2.0</v>
      </c>
      <c r="I1804" s="62">
        <v>0.0</v>
      </c>
      <c r="J1804" s="62">
        <v>2.0</v>
      </c>
      <c r="K1804" s="62">
        <v>4.0</v>
      </c>
      <c r="L1804" s="62">
        <v>0.0</v>
      </c>
      <c r="M1804" s="62">
        <v>5.0</v>
      </c>
      <c r="N1804" s="62">
        <v>3.0</v>
      </c>
      <c r="O1804" s="62">
        <v>1.0</v>
      </c>
      <c r="P1804" s="62">
        <v>3.0</v>
      </c>
      <c r="Q1804" s="62">
        <v>0.0</v>
      </c>
      <c r="R1804" s="62">
        <v>10770.0</v>
      </c>
      <c r="S1804" s="62">
        <v>4238.0</v>
      </c>
      <c r="T1804" s="62">
        <v>0.0</v>
      </c>
      <c r="U1804" s="62">
        <v>0.0</v>
      </c>
      <c r="V1804" s="62">
        <v>0.0</v>
      </c>
      <c r="W1804" s="62">
        <v>0.439166666666666</v>
      </c>
      <c r="X1804" s="62">
        <v>0.0</v>
      </c>
      <c r="Y1804" s="62">
        <v>0.439166666666666</v>
      </c>
      <c r="Z1804" s="62">
        <v>0.851666666666666</v>
      </c>
      <c r="AA1804" s="62">
        <v>0.0</v>
      </c>
      <c r="AB1804" s="62">
        <v>1.07055555555555</v>
      </c>
      <c r="AC1804" s="62">
        <v>0.766388888888889</v>
      </c>
      <c r="AD1804" s="62">
        <v>0.231388888888888</v>
      </c>
      <c r="AE1804" s="62">
        <v>0.766388888888888</v>
      </c>
      <c r="AF1804" s="62">
        <v>0.0</v>
      </c>
    </row>
    <row r="1805">
      <c r="A1805" s="68">
        <v>45863.0</v>
      </c>
      <c r="B1805" s="62" t="s">
        <v>26</v>
      </c>
      <c r="C1805" s="62" t="s">
        <v>178</v>
      </c>
      <c r="D1805" s="62">
        <v>3.0</v>
      </c>
      <c r="E1805" s="62">
        <v>1.0</v>
      </c>
      <c r="F1805" s="62">
        <v>6.0</v>
      </c>
      <c r="G1805" s="62">
        <v>0.0</v>
      </c>
      <c r="H1805" s="62">
        <v>1.0</v>
      </c>
      <c r="I1805" s="62">
        <v>1.0</v>
      </c>
      <c r="J1805" s="62">
        <v>0.0</v>
      </c>
      <c r="K1805" s="62">
        <v>0.0</v>
      </c>
      <c r="L1805" s="62">
        <v>0.0</v>
      </c>
      <c r="M1805" s="62">
        <v>0.0</v>
      </c>
      <c r="N1805" s="62">
        <v>0.0</v>
      </c>
      <c r="O1805" s="62">
        <v>0.0</v>
      </c>
      <c r="P1805" s="62">
        <v>0.0</v>
      </c>
      <c r="Q1805" s="62">
        <v>0.0</v>
      </c>
      <c r="R1805" s="62">
        <v>6665.0</v>
      </c>
      <c r="S1805" s="62">
        <v>2261.0</v>
      </c>
      <c r="T1805" s="62">
        <v>0.0</v>
      </c>
      <c r="U1805" s="62">
        <v>1.56944444444444</v>
      </c>
      <c r="V1805" s="62">
        <v>0.0</v>
      </c>
      <c r="W1805" s="62">
        <v>0.261666666666666</v>
      </c>
      <c r="X1805" s="62">
        <v>0.261666666666666</v>
      </c>
      <c r="Y1805" s="62">
        <v>0.0</v>
      </c>
      <c r="Z1805" s="62">
        <v>0.0</v>
      </c>
      <c r="AA1805" s="62">
        <v>0.0</v>
      </c>
      <c r="AB1805" s="62">
        <v>0.0</v>
      </c>
      <c r="AC1805" s="62">
        <v>0.0</v>
      </c>
      <c r="AD1805" s="62">
        <v>0.0</v>
      </c>
      <c r="AE1805" s="62">
        <v>0.0</v>
      </c>
      <c r="AF1805" s="62">
        <v>0.0</v>
      </c>
    </row>
    <row r="1806">
      <c r="A1806" s="68">
        <v>45862.0</v>
      </c>
      <c r="B1806" s="62" t="s">
        <v>32</v>
      </c>
      <c r="C1806" s="62" t="s">
        <v>168</v>
      </c>
      <c r="D1806" s="62">
        <v>4.0</v>
      </c>
      <c r="E1806" s="62">
        <v>0.0</v>
      </c>
      <c r="F1806" s="62">
        <v>1.0</v>
      </c>
      <c r="G1806" s="62">
        <v>0.0</v>
      </c>
      <c r="H1806" s="62">
        <v>3.0</v>
      </c>
      <c r="I1806" s="62">
        <v>0.0</v>
      </c>
      <c r="J1806" s="62">
        <v>4.0</v>
      </c>
      <c r="K1806" s="62">
        <v>0.0</v>
      </c>
      <c r="L1806" s="62">
        <v>0.0</v>
      </c>
      <c r="M1806" s="62">
        <v>0.0</v>
      </c>
      <c r="N1806" s="62">
        <v>0.0</v>
      </c>
      <c r="O1806" s="62">
        <v>1.0</v>
      </c>
      <c r="P1806" s="62">
        <v>0.0</v>
      </c>
      <c r="Q1806" s="62">
        <v>0.0</v>
      </c>
      <c r="R1806" s="62">
        <v>8883.0</v>
      </c>
      <c r="S1806" s="62">
        <v>0.0</v>
      </c>
      <c r="T1806" s="62">
        <v>0.208611111111111</v>
      </c>
      <c r="U1806" s="62">
        <v>0.208611111111111</v>
      </c>
      <c r="V1806" s="62">
        <v>0.0</v>
      </c>
      <c r="W1806" s="62">
        <v>0.651111111111111</v>
      </c>
      <c r="X1806" s="62">
        <v>0.0</v>
      </c>
      <c r="Y1806" s="62">
        <v>0.851666666666666</v>
      </c>
      <c r="Z1806" s="62">
        <v>0.0</v>
      </c>
      <c r="AA1806" s="62">
        <v>0.0</v>
      </c>
      <c r="AB1806" s="62">
        <v>0.0</v>
      </c>
      <c r="AC1806" s="62">
        <v>0.0</v>
      </c>
      <c r="AD1806" s="62">
        <v>0.235833333333333</v>
      </c>
      <c r="AE1806" s="62">
        <v>0.0</v>
      </c>
      <c r="AF1806" s="62">
        <v>1.0</v>
      </c>
    </row>
    <row r="1807">
      <c r="A1807" s="68">
        <v>45862.0</v>
      </c>
      <c r="B1807" s="62" t="s">
        <v>26</v>
      </c>
      <c r="C1807" s="62" t="s">
        <v>178</v>
      </c>
      <c r="D1807" s="62">
        <v>3.0</v>
      </c>
      <c r="E1807" s="62">
        <v>2.0</v>
      </c>
      <c r="F1807" s="62">
        <v>0.0</v>
      </c>
      <c r="G1807" s="62">
        <v>0.0</v>
      </c>
      <c r="H1807" s="62">
        <v>0.0</v>
      </c>
      <c r="I1807" s="62">
        <v>0.0</v>
      </c>
      <c r="J1807" s="62">
        <v>0.0</v>
      </c>
      <c r="K1807" s="62">
        <v>0.0</v>
      </c>
      <c r="L1807" s="62">
        <v>0.0</v>
      </c>
      <c r="M1807" s="62">
        <v>0.0</v>
      </c>
      <c r="N1807" s="62">
        <v>0.0</v>
      </c>
      <c r="O1807" s="62">
        <v>0.0</v>
      </c>
      <c r="P1807" s="62">
        <v>0.0</v>
      </c>
      <c r="Q1807" s="62">
        <v>0.0</v>
      </c>
      <c r="R1807" s="62">
        <v>6594.0</v>
      </c>
      <c r="S1807" s="62">
        <v>4549.0</v>
      </c>
      <c r="T1807" s="62">
        <v>1.56944444444444</v>
      </c>
      <c r="U1807" s="62">
        <v>0.0</v>
      </c>
      <c r="V1807" s="62">
        <v>0.0</v>
      </c>
      <c r="W1807" s="62">
        <v>0.0</v>
      </c>
      <c r="X1807" s="62">
        <v>0.0</v>
      </c>
      <c r="Y1807" s="62">
        <v>0.0</v>
      </c>
      <c r="Z1807" s="62">
        <v>0.0</v>
      </c>
      <c r="AA1807" s="62">
        <v>0.0</v>
      </c>
      <c r="AB1807" s="62">
        <v>0.0</v>
      </c>
      <c r="AC1807" s="62">
        <v>0.0</v>
      </c>
      <c r="AD1807" s="62">
        <v>0.0</v>
      </c>
      <c r="AE1807" s="62">
        <v>0.0</v>
      </c>
      <c r="AF1807" s="62">
        <v>6.0</v>
      </c>
    </row>
    <row r="1808">
      <c r="A1808" s="68">
        <v>45861.0</v>
      </c>
      <c r="B1808" s="62" t="s">
        <v>32</v>
      </c>
      <c r="C1808" s="62" t="s">
        <v>168</v>
      </c>
      <c r="D1808" s="62">
        <v>3.0</v>
      </c>
      <c r="E1808" s="62">
        <v>0.0</v>
      </c>
      <c r="F1808" s="62">
        <v>6.0</v>
      </c>
      <c r="G1808" s="62">
        <v>0.0</v>
      </c>
      <c r="H1808" s="62">
        <v>4.0</v>
      </c>
      <c r="I1808" s="62">
        <v>1.0</v>
      </c>
      <c r="J1808" s="62">
        <v>4.0</v>
      </c>
      <c r="K1808" s="62">
        <v>4.0</v>
      </c>
      <c r="L1808" s="62">
        <v>0.0</v>
      </c>
      <c r="M1808" s="62">
        <v>4.0</v>
      </c>
      <c r="N1808" s="62">
        <v>0.0</v>
      </c>
      <c r="O1808" s="62">
        <v>1.0</v>
      </c>
      <c r="P1808" s="62">
        <v>0.0</v>
      </c>
      <c r="Q1808" s="62">
        <v>0.0</v>
      </c>
      <c r="R1808" s="62">
        <v>6044.0</v>
      </c>
      <c r="S1808" s="62">
        <v>0.0</v>
      </c>
      <c r="T1808" s="62">
        <v>0.661388888888888</v>
      </c>
      <c r="U1808" s="62">
        <v>1.31166666666666</v>
      </c>
      <c r="V1808" s="62">
        <v>0.0</v>
      </c>
      <c r="W1808" s="62">
        <v>0.902777777777777</v>
      </c>
      <c r="X1808" s="62">
        <v>0.201111111111111</v>
      </c>
      <c r="Y1808" s="62">
        <v>0.964444444444444</v>
      </c>
      <c r="Z1808" s="62">
        <v>0.964444444444444</v>
      </c>
      <c r="AA1808" s="62">
        <v>0.0</v>
      </c>
      <c r="AB1808" s="62">
        <v>0.964444444444444</v>
      </c>
      <c r="AC1808" s="62">
        <v>0.0</v>
      </c>
      <c r="AD1808" s="62">
        <v>0.238888888888888</v>
      </c>
      <c r="AE1808" s="62">
        <v>0.0</v>
      </c>
      <c r="AF1808" s="62">
        <v>3.0</v>
      </c>
    </row>
    <row r="1809">
      <c r="A1809" s="68">
        <v>45861.0</v>
      </c>
      <c r="B1809" s="62" t="s">
        <v>26</v>
      </c>
      <c r="C1809" s="62" t="s">
        <v>178</v>
      </c>
      <c r="D1809" s="62">
        <v>3.0</v>
      </c>
      <c r="E1809" s="62">
        <v>2.0</v>
      </c>
      <c r="F1809" s="62">
        <v>2.0</v>
      </c>
      <c r="G1809" s="62">
        <v>0.0</v>
      </c>
      <c r="H1809" s="62">
        <v>0.0</v>
      </c>
      <c r="I1809" s="62">
        <v>0.0</v>
      </c>
      <c r="J1809" s="62">
        <v>0.0</v>
      </c>
      <c r="K1809" s="62">
        <v>0.0</v>
      </c>
      <c r="L1809" s="62">
        <v>0.0</v>
      </c>
      <c r="M1809" s="62">
        <v>0.0</v>
      </c>
      <c r="N1809" s="62">
        <v>0.0</v>
      </c>
      <c r="O1809" s="62">
        <v>0.0</v>
      </c>
      <c r="P1809" s="62">
        <v>0.0</v>
      </c>
      <c r="Q1809" s="62">
        <v>0.0</v>
      </c>
      <c r="R1809" s="62">
        <v>6544.0</v>
      </c>
      <c r="S1809" s="62">
        <v>4616.0</v>
      </c>
      <c r="T1809" s="62">
        <v>0.552777777777777</v>
      </c>
      <c r="U1809" s="62">
        <v>0.552777777777777</v>
      </c>
      <c r="V1809" s="62">
        <v>0.0</v>
      </c>
      <c r="W1809" s="62">
        <v>0.0</v>
      </c>
      <c r="X1809" s="62">
        <v>0.0</v>
      </c>
      <c r="Y1809" s="62">
        <v>0.0</v>
      </c>
      <c r="Z1809" s="62">
        <v>0.0</v>
      </c>
      <c r="AA1809" s="62">
        <v>0.0</v>
      </c>
      <c r="AB1809" s="62">
        <v>0.0</v>
      </c>
      <c r="AC1809" s="62">
        <v>0.0</v>
      </c>
      <c r="AD1809" s="62">
        <v>0.0</v>
      </c>
      <c r="AE1809" s="62">
        <v>0.0</v>
      </c>
      <c r="AF1809" s="62">
        <v>2.0</v>
      </c>
    </row>
    <row r="1810">
      <c r="A1810" s="68">
        <v>45860.0</v>
      </c>
      <c r="B1810" s="62" t="s">
        <v>32</v>
      </c>
      <c r="C1810" s="62" t="s">
        <v>168</v>
      </c>
      <c r="D1810" s="62">
        <v>3.0</v>
      </c>
      <c r="E1810" s="62">
        <v>0.0</v>
      </c>
      <c r="F1810" s="62">
        <v>0.0</v>
      </c>
      <c r="G1810" s="62">
        <v>0.0</v>
      </c>
      <c r="H1810" s="62">
        <v>0.0</v>
      </c>
      <c r="I1810" s="62">
        <v>0.0</v>
      </c>
      <c r="J1810" s="62">
        <v>1.0</v>
      </c>
      <c r="K1810" s="62">
        <v>3.0</v>
      </c>
      <c r="L1810" s="62">
        <v>0.0</v>
      </c>
      <c r="M1810" s="62">
        <v>3.0</v>
      </c>
      <c r="N1810" s="62">
        <v>0.0</v>
      </c>
      <c r="O1810" s="62">
        <v>1.0</v>
      </c>
      <c r="P1810" s="62">
        <v>0.0</v>
      </c>
      <c r="Q1810" s="62">
        <v>0.0</v>
      </c>
      <c r="R1810" s="62">
        <v>6152.0</v>
      </c>
      <c r="S1810" s="62">
        <v>0.0</v>
      </c>
      <c r="T1810" s="62">
        <v>0.851388888888889</v>
      </c>
      <c r="U1810" s="62">
        <v>0.0</v>
      </c>
      <c r="V1810" s="62">
        <v>0.0</v>
      </c>
      <c r="W1810" s="62">
        <v>0.0</v>
      </c>
      <c r="X1810" s="62">
        <v>0.0</v>
      </c>
      <c r="Y1810" s="62">
        <v>0.204444444444444</v>
      </c>
      <c r="Z1810" s="62">
        <v>0.7175</v>
      </c>
      <c r="AA1810" s="62">
        <v>0.0</v>
      </c>
      <c r="AB1810" s="62">
        <v>0.7175</v>
      </c>
      <c r="AC1810" s="62">
        <v>0.0</v>
      </c>
      <c r="AD1810" s="62">
        <v>0.247222222222222</v>
      </c>
      <c r="AE1810" s="62">
        <v>0.0</v>
      </c>
      <c r="AF1810" s="62">
        <v>4.0</v>
      </c>
    </row>
    <row r="1811">
      <c r="A1811" s="68">
        <v>45860.0</v>
      </c>
      <c r="B1811" s="62" t="s">
        <v>26</v>
      </c>
      <c r="C1811" s="62" t="s">
        <v>178</v>
      </c>
      <c r="D1811" s="62">
        <v>3.0</v>
      </c>
      <c r="E1811" s="62">
        <v>0.0</v>
      </c>
      <c r="F1811" s="62">
        <v>2.0</v>
      </c>
      <c r="G1811" s="62">
        <v>0.0</v>
      </c>
      <c r="H1811" s="62">
        <v>0.0</v>
      </c>
      <c r="I1811" s="62">
        <v>0.0</v>
      </c>
      <c r="J1811" s="62">
        <v>0.0</v>
      </c>
      <c r="K1811" s="62">
        <v>0.0</v>
      </c>
      <c r="L1811" s="62">
        <v>0.0</v>
      </c>
      <c r="M1811" s="62">
        <v>0.0</v>
      </c>
      <c r="N1811" s="62">
        <v>0.0</v>
      </c>
      <c r="O1811" s="62">
        <v>0.0</v>
      </c>
      <c r="P1811" s="62">
        <v>0.0</v>
      </c>
      <c r="Q1811" s="62">
        <v>0.0</v>
      </c>
      <c r="R1811" s="62">
        <v>6780.0</v>
      </c>
      <c r="S1811" s="62">
        <v>0.0</v>
      </c>
      <c r="T1811" s="62">
        <v>0.480555555555555</v>
      </c>
      <c r="U1811" s="62">
        <v>0.480555555555555</v>
      </c>
      <c r="V1811" s="62">
        <v>0.0</v>
      </c>
      <c r="W1811" s="62">
        <v>0.0</v>
      </c>
      <c r="X1811" s="62">
        <v>0.0</v>
      </c>
      <c r="Y1811" s="62">
        <v>0.0</v>
      </c>
      <c r="Z1811" s="62">
        <v>0.0</v>
      </c>
      <c r="AA1811" s="62">
        <v>0.0</v>
      </c>
      <c r="AB1811" s="62">
        <v>0.0</v>
      </c>
      <c r="AC1811" s="62">
        <v>0.0</v>
      </c>
      <c r="AD1811" s="62">
        <v>0.0</v>
      </c>
      <c r="AE1811" s="62">
        <v>0.0</v>
      </c>
      <c r="AF1811" s="62">
        <v>2.0</v>
      </c>
    </row>
    <row r="1812">
      <c r="A1812" s="68">
        <v>45859.0</v>
      </c>
      <c r="B1812" s="62" t="s">
        <v>32</v>
      </c>
      <c r="C1812" s="62" t="s">
        <v>168</v>
      </c>
      <c r="D1812" s="62">
        <v>0.0</v>
      </c>
      <c r="E1812" s="62">
        <v>0.0</v>
      </c>
      <c r="F1812" s="62">
        <v>2.0</v>
      </c>
      <c r="G1812" s="62">
        <v>0.0</v>
      </c>
      <c r="H1812" s="62">
        <v>5.0</v>
      </c>
      <c r="I1812" s="62">
        <v>2.0</v>
      </c>
      <c r="J1812" s="62">
        <v>3.0</v>
      </c>
      <c r="K1812" s="62">
        <v>1.0</v>
      </c>
      <c r="L1812" s="62">
        <v>0.0</v>
      </c>
      <c r="M1812" s="62">
        <v>1.0</v>
      </c>
      <c r="N1812" s="62">
        <v>0.0</v>
      </c>
      <c r="O1812" s="62">
        <v>1.0</v>
      </c>
      <c r="P1812" s="62">
        <v>0.0</v>
      </c>
      <c r="Q1812" s="62">
        <v>0.0</v>
      </c>
      <c r="R1812" s="62">
        <v>0.0</v>
      </c>
      <c r="S1812" s="62">
        <v>0.0</v>
      </c>
      <c r="T1812" s="62">
        <v>0.0</v>
      </c>
      <c r="U1812" s="62">
        <v>0.466388888888888</v>
      </c>
      <c r="V1812" s="62">
        <v>0.0</v>
      </c>
      <c r="W1812" s="62">
        <v>1.23361111111111</v>
      </c>
      <c r="X1812" s="62">
        <v>0.467222222222222</v>
      </c>
      <c r="Y1812" s="62">
        <v>0.766388888888888</v>
      </c>
      <c r="Z1812" s="62">
        <v>0.253333333333333</v>
      </c>
      <c r="AA1812" s="62">
        <v>0.0</v>
      </c>
      <c r="AB1812" s="62">
        <v>0.253333333333333</v>
      </c>
      <c r="AC1812" s="62">
        <v>0.0</v>
      </c>
      <c r="AD1812" s="62">
        <v>0.228611111111111</v>
      </c>
      <c r="AE1812" s="62">
        <v>0.0</v>
      </c>
      <c r="AF1812" s="62">
        <v>0.0</v>
      </c>
    </row>
    <row r="1813">
      <c r="A1813" s="68">
        <v>45859.0</v>
      </c>
      <c r="B1813" s="62" t="s">
        <v>26</v>
      </c>
      <c r="C1813" s="62" t="s">
        <v>178</v>
      </c>
      <c r="D1813" s="62">
        <v>3.0</v>
      </c>
      <c r="E1813" s="62">
        <v>1.0</v>
      </c>
      <c r="F1813" s="62">
        <v>0.0</v>
      </c>
      <c r="G1813" s="62">
        <v>0.0</v>
      </c>
      <c r="H1813" s="62">
        <v>0.0</v>
      </c>
      <c r="I1813" s="62">
        <v>0.0</v>
      </c>
      <c r="J1813" s="62">
        <v>0.0</v>
      </c>
      <c r="K1813" s="62">
        <v>0.0</v>
      </c>
      <c r="L1813" s="62">
        <v>0.0</v>
      </c>
      <c r="M1813" s="62">
        <v>0.0</v>
      </c>
      <c r="N1813" s="62">
        <v>0.0</v>
      </c>
      <c r="O1813" s="62">
        <v>0.0</v>
      </c>
      <c r="P1813" s="62">
        <v>0.0</v>
      </c>
      <c r="Q1813" s="62">
        <v>0.0</v>
      </c>
      <c r="R1813" s="62">
        <v>6604.0</v>
      </c>
      <c r="S1813" s="62">
        <v>2456.0</v>
      </c>
      <c r="T1813" s="62">
        <v>0.0</v>
      </c>
      <c r="U1813" s="62">
        <v>0.0</v>
      </c>
      <c r="V1813" s="62">
        <v>0.0</v>
      </c>
      <c r="W1813" s="62">
        <v>0.0</v>
      </c>
      <c r="X1813" s="62">
        <v>0.0</v>
      </c>
      <c r="Y1813" s="62">
        <v>0.0</v>
      </c>
      <c r="Z1813" s="62">
        <v>0.0</v>
      </c>
      <c r="AA1813" s="62">
        <v>0.0</v>
      </c>
      <c r="AB1813" s="62">
        <v>0.0</v>
      </c>
      <c r="AC1813" s="62">
        <v>0.0</v>
      </c>
      <c r="AD1813" s="62">
        <v>0.0</v>
      </c>
      <c r="AE1813" s="62">
        <v>0.0</v>
      </c>
      <c r="AF1813" s="62">
        <v>0.0</v>
      </c>
    </row>
    <row r="1814">
      <c r="A1814" s="68">
        <v>45857.0</v>
      </c>
      <c r="B1814" s="62" t="s">
        <v>32</v>
      </c>
      <c r="C1814" s="62" t="s">
        <v>168</v>
      </c>
      <c r="D1814" s="62">
        <v>0.0</v>
      </c>
      <c r="E1814" s="62">
        <v>0.0</v>
      </c>
      <c r="F1814" s="62">
        <v>0.0</v>
      </c>
      <c r="G1814" s="62">
        <v>0.0</v>
      </c>
      <c r="H1814" s="62">
        <v>0.0</v>
      </c>
      <c r="I1814" s="62">
        <v>0.0</v>
      </c>
      <c r="J1814" s="62">
        <v>0.0</v>
      </c>
      <c r="K1814" s="62">
        <v>0.0</v>
      </c>
      <c r="L1814" s="62">
        <v>0.0</v>
      </c>
      <c r="M1814" s="62">
        <v>0.0</v>
      </c>
      <c r="N1814" s="62">
        <v>4.0</v>
      </c>
      <c r="O1814" s="62">
        <v>1.0</v>
      </c>
      <c r="P1814" s="62">
        <v>4.0</v>
      </c>
      <c r="Q1814" s="62">
        <v>0.0</v>
      </c>
      <c r="R1814" s="62">
        <v>0.0</v>
      </c>
      <c r="S1814" s="62">
        <v>0.0</v>
      </c>
      <c r="T1814" s="62">
        <v>0.933611111111111</v>
      </c>
      <c r="U1814" s="62">
        <v>0.0</v>
      </c>
      <c r="V1814" s="62">
        <v>0.0</v>
      </c>
      <c r="W1814" s="62">
        <v>0.0</v>
      </c>
      <c r="X1814" s="62">
        <v>0.0</v>
      </c>
      <c r="Y1814" s="62">
        <v>0.0</v>
      </c>
      <c r="Z1814" s="62">
        <v>0.0</v>
      </c>
      <c r="AA1814" s="62">
        <v>0.0</v>
      </c>
      <c r="AB1814" s="62">
        <v>0.0</v>
      </c>
      <c r="AC1814" s="62">
        <v>0.978611111111111</v>
      </c>
      <c r="AD1814" s="62">
        <v>0.22</v>
      </c>
      <c r="AE1814" s="62">
        <v>0.978611111111111</v>
      </c>
      <c r="AF1814" s="62">
        <v>4.0</v>
      </c>
    </row>
    <row r="1815">
      <c r="A1815" s="68">
        <v>45856.0</v>
      </c>
      <c r="B1815" s="62" t="s">
        <v>32</v>
      </c>
      <c r="C1815" s="62" t="s">
        <v>168</v>
      </c>
      <c r="D1815" s="62">
        <v>7.0</v>
      </c>
      <c r="E1815" s="62">
        <v>3.0</v>
      </c>
      <c r="F1815" s="62">
        <v>0.0</v>
      </c>
      <c r="G1815" s="62">
        <v>0.0</v>
      </c>
      <c r="H1815" s="62">
        <v>0.0</v>
      </c>
      <c r="I1815" s="62">
        <v>0.0</v>
      </c>
      <c r="J1815" s="62">
        <v>0.0</v>
      </c>
      <c r="K1815" s="62">
        <v>1.0</v>
      </c>
      <c r="L1815" s="62">
        <v>0.0</v>
      </c>
      <c r="M1815" s="62">
        <v>1.0</v>
      </c>
      <c r="N1815" s="62">
        <v>0.0</v>
      </c>
      <c r="O1815" s="62">
        <v>1.0</v>
      </c>
      <c r="P1815" s="62">
        <v>0.0</v>
      </c>
      <c r="Q1815" s="62">
        <v>0.0</v>
      </c>
      <c r="R1815" s="62">
        <v>14822.0</v>
      </c>
      <c r="S1815" s="62">
        <v>6278.0</v>
      </c>
      <c r="T1815" s="62">
        <v>0.0</v>
      </c>
      <c r="U1815" s="62">
        <v>0.0</v>
      </c>
      <c r="V1815" s="62">
        <v>0.0</v>
      </c>
      <c r="W1815" s="62">
        <v>0.0</v>
      </c>
      <c r="X1815" s="62">
        <v>0.0</v>
      </c>
      <c r="Y1815" s="62">
        <v>0.0</v>
      </c>
      <c r="Z1815" s="62">
        <v>0.241666666666666</v>
      </c>
      <c r="AA1815" s="62">
        <v>0.0</v>
      </c>
      <c r="AB1815" s="62">
        <v>0.241666666666666</v>
      </c>
      <c r="AC1815" s="62">
        <v>0.0</v>
      </c>
      <c r="AD1815" s="62">
        <v>0.225555555555555</v>
      </c>
      <c r="AE1815" s="62">
        <v>0.0</v>
      </c>
      <c r="AF1815" s="62">
        <v>0.0</v>
      </c>
    </row>
    <row r="1816">
      <c r="A1816" s="68">
        <v>45856.0</v>
      </c>
      <c r="B1816" s="62" t="s">
        <v>26</v>
      </c>
      <c r="C1816" s="62" t="s">
        <v>178</v>
      </c>
      <c r="D1816" s="62">
        <v>3.0</v>
      </c>
      <c r="E1816" s="62">
        <v>0.0</v>
      </c>
      <c r="F1816" s="62">
        <v>1.0</v>
      </c>
      <c r="G1816" s="62">
        <v>0.0</v>
      </c>
      <c r="H1816" s="62">
        <v>0.0</v>
      </c>
      <c r="I1816" s="62">
        <v>0.0</v>
      </c>
      <c r="J1816" s="62">
        <v>0.0</v>
      </c>
      <c r="K1816" s="62">
        <v>0.0</v>
      </c>
      <c r="L1816" s="62">
        <v>0.0</v>
      </c>
      <c r="M1816" s="62">
        <v>0.0</v>
      </c>
      <c r="N1816" s="62">
        <v>0.0</v>
      </c>
      <c r="O1816" s="62">
        <v>0.0</v>
      </c>
      <c r="P1816" s="62">
        <v>0.0</v>
      </c>
      <c r="Q1816" s="62">
        <v>0.0</v>
      </c>
      <c r="R1816" s="62">
        <v>6828.0</v>
      </c>
      <c r="S1816" s="62">
        <v>0.0</v>
      </c>
      <c r="T1816" s="62">
        <v>0.0</v>
      </c>
      <c r="U1816" s="62">
        <v>0.190833333333333</v>
      </c>
      <c r="V1816" s="62">
        <v>0.0</v>
      </c>
      <c r="W1816" s="62">
        <v>0.0</v>
      </c>
      <c r="X1816" s="62">
        <v>0.0</v>
      </c>
      <c r="Y1816" s="62">
        <v>0.0</v>
      </c>
      <c r="Z1816" s="62">
        <v>0.0</v>
      </c>
      <c r="AA1816" s="62">
        <v>0.0</v>
      </c>
      <c r="AB1816" s="62">
        <v>0.0</v>
      </c>
      <c r="AC1816" s="62">
        <v>0.0</v>
      </c>
      <c r="AD1816" s="62">
        <v>0.0</v>
      </c>
      <c r="AE1816" s="62">
        <v>0.0</v>
      </c>
      <c r="AF1816" s="62">
        <v>0.0</v>
      </c>
    </row>
    <row r="1817">
      <c r="A1817" s="68">
        <v>45855.0</v>
      </c>
      <c r="B1817" s="62" t="s">
        <v>32</v>
      </c>
      <c r="C1817" s="62" t="s">
        <v>168</v>
      </c>
      <c r="D1817" s="62">
        <v>8.0</v>
      </c>
      <c r="E1817" s="62">
        <v>4.0</v>
      </c>
      <c r="F1817" s="62">
        <v>0.0</v>
      </c>
      <c r="G1817" s="62">
        <v>0.0</v>
      </c>
      <c r="H1817" s="62">
        <v>3.0</v>
      </c>
      <c r="I1817" s="62">
        <v>0.0</v>
      </c>
      <c r="J1817" s="62">
        <v>3.0</v>
      </c>
      <c r="K1817" s="62">
        <v>3.0</v>
      </c>
      <c r="L1817" s="62">
        <v>0.0</v>
      </c>
      <c r="M1817" s="62">
        <v>4.0</v>
      </c>
      <c r="N1817" s="62">
        <v>8.0</v>
      </c>
      <c r="O1817" s="62">
        <v>1.0</v>
      </c>
      <c r="P1817" s="62">
        <v>8.0</v>
      </c>
      <c r="Q1817" s="62">
        <v>0.0</v>
      </c>
      <c r="R1817" s="62">
        <v>17814.0</v>
      </c>
      <c r="S1817" s="62">
        <v>8178.0</v>
      </c>
      <c r="T1817" s="62">
        <v>0.0</v>
      </c>
      <c r="U1817" s="62">
        <v>0.0</v>
      </c>
      <c r="V1817" s="62">
        <v>0.0</v>
      </c>
      <c r="W1817" s="62">
        <v>0.724722222222222</v>
      </c>
      <c r="X1817" s="62">
        <v>0.0</v>
      </c>
      <c r="Y1817" s="62">
        <v>0.724722222222222</v>
      </c>
      <c r="Z1817" s="62">
        <v>0.736944444444444</v>
      </c>
      <c r="AA1817" s="62">
        <v>0.0</v>
      </c>
      <c r="AB1817" s="62">
        <v>0.968333333333333</v>
      </c>
      <c r="AC1817" s="62">
        <v>1.85111111111111</v>
      </c>
      <c r="AD1817" s="62">
        <v>0.241666666666666</v>
      </c>
      <c r="AE1817" s="62">
        <v>1.85111111111111</v>
      </c>
      <c r="AF1817" s="62">
        <v>0.0</v>
      </c>
    </row>
    <row r="1818">
      <c r="A1818" s="68">
        <v>45855.0</v>
      </c>
      <c r="B1818" s="62" t="s">
        <v>26</v>
      </c>
      <c r="C1818" s="62" t="s">
        <v>178</v>
      </c>
      <c r="D1818" s="62">
        <v>3.0</v>
      </c>
      <c r="E1818" s="62">
        <v>3.0</v>
      </c>
      <c r="F1818" s="62">
        <v>0.0</v>
      </c>
      <c r="G1818" s="62">
        <v>0.0</v>
      </c>
      <c r="H1818" s="62">
        <v>0.0</v>
      </c>
      <c r="I1818" s="62">
        <v>0.0</v>
      </c>
      <c r="J1818" s="62">
        <v>0.0</v>
      </c>
      <c r="K1818" s="62">
        <v>0.0</v>
      </c>
      <c r="L1818" s="62">
        <v>0.0</v>
      </c>
      <c r="M1818" s="62">
        <v>0.0</v>
      </c>
      <c r="N1818" s="62">
        <v>0.0</v>
      </c>
      <c r="O1818" s="62">
        <v>0.0</v>
      </c>
      <c r="P1818" s="62">
        <v>0.0</v>
      </c>
      <c r="Q1818" s="62">
        <v>0.0</v>
      </c>
      <c r="R1818" s="62">
        <v>6532.0</v>
      </c>
      <c r="S1818" s="62">
        <v>7007.0</v>
      </c>
      <c r="T1818" s="62">
        <v>0.0</v>
      </c>
      <c r="U1818" s="62">
        <v>0.0</v>
      </c>
      <c r="V1818" s="62">
        <v>0.0</v>
      </c>
      <c r="W1818" s="62">
        <v>0.0</v>
      </c>
      <c r="X1818" s="62">
        <v>0.0</v>
      </c>
      <c r="Y1818" s="62">
        <v>0.0</v>
      </c>
      <c r="Z1818" s="62">
        <v>0.0</v>
      </c>
      <c r="AA1818" s="62">
        <v>0.0</v>
      </c>
      <c r="AB1818" s="62">
        <v>0.0</v>
      </c>
      <c r="AC1818" s="62">
        <v>0.0</v>
      </c>
      <c r="AD1818" s="62">
        <v>0.0</v>
      </c>
      <c r="AE1818" s="62">
        <v>0.0</v>
      </c>
      <c r="AF1818" s="62">
        <v>0.0</v>
      </c>
    </row>
    <row r="1819">
      <c r="A1819" s="68">
        <v>45854.0</v>
      </c>
      <c r="B1819" s="62" t="s">
        <v>32</v>
      </c>
      <c r="C1819" s="62" t="s">
        <v>168</v>
      </c>
      <c r="D1819" s="62">
        <v>0.0</v>
      </c>
      <c r="E1819" s="62">
        <v>4.0</v>
      </c>
      <c r="F1819" s="62">
        <v>5.0</v>
      </c>
      <c r="G1819" s="62">
        <v>0.0</v>
      </c>
      <c r="H1819" s="62">
        <v>4.0</v>
      </c>
      <c r="I1819" s="62">
        <v>0.0</v>
      </c>
      <c r="J1819" s="62">
        <v>4.0</v>
      </c>
      <c r="K1819" s="62">
        <v>5.0</v>
      </c>
      <c r="L1819" s="62">
        <v>0.0</v>
      </c>
      <c r="M1819" s="62">
        <v>4.0</v>
      </c>
      <c r="N1819" s="62">
        <v>0.0</v>
      </c>
      <c r="O1819" s="62">
        <v>1.0</v>
      </c>
      <c r="P1819" s="62">
        <v>0.0</v>
      </c>
      <c r="Q1819" s="62">
        <v>0.0</v>
      </c>
      <c r="R1819" s="62">
        <v>0.0</v>
      </c>
      <c r="S1819" s="62">
        <v>8087.0</v>
      </c>
      <c r="T1819" s="62">
        <v>1.24444444444444</v>
      </c>
      <c r="U1819" s="62">
        <v>1.24444444444444</v>
      </c>
      <c r="V1819" s="62">
        <v>0.0</v>
      </c>
      <c r="W1819" s="62">
        <v>0.963888888888888</v>
      </c>
      <c r="X1819" s="62">
        <v>0.0</v>
      </c>
      <c r="Y1819" s="62">
        <v>0.963888888888888</v>
      </c>
      <c r="Z1819" s="62">
        <v>1.18472222222222</v>
      </c>
      <c r="AA1819" s="62">
        <v>0.0</v>
      </c>
      <c r="AB1819" s="62">
        <v>0.953333333333333</v>
      </c>
      <c r="AC1819" s="62">
        <v>0.0</v>
      </c>
      <c r="AD1819" s="62">
        <v>0.244444444444444</v>
      </c>
      <c r="AE1819" s="62">
        <v>0.0</v>
      </c>
      <c r="AF1819" s="62">
        <v>5.0</v>
      </c>
    </row>
    <row r="1820">
      <c r="A1820" s="68">
        <v>45854.0</v>
      </c>
      <c r="B1820" s="62" t="s">
        <v>26</v>
      </c>
      <c r="C1820" s="62" t="s">
        <v>178</v>
      </c>
      <c r="D1820" s="62">
        <v>2.0</v>
      </c>
      <c r="E1820" s="62">
        <v>0.0</v>
      </c>
      <c r="F1820" s="62">
        <v>0.0</v>
      </c>
      <c r="G1820" s="62">
        <v>0.0</v>
      </c>
      <c r="H1820" s="62">
        <v>0.0</v>
      </c>
      <c r="I1820" s="62">
        <v>0.0</v>
      </c>
      <c r="J1820" s="62">
        <v>0.0</v>
      </c>
      <c r="K1820" s="62">
        <v>0.0</v>
      </c>
      <c r="L1820" s="62">
        <v>0.0</v>
      </c>
      <c r="M1820" s="62">
        <v>0.0</v>
      </c>
      <c r="N1820" s="62">
        <v>0.0</v>
      </c>
      <c r="O1820" s="62">
        <v>0.0</v>
      </c>
      <c r="P1820" s="62">
        <v>0.0</v>
      </c>
      <c r="Q1820" s="62">
        <v>0.0</v>
      </c>
      <c r="R1820" s="62">
        <v>4776.0</v>
      </c>
      <c r="S1820" s="62">
        <v>0.0</v>
      </c>
      <c r="T1820" s="62">
        <v>0.0</v>
      </c>
      <c r="U1820" s="62">
        <v>0.0</v>
      </c>
      <c r="V1820" s="62">
        <v>0.0</v>
      </c>
      <c r="W1820" s="62">
        <v>0.0</v>
      </c>
      <c r="X1820" s="62">
        <v>0.0</v>
      </c>
      <c r="Y1820" s="62">
        <v>0.0</v>
      </c>
      <c r="Z1820" s="62">
        <v>0.0</v>
      </c>
      <c r="AA1820" s="62">
        <v>0.0</v>
      </c>
      <c r="AB1820" s="62">
        <v>0.0</v>
      </c>
      <c r="AC1820" s="62">
        <v>0.0</v>
      </c>
      <c r="AD1820" s="62">
        <v>0.0</v>
      </c>
      <c r="AE1820" s="62">
        <v>0.0</v>
      </c>
      <c r="AF1820" s="62">
        <v>0.0</v>
      </c>
    </row>
    <row r="1821">
      <c r="A1821" s="68">
        <v>45853.0</v>
      </c>
      <c r="B1821" s="62" t="s">
        <v>32</v>
      </c>
      <c r="C1821" s="62" t="s">
        <v>168</v>
      </c>
      <c r="D1821" s="62">
        <v>0.0</v>
      </c>
      <c r="E1821" s="62">
        <v>3.0</v>
      </c>
      <c r="F1821" s="62">
        <v>2.0</v>
      </c>
      <c r="G1821" s="62">
        <v>0.0</v>
      </c>
      <c r="H1821" s="62">
        <v>1.0</v>
      </c>
      <c r="I1821" s="62">
        <v>0.0</v>
      </c>
      <c r="J1821" s="62">
        <v>2.0</v>
      </c>
      <c r="K1821" s="62">
        <v>2.0</v>
      </c>
      <c r="L1821" s="62">
        <v>0.0</v>
      </c>
      <c r="M1821" s="62">
        <v>2.0</v>
      </c>
      <c r="N1821" s="62">
        <v>0.0</v>
      </c>
      <c r="O1821" s="62">
        <v>1.0</v>
      </c>
      <c r="P1821" s="62">
        <v>0.0</v>
      </c>
      <c r="Q1821" s="62">
        <v>0.0</v>
      </c>
      <c r="R1821" s="62">
        <v>0.0</v>
      </c>
      <c r="S1821" s="62">
        <v>4244.0</v>
      </c>
      <c r="T1821" s="62">
        <v>0.0</v>
      </c>
      <c r="U1821" s="62">
        <v>0.485277777777777</v>
      </c>
      <c r="V1821" s="62">
        <v>0.0</v>
      </c>
      <c r="W1821" s="62">
        <v>0.238888888888888</v>
      </c>
      <c r="X1821" s="62">
        <v>0.0</v>
      </c>
      <c r="Y1821" s="62">
        <v>0.474722222222222</v>
      </c>
      <c r="Z1821" s="62">
        <v>0.446388888888888</v>
      </c>
      <c r="AA1821" s="62">
        <v>0.0</v>
      </c>
      <c r="AB1821" s="62">
        <v>0.446388888888888</v>
      </c>
      <c r="AC1821" s="62">
        <v>0.0</v>
      </c>
      <c r="AD1821" s="62">
        <v>0.257222222222222</v>
      </c>
      <c r="AE1821" s="62">
        <v>0.0</v>
      </c>
      <c r="AF1821" s="62">
        <v>0.0</v>
      </c>
    </row>
    <row r="1822">
      <c r="A1822" s="68">
        <v>45853.0</v>
      </c>
      <c r="B1822" s="62" t="s">
        <v>26</v>
      </c>
      <c r="C1822" s="62" t="s">
        <v>178</v>
      </c>
      <c r="D1822" s="62">
        <v>4.0</v>
      </c>
      <c r="E1822" s="62">
        <v>0.0</v>
      </c>
      <c r="F1822" s="62">
        <v>0.0</v>
      </c>
      <c r="G1822" s="62">
        <v>0.0</v>
      </c>
      <c r="H1822" s="62">
        <v>0.0</v>
      </c>
      <c r="I1822" s="62">
        <v>0.0</v>
      </c>
      <c r="J1822" s="62">
        <v>0.0</v>
      </c>
      <c r="K1822" s="62">
        <v>0.0</v>
      </c>
      <c r="L1822" s="62">
        <v>0.0</v>
      </c>
      <c r="M1822" s="62">
        <v>0.0</v>
      </c>
      <c r="N1822" s="62">
        <v>0.0</v>
      </c>
      <c r="O1822" s="62">
        <v>0.0</v>
      </c>
      <c r="P1822" s="62">
        <v>0.0</v>
      </c>
      <c r="Q1822" s="62">
        <v>0.0</v>
      </c>
      <c r="R1822" s="62">
        <v>9572.0</v>
      </c>
      <c r="S1822" s="62">
        <v>0.0</v>
      </c>
      <c r="T1822" s="62">
        <v>0.0</v>
      </c>
      <c r="U1822" s="62">
        <v>0.0</v>
      </c>
      <c r="V1822" s="62">
        <v>0.0</v>
      </c>
      <c r="W1822" s="62">
        <v>0.0</v>
      </c>
      <c r="X1822" s="62">
        <v>0.0</v>
      </c>
      <c r="Y1822" s="62">
        <v>0.0</v>
      </c>
      <c r="Z1822" s="62">
        <v>0.0</v>
      </c>
      <c r="AA1822" s="62">
        <v>0.0</v>
      </c>
      <c r="AB1822" s="62">
        <v>0.0</v>
      </c>
      <c r="AC1822" s="62">
        <v>0.0</v>
      </c>
      <c r="AD1822" s="62">
        <v>0.0</v>
      </c>
      <c r="AE1822" s="62">
        <v>0.0</v>
      </c>
      <c r="AF1822" s="62">
        <v>0.0</v>
      </c>
    </row>
    <row r="1823">
      <c r="A1823" s="68">
        <v>45852.0</v>
      </c>
      <c r="B1823" s="62" t="s">
        <v>32</v>
      </c>
      <c r="C1823" s="62" t="s">
        <v>168</v>
      </c>
      <c r="D1823" s="62">
        <v>0.0</v>
      </c>
      <c r="E1823" s="62">
        <v>2.0</v>
      </c>
      <c r="F1823" s="62">
        <v>3.0</v>
      </c>
      <c r="G1823" s="62">
        <v>0.0</v>
      </c>
      <c r="H1823" s="62">
        <v>2.0</v>
      </c>
      <c r="I1823" s="62">
        <v>1.0</v>
      </c>
      <c r="J1823" s="62">
        <v>3.0</v>
      </c>
      <c r="K1823" s="62">
        <v>1.0</v>
      </c>
      <c r="L1823" s="62">
        <v>0.0</v>
      </c>
      <c r="M1823" s="62">
        <v>1.0</v>
      </c>
      <c r="N1823" s="62">
        <v>0.0</v>
      </c>
      <c r="O1823" s="62">
        <v>1.0</v>
      </c>
      <c r="P1823" s="62">
        <v>0.0</v>
      </c>
      <c r="Q1823" s="62">
        <v>0.0</v>
      </c>
      <c r="R1823" s="62">
        <v>0.0</v>
      </c>
      <c r="S1823" s="62">
        <v>2017.0</v>
      </c>
      <c r="T1823" s="62">
        <v>1.43722222222222</v>
      </c>
      <c r="U1823" s="62">
        <v>0.715833333333333</v>
      </c>
      <c r="V1823" s="62">
        <v>0.0</v>
      </c>
      <c r="W1823" s="62">
        <v>0.453888888888888</v>
      </c>
      <c r="X1823" s="62">
        <v>0.236111111111111</v>
      </c>
      <c r="Y1823" s="62">
        <v>0.666388888888888</v>
      </c>
      <c r="Z1823" s="62">
        <v>0.22</v>
      </c>
      <c r="AA1823" s="62">
        <v>0.0</v>
      </c>
      <c r="AB1823" s="62">
        <v>0.22</v>
      </c>
      <c r="AC1823" s="62">
        <v>0.0</v>
      </c>
      <c r="AD1823" s="62">
        <v>0.223333333333333</v>
      </c>
      <c r="AE1823" s="62">
        <v>0.0</v>
      </c>
      <c r="AF1823" s="62">
        <v>6.0</v>
      </c>
    </row>
    <row r="1824">
      <c r="A1824" s="68">
        <v>45852.0</v>
      </c>
      <c r="B1824" s="62" t="s">
        <v>26</v>
      </c>
      <c r="C1824" s="62" t="s">
        <v>178</v>
      </c>
      <c r="D1824" s="62">
        <v>0.0</v>
      </c>
      <c r="E1824" s="62">
        <v>4.0</v>
      </c>
      <c r="F1824" s="62">
        <v>0.0</v>
      </c>
      <c r="G1824" s="62">
        <v>0.0</v>
      </c>
      <c r="H1824" s="62">
        <v>0.0</v>
      </c>
      <c r="I1824" s="62">
        <v>0.0</v>
      </c>
      <c r="J1824" s="62">
        <v>0.0</v>
      </c>
      <c r="K1824" s="62">
        <v>0.0</v>
      </c>
      <c r="L1824" s="62">
        <v>0.0</v>
      </c>
      <c r="M1824" s="62">
        <v>0.0</v>
      </c>
      <c r="N1824" s="62">
        <v>0.0</v>
      </c>
      <c r="O1824" s="62">
        <v>0.0</v>
      </c>
      <c r="P1824" s="62">
        <v>0.0</v>
      </c>
      <c r="Q1824" s="62">
        <v>0.0</v>
      </c>
      <c r="R1824" s="62">
        <v>0.0</v>
      </c>
      <c r="S1824" s="62">
        <v>10268.0</v>
      </c>
      <c r="T1824" s="62">
        <v>0.0</v>
      </c>
      <c r="U1824" s="62">
        <v>0.0</v>
      </c>
      <c r="V1824" s="62">
        <v>0.0</v>
      </c>
      <c r="W1824" s="62">
        <v>0.0</v>
      </c>
      <c r="X1824" s="62">
        <v>0.0</v>
      </c>
      <c r="Y1824" s="62">
        <v>0.0</v>
      </c>
      <c r="Z1824" s="62">
        <v>0.0</v>
      </c>
      <c r="AA1824" s="62">
        <v>0.0</v>
      </c>
      <c r="AB1824" s="62">
        <v>0.0</v>
      </c>
      <c r="AC1824" s="62">
        <v>0.0</v>
      </c>
      <c r="AD1824" s="62">
        <v>0.0</v>
      </c>
      <c r="AE1824" s="62">
        <v>0.0</v>
      </c>
      <c r="AF1824" s="62">
        <v>0.0</v>
      </c>
    </row>
    <row r="1825">
      <c r="A1825" s="68">
        <v>45850.0</v>
      </c>
      <c r="B1825" s="62" t="s">
        <v>32</v>
      </c>
      <c r="C1825" s="62" t="s">
        <v>168</v>
      </c>
      <c r="D1825" s="62">
        <v>0.0</v>
      </c>
      <c r="E1825" s="62">
        <v>1.0</v>
      </c>
      <c r="F1825" s="62">
        <v>0.0</v>
      </c>
      <c r="G1825" s="62">
        <v>0.0</v>
      </c>
      <c r="H1825" s="62">
        <v>0.0</v>
      </c>
      <c r="I1825" s="62">
        <v>0.0</v>
      </c>
      <c r="J1825" s="62">
        <v>0.0</v>
      </c>
      <c r="K1825" s="62">
        <v>0.0</v>
      </c>
      <c r="L1825" s="62">
        <v>0.0</v>
      </c>
      <c r="M1825" s="62">
        <v>0.0</v>
      </c>
      <c r="N1825" s="62">
        <v>0.0</v>
      </c>
      <c r="O1825" s="62">
        <v>1.0</v>
      </c>
      <c r="P1825" s="62">
        <v>0.0</v>
      </c>
      <c r="Q1825" s="62">
        <v>0.0</v>
      </c>
      <c r="R1825" s="62">
        <v>0.0</v>
      </c>
      <c r="S1825" s="62">
        <v>2020.0</v>
      </c>
      <c r="T1825" s="62">
        <v>0.0</v>
      </c>
      <c r="U1825" s="62">
        <v>0.0</v>
      </c>
      <c r="V1825" s="62">
        <v>0.0</v>
      </c>
      <c r="W1825" s="62">
        <v>0.0</v>
      </c>
      <c r="X1825" s="62">
        <v>0.0</v>
      </c>
      <c r="Y1825" s="62">
        <v>0.0</v>
      </c>
      <c r="Z1825" s="62">
        <v>0.0</v>
      </c>
      <c r="AA1825" s="62">
        <v>0.0</v>
      </c>
      <c r="AB1825" s="62">
        <v>0.0</v>
      </c>
      <c r="AC1825" s="62">
        <v>0.0</v>
      </c>
      <c r="AD1825" s="62">
        <v>0.259444444444444</v>
      </c>
      <c r="AE1825" s="62">
        <v>0.0</v>
      </c>
      <c r="AF1825" s="62">
        <v>0.0</v>
      </c>
    </row>
    <row r="1826">
      <c r="A1826" s="68">
        <v>45849.0</v>
      </c>
      <c r="B1826" s="62" t="s">
        <v>32</v>
      </c>
      <c r="C1826" s="62" t="s">
        <v>168</v>
      </c>
      <c r="D1826" s="62">
        <v>6.0</v>
      </c>
      <c r="E1826" s="62">
        <v>0.0</v>
      </c>
      <c r="F1826" s="62">
        <v>0.0</v>
      </c>
      <c r="G1826" s="62">
        <v>0.0</v>
      </c>
      <c r="H1826" s="62">
        <v>1.0</v>
      </c>
      <c r="I1826" s="62">
        <v>0.0</v>
      </c>
      <c r="J1826" s="62">
        <v>1.0</v>
      </c>
      <c r="K1826" s="62">
        <v>3.0</v>
      </c>
      <c r="L1826" s="62">
        <v>0.0</v>
      </c>
      <c r="M1826" s="62">
        <v>3.0</v>
      </c>
      <c r="N1826" s="62">
        <v>3.0</v>
      </c>
      <c r="O1826" s="62">
        <v>1.0</v>
      </c>
      <c r="P1826" s="62">
        <v>3.0</v>
      </c>
      <c r="Q1826" s="62">
        <v>0.0</v>
      </c>
      <c r="R1826" s="62">
        <v>12839.0</v>
      </c>
      <c r="S1826" s="62">
        <v>0.0</v>
      </c>
      <c r="T1826" s="62">
        <v>0.0</v>
      </c>
      <c r="U1826" s="62">
        <v>0.0</v>
      </c>
      <c r="V1826" s="62">
        <v>0.0</v>
      </c>
      <c r="W1826" s="62">
        <v>0.225555555555555</v>
      </c>
      <c r="X1826" s="62">
        <v>0.0</v>
      </c>
      <c r="Y1826" s="62">
        <v>0.225555555555555</v>
      </c>
      <c r="Z1826" s="62">
        <v>0.711666666666666</v>
      </c>
      <c r="AA1826" s="62">
        <v>0.0</v>
      </c>
      <c r="AB1826" s="62">
        <v>0.711666666666666</v>
      </c>
      <c r="AC1826" s="62">
        <v>0.711666666666666</v>
      </c>
      <c r="AD1826" s="62">
        <v>0.265555555555555</v>
      </c>
      <c r="AE1826" s="62">
        <v>0.711666666666666</v>
      </c>
      <c r="AF1826" s="62">
        <v>0.0</v>
      </c>
    </row>
    <row r="1827">
      <c r="A1827" s="68">
        <v>45849.0</v>
      </c>
      <c r="B1827" s="62" t="s">
        <v>26</v>
      </c>
      <c r="C1827" s="62" t="s">
        <v>178</v>
      </c>
      <c r="D1827" s="62">
        <v>4.0</v>
      </c>
      <c r="E1827" s="62">
        <v>1.0</v>
      </c>
      <c r="F1827" s="62">
        <v>0.0</v>
      </c>
      <c r="G1827" s="62">
        <v>0.0</v>
      </c>
      <c r="H1827" s="62">
        <v>0.0</v>
      </c>
      <c r="I1827" s="62">
        <v>0.0</v>
      </c>
      <c r="J1827" s="62">
        <v>0.0</v>
      </c>
      <c r="K1827" s="62">
        <v>0.0</v>
      </c>
      <c r="L1827" s="62">
        <v>0.0</v>
      </c>
      <c r="M1827" s="62">
        <v>0.0</v>
      </c>
      <c r="N1827" s="62">
        <v>0.0</v>
      </c>
      <c r="O1827" s="62">
        <v>0.0</v>
      </c>
      <c r="P1827" s="62">
        <v>0.0</v>
      </c>
      <c r="Q1827" s="62">
        <v>0.0</v>
      </c>
      <c r="R1827" s="62">
        <v>9458.0</v>
      </c>
      <c r="S1827" s="62">
        <v>2584.0</v>
      </c>
      <c r="T1827" s="62">
        <v>0.0</v>
      </c>
      <c r="U1827" s="62">
        <v>0.0</v>
      </c>
      <c r="V1827" s="62">
        <v>0.0</v>
      </c>
      <c r="W1827" s="62">
        <v>0.0</v>
      </c>
      <c r="X1827" s="62">
        <v>0.0</v>
      </c>
      <c r="Y1827" s="62">
        <v>0.0</v>
      </c>
      <c r="Z1827" s="62">
        <v>0.0</v>
      </c>
      <c r="AA1827" s="62">
        <v>0.0</v>
      </c>
      <c r="AB1827" s="62">
        <v>0.0</v>
      </c>
      <c r="AC1827" s="62">
        <v>0.0</v>
      </c>
      <c r="AD1827" s="62">
        <v>0.0</v>
      </c>
      <c r="AE1827" s="62">
        <v>0.0</v>
      </c>
      <c r="AF1827" s="62">
        <v>0.0</v>
      </c>
    </row>
    <row r="1828">
      <c r="A1828" s="68">
        <v>45848.0</v>
      </c>
      <c r="B1828" s="62" t="s">
        <v>32</v>
      </c>
      <c r="C1828" s="62" t="s">
        <v>168</v>
      </c>
      <c r="D1828" s="62">
        <v>3.0</v>
      </c>
      <c r="E1828" s="62">
        <v>4.0</v>
      </c>
      <c r="F1828" s="62">
        <v>3.0</v>
      </c>
      <c r="G1828" s="62">
        <v>0.0</v>
      </c>
      <c r="H1828" s="62">
        <v>4.0</v>
      </c>
      <c r="I1828" s="62">
        <v>2.0</v>
      </c>
      <c r="J1828" s="62">
        <v>2.0</v>
      </c>
      <c r="K1828" s="62">
        <v>2.0</v>
      </c>
      <c r="L1828" s="62">
        <v>0.0</v>
      </c>
      <c r="M1828" s="62">
        <v>3.0</v>
      </c>
      <c r="N1828" s="62">
        <v>7.0</v>
      </c>
      <c r="O1828" s="62">
        <v>1.0</v>
      </c>
      <c r="P1828" s="62">
        <v>7.0</v>
      </c>
      <c r="Q1828" s="62">
        <v>0.0</v>
      </c>
      <c r="R1828" s="62">
        <v>6118.0</v>
      </c>
      <c r="S1828" s="62">
        <v>9239.0</v>
      </c>
      <c r="T1828" s="62">
        <v>0.0</v>
      </c>
      <c r="U1828" s="62">
        <v>0.705</v>
      </c>
      <c r="V1828" s="62">
        <v>0.0</v>
      </c>
      <c r="W1828" s="62">
        <v>0.935555555555555</v>
      </c>
      <c r="X1828" s="62">
        <v>0.449444444444444</v>
      </c>
      <c r="Y1828" s="62">
        <v>0.486111111111111</v>
      </c>
      <c r="Z1828" s="62">
        <v>0.527777777777777</v>
      </c>
      <c r="AA1828" s="62">
        <v>0.0</v>
      </c>
      <c r="AB1828" s="62">
        <v>0.751111111111111</v>
      </c>
      <c r="AC1828" s="62">
        <v>1.7825</v>
      </c>
      <c r="AD1828" s="62">
        <v>0.250555555555555</v>
      </c>
      <c r="AE1828" s="62">
        <v>1.7825</v>
      </c>
      <c r="AF1828" s="62">
        <v>0.0</v>
      </c>
    </row>
    <row r="1829">
      <c r="A1829" s="68">
        <v>45848.0</v>
      </c>
      <c r="B1829" s="62" t="s">
        <v>26</v>
      </c>
      <c r="C1829" s="62" t="s">
        <v>178</v>
      </c>
      <c r="D1829" s="62">
        <v>7.0</v>
      </c>
      <c r="E1829" s="62">
        <v>0.0</v>
      </c>
      <c r="F1829" s="62">
        <v>0.0</v>
      </c>
      <c r="G1829" s="62">
        <v>0.0</v>
      </c>
      <c r="H1829" s="62">
        <v>0.0</v>
      </c>
      <c r="I1829" s="62">
        <v>0.0</v>
      </c>
      <c r="J1829" s="62">
        <v>0.0</v>
      </c>
      <c r="K1829" s="62">
        <v>0.0</v>
      </c>
      <c r="L1829" s="62">
        <v>0.0</v>
      </c>
      <c r="M1829" s="62">
        <v>0.0</v>
      </c>
      <c r="N1829" s="62">
        <v>0.0</v>
      </c>
      <c r="O1829" s="62">
        <v>0.0</v>
      </c>
      <c r="P1829" s="62">
        <v>0.0</v>
      </c>
      <c r="Q1829" s="62">
        <v>0.0</v>
      </c>
      <c r="R1829" s="62">
        <v>14235.0</v>
      </c>
      <c r="S1829" s="62">
        <v>0.0</v>
      </c>
      <c r="T1829" s="62">
        <v>0.190833333333333</v>
      </c>
      <c r="U1829" s="62">
        <v>0.0</v>
      </c>
      <c r="V1829" s="62">
        <v>0.0</v>
      </c>
      <c r="W1829" s="62">
        <v>0.0</v>
      </c>
      <c r="X1829" s="62">
        <v>0.0</v>
      </c>
      <c r="Y1829" s="62">
        <v>0.0</v>
      </c>
      <c r="Z1829" s="62">
        <v>0.0</v>
      </c>
      <c r="AA1829" s="62">
        <v>0.0</v>
      </c>
      <c r="AB1829" s="62">
        <v>0.0</v>
      </c>
      <c r="AC1829" s="62">
        <v>0.0</v>
      </c>
      <c r="AD1829" s="62">
        <v>0.0</v>
      </c>
      <c r="AE1829" s="62">
        <v>0.0</v>
      </c>
      <c r="AF1829" s="62">
        <v>1.0</v>
      </c>
    </row>
    <row r="1830">
      <c r="A1830" s="68">
        <v>45847.0</v>
      </c>
      <c r="B1830" s="62" t="s">
        <v>32</v>
      </c>
      <c r="C1830" s="62" t="s">
        <v>168</v>
      </c>
      <c r="D1830" s="62">
        <v>3.0</v>
      </c>
      <c r="E1830" s="62">
        <v>2.0</v>
      </c>
      <c r="F1830" s="62">
        <v>2.0</v>
      </c>
      <c r="G1830" s="62">
        <v>0.0</v>
      </c>
      <c r="H1830" s="62">
        <v>4.0</v>
      </c>
      <c r="I1830" s="62">
        <v>0.0</v>
      </c>
      <c r="J1830" s="62">
        <v>5.0</v>
      </c>
      <c r="K1830" s="62">
        <v>2.0</v>
      </c>
      <c r="L1830" s="62">
        <v>0.0</v>
      </c>
      <c r="M1830" s="62">
        <v>2.0</v>
      </c>
      <c r="N1830" s="62">
        <v>0.0</v>
      </c>
      <c r="O1830" s="62">
        <v>1.0</v>
      </c>
      <c r="P1830" s="62">
        <v>0.0</v>
      </c>
      <c r="Q1830" s="62">
        <v>0.0</v>
      </c>
      <c r="R1830" s="62">
        <v>6525.0</v>
      </c>
      <c r="S1830" s="62">
        <v>4925.0</v>
      </c>
      <c r="T1830" s="62">
        <v>1.6225</v>
      </c>
      <c r="U1830" s="62">
        <v>0.468055555555555</v>
      </c>
      <c r="V1830" s="62">
        <v>0.0</v>
      </c>
      <c r="W1830" s="62">
        <v>1.01888888888888</v>
      </c>
      <c r="X1830" s="62">
        <v>0.0</v>
      </c>
      <c r="Y1830" s="62">
        <v>1.27611111111111</v>
      </c>
      <c r="Z1830" s="62">
        <v>0.524999999999999</v>
      </c>
      <c r="AA1830" s="62">
        <v>0.0</v>
      </c>
      <c r="AB1830" s="62">
        <v>0.524999999999999</v>
      </c>
      <c r="AC1830" s="62">
        <v>0.0</v>
      </c>
      <c r="AD1830" s="62">
        <v>0.255833333333333</v>
      </c>
      <c r="AE1830" s="62">
        <v>0.0</v>
      </c>
      <c r="AF1830" s="62">
        <v>7.0</v>
      </c>
    </row>
    <row r="1831">
      <c r="A1831" s="68">
        <v>45847.0</v>
      </c>
      <c r="B1831" s="62" t="s">
        <v>26</v>
      </c>
      <c r="C1831" s="62" t="s">
        <v>178</v>
      </c>
      <c r="D1831" s="62">
        <v>3.0</v>
      </c>
      <c r="E1831" s="62">
        <v>3.0</v>
      </c>
      <c r="F1831" s="62">
        <v>0.0</v>
      </c>
      <c r="G1831" s="62">
        <v>0.0</v>
      </c>
      <c r="H1831" s="62">
        <v>0.0</v>
      </c>
      <c r="I1831" s="62">
        <v>0.0</v>
      </c>
      <c r="J1831" s="62">
        <v>0.0</v>
      </c>
      <c r="K1831" s="62">
        <v>0.0</v>
      </c>
      <c r="L1831" s="62">
        <v>0.0</v>
      </c>
      <c r="M1831" s="62">
        <v>0.0</v>
      </c>
      <c r="N1831" s="62">
        <v>0.0</v>
      </c>
      <c r="O1831" s="62">
        <v>0.0</v>
      </c>
      <c r="P1831" s="62">
        <v>0.0</v>
      </c>
      <c r="Q1831" s="62">
        <v>0.0</v>
      </c>
      <c r="R1831" s="62">
        <v>6107.0</v>
      </c>
      <c r="S1831" s="62">
        <v>7816.0</v>
      </c>
      <c r="T1831" s="62">
        <v>0.0</v>
      </c>
      <c r="U1831" s="62">
        <v>0.0</v>
      </c>
      <c r="V1831" s="62">
        <v>0.0</v>
      </c>
      <c r="W1831" s="62">
        <v>0.0</v>
      </c>
      <c r="X1831" s="62">
        <v>0.0</v>
      </c>
      <c r="Y1831" s="62">
        <v>0.0</v>
      </c>
      <c r="Z1831" s="62">
        <v>0.0</v>
      </c>
      <c r="AA1831" s="62">
        <v>0.0</v>
      </c>
      <c r="AB1831" s="62">
        <v>0.0</v>
      </c>
      <c r="AC1831" s="62">
        <v>0.0</v>
      </c>
      <c r="AD1831" s="62">
        <v>0.0</v>
      </c>
      <c r="AE1831" s="62">
        <v>0.0</v>
      </c>
      <c r="AF1831" s="62">
        <v>0.0</v>
      </c>
    </row>
    <row r="1832">
      <c r="A1832" s="68">
        <v>45846.0</v>
      </c>
      <c r="B1832" s="62" t="s">
        <v>32</v>
      </c>
      <c r="C1832" s="62" t="s">
        <v>168</v>
      </c>
      <c r="D1832" s="62">
        <v>0.0</v>
      </c>
      <c r="E1832" s="62">
        <v>3.0</v>
      </c>
      <c r="F1832" s="62">
        <v>2.0</v>
      </c>
      <c r="G1832" s="62">
        <v>0.0</v>
      </c>
      <c r="H1832" s="62">
        <v>2.0</v>
      </c>
      <c r="I1832" s="62">
        <v>1.0</v>
      </c>
      <c r="J1832" s="62">
        <v>1.0</v>
      </c>
      <c r="K1832" s="62">
        <v>2.0</v>
      </c>
      <c r="L1832" s="62">
        <v>0.0</v>
      </c>
      <c r="M1832" s="62">
        <v>2.0</v>
      </c>
      <c r="N1832" s="62">
        <v>0.0</v>
      </c>
      <c r="O1832" s="62">
        <v>1.0</v>
      </c>
      <c r="P1832" s="62">
        <v>0.0</v>
      </c>
      <c r="Q1832" s="62">
        <v>0.0</v>
      </c>
      <c r="R1832" s="62">
        <v>0.0</v>
      </c>
      <c r="S1832" s="62">
        <v>7030.0</v>
      </c>
      <c r="T1832" s="62">
        <v>0.0</v>
      </c>
      <c r="U1832" s="62">
        <v>0.467777777777777</v>
      </c>
      <c r="V1832" s="62">
        <v>0.0</v>
      </c>
      <c r="W1832" s="62">
        <v>0.502222222222222</v>
      </c>
      <c r="X1832" s="62">
        <v>0.251666666666666</v>
      </c>
      <c r="Y1832" s="62">
        <v>0.250555555555555</v>
      </c>
      <c r="Z1832" s="62">
        <v>0.506388888888888</v>
      </c>
      <c r="AA1832" s="62">
        <v>0.0</v>
      </c>
      <c r="AB1832" s="62">
        <v>0.506388888888888</v>
      </c>
      <c r="AC1832" s="62">
        <v>0.0</v>
      </c>
      <c r="AD1832" s="62">
        <v>0.285833333333333</v>
      </c>
      <c r="AE1832" s="62">
        <v>0.0</v>
      </c>
      <c r="AF1832" s="62">
        <v>0.0</v>
      </c>
    </row>
    <row r="1833">
      <c r="A1833" s="68">
        <v>45846.0</v>
      </c>
      <c r="B1833" s="62" t="s">
        <v>26</v>
      </c>
      <c r="C1833" s="62" t="s">
        <v>178</v>
      </c>
      <c r="D1833" s="62">
        <v>4.0</v>
      </c>
      <c r="E1833" s="62">
        <v>2.0</v>
      </c>
      <c r="F1833" s="62">
        <v>0.0</v>
      </c>
      <c r="G1833" s="62">
        <v>0.0</v>
      </c>
      <c r="H1833" s="62">
        <v>0.0</v>
      </c>
      <c r="I1833" s="62">
        <v>0.0</v>
      </c>
      <c r="J1833" s="62">
        <v>0.0</v>
      </c>
      <c r="K1833" s="62">
        <v>0.0</v>
      </c>
      <c r="L1833" s="62">
        <v>0.0</v>
      </c>
      <c r="M1833" s="62">
        <v>0.0</v>
      </c>
      <c r="N1833" s="62">
        <v>0.0</v>
      </c>
      <c r="O1833" s="62">
        <v>0.0</v>
      </c>
      <c r="P1833" s="62">
        <v>0.0</v>
      </c>
      <c r="Q1833" s="62">
        <v>0.0</v>
      </c>
      <c r="R1833" s="62">
        <v>8097.0</v>
      </c>
      <c r="S1833" s="62">
        <v>4980.0</v>
      </c>
      <c r="T1833" s="62">
        <v>0.0</v>
      </c>
      <c r="U1833" s="62">
        <v>0.0</v>
      </c>
      <c r="V1833" s="62">
        <v>0.0</v>
      </c>
      <c r="W1833" s="62">
        <v>0.0</v>
      </c>
      <c r="X1833" s="62">
        <v>0.0</v>
      </c>
      <c r="Y1833" s="62">
        <v>0.0</v>
      </c>
      <c r="Z1833" s="62">
        <v>0.0</v>
      </c>
      <c r="AA1833" s="62">
        <v>0.0</v>
      </c>
      <c r="AB1833" s="62">
        <v>0.0</v>
      </c>
      <c r="AC1833" s="62">
        <v>0.0</v>
      </c>
      <c r="AD1833" s="62">
        <v>0.0</v>
      </c>
      <c r="AE1833" s="62">
        <v>0.0</v>
      </c>
      <c r="AF1833" s="62">
        <v>0.0</v>
      </c>
    </row>
    <row r="1834">
      <c r="A1834" s="68">
        <v>45845.0</v>
      </c>
      <c r="B1834" s="62" t="s">
        <v>32</v>
      </c>
      <c r="C1834" s="62" t="s">
        <v>168</v>
      </c>
      <c r="D1834" s="62">
        <v>0.0</v>
      </c>
      <c r="E1834" s="62">
        <v>0.0</v>
      </c>
      <c r="F1834" s="62">
        <v>4.0</v>
      </c>
      <c r="G1834" s="62">
        <v>0.0</v>
      </c>
      <c r="H1834" s="62">
        <v>1.0</v>
      </c>
      <c r="I1834" s="62">
        <v>0.0</v>
      </c>
      <c r="J1834" s="62">
        <v>1.0</v>
      </c>
      <c r="K1834" s="62">
        <v>0.0</v>
      </c>
      <c r="L1834" s="62">
        <v>0.0</v>
      </c>
      <c r="M1834" s="62">
        <v>0.0</v>
      </c>
      <c r="N1834" s="62">
        <v>0.0</v>
      </c>
      <c r="O1834" s="62">
        <v>1.0</v>
      </c>
      <c r="P1834" s="62">
        <v>0.0</v>
      </c>
      <c r="Q1834" s="62">
        <v>0.0</v>
      </c>
      <c r="R1834" s="62">
        <v>0.0</v>
      </c>
      <c r="S1834" s="62">
        <v>0.0</v>
      </c>
      <c r="T1834" s="62">
        <v>1.77277777777777</v>
      </c>
      <c r="U1834" s="62">
        <v>1.05333333333333</v>
      </c>
      <c r="V1834" s="62">
        <v>0.0</v>
      </c>
      <c r="W1834" s="62">
        <v>0.255833333333333</v>
      </c>
      <c r="X1834" s="62">
        <v>0.0</v>
      </c>
      <c r="Y1834" s="62">
        <v>0.255833333333333</v>
      </c>
      <c r="Z1834" s="62">
        <v>0.0</v>
      </c>
      <c r="AA1834" s="62">
        <v>0.0</v>
      </c>
      <c r="AB1834" s="62">
        <v>0.0</v>
      </c>
      <c r="AC1834" s="62">
        <v>0.0</v>
      </c>
      <c r="AD1834" s="62">
        <v>0.236388888888888</v>
      </c>
      <c r="AE1834" s="62">
        <v>0.0</v>
      </c>
      <c r="AF1834" s="62">
        <v>7.0</v>
      </c>
    </row>
    <row r="1835">
      <c r="A1835" s="68">
        <v>45845.0</v>
      </c>
      <c r="B1835" s="62" t="s">
        <v>26</v>
      </c>
      <c r="C1835" s="62" t="s">
        <v>178</v>
      </c>
      <c r="D1835" s="62">
        <v>3.0</v>
      </c>
      <c r="E1835" s="62">
        <v>0.0</v>
      </c>
      <c r="F1835" s="62">
        <v>0.0</v>
      </c>
      <c r="G1835" s="62">
        <v>0.0</v>
      </c>
      <c r="H1835" s="62">
        <v>0.0</v>
      </c>
      <c r="I1835" s="62">
        <v>0.0</v>
      </c>
      <c r="J1835" s="62">
        <v>0.0</v>
      </c>
      <c r="K1835" s="62">
        <v>0.0</v>
      </c>
      <c r="L1835" s="62">
        <v>0.0</v>
      </c>
      <c r="M1835" s="62">
        <v>0.0</v>
      </c>
      <c r="N1835" s="62">
        <v>0.0</v>
      </c>
      <c r="O1835" s="62">
        <v>0.0</v>
      </c>
      <c r="P1835" s="62">
        <v>0.0</v>
      </c>
      <c r="Q1835" s="62">
        <v>0.0</v>
      </c>
      <c r="R1835" s="62">
        <v>5999.0</v>
      </c>
      <c r="S1835" s="62">
        <v>0.0</v>
      </c>
      <c r="T1835" s="62">
        <v>0.0</v>
      </c>
      <c r="U1835" s="62">
        <v>0.0</v>
      </c>
      <c r="V1835" s="62">
        <v>0.0</v>
      </c>
      <c r="W1835" s="62">
        <v>0.0</v>
      </c>
      <c r="X1835" s="62">
        <v>0.0</v>
      </c>
      <c r="Y1835" s="62">
        <v>0.0</v>
      </c>
      <c r="Z1835" s="62">
        <v>0.0</v>
      </c>
      <c r="AA1835" s="62">
        <v>0.0</v>
      </c>
      <c r="AB1835" s="62">
        <v>0.0</v>
      </c>
      <c r="AC1835" s="62">
        <v>0.0</v>
      </c>
      <c r="AD1835" s="62">
        <v>0.0</v>
      </c>
      <c r="AE1835" s="62">
        <v>0.0</v>
      </c>
      <c r="AF1835" s="62">
        <v>0.0</v>
      </c>
    </row>
    <row r="1836">
      <c r="A1836" s="68">
        <v>45844.0</v>
      </c>
      <c r="B1836" s="62" t="s">
        <v>32</v>
      </c>
      <c r="C1836" s="62" t="s">
        <v>168</v>
      </c>
      <c r="D1836" s="62">
        <v>0.0</v>
      </c>
      <c r="E1836" s="62">
        <v>0.0</v>
      </c>
      <c r="F1836" s="62">
        <v>0.0</v>
      </c>
      <c r="G1836" s="62">
        <v>0.0</v>
      </c>
      <c r="H1836" s="62">
        <v>0.0</v>
      </c>
      <c r="I1836" s="62">
        <v>0.0</v>
      </c>
      <c r="J1836" s="62">
        <v>0.0</v>
      </c>
      <c r="K1836" s="62">
        <v>0.0</v>
      </c>
      <c r="L1836" s="62">
        <v>0.0</v>
      </c>
      <c r="M1836" s="62">
        <v>4.0</v>
      </c>
      <c r="N1836" s="62">
        <v>4.0</v>
      </c>
      <c r="O1836" s="62">
        <v>1.0</v>
      </c>
      <c r="P1836" s="62">
        <v>4.0</v>
      </c>
      <c r="Q1836" s="62">
        <v>0.0</v>
      </c>
      <c r="R1836" s="62">
        <v>0.0</v>
      </c>
      <c r="S1836" s="62">
        <v>0.0</v>
      </c>
      <c r="T1836" s="62">
        <v>0.0</v>
      </c>
      <c r="U1836" s="62">
        <v>0.0</v>
      </c>
      <c r="V1836" s="62">
        <v>0.0</v>
      </c>
      <c r="W1836" s="62">
        <v>0.0</v>
      </c>
      <c r="X1836" s="62">
        <v>0.0</v>
      </c>
      <c r="Y1836" s="62">
        <v>0.0</v>
      </c>
      <c r="Z1836" s="62">
        <v>0.0</v>
      </c>
      <c r="AA1836" s="62">
        <v>0.0</v>
      </c>
      <c r="AB1836" s="62">
        <v>0.995555555555555</v>
      </c>
      <c r="AC1836" s="62">
        <v>0.995555555555555</v>
      </c>
      <c r="AD1836" s="62">
        <v>0.264166666666666</v>
      </c>
      <c r="AE1836" s="62">
        <v>0.995555555555555</v>
      </c>
      <c r="AF1836" s="62">
        <v>0.0</v>
      </c>
    </row>
    <row r="1837">
      <c r="A1837" s="68">
        <v>45843.0</v>
      </c>
      <c r="B1837" s="62" t="s">
        <v>32</v>
      </c>
      <c r="C1837" s="62" t="s">
        <v>168</v>
      </c>
      <c r="D1837" s="62">
        <v>0.0</v>
      </c>
      <c r="E1837" s="62">
        <v>0.0</v>
      </c>
      <c r="F1837" s="62">
        <v>0.0</v>
      </c>
      <c r="G1837" s="62">
        <v>0.0</v>
      </c>
      <c r="H1837" s="62">
        <v>0.0</v>
      </c>
      <c r="I1837" s="62">
        <v>0.0</v>
      </c>
      <c r="J1837" s="62">
        <v>0.0</v>
      </c>
      <c r="K1837" s="62">
        <v>4.0</v>
      </c>
      <c r="L1837" s="62">
        <v>0.0</v>
      </c>
      <c r="M1837" s="62">
        <v>1.0</v>
      </c>
      <c r="N1837" s="62">
        <v>1.0</v>
      </c>
      <c r="O1837" s="62">
        <v>1.0</v>
      </c>
      <c r="P1837" s="62">
        <v>1.0</v>
      </c>
      <c r="Q1837" s="62">
        <v>0.0</v>
      </c>
      <c r="R1837" s="62">
        <v>0.0</v>
      </c>
      <c r="S1837" s="62">
        <v>0.0</v>
      </c>
      <c r="T1837" s="62">
        <v>0.0</v>
      </c>
      <c r="U1837" s="62">
        <v>0.0</v>
      </c>
      <c r="V1837" s="62">
        <v>0.0</v>
      </c>
      <c r="W1837" s="62">
        <v>0.0</v>
      </c>
      <c r="X1837" s="62">
        <v>0.0</v>
      </c>
      <c r="Y1837" s="62">
        <v>0.0</v>
      </c>
      <c r="Z1837" s="62">
        <v>0.995555555555555</v>
      </c>
      <c r="AA1837" s="62">
        <v>0.0</v>
      </c>
      <c r="AB1837" s="62">
        <v>0.272777777777777</v>
      </c>
      <c r="AC1837" s="62">
        <v>0.272777777777777</v>
      </c>
      <c r="AD1837" s="62">
        <v>0.209166666666666</v>
      </c>
      <c r="AE1837" s="62">
        <v>0.272777777777777</v>
      </c>
      <c r="AF1837" s="62">
        <v>0.0</v>
      </c>
    </row>
    <row r="1838">
      <c r="A1838" s="68">
        <v>45843.0</v>
      </c>
      <c r="B1838" s="62" t="s">
        <v>26</v>
      </c>
      <c r="C1838" s="62" t="s">
        <v>178</v>
      </c>
      <c r="D1838" s="62">
        <v>14.0</v>
      </c>
      <c r="E1838" s="62">
        <v>0.0</v>
      </c>
      <c r="F1838" s="62">
        <v>0.0</v>
      </c>
      <c r="G1838" s="62">
        <v>0.0</v>
      </c>
      <c r="H1838" s="62">
        <v>0.0</v>
      </c>
      <c r="I1838" s="62">
        <v>0.0</v>
      </c>
      <c r="J1838" s="62">
        <v>0.0</v>
      </c>
      <c r="K1838" s="62">
        <v>0.0</v>
      </c>
      <c r="L1838" s="62">
        <v>0.0</v>
      </c>
      <c r="M1838" s="62">
        <v>0.0</v>
      </c>
      <c r="N1838" s="62">
        <v>0.0</v>
      </c>
      <c r="O1838" s="62">
        <v>0.0</v>
      </c>
      <c r="P1838" s="62">
        <v>0.0</v>
      </c>
      <c r="Q1838" s="62">
        <v>0.0</v>
      </c>
      <c r="R1838" s="62">
        <v>31362.0</v>
      </c>
      <c r="S1838" s="62">
        <v>0.0</v>
      </c>
      <c r="T1838" s="62">
        <v>0.0</v>
      </c>
      <c r="U1838" s="62">
        <v>0.0</v>
      </c>
      <c r="V1838" s="62">
        <v>0.0</v>
      </c>
      <c r="W1838" s="62">
        <v>0.0</v>
      </c>
      <c r="X1838" s="62">
        <v>0.0</v>
      </c>
      <c r="Y1838" s="62">
        <v>0.0</v>
      </c>
      <c r="Z1838" s="62">
        <v>0.0</v>
      </c>
      <c r="AA1838" s="62">
        <v>0.0</v>
      </c>
      <c r="AB1838" s="62">
        <v>0.0</v>
      </c>
      <c r="AC1838" s="62">
        <v>0.0</v>
      </c>
      <c r="AD1838" s="62">
        <v>0.0</v>
      </c>
      <c r="AE1838" s="62">
        <v>0.0</v>
      </c>
      <c r="AF1838" s="62">
        <v>0.0</v>
      </c>
    </row>
    <row r="1839">
      <c r="A1839" s="68">
        <v>45842.0</v>
      </c>
      <c r="B1839" s="62" t="s">
        <v>32</v>
      </c>
      <c r="C1839" s="62" t="s">
        <v>168</v>
      </c>
      <c r="D1839" s="62">
        <v>5.0</v>
      </c>
      <c r="E1839" s="62">
        <v>0.0</v>
      </c>
      <c r="F1839" s="62">
        <v>0.0</v>
      </c>
      <c r="G1839" s="62">
        <v>0.0</v>
      </c>
      <c r="H1839" s="62">
        <v>0.0</v>
      </c>
      <c r="I1839" s="62">
        <v>0.0</v>
      </c>
      <c r="J1839" s="62">
        <v>0.0</v>
      </c>
      <c r="K1839" s="62">
        <v>0.0</v>
      </c>
      <c r="L1839" s="62">
        <v>0.0</v>
      </c>
      <c r="M1839" s="62">
        <v>0.0</v>
      </c>
      <c r="N1839" s="62">
        <v>0.0</v>
      </c>
      <c r="O1839" s="62">
        <v>1.0</v>
      </c>
      <c r="P1839" s="62">
        <v>0.0</v>
      </c>
      <c r="Q1839" s="62">
        <v>0.0</v>
      </c>
      <c r="R1839" s="62">
        <v>11019.0</v>
      </c>
      <c r="S1839" s="62">
        <v>0.0</v>
      </c>
      <c r="T1839" s="62">
        <v>0.0</v>
      </c>
      <c r="U1839" s="62">
        <v>0.0</v>
      </c>
      <c r="V1839" s="62">
        <v>0.0</v>
      </c>
      <c r="W1839" s="62">
        <v>0.0</v>
      </c>
      <c r="X1839" s="62">
        <v>0.0</v>
      </c>
      <c r="Y1839" s="62">
        <v>0.0</v>
      </c>
      <c r="Z1839" s="62">
        <v>0.0</v>
      </c>
      <c r="AA1839" s="62">
        <v>0.0</v>
      </c>
      <c r="AB1839" s="62">
        <v>0.0</v>
      </c>
      <c r="AC1839" s="62">
        <v>0.0</v>
      </c>
      <c r="AD1839" s="62">
        <v>0.272777777777777</v>
      </c>
      <c r="AE1839" s="62">
        <v>0.0</v>
      </c>
      <c r="AF1839" s="62">
        <v>0.0</v>
      </c>
    </row>
    <row r="1840">
      <c r="A1840" s="68">
        <v>45842.0</v>
      </c>
      <c r="B1840" s="62" t="s">
        <v>26</v>
      </c>
      <c r="C1840" s="62" t="s">
        <v>178</v>
      </c>
      <c r="D1840" s="62">
        <v>0.0</v>
      </c>
      <c r="E1840" s="62">
        <v>2.0</v>
      </c>
      <c r="F1840" s="62">
        <v>0.0</v>
      </c>
      <c r="G1840" s="62">
        <v>0.0</v>
      </c>
      <c r="H1840" s="62">
        <v>0.0</v>
      </c>
      <c r="I1840" s="62">
        <v>0.0</v>
      </c>
      <c r="J1840" s="62">
        <v>0.0</v>
      </c>
      <c r="K1840" s="62">
        <v>0.0</v>
      </c>
      <c r="L1840" s="62">
        <v>0.0</v>
      </c>
      <c r="M1840" s="62">
        <v>0.0</v>
      </c>
      <c r="N1840" s="62">
        <v>0.0</v>
      </c>
      <c r="O1840" s="62">
        <v>0.0</v>
      </c>
      <c r="P1840" s="62">
        <v>0.0</v>
      </c>
      <c r="Q1840" s="62">
        <v>0.0</v>
      </c>
      <c r="R1840" s="62">
        <v>0.0</v>
      </c>
      <c r="S1840" s="62">
        <v>5235.0</v>
      </c>
      <c r="T1840" s="62">
        <v>0.0</v>
      </c>
      <c r="U1840" s="62">
        <v>0.0</v>
      </c>
      <c r="V1840" s="62">
        <v>0.0</v>
      </c>
      <c r="W1840" s="62">
        <v>0.0</v>
      </c>
      <c r="X1840" s="62">
        <v>0.0</v>
      </c>
      <c r="Y1840" s="62">
        <v>0.0</v>
      </c>
      <c r="Z1840" s="62">
        <v>0.0</v>
      </c>
      <c r="AA1840" s="62">
        <v>0.0</v>
      </c>
      <c r="AB1840" s="62">
        <v>0.0</v>
      </c>
      <c r="AC1840" s="62">
        <v>0.0</v>
      </c>
      <c r="AD1840" s="62">
        <v>0.0</v>
      </c>
      <c r="AE1840" s="62">
        <v>0.0</v>
      </c>
      <c r="AF1840" s="62">
        <v>0.0</v>
      </c>
    </row>
    <row r="1841">
      <c r="A1841" s="68">
        <v>45841.0</v>
      </c>
      <c r="B1841" s="62" t="s">
        <v>32</v>
      </c>
      <c r="C1841" s="62" t="s">
        <v>168</v>
      </c>
      <c r="D1841" s="62">
        <v>7.0</v>
      </c>
      <c r="E1841" s="62">
        <v>0.0</v>
      </c>
      <c r="F1841" s="62">
        <v>0.0</v>
      </c>
      <c r="G1841" s="62">
        <v>0.0</v>
      </c>
      <c r="H1841" s="62">
        <v>4.0</v>
      </c>
      <c r="I1841" s="62">
        <v>0.0</v>
      </c>
      <c r="J1841" s="62">
        <v>4.0</v>
      </c>
      <c r="K1841" s="62">
        <v>0.0</v>
      </c>
      <c r="L1841" s="62">
        <v>0.0</v>
      </c>
      <c r="M1841" s="62">
        <v>0.0</v>
      </c>
      <c r="N1841" s="62">
        <v>0.0</v>
      </c>
      <c r="O1841" s="62">
        <v>0.0</v>
      </c>
      <c r="P1841" s="62">
        <v>0.0</v>
      </c>
      <c r="Q1841" s="62">
        <v>0.0</v>
      </c>
      <c r="R1841" s="62">
        <v>12750.0</v>
      </c>
      <c r="S1841" s="62">
        <v>0.0</v>
      </c>
      <c r="T1841" s="62">
        <v>0.0</v>
      </c>
      <c r="U1841" s="62">
        <v>0.0</v>
      </c>
      <c r="V1841" s="62">
        <v>0.0</v>
      </c>
      <c r="W1841" s="62">
        <v>0.995555555555555</v>
      </c>
      <c r="X1841" s="62">
        <v>0.0</v>
      </c>
      <c r="Y1841" s="62">
        <v>0.995555555555555</v>
      </c>
      <c r="Z1841" s="62">
        <v>0.0</v>
      </c>
      <c r="AA1841" s="62">
        <v>0.0</v>
      </c>
      <c r="AB1841" s="62">
        <v>0.0</v>
      </c>
      <c r="AC1841" s="62">
        <v>0.0</v>
      </c>
      <c r="AD1841" s="62">
        <v>0.0</v>
      </c>
      <c r="AE1841" s="62">
        <v>0.0</v>
      </c>
      <c r="AF1841" s="62">
        <v>0.0</v>
      </c>
    </row>
    <row r="1842">
      <c r="A1842" s="68">
        <v>45841.0</v>
      </c>
      <c r="B1842" s="62" t="s">
        <v>26</v>
      </c>
      <c r="C1842" s="62" t="s">
        <v>178</v>
      </c>
      <c r="D1842" s="62">
        <v>0.0</v>
      </c>
      <c r="E1842" s="62">
        <v>2.0</v>
      </c>
      <c r="F1842" s="62">
        <v>0.0</v>
      </c>
      <c r="G1842" s="62">
        <v>0.0</v>
      </c>
      <c r="H1842" s="62">
        <v>0.0</v>
      </c>
      <c r="I1842" s="62">
        <v>0.0</v>
      </c>
      <c r="J1842" s="62">
        <v>0.0</v>
      </c>
      <c r="K1842" s="62">
        <v>0.0</v>
      </c>
      <c r="L1842" s="62">
        <v>0.0</v>
      </c>
      <c r="M1842" s="62">
        <v>0.0</v>
      </c>
      <c r="N1842" s="62">
        <v>0.0</v>
      </c>
      <c r="O1842" s="62">
        <v>0.0</v>
      </c>
      <c r="P1842" s="62">
        <v>0.0</v>
      </c>
      <c r="Q1842" s="62">
        <v>0.0</v>
      </c>
      <c r="R1842" s="62">
        <v>0.0</v>
      </c>
      <c r="S1842" s="62">
        <v>5229.0</v>
      </c>
      <c r="T1842" s="62">
        <v>0.0</v>
      </c>
      <c r="U1842" s="62">
        <v>0.0</v>
      </c>
      <c r="V1842" s="62">
        <v>0.0</v>
      </c>
      <c r="W1842" s="62">
        <v>0.0</v>
      </c>
      <c r="X1842" s="62">
        <v>0.0</v>
      </c>
      <c r="Y1842" s="62">
        <v>0.0</v>
      </c>
      <c r="Z1842" s="62">
        <v>0.0</v>
      </c>
      <c r="AA1842" s="62">
        <v>0.0</v>
      </c>
      <c r="AB1842" s="62">
        <v>0.0</v>
      </c>
      <c r="AC1842" s="62">
        <v>0.0</v>
      </c>
      <c r="AD1842" s="62">
        <v>0.0</v>
      </c>
      <c r="AE1842" s="62">
        <v>0.0</v>
      </c>
      <c r="AF1842" s="62">
        <v>0.0</v>
      </c>
    </row>
    <row r="1843">
      <c r="A1843" s="68">
        <v>45840.0</v>
      </c>
      <c r="B1843" s="62" t="s">
        <v>32</v>
      </c>
      <c r="C1843" s="62" t="s">
        <v>168</v>
      </c>
      <c r="D1843" s="62">
        <v>0.0</v>
      </c>
      <c r="E1843" s="62">
        <v>0.0</v>
      </c>
      <c r="F1843" s="62">
        <v>5.0</v>
      </c>
      <c r="G1843" s="62">
        <v>0.0</v>
      </c>
      <c r="H1843" s="62">
        <v>1.0</v>
      </c>
      <c r="I1843" s="62">
        <v>0.0</v>
      </c>
      <c r="J1843" s="62">
        <v>1.0</v>
      </c>
      <c r="K1843" s="62">
        <v>0.0</v>
      </c>
      <c r="L1843" s="62">
        <v>0.0</v>
      </c>
      <c r="M1843" s="62">
        <v>0.0</v>
      </c>
      <c r="N1843" s="62">
        <v>0.0</v>
      </c>
      <c r="O1843" s="62">
        <v>0.0</v>
      </c>
      <c r="P1843" s="62">
        <v>0.0</v>
      </c>
      <c r="Q1843" s="62">
        <v>0.0</v>
      </c>
      <c r="R1843" s="62">
        <v>0.0</v>
      </c>
      <c r="S1843" s="62">
        <v>0.0</v>
      </c>
      <c r="T1843" s="62">
        <v>1.03805555555555</v>
      </c>
      <c r="U1843" s="62">
        <v>1.24472222222222</v>
      </c>
      <c r="V1843" s="62">
        <v>0.0</v>
      </c>
      <c r="W1843" s="62">
        <v>0.272777777777777</v>
      </c>
      <c r="X1843" s="62">
        <v>0.0</v>
      </c>
      <c r="Y1843" s="62">
        <v>0.272777777777777</v>
      </c>
      <c r="Z1843" s="62">
        <v>0.0</v>
      </c>
      <c r="AA1843" s="62">
        <v>0.0</v>
      </c>
      <c r="AB1843" s="62">
        <v>0.0</v>
      </c>
      <c r="AC1843" s="62">
        <v>0.0</v>
      </c>
      <c r="AD1843" s="62">
        <v>0.0</v>
      </c>
      <c r="AE1843" s="62">
        <v>0.0</v>
      </c>
      <c r="AF1843" s="62">
        <v>4.0</v>
      </c>
    </row>
    <row r="1844">
      <c r="A1844" s="68">
        <v>45840.0</v>
      </c>
      <c r="B1844" s="62" t="s">
        <v>26</v>
      </c>
      <c r="C1844" s="62" t="s">
        <v>178</v>
      </c>
      <c r="D1844" s="62">
        <v>3.0</v>
      </c>
      <c r="E1844" s="62">
        <v>3.0</v>
      </c>
      <c r="F1844" s="62">
        <v>0.0</v>
      </c>
      <c r="G1844" s="62">
        <v>0.0</v>
      </c>
      <c r="H1844" s="62">
        <v>0.0</v>
      </c>
      <c r="I1844" s="62">
        <v>0.0</v>
      </c>
      <c r="J1844" s="62">
        <v>0.0</v>
      </c>
      <c r="K1844" s="62">
        <v>0.0</v>
      </c>
      <c r="L1844" s="62">
        <v>0.0</v>
      </c>
      <c r="M1844" s="62">
        <v>0.0</v>
      </c>
      <c r="N1844" s="62">
        <v>0.0</v>
      </c>
      <c r="O1844" s="62">
        <v>0.0</v>
      </c>
      <c r="P1844" s="62">
        <v>0.0</v>
      </c>
      <c r="Q1844" s="62">
        <v>0.0</v>
      </c>
      <c r="R1844" s="62">
        <v>6313.0</v>
      </c>
      <c r="S1844" s="62">
        <v>7291.0</v>
      </c>
      <c r="T1844" s="62">
        <v>0.0</v>
      </c>
      <c r="U1844" s="62">
        <v>0.0</v>
      </c>
      <c r="V1844" s="62">
        <v>0.0</v>
      </c>
      <c r="W1844" s="62">
        <v>0.0</v>
      </c>
      <c r="X1844" s="62">
        <v>0.0</v>
      </c>
      <c r="Y1844" s="62">
        <v>0.0</v>
      </c>
      <c r="Z1844" s="62">
        <v>0.0</v>
      </c>
      <c r="AA1844" s="62">
        <v>0.0</v>
      </c>
      <c r="AB1844" s="62">
        <v>0.0</v>
      </c>
      <c r="AC1844" s="62">
        <v>0.0</v>
      </c>
      <c r="AD1844" s="62">
        <v>0.0</v>
      </c>
      <c r="AE1844" s="62">
        <v>0.0</v>
      </c>
      <c r="AF1844" s="62">
        <v>0.0</v>
      </c>
    </row>
    <row r="1845">
      <c r="A1845" s="68">
        <v>45839.0</v>
      </c>
      <c r="B1845" s="62" t="s">
        <v>32</v>
      </c>
      <c r="C1845" s="62" t="s">
        <v>168</v>
      </c>
      <c r="D1845" s="62">
        <v>0.0</v>
      </c>
      <c r="E1845" s="62">
        <v>0.0</v>
      </c>
      <c r="F1845" s="62">
        <v>0.0</v>
      </c>
      <c r="G1845" s="62">
        <v>0.0</v>
      </c>
      <c r="H1845" s="62">
        <v>0.0</v>
      </c>
      <c r="I1845" s="62">
        <v>0.0</v>
      </c>
      <c r="J1845" s="62">
        <v>0.0</v>
      </c>
      <c r="K1845" s="62">
        <v>0.0</v>
      </c>
      <c r="L1845" s="62">
        <v>0.0</v>
      </c>
      <c r="M1845" s="62">
        <v>0.0</v>
      </c>
      <c r="N1845" s="62">
        <v>0.0</v>
      </c>
      <c r="O1845" s="62">
        <v>0.0</v>
      </c>
      <c r="P1845" s="62">
        <v>0.0</v>
      </c>
      <c r="Q1845" s="62">
        <v>0.0</v>
      </c>
      <c r="R1845" s="62">
        <v>0.0</v>
      </c>
      <c r="S1845" s="62">
        <v>0.0</v>
      </c>
      <c r="T1845" s="62">
        <v>0.206666666666666</v>
      </c>
      <c r="U1845" s="62">
        <v>0.0</v>
      </c>
      <c r="V1845" s="62">
        <v>0.0</v>
      </c>
      <c r="W1845" s="62">
        <v>0.0</v>
      </c>
      <c r="X1845" s="62">
        <v>0.0</v>
      </c>
      <c r="Y1845" s="62">
        <v>0.0</v>
      </c>
      <c r="Z1845" s="62">
        <v>0.0</v>
      </c>
      <c r="AA1845" s="62">
        <v>0.0</v>
      </c>
      <c r="AB1845" s="62">
        <v>0.0</v>
      </c>
      <c r="AC1845" s="62">
        <v>0.0</v>
      </c>
      <c r="AD1845" s="62">
        <v>0.0</v>
      </c>
      <c r="AE1845" s="62">
        <v>0.0</v>
      </c>
      <c r="AF1845" s="62">
        <v>1.0</v>
      </c>
    </row>
    <row r="1846">
      <c r="A1846" s="68">
        <v>45839.0</v>
      </c>
      <c r="B1846" s="62" t="s">
        <v>26</v>
      </c>
      <c r="C1846" s="62" t="s">
        <v>178</v>
      </c>
      <c r="D1846" s="62">
        <v>41.0</v>
      </c>
      <c r="E1846" s="62">
        <v>2.0</v>
      </c>
      <c r="F1846" s="62">
        <v>0.0</v>
      </c>
      <c r="G1846" s="62">
        <v>0.0</v>
      </c>
      <c r="H1846" s="62">
        <v>0.0</v>
      </c>
      <c r="I1846" s="62">
        <v>0.0</v>
      </c>
      <c r="J1846" s="62">
        <v>0.0</v>
      </c>
      <c r="K1846" s="62">
        <v>0.0</v>
      </c>
      <c r="L1846" s="62">
        <v>0.0</v>
      </c>
      <c r="M1846" s="62">
        <v>0.0</v>
      </c>
      <c r="N1846" s="62">
        <v>0.0</v>
      </c>
      <c r="O1846" s="62">
        <v>0.0</v>
      </c>
      <c r="P1846" s="62">
        <v>0.0</v>
      </c>
      <c r="Q1846" s="62">
        <v>0.0</v>
      </c>
      <c r="R1846" s="62">
        <v>86547.0</v>
      </c>
      <c r="S1846" s="62">
        <v>5151.0</v>
      </c>
      <c r="T1846" s="62">
        <v>0.0</v>
      </c>
      <c r="U1846" s="62">
        <v>0.0</v>
      </c>
      <c r="V1846" s="62">
        <v>0.0</v>
      </c>
      <c r="W1846" s="62">
        <v>0.0</v>
      </c>
      <c r="X1846" s="62">
        <v>0.0</v>
      </c>
      <c r="Y1846" s="62">
        <v>0.0</v>
      </c>
      <c r="Z1846" s="62">
        <v>0.0</v>
      </c>
      <c r="AA1846" s="62">
        <v>0.0</v>
      </c>
      <c r="AB1846" s="62">
        <v>0.0</v>
      </c>
      <c r="AC1846" s="62">
        <v>0.0</v>
      </c>
      <c r="AD1846" s="62">
        <v>0.0</v>
      </c>
      <c r="AE1846" s="62">
        <v>0.0</v>
      </c>
      <c r="AF1846" s="62">
        <v>0.0</v>
      </c>
    </row>
    <row r="1847">
      <c r="A1847" s="68">
        <v>45838.0</v>
      </c>
      <c r="B1847" s="62" t="s">
        <v>32</v>
      </c>
      <c r="C1847" s="62" t="s">
        <v>168</v>
      </c>
      <c r="D1847" s="62">
        <v>0.0</v>
      </c>
      <c r="E1847" s="62">
        <v>1.0</v>
      </c>
      <c r="F1847" s="62">
        <v>0.0</v>
      </c>
      <c r="G1847" s="62">
        <v>0.0</v>
      </c>
      <c r="H1847" s="62">
        <v>0.0</v>
      </c>
      <c r="I1847" s="62">
        <v>0.0</v>
      </c>
      <c r="J1847" s="62">
        <v>0.0</v>
      </c>
      <c r="K1847" s="62">
        <v>0.0</v>
      </c>
      <c r="L1847" s="62">
        <v>0.0</v>
      </c>
      <c r="M1847" s="62">
        <v>0.0</v>
      </c>
      <c r="N1847" s="62">
        <v>0.0</v>
      </c>
      <c r="O1847" s="62">
        <v>0.0</v>
      </c>
      <c r="P1847" s="62">
        <v>0.0</v>
      </c>
      <c r="Q1847" s="62">
        <v>0.0</v>
      </c>
      <c r="R1847" s="62">
        <v>0.0</v>
      </c>
      <c r="S1847" s="62">
        <v>2501.0</v>
      </c>
      <c r="T1847" s="62">
        <v>0.0</v>
      </c>
      <c r="U1847" s="62">
        <v>0.0</v>
      </c>
      <c r="V1847" s="62">
        <v>0.0</v>
      </c>
      <c r="W1847" s="62">
        <v>0.0</v>
      </c>
      <c r="X1847" s="62">
        <v>0.0</v>
      </c>
      <c r="Y1847" s="62">
        <v>0.0</v>
      </c>
      <c r="Z1847" s="62">
        <v>0.0</v>
      </c>
      <c r="AA1847" s="62">
        <v>0.0</v>
      </c>
      <c r="AB1847" s="62">
        <v>0.0</v>
      </c>
      <c r="AC1847" s="62">
        <v>0.0</v>
      </c>
      <c r="AD1847" s="62">
        <v>0.0</v>
      </c>
      <c r="AE1847" s="62">
        <v>0.0</v>
      </c>
      <c r="AF1847" s="62">
        <v>0.0</v>
      </c>
    </row>
    <row r="1848">
      <c r="A1848" s="68">
        <v>45838.0</v>
      </c>
      <c r="B1848" s="62" t="s">
        <v>26</v>
      </c>
      <c r="C1848" s="62" t="s">
        <v>178</v>
      </c>
      <c r="D1848" s="62">
        <v>51.0</v>
      </c>
      <c r="E1848" s="62">
        <v>2.0</v>
      </c>
      <c r="F1848" s="62">
        <v>0.0</v>
      </c>
      <c r="G1848" s="62">
        <v>0.0</v>
      </c>
      <c r="H1848" s="62">
        <v>0.0</v>
      </c>
      <c r="I1848" s="62">
        <v>0.0</v>
      </c>
      <c r="J1848" s="62">
        <v>0.0</v>
      </c>
      <c r="K1848" s="62">
        <v>0.0</v>
      </c>
      <c r="L1848" s="62">
        <v>0.0</v>
      </c>
      <c r="M1848" s="62">
        <v>0.0</v>
      </c>
      <c r="N1848" s="62">
        <v>0.0</v>
      </c>
      <c r="O1848" s="62">
        <v>0.0</v>
      </c>
      <c r="P1848" s="62">
        <v>0.0</v>
      </c>
      <c r="Q1848" s="62">
        <v>0.0</v>
      </c>
      <c r="R1848" s="62">
        <v>115565.0</v>
      </c>
      <c r="S1848" s="62">
        <v>5065.0</v>
      </c>
      <c r="T1848" s="62">
        <v>0.0</v>
      </c>
      <c r="U1848" s="62">
        <v>0.0</v>
      </c>
      <c r="V1848" s="62">
        <v>0.0</v>
      </c>
      <c r="W1848" s="62">
        <v>0.0</v>
      </c>
      <c r="X1848" s="62">
        <v>0.0</v>
      </c>
      <c r="Y1848" s="62">
        <v>0.0</v>
      </c>
      <c r="Z1848" s="62">
        <v>0.0</v>
      </c>
      <c r="AA1848" s="62">
        <v>0.0</v>
      </c>
      <c r="AB1848" s="62">
        <v>0.0</v>
      </c>
      <c r="AC1848" s="62">
        <v>0.0</v>
      </c>
      <c r="AD1848" s="62">
        <v>0.0</v>
      </c>
      <c r="AE1848" s="62">
        <v>0.0</v>
      </c>
      <c r="AF1848" s="62">
        <v>0.0</v>
      </c>
    </row>
    <row r="1849">
      <c r="A1849" s="68">
        <v>45837.0</v>
      </c>
      <c r="B1849" s="62" t="s">
        <v>26</v>
      </c>
      <c r="C1849" s="62" t="s">
        <v>178</v>
      </c>
      <c r="D1849" s="62">
        <v>0.0</v>
      </c>
      <c r="E1849" s="62">
        <v>3.0</v>
      </c>
      <c r="F1849" s="62">
        <v>0.0</v>
      </c>
      <c r="G1849" s="62">
        <v>0.0</v>
      </c>
      <c r="H1849" s="62">
        <v>0.0</v>
      </c>
      <c r="I1849" s="62">
        <v>0.0</v>
      </c>
      <c r="J1849" s="62">
        <v>0.0</v>
      </c>
      <c r="K1849" s="62">
        <v>0.0</v>
      </c>
      <c r="L1849" s="62">
        <v>0.0</v>
      </c>
      <c r="M1849" s="62">
        <v>0.0</v>
      </c>
      <c r="N1849" s="62">
        <v>0.0</v>
      </c>
      <c r="O1849" s="62">
        <v>0.0</v>
      </c>
      <c r="P1849" s="62">
        <v>0.0</v>
      </c>
      <c r="Q1849" s="62">
        <v>0.0</v>
      </c>
      <c r="R1849" s="62">
        <v>0.0</v>
      </c>
      <c r="S1849" s="62">
        <v>6422.0</v>
      </c>
      <c r="T1849" s="62">
        <v>0.0</v>
      </c>
      <c r="U1849" s="62">
        <v>0.0</v>
      </c>
      <c r="V1849" s="62">
        <v>0.0</v>
      </c>
      <c r="W1849" s="62">
        <v>0.0</v>
      </c>
      <c r="X1849" s="62">
        <v>0.0</v>
      </c>
      <c r="Y1849" s="62">
        <v>0.0</v>
      </c>
      <c r="Z1849" s="62">
        <v>0.0</v>
      </c>
      <c r="AA1849" s="62">
        <v>0.0</v>
      </c>
      <c r="AB1849" s="62">
        <v>0.0</v>
      </c>
      <c r="AC1849" s="62">
        <v>0.0</v>
      </c>
      <c r="AD1849" s="62">
        <v>0.0</v>
      </c>
      <c r="AE1849" s="62">
        <v>0.0</v>
      </c>
      <c r="AF1849" s="62">
        <v>0.0</v>
      </c>
    </row>
    <row r="1850">
      <c r="A1850" s="68">
        <v>45835.0</v>
      </c>
      <c r="B1850" s="62" t="s">
        <v>32</v>
      </c>
      <c r="C1850" s="62" t="s">
        <v>168</v>
      </c>
      <c r="D1850" s="62">
        <v>5.0</v>
      </c>
      <c r="E1850" s="62">
        <v>7.0</v>
      </c>
      <c r="F1850" s="62">
        <v>0.0</v>
      </c>
      <c r="G1850" s="62">
        <v>0.0</v>
      </c>
      <c r="H1850" s="62">
        <v>0.0</v>
      </c>
      <c r="I1850" s="62">
        <v>0.0</v>
      </c>
      <c r="J1850" s="62">
        <v>0.0</v>
      </c>
      <c r="K1850" s="62">
        <v>0.0</v>
      </c>
      <c r="L1850" s="62">
        <v>0.0</v>
      </c>
      <c r="M1850" s="62">
        <v>0.0</v>
      </c>
      <c r="N1850" s="62">
        <v>0.0</v>
      </c>
      <c r="O1850" s="62">
        <v>0.0</v>
      </c>
      <c r="P1850" s="62">
        <v>0.0</v>
      </c>
      <c r="Q1850" s="62">
        <v>0.0</v>
      </c>
      <c r="R1850" s="62">
        <v>10741.0</v>
      </c>
      <c r="S1850" s="62">
        <v>16509.0</v>
      </c>
      <c r="T1850" s="62">
        <v>0.0</v>
      </c>
      <c r="U1850" s="62">
        <v>0.0</v>
      </c>
      <c r="V1850" s="62">
        <v>0.0</v>
      </c>
      <c r="W1850" s="62">
        <v>0.0</v>
      </c>
      <c r="X1850" s="62">
        <v>0.0</v>
      </c>
      <c r="Y1850" s="62">
        <v>0.0</v>
      </c>
      <c r="Z1850" s="62">
        <v>0.0</v>
      </c>
      <c r="AA1850" s="62">
        <v>0.0</v>
      </c>
      <c r="AB1850" s="62">
        <v>0.0</v>
      </c>
      <c r="AC1850" s="62">
        <v>0.0</v>
      </c>
      <c r="AD1850" s="62">
        <v>0.0</v>
      </c>
      <c r="AE1850" s="62">
        <v>0.0</v>
      </c>
      <c r="AF1850" s="62">
        <v>0.0</v>
      </c>
    </row>
    <row r="1851">
      <c r="A1851" s="68">
        <v>45834.0</v>
      </c>
      <c r="B1851" s="62" t="s">
        <v>32</v>
      </c>
      <c r="C1851" s="62" t="s">
        <v>168</v>
      </c>
      <c r="D1851" s="62">
        <v>3.0</v>
      </c>
      <c r="E1851" s="62">
        <v>4.0</v>
      </c>
      <c r="F1851" s="62">
        <v>0.0</v>
      </c>
      <c r="G1851" s="62">
        <v>0.0</v>
      </c>
      <c r="H1851" s="62">
        <v>0.0</v>
      </c>
      <c r="I1851" s="62">
        <v>0.0</v>
      </c>
      <c r="J1851" s="62">
        <v>0.0</v>
      </c>
      <c r="K1851" s="62">
        <v>0.0</v>
      </c>
      <c r="L1851" s="62">
        <v>0.0</v>
      </c>
      <c r="M1851" s="62">
        <v>0.0</v>
      </c>
      <c r="N1851" s="62">
        <v>0.0</v>
      </c>
      <c r="O1851" s="62">
        <v>0.0</v>
      </c>
      <c r="P1851" s="62">
        <v>0.0</v>
      </c>
      <c r="Q1851" s="62">
        <v>0.0</v>
      </c>
      <c r="R1851" s="62">
        <v>6402.0</v>
      </c>
      <c r="S1851" s="62">
        <v>9044.0</v>
      </c>
      <c r="T1851" s="62">
        <v>0.0</v>
      </c>
      <c r="U1851" s="62">
        <v>0.0</v>
      </c>
      <c r="V1851" s="62">
        <v>0.0</v>
      </c>
      <c r="W1851" s="62">
        <v>0.0</v>
      </c>
      <c r="X1851" s="62">
        <v>0.0</v>
      </c>
      <c r="Y1851" s="62">
        <v>0.0</v>
      </c>
      <c r="Z1851" s="62">
        <v>0.0</v>
      </c>
      <c r="AA1851" s="62">
        <v>0.0</v>
      </c>
      <c r="AB1851" s="62">
        <v>0.0</v>
      </c>
      <c r="AC1851" s="62">
        <v>0.0</v>
      </c>
      <c r="AD1851" s="62">
        <v>0.0</v>
      </c>
      <c r="AE1851" s="62">
        <v>0.0</v>
      </c>
      <c r="AF1851" s="62">
        <v>0.0</v>
      </c>
    </row>
    <row r="1852">
      <c r="A1852" s="68">
        <v>45833.0</v>
      </c>
      <c r="B1852" s="62" t="s">
        <v>32</v>
      </c>
      <c r="C1852" s="62" t="s">
        <v>168</v>
      </c>
      <c r="D1852" s="62">
        <v>4.0</v>
      </c>
      <c r="E1852" s="62">
        <v>0.0</v>
      </c>
      <c r="F1852" s="62">
        <v>0.0</v>
      </c>
      <c r="G1852" s="62">
        <v>0.0</v>
      </c>
      <c r="H1852" s="62">
        <v>0.0</v>
      </c>
      <c r="I1852" s="62">
        <v>0.0</v>
      </c>
      <c r="J1852" s="62">
        <v>0.0</v>
      </c>
      <c r="K1852" s="62">
        <v>0.0</v>
      </c>
      <c r="L1852" s="62">
        <v>0.0</v>
      </c>
      <c r="M1852" s="62">
        <v>0.0</v>
      </c>
      <c r="N1852" s="62">
        <v>0.0</v>
      </c>
      <c r="O1852" s="62">
        <v>0.0</v>
      </c>
      <c r="P1852" s="62">
        <v>0.0</v>
      </c>
      <c r="Q1852" s="62">
        <v>0.0</v>
      </c>
      <c r="R1852" s="62">
        <v>8494.0</v>
      </c>
      <c r="S1852" s="62">
        <v>0.0</v>
      </c>
      <c r="T1852" s="62">
        <v>0.0</v>
      </c>
      <c r="U1852" s="62">
        <v>0.0</v>
      </c>
      <c r="V1852" s="62">
        <v>0.0</v>
      </c>
      <c r="W1852" s="62">
        <v>0.0</v>
      </c>
      <c r="X1852" s="62">
        <v>0.0</v>
      </c>
      <c r="Y1852" s="62">
        <v>0.0</v>
      </c>
      <c r="Z1852" s="62">
        <v>0.0</v>
      </c>
      <c r="AA1852" s="62">
        <v>0.0</v>
      </c>
      <c r="AB1852" s="62">
        <v>0.0</v>
      </c>
      <c r="AC1852" s="62">
        <v>0.0</v>
      </c>
      <c r="AD1852" s="62">
        <v>0.0</v>
      </c>
      <c r="AE1852" s="62">
        <v>0.0</v>
      </c>
      <c r="AF1852" s="62">
        <v>0.0</v>
      </c>
    </row>
    <row r="1853">
      <c r="A1853" s="68">
        <v>45833.0</v>
      </c>
      <c r="B1853" s="62" t="s">
        <v>26</v>
      </c>
      <c r="C1853" s="62" t="s">
        <v>178</v>
      </c>
      <c r="D1853" s="62">
        <v>5.0</v>
      </c>
      <c r="E1853" s="62">
        <v>0.0</v>
      </c>
      <c r="F1853" s="62">
        <v>0.0</v>
      </c>
      <c r="G1853" s="62">
        <v>0.0</v>
      </c>
      <c r="H1853" s="62">
        <v>0.0</v>
      </c>
      <c r="I1853" s="62">
        <v>0.0</v>
      </c>
      <c r="J1853" s="62">
        <v>0.0</v>
      </c>
      <c r="K1853" s="62">
        <v>0.0</v>
      </c>
      <c r="L1853" s="62">
        <v>0.0</v>
      </c>
      <c r="M1853" s="62">
        <v>0.0</v>
      </c>
      <c r="N1853" s="62">
        <v>0.0</v>
      </c>
      <c r="O1853" s="62">
        <v>0.0</v>
      </c>
      <c r="P1853" s="62">
        <v>0.0</v>
      </c>
      <c r="Q1853" s="62">
        <v>0.0</v>
      </c>
      <c r="R1853" s="62">
        <v>11487.0</v>
      </c>
      <c r="S1853" s="62">
        <v>0.0</v>
      </c>
      <c r="T1853" s="62">
        <v>0.0</v>
      </c>
      <c r="U1853" s="62">
        <v>0.0</v>
      </c>
      <c r="V1853" s="62">
        <v>0.0</v>
      </c>
      <c r="W1853" s="62">
        <v>0.0</v>
      </c>
      <c r="X1853" s="62">
        <v>0.0</v>
      </c>
      <c r="Y1853" s="62">
        <v>0.0</v>
      </c>
      <c r="Z1853" s="62">
        <v>0.0</v>
      </c>
      <c r="AA1853" s="62">
        <v>0.0</v>
      </c>
      <c r="AB1853" s="62">
        <v>0.0</v>
      </c>
      <c r="AC1853" s="62">
        <v>0.0</v>
      </c>
      <c r="AD1853" s="62">
        <v>0.0</v>
      </c>
      <c r="AE1853" s="62">
        <v>0.0</v>
      </c>
      <c r="AF1853" s="62">
        <v>0.0</v>
      </c>
    </row>
    <row r="1854">
      <c r="A1854" s="68">
        <v>45832.0</v>
      </c>
      <c r="B1854" s="62" t="s">
        <v>32</v>
      </c>
      <c r="C1854" s="62" t="s">
        <v>168</v>
      </c>
      <c r="D1854" s="62">
        <v>6.0</v>
      </c>
      <c r="E1854" s="62">
        <v>0.0</v>
      </c>
      <c r="F1854" s="62">
        <v>0.0</v>
      </c>
      <c r="G1854" s="62">
        <v>0.0</v>
      </c>
      <c r="H1854" s="62">
        <v>0.0</v>
      </c>
      <c r="I1854" s="62">
        <v>0.0</v>
      </c>
      <c r="J1854" s="62">
        <v>0.0</v>
      </c>
      <c r="K1854" s="62">
        <v>0.0</v>
      </c>
      <c r="L1854" s="62">
        <v>0.0</v>
      </c>
      <c r="M1854" s="62">
        <v>0.0</v>
      </c>
      <c r="N1854" s="62">
        <v>0.0</v>
      </c>
      <c r="O1854" s="62">
        <v>0.0</v>
      </c>
      <c r="P1854" s="62">
        <v>0.0</v>
      </c>
      <c r="Q1854" s="62">
        <v>0.0</v>
      </c>
      <c r="R1854" s="62">
        <v>12927.0</v>
      </c>
      <c r="S1854" s="62">
        <v>0.0</v>
      </c>
      <c r="T1854" s="62">
        <v>0.0</v>
      </c>
      <c r="U1854" s="62">
        <v>0.0</v>
      </c>
      <c r="V1854" s="62">
        <v>0.0</v>
      </c>
      <c r="W1854" s="62">
        <v>0.0</v>
      </c>
      <c r="X1854" s="62">
        <v>0.0</v>
      </c>
      <c r="Y1854" s="62">
        <v>0.0</v>
      </c>
      <c r="Z1854" s="62">
        <v>0.0</v>
      </c>
      <c r="AA1854" s="62">
        <v>0.0</v>
      </c>
      <c r="AB1854" s="62">
        <v>0.0</v>
      </c>
      <c r="AC1854" s="62">
        <v>0.0</v>
      </c>
      <c r="AD1854" s="62">
        <v>0.0</v>
      </c>
      <c r="AE1854" s="62">
        <v>0.0</v>
      </c>
      <c r="AF1854" s="62">
        <v>0.0</v>
      </c>
    </row>
    <row r="1855">
      <c r="A1855" s="68">
        <v>45831.0</v>
      </c>
      <c r="B1855" s="62" t="s">
        <v>32</v>
      </c>
      <c r="C1855" s="62" t="s">
        <v>168</v>
      </c>
      <c r="D1855" s="62">
        <v>13.0</v>
      </c>
      <c r="E1855" s="62">
        <v>3.0</v>
      </c>
      <c r="F1855" s="62">
        <v>0.0</v>
      </c>
      <c r="G1855" s="62">
        <v>0.0</v>
      </c>
      <c r="H1855" s="62">
        <v>0.0</v>
      </c>
      <c r="I1855" s="62">
        <v>0.0</v>
      </c>
      <c r="J1855" s="62">
        <v>0.0</v>
      </c>
      <c r="K1855" s="62">
        <v>0.0</v>
      </c>
      <c r="L1855" s="62">
        <v>0.0</v>
      </c>
      <c r="M1855" s="62">
        <v>0.0</v>
      </c>
      <c r="N1855" s="62">
        <v>0.0</v>
      </c>
      <c r="O1855" s="62">
        <v>0.0</v>
      </c>
      <c r="P1855" s="62">
        <v>0.0</v>
      </c>
      <c r="Q1855" s="62">
        <v>0.0</v>
      </c>
      <c r="R1855" s="62">
        <v>27808.0</v>
      </c>
      <c r="S1855" s="62">
        <v>7154.0</v>
      </c>
      <c r="T1855" s="62">
        <v>0.0</v>
      </c>
      <c r="U1855" s="62">
        <v>0.0</v>
      </c>
      <c r="V1855" s="62">
        <v>0.0</v>
      </c>
      <c r="W1855" s="62">
        <v>0.0</v>
      </c>
      <c r="X1855" s="62">
        <v>0.0</v>
      </c>
      <c r="Y1855" s="62">
        <v>0.0</v>
      </c>
      <c r="Z1855" s="62">
        <v>0.0</v>
      </c>
      <c r="AA1855" s="62">
        <v>0.0</v>
      </c>
      <c r="AB1855" s="62">
        <v>0.0</v>
      </c>
      <c r="AC1855" s="62">
        <v>0.0</v>
      </c>
      <c r="AD1855" s="62">
        <v>0.0</v>
      </c>
      <c r="AE1855" s="62">
        <v>0.0</v>
      </c>
      <c r="AF1855" s="62">
        <v>0.0</v>
      </c>
    </row>
    <row r="1856">
      <c r="A1856" s="68">
        <v>45829.0</v>
      </c>
      <c r="B1856" s="62" t="s">
        <v>32</v>
      </c>
      <c r="C1856" s="62" t="s">
        <v>168</v>
      </c>
      <c r="D1856" s="62">
        <v>0.0</v>
      </c>
      <c r="E1856" s="62">
        <v>2.0</v>
      </c>
      <c r="F1856" s="62">
        <v>0.0</v>
      </c>
      <c r="G1856" s="62">
        <v>0.0</v>
      </c>
      <c r="H1856" s="62">
        <v>0.0</v>
      </c>
      <c r="I1856" s="62">
        <v>0.0</v>
      </c>
      <c r="J1856" s="62">
        <v>0.0</v>
      </c>
      <c r="K1856" s="62">
        <v>0.0</v>
      </c>
      <c r="L1856" s="62">
        <v>0.0</v>
      </c>
      <c r="M1856" s="62">
        <v>0.0</v>
      </c>
      <c r="N1856" s="62">
        <v>0.0</v>
      </c>
      <c r="O1856" s="62">
        <v>0.0</v>
      </c>
      <c r="P1856" s="62">
        <v>0.0</v>
      </c>
      <c r="Q1856" s="62">
        <v>0.0</v>
      </c>
      <c r="R1856" s="62">
        <v>0.0</v>
      </c>
      <c r="S1856" s="62">
        <v>4681.0</v>
      </c>
      <c r="T1856" s="62">
        <v>0.0</v>
      </c>
      <c r="U1856" s="62">
        <v>0.0</v>
      </c>
      <c r="V1856" s="62">
        <v>0.0</v>
      </c>
      <c r="W1856" s="62">
        <v>0.0</v>
      </c>
      <c r="X1856" s="62">
        <v>0.0</v>
      </c>
      <c r="Y1856" s="62">
        <v>0.0</v>
      </c>
      <c r="Z1856" s="62">
        <v>0.0</v>
      </c>
      <c r="AA1856" s="62">
        <v>0.0</v>
      </c>
      <c r="AB1856" s="62">
        <v>0.0</v>
      </c>
      <c r="AC1856" s="62">
        <v>0.0</v>
      </c>
      <c r="AD1856" s="62">
        <v>0.0</v>
      </c>
      <c r="AE1856" s="62">
        <v>0.0</v>
      </c>
      <c r="AF1856" s="62">
        <v>0.0</v>
      </c>
    </row>
    <row r="1857">
      <c r="A1857" s="68">
        <v>45827.0</v>
      </c>
      <c r="B1857" s="62" t="s">
        <v>32</v>
      </c>
      <c r="C1857" s="62" t="s">
        <v>168</v>
      </c>
      <c r="D1857" s="62">
        <v>12.0</v>
      </c>
      <c r="E1857" s="62">
        <v>0.0</v>
      </c>
      <c r="F1857" s="62">
        <v>0.0</v>
      </c>
      <c r="G1857" s="62">
        <v>0.0</v>
      </c>
      <c r="H1857" s="62">
        <v>0.0</v>
      </c>
      <c r="I1857" s="62">
        <v>0.0</v>
      </c>
      <c r="J1857" s="62">
        <v>0.0</v>
      </c>
      <c r="K1857" s="62">
        <v>0.0</v>
      </c>
      <c r="L1857" s="62">
        <v>0.0</v>
      </c>
      <c r="M1857" s="62">
        <v>0.0</v>
      </c>
      <c r="N1857" s="62">
        <v>0.0</v>
      </c>
      <c r="O1857" s="62">
        <v>0.0</v>
      </c>
      <c r="P1857" s="62">
        <v>0.0</v>
      </c>
      <c r="Q1857" s="62">
        <v>0.0</v>
      </c>
      <c r="R1857" s="62">
        <v>22700.0</v>
      </c>
      <c r="S1857" s="62">
        <v>0.0</v>
      </c>
      <c r="T1857" s="62">
        <v>0.0</v>
      </c>
      <c r="U1857" s="62">
        <v>0.0</v>
      </c>
      <c r="V1857" s="62">
        <v>0.0</v>
      </c>
      <c r="W1857" s="62">
        <v>0.0</v>
      </c>
      <c r="X1857" s="62">
        <v>0.0</v>
      </c>
      <c r="Y1857" s="62">
        <v>0.0</v>
      </c>
      <c r="Z1857" s="62">
        <v>0.0</v>
      </c>
      <c r="AA1857" s="62">
        <v>0.0</v>
      </c>
      <c r="AB1857" s="62">
        <v>0.0</v>
      </c>
      <c r="AC1857" s="62">
        <v>0.0</v>
      </c>
      <c r="AD1857" s="62">
        <v>0.0</v>
      </c>
      <c r="AE1857" s="62">
        <v>0.0</v>
      </c>
      <c r="AF1857" s="62">
        <v>0.0</v>
      </c>
    </row>
    <row r="1858">
      <c r="A1858" s="68">
        <v>45826.0</v>
      </c>
      <c r="B1858" s="62" t="s">
        <v>32</v>
      </c>
      <c r="C1858" s="62" t="s">
        <v>168</v>
      </c>
      <c r="D1858" s="62">
        <v>5.0</v>
      </c>
      <c r="E1858" s="62">
        <v>2.0</v>
      </c>
      <c r="F1858" s="62">
        <v>0.0</v>
      </c>
      <c r="G1858" s="62">
        <v>0.0</v>
      </c>
      <c r="H1858" s="62">
        <v>0.0</v>
      </c>
      <c r="I1858" s="62">
        <v>0.0</v>
      </c>
      <c r="J1858" s="62">
        <v>0.0</v>
      </c>
      <c r="K1858" s="62">
        <v>0.0</v>
      </c>
      <c r="L1858" s="62">
        <v>0.0</v>
      </c>
      <c r="M1858" s="62">
        <v>0.0</v>
      </c>
      <c r="N1858" s="62">
        <v>0.0</v>
      </c>
      <c r="O1858" s="62">
        <v>0.0</v>
      </c>
      <c r="P1858" s="62">
        <v>0.0</v>
      </c>
      <c r="Q1858" s="62">
        <v>0.0</v>
      </c>
      <c r="R1858" s="62">
        <v>10276.0</v>
      </c>
      <c r="S1858" s="62">
        <v>4830.0</v>
      </c>
      <c r="T1858" s="62">
        <v>0.0</v>
      </c>
      <c r="U1858" s="62">
        <v>0.0</v>
      </c>
      <c r="V1858" s="62">
        <v>0.0</v>
      </c>
      <c r="W1858" s="62">
        <v>0.0</v>
      </c>
      <c r="X1858" s="62">
        <v>0.0</v>
      </c>
      <c r="Y1858" s="62">
        <v>0.0</v>
      </c>
      <c r="Z1858" s="62">
        <v>0.0</v>
      </c>
      <c r="AA1858" s="62">
        <v>0.0</v>
      </c>
      <c r="AB1858" s="62">
        <v>0.0</v>
      </c>
      <c r="AC1858" s="62">
        <v>0.0</v>
      </c>
      <c r="AD1858" s="62">
        <v>0.0</v>
      </c>
      <c r="AE1858" s="62">
        <v>0.0</v>
      </c>
      <c r="AF1858" s="62">
        <v>0.0</v>
      </c>
    </row>
    <row r="1859">
      <c r="A1859" s="68">
        <v>45825.0</v>
      </c>
      <c r="B1859" s="62" t="s">
        <v>32</v>
      </c>
      <c r="C1859" s="62" t="s">
        <v>168</v>
      </c>
      <c r="D1859" s="62">
        <v>1.0</v>
      </c>
      <c r="E1859" s="62">
        <v>0.0</v>
      </c>
      <c r="F1859" s="62">
        <v>0.0</v>
      </c>
      <c r="G1859" s="62">
        <v>0.0</v>
      </c>
      <c r="H1859" s="62">
        <v>0.0</v>
      </c>
      <c r="I1859" s="62">
        <v>0.0</v>
      </c>
      <c r="J1859" s="62">
        <v>0.0</v>
      </c>
      <c r="K1859" s="62">
        <v>0.0</v>
      </c>
      <c r="L1859" s="62">
        <v>0.0</v>
      </c>
      <c r="M1859" s="62">
        <v>0.0</v>
      </c>
      <c r="N1859" s="62">
        <v>0.0</v>
      </c>
      <c r="O1859" s="62">
        <v>0.0</v>
      </c>
      <c r="P1859" s="62">
        <v>0.0</v>
      </c>
      <c r="Q1859" s="62">
        <v>0.0</v>
      </c>
      <c r="R1859" s="62">
        <v>2050.0</v>
      </c>
      <c r="S1859" s="62">
        <v>0.0</v>
      </c>
      <c r="T1859" s="62">
        <v>0.0</v>
      </c>
      <c r="U1859" s="62">
        <v>0.0</v>
      </c>
      <c r="V1859" s="62">
        <v>0.0</v>
      </c>
      <c r="W1859" s="62">
        <v>0.0</v>
      </c>
      <c r="X1859" s="62">
        <v>0.0</v>
      </c>
      <c r="Y1859" s="62">
        <v>0.0</v>
      </c>
      <c r="Z1859" s="62">
        <v>0.0</v>
      </c>
      <c r="AA1859" s="62">
        <v>0.0</v>
      </c>
      <c r="AB1859" s="62">
        <v>0.0</v>
      </c>
      <c r="AC1859" s="62">
        <v>0.0</v>
      </c>
      <c r="AD1859" s="62">
        <v>0.0</v>
      </c>
      <c r="AE1859" s="62">
        <v>0.0</v>
      </c>
      <c r="AF1859" s="62">
        <v>0.0</v>
      </c>
    </row>
    <row r="1860">
      <c r="A1860" s="68">
        <v>45824.0</v>
      </c>
      <c r="B1860" s="62" t="s">
        <v>32</v>
      </c>
      <c r="C1860" s="62" t="s">
        <v>168</v>
      </c>
      <c r="D1860" s="62">
        <v>13.0</v>
      </c>
      <c r="E1860" s="62">
        <v>0.0</v>
      </c>
      <c r="F1860" s="62">
        <v>0.0</v>
      </c>
      <c r="G1860" s="62">
        <v>0.0</v>
      </c>
      <c r="H1860" s="62">
        <v>0.0</v>
      </c>
      <c r="I1860" s="62">
        <v>0.0</v>
      </c>
      <c r="J1860" s="62">
        <v>0.0</v>
      </c>
      <c r="K1860" s="62">
        <v>0.0</v>
      </c>
      <c r="L1860" s="62">
        <v>0.0</v>
      </c>
      <c r="M1860" s="62">
        <v>0.0</v>
      </c>
      <c r="N1860" s="62">
        <v>0.0</v>
      </c>
      <c r="O1860" s="62">
        <v>0.0</v>
      </c>
      <c r="P1860" s="62">
        <v>0.0</v>
      </c>
      <c r="Q1860" s="62">
        <v>0.0</v>
      </c>
      <c r="R1860" s="62">
        <v>26787.0</v>
      </c>
      <c r="S1860" s="62">
        <v>0.0</v>
      </c>
      <c r="T1860" s="62">
        <v>0.0</v>
      </c>
      <c r="U1860" s="62">
        <v>0.0</v>
      </c>
      <c r="V1860" s="62">
        <v>0.0</v>
      </c>
      <c r="W1860" s="62">
        <v>0.0</v>
      </c>
      <c r="X1860" s="62">
        <v>0.0</v>
      </c>
      <c r="Y1860" s="62">
        <v>0.0</v>
      </c>
      <c r="Z1860" s="62">
        <v>0.0</v>
      </c>
      <c r="AA1860" s="62">
        <v>0.0</v>
      </c>
      <c r="AB1860" s="62">
        <v>0.0</v>
      </c>
      <c r="AC1860" s="62">
        <v>0.0</v>
      </c>
      <c r="AD1860" s="62">
        <v>0.0</v>
      </c>
      <c r="AE1860" s="62">
        <v>0.0</v>
      </c>
      <c r="AF1860" s="62">
        <v>0.0</v>
      </c>
    </row>
    <row r="1861">
      <c r="A1861" s="68">
        <v>45818.0</v>
      </c>
      <c r="B1861" s="62" t="s">
        <v>32</v>
      </c>
      <c r="C1861" s="62" t="s">
        <v>168</v>
      </c>
      <c r="D1861" s="62">
        <v>10.0</v>
      </c>
      <c r="E1861" s="62">
        <v>1.0</v>
      </c>
      <c r="F1861" s="62">
        <v>0.0</v>
      </c>
      <c r="G1861" s="62">
        <v>0.0</v>
      </c>
      <c r="H1861" s="62">
        <v>0.0</v>
      </c>
      <c r="I1861" s="62">
        <v>0.0</v>
      </c>
      <c r="J1861" s="62">
        <v>0.0</v>
      </c>
      <c r="K1861" s="62">
        <v>0.0</v>
      </c>
      <c r="L1861" s="62">
        <v>0.0</v>
      </c>
      <c r="M1861" s="62">
        <v>0.0</v>
      </c>
      <c r="N1861" s="62">
        <v>0.0</v>
      </c>
      <c r="O1861" s="62">
        <v>0.0</v>
      </c>
      <c r="P1861" s="62">
        <v>0.0</v>
      </c>
      <c r="Q1861" s="62">
        <v>0.0</v>
      </c>
      <c r="R1861" s="62">
        <v>20291.0</v>
      </c>
      <c r="S1861" s="62">
        <v>2349.0</v>
      </c>
      <c r="T1861" s="62">
        <v>0.0</v>
      </c>
      <c r="U1861" s="62">
        <v>0.0</v>
      </c>
      <c r="V1861" s="62">
        <v>0.0</v>
      </c>
      <c r="W1861" s="62">
        <v>0.0</v>
      </c>
      <c r="X1861" s="62">
        <v>0.0</v>
      </c>
      <c r="Y1861" s="62">
        <v>0.0</v>
      </c>
      <c r="Z1861" s="62">
        <v>0.0</v>
      </c>
      <c r="AA1861" s="62">
        <v>0.0</v>
      </c>
      <c r="AB1861" s="62">
        <v>0.0</v>
      </c>
      <c r="AC1861" s="62">
        <v>0.0</v>
      </c>
      <c r="AD1861" s="62">
        <v>0.0</v>
      </c>
      <c r="AE1861" s="62">
        <v>0.0</v>
      </c>
      <c r="AF1861" s="62">
        <v>0.0</v>
      </c>
    </row>
    <row r="1862">
      <c r="A1862" s="68">
        <v>45817.0</v>
      </c>
      <c r="B1862" s="62" t="s">
        <v>32</v>
      </c>
      <c r="C1862" s="62" t="s">
        <v>168</v>
      </c>
      <c r="D1862" s="62">
        <v>8.0</v>
      </c>
      <c r="E1862" s="62">
        <v>0.0</v>
      </c>
      <c r="F1862" s="62">
        <v>0.0</v>
      </c>
      <c r="G1862" s="62">
        <v>0.0</v>
      </c>
      <c r="H1862" s="62">
        <v>0.0</v>
      </c>
      <c r="I1862" s="62">
        <v>0.0</v>
      </c>
      <c r="J1862" s="62">
        <v>0.0</v>
      </c>
      <c r="K1862" s="62">
        <v>0.0</v>
      </c>
      <c r="L1862" s="62">
        <v>0.0</v>
      </c>
      <c r="M1862" s="62">
        <v>0.0</v>
      </c>
      <c r="N1862" s="62">
        <v>0.0</v>
      </c>
      <c r="O1862" s="62">
        <v>0.0</v>
      </c>
      <c r="P1862" s="62">
        <v>0.0</v>
      </c>
      <c r="Q1862" s="62">
        <v>0.0</v>
      </c>
      <c r="R1862" s="62">
        <v>19056.0</v>
      </c>
      <c r="S1862" s="62">
        <v>0.0</v>
      </c>
      <c r="T1862" s="62">
        <v>0.0</v>
      </c>
      <c r="U1862" s="62">
        <v>0.0</v>
      </c>
      <c r="V1862" s="62">
        <v>0.0</v>
      </c>
      <c r="W1862" s="62">
        <v>0.0</v>
      </c>
      <c r="X1862" s="62">
        <v>0.0</v>
      </c>
      <c r="Y1862" s="62">
        <v>0.0</v>
      </c>
      <c r="Z1862" s="62">
        <v>0.0</v>
      </c>
      <c r="AA1862" s="62">
        <v>0.0</v>
      </c>
      <c r="AB1862" s="62">
        <v>0.0</v>
      </c>
      <c r="AC1862" s="62">
        <v>0.0</v>
      </c>
      <c r="AD1862" s="62">
        <v>0.0</v>
      </c>
      <c r="AE1862" s="62">
        <v>0.0</v>
      </c>
      <c r="AF1862" s="62">
        <v>0.0</v>
      </c>
    </row>
    <row r="1863">
      <c r="A1863" s="68">
        <v>45812.0</v>
      </c>
      <c r="B1863" s="62" t="s">
        <v>32</v>
      </c>
      <c r="C1863" s="62" t="s">
        <v>168</v>
      </c>
      <c r="D1863" s="62">
        <v>8.0</v>
      </c>
      <c r="E1863" s="62">
        <v>0.0</v>
      </c>
      <c r="F1863" s="62">
        <v>0.0</v>
      </c>
      <c r="G1863" s="62">
        <v>0.0</v>
      </c>
      <c r="H1863" s="62">
        <v>0.0</v>
      </c>
      <c r="I1863" s="62">
        <v>0.0</v>
      </c>
      <c r="J1863" s="62">
        <v>0.0</v>
      </c>
      <c r="K1863" s="62">
        <v>0.0</v>
      </c>
      <c r="L1863" s="62">
        <v>0.0</v>
      </c>
      <c r="M1863" s="62">
        <v>0.0</v>
      </c>
      <c r="N1863" s="62">
        <v>0.0</v>
      </c>
      <c r="O1863" s="62">
        <v>0.0</v>
      </c>
      <c r="P1863" s="62">
        <v>0.0</v>
      </c>
      <c r="Q1863" s="62">
        <v>0.0</v>
      </c>
      <c r="R1863" s="62">
        <v>18282.0</v>
      </c>
      <c r="S1863" s="62">
        <v>0.0</v>
      </c>
      <c r="T1863" s="62">
        <v>0.0</v>
      </c>
      <c r="U1863" s="62">
        <v>0.0</v>
      </c>
      <c r="V1863" s="62">
        <v>0.0</v>
      </c>
      <c r="W1863" s="62">
        <v>0.0</v>
      </c>
      <c r="X1863" s="62">
        <v>0.0</v>
      </c>
      <c r="Y1863" s="62">
        <v>0.0</v>
      </c>
      <c r="Z1863" s="62">
        <v>0.0</v>
      </c>
      <c r="AA1863" s="62">
        <v>0.0</v>
      </c>
      <c r="AB1863" s="62">
        <v>0.0</v>
      </c>
      <c r="AC1863" s="62">
        <v>0.0</v>
      </c>
      <c r="AD1863" s="62">
        <v>0.0</v>
      </c>
      <c r="AE1863" s="62">
        <v>0.0</v>
      </c>
      <c r="AF1863" s="62">
        <v>0.0</v>
      </c>
    </row>
    <row r="1864">
      <c r="A1864" s="68">
        <v>45811.0</v>
      </c>
      <c r="B1864" s="62" t="s">
        <v>32</v>
      </c>
      <c r="C1864" s="62" t="s">
        <v>168</v>
      </c>
      <c r="D1864" s="62">
        <v>7.0</v>
      </c>
      <c r="E1864" s="62">
        <v>1.0</v>
      </c>
      <c r="F1864" s="62">
        <v>1.0</v>
      </c>
      <c r="G1864" s="62">
        <v>0.0</v>
      </c>
      <c r="H1864" s="62">
        <v>0.0</v>
      </c>
      <c r="I1864" s="62">
        <v>0.0</v>
      </c>
      <c r="J1864" s="62">
        <v>0.0</v>
      </c>
      <c r="K1864" s="62">
        <v>0.0</v>
      </c>
      <c r="L1864" s="62">
        <v>0.0</v>
      </c>
      <c r="M1864" s="62">
        <v>0.0</v>
      </c>
      <c r="N1864" s="62">
        <v>0.0</v>
      </c>
      <c r="O1864" s="62">
        <v>0.0</v>
      </c>
      <c r="P1864" s="62">
        <v>0.0</v>
      </c>
      <c r="Q1864" s="62">
        <v>0.0</v>
      </c>
      <c r="R1864" s="62">
        <v>16760.0</v>
      </c>
      <c r="S1864" s="62">
        <v>2432.0</v>
      </c>
      <c r="T1864" s="62">
        <v>0.0</v>
      </c>
      <c r="U1864" s="62">
        <v>0.265555555555555</v>
      </c>
      <c r="V1864" s="62">
        <v>0.0</v>
      </c>
      <c r="W1864" s="62">
        <v>0.0</v>
      </c>
      <c r="X1864" s="62">
        <v>0.0</v>
      </c>
      <c r="Y1864" s="62">
        <v>0.0</v>
      </c>
      <c r="Z1864" s="62">
        <v>0.0</v>
      </c>
      <c r="AA1864" s="62">
        <v>0.0</v>
      </c>
      <c r="AB1864" s="62">
        <v>0.0</v>
      </c>
      <c r="AC1864" s="62">
        <v>0.0</v>
      </c>
      <c r="AD1864" s="62">
        <v>0.0</v>
      </c>
      <c r="AE1864" s="62">
        <v>0.0</v>
      </c>
      <c r="AF1864" s="62">
        <v>0.0</v>
      </c>
    </row>
    <row r="1865">
      <c r="A1865" s="68">
        <v>45810.0</v>
      </c>
      <c r="B1865" s="62" t="s">
        <v>32</v>
      </c>
      <c r="C1865" s="62" t="s">
        <v>168</v>
      </c>
      <c r="D1865" s="62">
        <v>0.0</v>
      </c>
      <c r="E1865" s="62">
        <v>0.0</v>
      </c>
      <c r="F1865" s="62">
        <v>0.0</v>
      </c>
      <c r="G1865" s="62">
        <v>0.0</v>
      </c>
      <c r="H1865" s="62">
        <v>0.0</v>
      </c>
      <c r="I1865" s="62">
        <v>0.0</v>
      </c>
      <c r="J1865" s="62">
        <v>0.0</v>
      </c>
      <c r="K1865" s="62">
        <v>0.0</v>
      </c>
      <c r="L1865" s="62">
        <v>0.0</v>
      </c>
      <c r="M1865" s="62">
        <v>0.0</v>
      </c>
      <c r="N1865" s="62">
        <v>0.0</v>
      </c>
      <c r="O1865" s="62">
        <v>0.0</v>
      </c>
      <c r="P1865" s="62">
        <v>0.0</v>
      </c>
      <c r="Q1865" s="62">
        <v>0.0</v>
      </c>
      <c r="R1865" s="62">
        <v>0.0</v>
      </c>
      <c r="S1865" s="62">
        <v>0.0</v>
      </c>
      <c r="T1865" s="62">
        <v>0.265555555555555</v>
      </c>
      <c r="U1865" s="62">
        <v>0.0</v>
      </c>
      <c r="V1865" s="62">
        <v>0.0</v>
      </c>
      <c r="W1865" s="62">
        <v>0.0</v>
      </c>
      <c r="X1865" s="62">
        <v>0.0</v>
      </c>
      <c r="Y1865" s="62">
        <v>0.0</v>
      </c>
      <c r="Z1865" s="62">
        <v>0.0</v>
      </c>
      <c r="AA1865" s="62">
        <v>0.0</v>
      </c>
      <c r="AB1865" s="62">
        <v>0.0</v>
      </c>
      <c r="AC1865" s="62">
        <v>0.0</v>
      </c>
      <c r="AD1865" s="62">
        <v>0.0</v>
      </c>
      <c r="AE1865" s="62">
        <v>0.0</v>
      </c>
      <c r="AF1865" s="62">
        <v>1.0</v>
      </c>
    </row>
    <row r="1866">
      <c r="A1866" s="68">
        <v>45809.0</v>
      </c>
      <c r="B1866" s="62" t="s">
        <v>32</v>
      </c>
      <c r="C1866" s="62" t="s">
        <v>168</v>
      </c>
      <c r="D1866" s="62">
        <v>0.0</v>
      </c>
      <c r="E1866" s="62">
        <v>1.0</v>
      </c>
      <c r="F1866" s="62">
        <v>0.0</v>
      </c>
      <c r="G1866" s="62">
        <v>0.0</v>
      </c>
      <c r="H1866" s="62">
        <v>0.0</v>
      </c>
      <c r="I1866" s="62">
        <v>0.0</v>
      </c>
      <c r="J1866" s="62">
        <v>0.0</v>
      </c>
      <c r="K1866" s="62">
        <v>0.0</v>
      </c>
      <c r="L1866" s="62">
        <v>0.0</v>
      </c>
      <c r="M1866" s="62">
        <v>0.0</v>
      </c>
      <c r="N1866" s="62">
        <v>0.0</v>
      </c>
      <c r="O1866" s="62">
        <v>0.0</v>
      </c>
      <c r="P1866" s="62">
        <v>0.0</v>
      </c>
      <c r="Q1866" s="62">
        <v>0.0</v>
      </c>
      <c r="R1866" s="62">
        <v>0.0</v>
      </c>
      <c r="S1866" s="62">
        <v>2060.0</v>
      </c>
      <c r="T1866" s="62">
        <v>0.0</v>
      </c>
      <c r="U1866" s="62">
        <v>0.0</v>
      </c>
      <c r="V1866" s="62">
        <v>0.0</v>
      </c>
      <c r="W1866" s="62">
        <v>0.0</v>
      </c>
      <c r="X1866" s="62">
        <v>0.0</v>
      </c>
      <c r="Y1866" s="62">
        <v>0.0</v>
      </c>
      <c r="Z1866" s="62">
        <v>0.0</v>
      </c>
      <c r="AA1866" s="62">
        <v>0.0</v>
      </c>
      <c r="AB1866" s="62">
        <v>0.0</v>
      </c>
      <c r="AC1866" s="62">
        <v>0.0</v>
      </c>
      <c r="AD1866" s="62">
        <v>0.0</v>
      </c>
      <c r="AE1866" s="62">
        <v>0.0</v>
      </c>
      <c r="AF1866" s="62">
        <v>0.0</v>
      </c>
    </row>
    <row r="1867">
      <c r="A1867" s="68">
        <v>45808.0</v>
      </c>
      <c r="B1867" s="62" t="s">
        <v>32</v>
      </c>
      <c r="C1867" s="62" t="s">
        <v>168</v>
      </c>
      <c r="D1867" s="62">
        <v>0.0</v>
      </c>
      <c r="E1867" s="62">
        <v>2.0</v>
      </c>
      <c r="F1867" s="62">
        <v>0.0</v>
      </c>
      <c r="G1867" s="62">
        <v>0.0</v>
      </c>
      <c r="H1867" s="62">
        <v>0.0</v>
      </c>
      <c r="I1867" s="62">
        <v>0.0</v>
      </c>
      <c r="J1867" s="62">
        <v>0.0</v>
      </c>
      <c r="K1867" s="62">
        <v>0.0</v>
      </c>
      <c r="L1867" s="62">
        <v>0.0</v>
      </c>
      <c r="M1867" s="62">
        <v>0.0</v>
      </c>
      <c r="N1867" s="62">
        <v>0.0</v>
      </c>
      <c r="O1867" s="62">
        <v>0.0</v>
      </c>
      <c r="P1867" s="62">
        <v>0.0</v>
      </c>
      <c r="Q1867" s="62">
        <v>0.0</v>
      </c>
      <c r="R1867" s="62">
        <v>0.0</v>
      </c>
      <c r="S1867" s="62">
        <v>4397.0</v>
      </c>
      <c r="T1867" s="62">
        <v>0.0</v>
      </c>
      <c r="U1867" s="62">
        <v>0.0</v>
      </c>
      <c r="V1867" s="62">
        <v>0.0</v>
      </c>
      <c r="W1867" s="62">
        <v>0.0</v>
      </c>
      <c r="X1867" s="62">
        <v>0.0</v>
      </c>
      <c r="Y1867" s="62">
        <v>0.0</v>
      </c>
      <c r="Z1867" s="62">
        <v>0.0</v>
      </c>
      <c r="AA1867" s="62">
        <v>0.0</v>
      </c>
      <c r="AB1867" s="62">
        <v>0.0</v>
      </c>
      <c r="AC1867" s="62">
        <v>0.0</v>
      </c>
      <c r="AD1867" s="62">
        <v>0.0</v>
      </c>
      <c r="AE1867" s="62">
        <v>0.0</v>
      </c>
      <c r="AF1867" s="62">
        <v>0.0</v>
      </c>
    </row>
    <row r="1868">
      <c r="A1868" s="68">
        <v>45806.0</v>
      </c>
      <c r="B1868" s="62" t="s">
        <v>32</v>
      </c>
      <c r="C1868" s="62" t="s">
        <v>168</v>
      </c>
      <c r="D1868" s="62">
        <v>5.0</v>
      </c>
      <c r="E1868" s="62">
        <v>1.0</v>
      </c>
      <c r="F1868" s="62">
        <v>0.0</v>
      </c>
      <c r="G1868" s="62">
        <v>0.0</v>
      </c>
      <c r="H1868" s="62">
        <v>0.0</v>
      </c>
      <c r="I1868" s="62">
        <v>0.0</v>
      </c>
      <c r="J1868" s="62">
        <v>0.0</v>
      </c>
      <c r="K1868" s="62">
        <v>0.0</v>
      </c>
      <c r="L1868" s="62">
        <v>0.0</v>
      </c>
      <c r="M1868" s="62">
        <v>0.0</v>
      </c>
      <c r="N1868" s="62">
        <v>0.0</v>
      </c>
      <c r="O1868" s="62">
        <v>0.0</v>
      </c>
      <c r="P1868" s="62">
        <v>0.0</v>
      </c>
      <c r="Q1868" s="62">
        <v>0.0</v>
      </c>
      <c r="R1868" s="62">
        <v>11453.0</v>
      </c>
      <c r="S1868" s="62">
        <v>2564.0</v>
      </c>
      <c r="T1868" s="62">
        <v>0.0</v>
      </c>
      <c r="U1868" s="62">
        <v>0.0</v>
      </c>
      <c r="V1868" s="62">
        <v>0.0</v>
      </c>
      <c r="W1868" s="62">
        <v>0.0</v>
      </c>
      <c r="X1868" s="62">
        <v>0.0</v>
      </c>
      <c r="Y1868" s="62">
        <v>0.0</v>
      </c>
      <c r="Z1868" s="62">
        <v>0.0</v>
      </c>
      <c r="AA1868" s="62">
        <v>0.0</v>
      </c>
      <c r="AB1868" s="62">
        <v>0.0</v>
      </c>
      <c r="AC1868" s="62">
        <v>0.0</v>
      </c>
      <c r="AD1868" s="62">
        <v>0.0</v>
      </c>
      <c r="AE1868" s="62">
        <v>0.0</v>
      </c>
      <c r="AF1868" s="62">
        <v>0.0</v>
      </c>
    </row>
  </sheetData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9" t="s">
        <v>188</v>
      </c>
    </row>
    <row r="3">
      <c r="A3" s="62" t="s">
        <v>189</v>
      </c>
    </row>
    <row r="4">
      <c r="A4" s="62" t="s">
        <v>190</v>
      </c>
    </row>
    <row r="8">
      <c r="C8" s="62" t="s">
        <v>191</v>
      </c>
    </row>
    <row r="9">
      <c r="C9" s="62" t="s">
        <v>192</v>
      </c>
    </row>
    <row r="10">
      <c r="E10" s="62">
        <v>267.0</v>
      </c>
    </row>
    <row r="11">
      <c r="C11" s="62" t="s">
        <v>131</v>
      </c>
      <c r="D11" s="62" t="s">
        <v>193</v>
      </c>
      <c r="E11" s="62" t="s">
        <v>194</v>
      </c>
      <c r="H11" s="62" t="s">
        <v>195</v>
      </c>
    </row>
    <row r="12">
      <c r="C12" s="62" t="s">
        <v>76</v>
      </c>
      <c r="D12" s="62">
        <v>788.0</v>
      </c>
      <c r="E12" s="62">
        <v>37.0</v>
      </c>
    </row>
    <row r="13">
      <c r="C13" s="62" t="s">
        <v>26</v>
      </c>
      <c r="D13" s="62">
        <v>843.0</v>
      </c>
      <c r="E13" s="62">
        <v>42.0</v>
      </c>
    </row>
    <row r="14">
      <c r="C14" s="62" t="s">
        <v>32</v>
      </c>
      <c r="D14" s="62">
        <v>814.0</v>
      </c>
      <c r="E14" s="62">
        <v>24.0</v>
      </c>
    </row>
    <row r="15">
      <c r="C15" s="62" t="s">
        <v>37</v>
      </c>
      <c r="D15" s="62">
        <v>215.0</v>
      </c>
      <c r="E15" s="62">
        <v>16.0</v>
      </c>
    </row>
    <row r="16">
      <c r="C16" s="62" t="s">
        <v>40</v>
      </c>
      <c r="D16" s="62">
        <v>1050.0</v>
      </c>
      <c r="E16" s="62">
        <v>30.0</v>
      </c>
    </row>
    <row r="17">
      <c r="C17" s="62" t="s">
        <v>62</v>
      </c>
      <c r="D17" s="62">
        <v>186.0</v>
      </c>
      <c r="E17" s="62">
        <v>15.0</v>
      </c>
    </row>
    <row r="18">
      <c r="C18" s="62" t="s">
        <v>71</v>
      </c>
      <c r="D18" s="62">
        <v>244.0</v>
      </c>
      <c r="E18" s="62">
        <v>1.0</v>
      </c>
    </row>
    <row r="19">
      <c r="C19" s="62" t="s">
        <v>65</v>
      </c>
      <c r="D19" s="62">
        <v>98.0</v>
      </c>
      <c r="E19" s="62">
        <v>20.0</v>
      </c>
    </row>
    <row r="20">
      <c r="C20" s="62" t="s">
        <v>56</v>
      </c>
      <c r="D20" s="62">
        <v>241.0</v>
      </c>
      <c r="E20" s="62">
        <v>29.0</v>
      </c>
    </row>
    <row r="21">
      <c r="C21" s="62" t="s">
        <v>79</v>
      </c>
      <c r="D21" s="62">
        <v>139.0</v>
      </c>
      <c r="E21" s="62">
        <v>23.0</v>
      </c>
    </row>
    <row r="22">
      <c r="C22" s="62" t="s">
        <v>104</v>
      </c>
    </row>
    <row r="23">
      <c r="C23" s="62" t="s">
        <v>100</v>
      </c>
      <c r="D23" s="62">
        <v>56.0</v>
      </c>
      <c r="E23" s="62">
        <v>10.0</v>
      </c>
    </row>
    <row r="24">
      <c r="C24" s="62" t="s">
        <v>108</v>
      </c>
      <c r="D24" s="62">
        <v>34.0</v>
      </c>
      <c r="E24" s="62">
        <v>20.0</v>
      </c>
    </row>
    <row r="25">
      <c r="E25" s="62">
        <v>0.0</v>
      </c>
    </row>
    <row r="30">
      <c r="A30" s="62" t="s">
        <v>196</v>
      </c>
    </row>
    <row r="31">
      <c r="A31" s="62" t="s">
        <v>197</v>
      </c>
      <c r="D31" s="62" t="s">
        <v>198</v>
      </c>
      <c r="E31" s="62" t="s">
        <v>199</v>
      </c>
      <c r="F31" s="62" t="s">
        <v>1</v>
      </c>
      <c r="G31" s="62" t="s">
        <v>200</v>
      </c>
    </row>
    <row r="32">
      <c r="D32" s="62" t="s">
        <v>201</v>
      </c>
    </row>
    <row r="33">
      <c r="D33" s="62" t="s">
        <v>202</v>
      </c>
    </row>
    <row r="34">
      <c r="D34" s="62" t="s">
        <v>203</v>
      </c>
    </row>
    <row r="38">
      <c r="A38" s="62" t="s">
        <v>204</v>
      </c>
      <c r="B38" s="70" t="s">
        <v>205</v>
      </c>
    </row>
  </sheetData>
  <hyperlinks>
    <hyperlink r:id="rId1" ref="A1"/>
    <hyperlink r:id="rId2" ref="B38"/>
  </hyperlinks>
  <drawing r:id="rId3"/>
</worksheet>
</file>